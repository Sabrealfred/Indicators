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ME" sheetId="1" state="visible" r:id="rId3"/>
    <sheet name="Resumen" sheetId="2" state="visible" r:id="rId4"/>
    <sheet name="Supuestos" sheetId="3" state="visible" r:id="rId5"/>
    <sheet name="Cartera" sheetId="4" state="visible" r:id="rId6"/>
    <sheet name="LE" sheetId="5" state="visible" r:id="rId7"/>
    <sheet name="CF_aaa" sheetId="6" state="visible" r:id="rId8"/>
    <sheet name="CF_aa" sheetId="7" state="visible" r:id="rId9"/>
    <sheet name="CF_a" sheetId="8" state="visible" r:id="rId10"/>
    <sheet name="CF_bbb" sheetId="9" state="visible" r:id="rId11"/>
    <sheet name="CF_bb" sheetId="10" state="visible" r:id="rId12"/>
    <sheet name="CF_base" sheetId="11" state="visible" r:id="rId13"/>
    <sheet name="Ponderacion" sheetId="12" state="visible" r:id="rId14"/>
    <sheet name="Fuent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<sst xmlns="http://schemas.openxmlformats.org/spreadsheetml/2006/main" count="831" uniqueCount="313">
  <si>
    <t xml:space="preserve">Modelo ilustrativo de calificación – Titulización de Life Settlements (SPV USD 100 mm)</t>
  </si>
  <si>
    <t xml:space="preserve">Reconstrucción del enfoque de AM Best ('Life Settlement Securitization' + BILSM). NO es el modelo propietario de AM Best.</t>
  </si>
  <si>
    <t xml:space="preserve">Qué hace el modelo</t>
  </si>
  <si>
    <t xml:space="preserve">1. Proyecta 25 años de flujos de una cartera de 300 vidas por cohortes (beneficios por muerte, primas, gastos, venta de remanente).</t>
  </si>
  <si>
    <t xml:space="preserve">2. Aplica estrés determinístico por nivel de calificación (aaa, aa, a, bbb, bb, base): multiplicador de mortalidad (extensión de LE),</t>
  </si>
  <si>
    <t xml:space="preserve">    penalidad por pool &lt; 300 vidas, pérdida por default de aseguradoras, aumentos de primas (COI) y haircut del valor remanente.</t>
  </si>
  <si>
    <t xml:space="preserve">3. Corre una cascada (waterfall) secuencial: interés Senior → interés Mezz → reserva de liquidez objetivo → principal Senior → principal Mezz → equity.</t>
  </si>
  <si>
    <t xml:space="preserve">4. Calificación indicada: nivel de estrés más alto en el que el tramo se repaga completo al vencimiento legal (Senior además sin interés impago: pago oportuno).</t>
  </si>
  <si>
    <t xml:space="preserve">5. La hoja 'Ponderacion' ajusta por factores cualitativos (notches) y aplica los chequeos de elegibilidad publicados por AM Best.</t>
  </si>
  <si>
    <t xml:space="preserve">Leyenda de colores</t>
  </si>
  <si>
    <t xml:space="preserve">Texto azul = input editable · Texto negro = fórmula · Texto verde = vínculo a otra hoja · Relleno amarillo = supuesto clave a validar.</t>
  </si>
  <si>
    <t xml:space="preserve">Qué está confirmado por fuentes vs. qué es supuesto</t>
  </si>
  <si>
    <t xml:space="preserve">Ver hoja 'Fuentes'. Los multiplicadores de estrés y los pesos cualitativos son ESTIMACIONES de Claude, no parámetros publicados por AM Best.</t>
  </si>
  <si>
    <t xml:space="preserve">Para calibrar con los números oficiales, descargue el criterio vigente desde ambest.com (Rating Methodologies) y reemplace los inputs azules en 'Supuestos'.</t>
  </si>
  <si>
    <t xml:space="preserve">Cómo usarlo</t>
  </si>
  <si>
    <t xml:space="preserve">a) Cargue su cinta de datos agregada por cohortes en 'Cartera' (vidas, face, edad, q0, crecimiento de mortalidad, prima % face).</t>
  </si>
  <si>
    <t xml:space="preserve">b) Ajuste estructura (tramos, cupones, reserva) en 'Supuestos'.</t>
  </si>
  <si>
    <t xml:space="preserve">c) Califique cualitativamente (1–5) en 'Ponderacion'.</t>
  </si>
  <si>
    <t xml:space="preserve">d) Lea el resultado en 'Resumen'. Detalle de flujos en las hojas CF_aaa … CF_base.</t>
  </si>
  <si>
    <t xml:space="preserve">Resumen de calificación indicada</t>
  </si>
  <si>
    <t xml:space="preserve">Resultado del modelo ilustrativo. No es una calificación de AM Best ni una opinión de crédito.</t>
  </si>
  <si>
    <t xml:space="preserve">Escenario</t>
  </si>
  <si>
    <t xml:space="preserve">Mult. efectivo</t>
  </si>
  <si>
    <t xml:space="preserve">LE estresada (años)</t>
  </si>
  <si>
    <t xml:space="preserve">Pérdida Senior</t>
  </si>
  <si>
    <t xml:space="preserve">Pérdida Mezz</t>
  </si>
  <si>
    <t xml:space="preserve">Caja mínima c/ notas (USD mm)</t>
  </si>
  <si>
    <t xml:space="preserve">Años déficit</t>
  </si>
  <si>
    <t xml:space="preserve">WAL Senior</t>
  </si>
  <si>
    <t xml:space="preserve">WAL Mezz</t>
  </si>
  <si>
    <t xml:space="preserve">Senior pasa</t>
  </si>
  <si>
    <t xml:space="preserve">Mezz pasa</t>
  </si>
  <si>
    <t xml:space="preserve">aaa</t>
  </si>
  <si>
    <t xml:space="preserve">aa</t>
  </si>
  <si>
    <t xml:space="preserve">a</t>
  </si>
  <si>
    <t xml:space="preserve">bbb</t>
  </si>
  <si>
    <t xml:space="preserve">bb</t>
  </si>
  <si>
    <t xml:space="preserve">base</t>
  </si>
  <si>
    <t xml:space="preserve">Escala</t>
  </si>
  <si>
    <t xml:space="preserve">Resultado</t>
  </si>
  <si>
    <t xml:space="preserve">Senior – índice cuantitativo</t>
  </si>
  <si>
    <t xml:space="preserve">aa+</t>
  </si>
  <si>
    <t xml:space="preserve">Senior – calificación cuantitativa</t>
  </si>
  <si>
    <t xml:space="preserve">Mezz – índice cuantitativo</t>
  </si>
  <si>
    <t xml:space="preserve">aa-</t>
  </si>
  <si>
    <t xml:space="preserve">Mezz – calificación cuantitativa</t>
  </si>
  <si>
    <t xml:space="preserve">a+</t>
  </si>
  <si>
    <t xml:space="preserve">Ajuste cualitativo (notches)</t>
  </si>
  <si>
    <t xml:space="preserve">a-</t>
  </si>
  <si>
    <t xml:space="preserve">Senior – calificación indicada final</t>
  </si>
  <si>
    <t xml:space="preserve">bbb+</t>
  </si>
  <si>
    <t xml:space="preserve">Mezz – calificación indicada final</t>
  </si>
  <si>
    <t xml:space="preserve">bbb-</t>
  </si>
  <si>
    <t xml:space="preserve">Precio de compra como % del face</t>
  </si>
  <si>
    <t xml:space="preserve">bb+</t>
  </si>
  <si>
    <t xml:space="preserve">Distribuciones a equity – caso base (USD mm)</t>
  </si>
  <si>
    <t xml:space="preserve">Equity aportado (reserva inicial, USD mm)</t>
  </si>
  <si>
    <t xml:space="preserve">bb-</t>
  </si>
  <si>
    <t xml:space="preserve">Múltiplo de equity – caso base</t>
  </si>
  <si>
    <t xml:space="preserve">b o menor</t>
  </si>
  <si>
    <t xml:space="preserve">Supuestos de estructura y estrés</t>
  </si>
  <si>
    <t xml:space="preserve">Parámetro</t>
  </si>
  <si>
    <t xml:space="preserve">Valor</t>
  </si>
  <si>
    <t xml:space="preserve">Unidad</t>
  </si>
  <si>
    <t xml:space="preserve">Fuente / nota</t>
  </si>
  <si>
    <t xml:space="preserve">Notas Senior</t>
  </si>
  <si>
    <t xml:space="preserve">USD mm</t>
  </si>
  <si>
    <t xml:space="preserve">Supuesto (estructura ilustrativa)</t>
  </si>
  <si>
    <t xml:space="preserve">Cupón Senior</t>
  </si>
  <si>
    <t xml:space="preserve">% anual</t>
  </si>
  <si>
    <t xml:space="preserve">Supuesto</t>
  </si>
  <si>
    <t xml:space="preserve">Notas Mezzanine</t>
  </si>
  <si>
    <t xml:space="preserve">Cupón Mezzanine</t>
  </si>
  <si>
    <t xml:space="preserve">Reserva de liquidez inicial (fondeada por equity)</t>
  </si>
  <si>
    <t xml:space="preserve">Reserva objetivo (meses de primas)</t>
  </si>
  <si>
    <t xml:space="preserve">meses</t>
  </si>
  <si>
    <t xml:space="preserve">Supuesto; práctica común de mercado 12–24 meses</t>
  </si>
  <si>
    <t xml:space="preserve">Tasa de reinversión de caja</t>
  </si>
  <si>
    <t xml:space="preserve">Gastos fijos (servicer, trustee, tracking)</t>
  </si>
  <si>
    <t xml:space="preserve">USD mm/año</t>
  </si>
  <si>
    <t xml:space="preserve">Gasto variable sobre face en vigor</t>
  </si>
  <si>
    <t xml:space="preserve">Valor de venta de cartera remanente al vencimiento legal</t>
  </si>
  <si>
    <t xml:space="preserve">% del face</t>
  </si>
  <si>
    <t xml:space="preserve">Vencimiento legal (años) – fijo en 25 columnas</t>
  </si>
  <si>
    <t xml:space="preserve">años</t>
  </si>
  <si>
    <t xml:space="preserve">Estructura del modelo (no editar)</t>
  </si>
  <si>
    <t xml:space="preserve">Umbral de vidas sin estrés adicional</t>
  </si>
  <si>
    <t xml:space="preserve">vidas</t>
  </si>
  <si>
    <t xml:space="preserve">AM Best, Life Settlement Securitization (~300 vidas)</t>
  </si>
  <si>
    <t xml:space="preserve">Concentración máxima por vida</t>
  </si>
  <si>
    <t xml:space="preserve">AM Best, Life Settlement Securitization (3.33%)</t>
  </si>
  <si>
    <t xml:space="preserve">Antigüedad máxima de reportes LE</t>
  </si>
  <si>
    <t xml:space="preserve">AM Best, Life Settlement Securitization (12 meses)</t>
  </si>
  <si>
    <t xml:space="preserve">Mínimo de proveedores de LE independientes</t>
  </si>
  <si>
    <t xml:space="preserve">#</t>
  </si>
  <si>
    <t xml:space="preserve">AM Best, Life Settlement Securitization (≥2)</t>
  </si>
  <si>
    <t xml:space="preserve">Pérdida tolerada en notas para 'pasar' el escenario</t>
  </si>
  <si>
    <t xml:space="preserve">% del saldo</t>
  </si>
  <si>
    <t xml:space="preserve">Supuesto (equivale a pago completo y oportuno)</t>
  </si>
  <si>
    <t xml:space="preserve">Matriz de estrés por nivel de calificación (determinística)</t>
  </si>
  <si>
    <t xml:space="preserve">Multiplicador de mortalidad (q)</t>
  </si>
  <si>
    <t xml:space="preserve">Penalidad pool &lt; umbral (resta al mult.)</t>
  </si>
  <si>
    <t xml:space="preserve">Pérdida por default de aseguradoras (% beneficio)</t>
  </si>
  <si>
    <t xml:space="preserve">Aumento anual de primas (COI)</t>
  </si>
  <si>
    <t xml:space="preserve">Haircut valor remanente</t>
  </si>
  <si>
    <t xml:space="preserve">Estimación de Claude – calibrar con criterio vigente de AM Best</t>
  </si>
  <si>
    <t xml:space="preserve">Caso esperado (LE de los proveedores sin ajuste)</t>
  </si>
  <si>
    <t xml:space="preserve">Nota: multiplicador &lt; 1 reduce la probabilidad anual de muerte = extiende la LE (el riesgo central del inversionista). AM Best publica que usa la tabla 2015 VBT (revisión 2026) como base de mortalidad; aquí se aproxima con una curva por cohorte.</t>
  </si>
  <si>
    <t xml:space="preserve">Cinta de datos agregada por cohortes (input)</t>
  </si>
  <si>
    <t xml:space="preserve">Cohorte</t>
  </si>
  <si>
    <t xml:space="preserve">Descripción</t>
  </si>
  <si>
    <t xml:space="preserve">Vidas</t>
  </si>
  <si>
    <t xml:space="preserve">Face (USD mm)</t>
  </si>
  <si>
    <t xml:space="preserve">Edad prom.</t>
  </si>
  <si>
    <t xml:space="preserve">q0 (prob. muerte año 1)</t>
  </si>
  <si>
    <t xml:space="preserve">Crec. anual de mortalidad</t>
  </si>
  <si>
    <t xml:space="preserve">Prima anual (% face)</t>
  </si>
  <si>
    <t xml:space="preserve">FSR prom. aseguradoras</t>
  </si>
  <si>
    <t xml:space="preserve">Mayor póliza individual (USD mm)</t>
  </si>
  <si>
    <t xml:space="preserve">LE implícita base (años)</t>
  </si>
  <si>
    <t xml:space="preserve">C1</t>
  </si>
  <si>
    <t xml:space="preserve">Edad 75–79, salud estándar</t>
  </si>
  <si>
    <t xml:space="preserve">A+</t>
  </si>
  <si>
    <t xml:space="preserve">C2</t>
  </si>
  <si>
    <t xml:space="preserve">Edad 80–84, deterioro moderado</t>
  </si>
  <si>
    <t xml:space="preserve">A</t>
  </si>
  <si>
    <t xml:space="preserve">C3</t>
  </si>
  <si>
    <t xml:space="preserve">Edad 85–89, deterioro significativo</t>
  </si>
  <si>
    <t xml:space="preserve">C4</t>
  </si>
  <si>
    <t xml:space="preserve">Edad 90+, deterioro severo</t>
  </si>
  <si>
    <t xml:space="preserve">A-</t>
  </si>
  <si>
    <t xml:space="preserve">C5</t>
  </si>
  <si>
    <t xml:space="preserve">Edad 70–74, enfermedad crónica</t>
  </si>
  <si>
    <t xml:space="preserve">Total / Prom.</t>
  </si>
  <si>
    <t xml:space="preserve">Datos de underwriting</t>
  </si>
  <si>
    <t xml:space="preserve">Antigüedad de reportes LE (meses)</t>
  </si>
  <si>
    <t xml:space="preserve"># proveedores de LE independientes por vida</t>
  </si>
  <si>
    <t xml:space="preserve">Precio de compra de la cartera (USD mm)</t>
  </si>
  <si>
    <t xml:space="preserve">Precio como % del face</t>
  </si>
  <si>
    <t xml:space="preserve">Mayor póliza como % del face</t>
  </si>
  <si>
    <t xml:space="preserve">Nota: reemplace las cohortes con su cinta real. Para precisión de rating, AM Best trabaja póliza por póliza con las LE de ambos proveedores; las cohortes son una simplificación.</t>
  </si>
  <si>
    <t xml:space="preserve">Supervivencia base por cohorte (sin estrés) – cálculo de LE implícita</t>
  </si>
  <si>
    <t xml:space="preserve">Curva: q(t) = MIN(1, q0 × (1+g)^(t−1)). LE ≈ Σ supervivencia fin de año + 0.5. Horizonte 40 años.</t>
  </si>
  <si>
    <t xml:space="preserve">LE (años)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</si>
  <si>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</si>
  <si>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</si>
  <si>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</si>
  <si>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</si>
  <si>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</si>
  <si>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</si>
  <si>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</si>
  <si>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</si>
  <si>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</si>
  <si>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</si>
  <si>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</si>
  <si>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</si>
  <si>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</si>
  <si>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</si>
  <si>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</si>
  <si>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</si>
  <si>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</si>
  <si>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</si>
  <si>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</si>
  <si>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</si>
  <si>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</si>
  <si>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</si>
  <si>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</si>
  <si>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</si>
  <si>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</si>
  <si>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</si>
  <si>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</si>
  <si>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</si>
  <si>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</si>
  <si>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</si>
  <si>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</si>
  <si>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</si>
  <si>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</si>
  <si>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</si>
  <si>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</si>
  <si>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</si>
  <si>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</si>
  <si>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</si>
  <si>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</si>
  <si>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</si>
  <si>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Flujo de caja y cascada – escenario aaa</t>
  </si>
  <si>
    <t xml:space="preserve">Año</t>
  </si>
  <si>
    <t xml:space="preserve">Multiplicador de mortalidad</t>
  </si>
  <si>
    <t xml:space="preserve">Penalidad pool pequeño</t>
  </si>
  <si>
    <t xml:space="preserve">Pérdida default aseguradoras</t>
  </si>
  <si>
    <t xml:space="preserve">Aumento anual de primas</t>
  </si>
  <si>
    <t xml:space="preserve">Multiplicador efectivo</t>
  </si>
  <si>
    <t xml:space="preserve">q estresada</t>
  </si>
  <si>
    <t xml:space="preserve">Supervivencia inicio</t>
  </si>
  <si>
    <t xml:space="preserve">LE estresada →</t>
  </si>
  <si>
    <t xml:space="preserve">Muertes (fracción)</t>
  </si>
  <si>
    <t xml:space="preserve">Beneficio por muerte bruto (USD mm)</t>
  </si>
  <si>
    <t xml:space="preserve">Primas pagadas (USD mm)</t>
  </si>
  <si>
    <t xml:space="preserve">Supervivencia fin</t>
  </si>
  <si>
    <t xml:space="preserve">CARTERA TOTAL</t>
  </si>
  <si>
    <t xml:space="preserve">Face en vigor inicio (USD mm)</t>
  </si>
  <si>
    <t xml:space="preserve">Beneficios por muerte brutos</t>
  </si>
  <si>
    <t xml:space="preserve">(−) Pérdida por default de aseguradoras</t>
  </si>
  <si>
    <t xml:space="preserve">Beneficios netos cobrados</t>
  </si>
  <si>
    <t xml:space="preserve">(−) Primas</t>
  </si>
  <si>
    <t xml:space="preserve">(−) Gastos</t>
  </si>
  <si>
    <t xml:space="preserve">(+) Venta de cartera remanente (año final)</t>
  </si>
  <si>
    <t xml:space="preserve">Flujo neto de activos</t>
  </si>
  <si>
    <t xml:space="preserve">CASCADA</t>
  </si>
  <si>
    <t xml:space="preserve">Caja inicio</t>
  </si>
  <si>
    <t xml:space="preserve">(+) Intereses de reinversión</t>
  </si>
  <si>
    <t xml:space="preserve">Caja disponible</t>
  </si>
  <si>
    <t xml:space="preserve">Saldo Senior inicio</t>
  </si>
  <si>
    <t xml:space="preserve">Interés Senior debido</t>
  </si>
  <si>
    <t xml:space="preserve">Interés Senior pagado</t>
  </si>
  <si>
    <t xml:space="preserve">Disponible tras int. Senior</t>
  </si>
  <si>
    <t xml:space="preserve">Saldo Mezz inicio</t>
  </si>
  <si>
    <t xml:space="preserve">Interés Mezz debido</t>
  </si>
  <si>
    <t xml:space="preserve">Interés Mezz pagado</t>
  </si>
  <si>
    <t xml:space="preserve">Disponible tras int. Mezz</t>
  </si>
  <si>
    <t xml:space="preserve">Reserva objetivo</t>
  </si>
  <si>
    <t xml:space="preserve">Principal Senior pagado</t>
  </si>
  <si>
    <t xml:space="preserve">Disponible tras Senior</t>
  </si>
  <si>
    <t xml:space="preserve">Principal Mezz pagado</t>
  </si>
  <si>
    <t xml:space="preserve">Disponible tras Mezz</t>
  </si>
  <si>
    <t xml:space="preserve">Saldo Senior fin</t>
  </si>
  <si>
    <t xml:space="preserve">Saldo Mezz fin</t>
  </si>
  <si>
    <t xml:space="preserve">Distribución a equity</t>
  </si>
  <si>
    <t xml:space="preserve">Caja fin</t>
  </si>
  <si>
    <t xml:space="preserve">Déficit de liquidez con notas vigentes (1 = sí)</t>
  </si>
  <si>
    <t xml:space="preserve">MÉTRICAS DEL ESCENARIO</t>
  </si>
  <si>
    <t xml:space="preserve">Pérdida Senior (% del original)</t>
  </si>
  <si>
    <t xml:space="preserve">Pérdida Mezz (% del original)</t>
  </si>
  <si>
    <t xml:space="preserve">Interés Senior impagado acumulado (USD mm)</t>
  </si>
  <si>
    <t xml:space="preserve">Caja mínima con notas vigentes (USD mm)</t>
  </si>
  <si>
    <t xml:space="preserve">Años con déficit de liquidez</t>
  </si>
  <si>
    <t xml:space="preserve">Vida promedio Senior (años)</t>
  </si>
  <si>
    <t xml:space="preserve">Vida promedio Mezz (años)</t>
  </si>
  <si>
    <t xml:space="preserve">LE estresada ponderada por face (años)</t>
  </si>
  <si>
    <t xml:space="preserve">Senior PASA (1 = sí)</t>
  </si>
  <si>
    <t xml:space="preserve">Mezz PASA (1 = sí)</t>
  </si>
  <si>
    <t xml:space="preserve">Distribuciones a equity (USD mm, sin descontar)</t>
  </si>
  <si>
    <t xml:space="preserve">Flujo de caja y cascada – escenario aa</t>
  </si>
  <si>
    <t xml:space="preserve">Flujo de caja y cascada – escenario a</t>
  </si>
  <si>
    <t xml:space="preserve">Flujo de caja y cascada – escenario bbb</t>
  </si>
  <si>
    <t xml:space="preserve">Flujo de caja y cascada – escenario bb</t>
  </si>
  <si>
    <t xml:space="preserve">Flujo de caja y cascada – escenario base</t>
  </si>
  <si>
    <t xml:space="preserve">Factores cualitativos, pesos y chequeos de elegibilidad</t>
  </si>
  <si>
    <t xml:space="preserve">Pesos = estimación de Claude sobre la importancia relativa en el análisis de AM Best (AM Best no publica una ponderación de este tipo; su núcleo es el estrés de flujos).</t>
  </si>
  <si>
    <t xml:space="preserve">Factor</t>
  </si>
  <si>
    <t xml:space="preserve">Qué revisa AM Best</t>
  </si>
  <si>
    <t xml:space="preserve">Peso</t>
  </si>
  <si>
    <t xml:space="preserve">Puntaje (1–5)</t>
  </si>
  <si>
    <t xml:space="preserve">Puntaje ponderado</t>
  </si>
  <si>
    <t xml:space="preserve">Fuente del factor</t>
  </si>
  <si>
    <t xml:space="preserve">Calidad de LE / underwriting médico</t>
  </si>
  <si>
    <t xml:space="preserve">≥2 proveedores independientes, reportes ≤12 meses, historial de los proveedores, todas las LE entregadas</t>
  </si>
  <si>
    <t xml:space="preserve">AM Best LSS</t>
  </si>
  <si>
    <t xml:space="preserve">Diversificación de la cartera</t>
  </si>
  <si>
    <t xml:space="preserve"># vidas (≥300), concentración por vida (≤3.33%), concentración por enfermedad</t>
  </si>
  <si>
    <t xml:space="preserve">Liquidez para primas</t>
  </si>
  <si>
    <t xml:space="preserve">Reserva / facilidad de liquidez frente a primas en escenarios de extensión</t>
  </si>
  <si>
    <t xml:space="preserve">AM Best LSS; práctica de mercado</t>
  </si>
  <si>
    <t xml:space="preserve">Calidad crediticia de aseguradoras</t>
  </si>
  <si>
    <t xml:space="preserve">FSR de las aseguradoras emisoras y concentración por aseguradora</t>
  </si>
  <si>
    <t xml:space="preserve">Riesgo legal de pólizas</t>
  </si>
  <si>
    <t xml:space="preserve">STOLI, interés asegurable, impugnabilidad, rescisión</t>
  </si>
  <si>
    <t xml:space="preserve">Práctica de mercado / litigios</t>
  </si>
  <si>
    <t xml:space="preserve">Estructura legal del SPV</t>
  </si>
  <si>
    <t xml:space="preserve">Bankruptcy-remote, true sale, opiniones legales, securities intermediary</t>
  </si>
  <si>
    <t xml:space="preserve">BILSM / práctica ABS</t>
  </si>
  <si>
    <t xml:space="preserve">Contrapartes operativas</t>
  </si>
  <si>
    <t xml:space="preserve">Servicer, tracking agent, custodio, trustee</t>
  </si>
  <si>
    <t xml:space="preserve">Total</t>
  </si>
  <si>
    <t xml:space="preserve">Control: pesos suman 100%</t>
  </si>
  <si>
    <t xml:space="preserve">Ajuste en notches (heurística de Claude)</t>
  </si>
  <si>
    <t xml:space="preserve">Puntaje ponderado ≥</t>
  </si>
  <si>
    <t xml:space="preserve">Notches</t>
  </si>
  <si>
    <t xml:space="preserve">Notches aplicados</t>
  </si>
  <si>
    <t xml:space="preserve">Chequeos de elegibilidad (parámetros publicados por AM Best)</t>
  </si>
  <si>
    <t xml:space="preserve">Chequeo</t>
  </si>
  <si>
    <t xml:space="preserve">Límite</t>
  </si>
  <si>
    <t xml:space="preserve"># de vidas</t>
  </si>
  <si>
    <t xml:space="preserve">Mayor póliza / face total</t>
  </si>
  <si>
    <t xml:space="preserve">Antigüedad LE (meses)</t>
  </si>
  <si>
    <t xml:space="preserve"># proveedores LE</t>
  </si>
  <si>
    <t xml:space="preserve">Notch adicional por chequeos fallidos (−1 c/u, heurística)</t>
  </si>
  <si>
    <t xml:space="preserve">Total notches</t>
  </si>
  <si>
    <t xml:space="preserve">Fuentes y estatus de cada parámetro</t>
  </si>
  <si>
    <t xml:space="preserve">Estatus</t>
  </si>
  <si>
    <t xml:space="preserve">Fuente</t>
  </si>
  <si>
    <t xml:space="preserve">Mínimo ~300 vidas; estrés adicional si &lt; 300 sin cobertura de longevidad</t>
  </si>
  <si>
    <t xml:space="preserve">Publicado por AM Best</t>
  </si>
  <si>
    <t xml:space="preserve">AM Best, Life Settlement Securitization – https://www3.ambest.com/ambv/ratingmethodology/OpenPDF.aspx?rc=197705</t>
  </si>
  <si>
    <t xml:space="preserve">Concentración máx. 3.33% del face por vida</t>
  </si>
  <si>
    <t xml:space="preserve">Ídem</t>
  </si>
  <si>
    <t xml:space="preserve">≥2 proveedores de LE independientes con historia médica primaria</t>
  </si>
  <si>
    <t xml:space="preserve">Reportes LE con antigüedad ≤12 meses (si no, actualización médica)</t>
  </si>
  <si>
    <t xml:space="preserve">Estrés severo a carteras de una sola enfermedad</t>
  </si>
  <si>
    <t xml:space="preserve">Base de mortalidad 2015 VBT (borrador de revisión 2026)</t>
  </si>
  <si>
    <t xml:space="preserve">Propuesta AM Best (sep-2026)</t>
  </si>
  <si>
    <t xml:space="preserve">BusinessWire, 8-sep-2026 – https://secure.businesswire.com/news/home/20260908651291/en/</t>
  </si>
  <si>
    <t xml:space="preserve">Marco general ILS y matrices de default ideal</t>
  </si>
  <si>
    <t xml:space="preserve">BILSM – Canadian Underwriter: https://canadianunderwriter.ca/news/risk/a-m-best-releases-methodology-publication-on-insurance-linked-securities</t>
  </si>
  <si>
    <t xml:space="preserve">Multiplicadores de mortalidad por nivel de rating</t>
  </si>
  <si>
    <t xml:space="preserve">ESTIMACIÓN de Claude</t>
  </si>
  <si>
    <t xml:space="preserve">Calibrar con el criterio oficial</t>
  </si>
  <si>
    <t xml:space="preserve">Pérdida por default de aseguradoras, aumentos de COI, haircut remanente</t>
  </si>
  <si>
    <t xml:space="preserve">Calibrar con el criterio oficial / BILSM</t>
  </si>
  <si>
    <t xml:space="preserve">Pesos cualitativos y mapa de notches</t>
  </si>
  <si>
    <t xml:space="preserve">No publicado por AM Best en esta forma</t>
  </si>
  <si>
    <t xml:space="preserve">Cinta de cohortes, estructura de tramos, cupones, reserva</t>
  </si>
  <si>
    <t xml:space="preserve">Ejemplo ilustrativo</t>
  </si>
  <si>
    <t xml:space="preserve">Reemplazar con datos reales del deal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</si>
</sst>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\x"/>
    <numFmt numFmtId="166" formatCode="0.0"/>
    <numFmt numFmtId="167" formatCode="0.00%;\(0.00%\);\-"/>
    <numFmt numFmtId="168" formatCode="\$#,##0.00;&quot;($&quot;#,##0.00\);\-"/>
    <numFmt numFmtId="169" formatCode="#,##0;\(#,##0\);\-"/>
    <numFmt numFmtId="170" formatCode="0.0%;\(0.0%\);\-"/>
    <numFmt numFmtId="171" formatCode="0.0\x"/>
    <numFmt numFmtId="172" formatCode="0.000"/>
    <numFmt numFmtId="173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11" min="7" style="0" width="11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3" t="s">
        <v>20</v>
      </c>
    </row>
    <row r="4" customFormat="false" ht="23.8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</row>
    <row r="5" customFormat="false" ht="15" hidden="false" customHeight="false" outlineLevel="0" collapsed="false">
      <c r="A5" s="2" t="s">
        <v>32</v>
      </c>
      <c r="B5" s="5" t="n">
        <f aca="false">CF_aaa!C10</f>
        <v>0.7</v>
      </c>
      <c r="C5" s="6" t="n">
        <f aca="false">CF_aaa!C93</f>
        <v>9.33052593154856</v>
      </c>
      <c r="D5" s="7" t="n">
        <f aca="false">CF_aaa!C86</f>
        <v>0.856935417971687</v>
      </c>
      <c r="E5" s="7" t="n">
        <f aca="false">CF_aaa!C87</f>
        <v>1</v>
      </c>
      <c r="F5" s="8" t="n">
        <f aca="false">CF_aaa!C89</f>
        <v>0.940012136334877</v>
      </c>
      <c r="G5" s="9" t="n">
        <f aca="false">CF_aaa!C90</f>
        <v>0</v>
      </c>
      <c r="H5" s="6" t="n">
        <f aca="false">CF_aaa!C91</f>
        <v>15.3480019051081</v>
      </c>
      <c r="I5" s="6" t="n">
        <f aca="false">CF_aaa!C92</f>
        <v>0</v>
      </c>
      <c r="J5" s="9" t="n">
        <f aca="false">CF_aaa!C94</f>
        <v>0</v>
      </c>
      <c r="K5" s="9" t="n">
        <f aca="false">CF_aaa!C95</f>
        <v>0</v>
      </c>
    </row>
    <row r="6" customFormat="false" ht="15" hidden="false" customHeight="false" outlineLevel="0" collapsed="false">
      <c r="A6" s="2" t="s">
        <v>33</v>
      </c>
      <c r="B6" s="5" t="n">
        <f aca="false">CF_aa!C10</f>
        <v>0.76</v>
      </c>
      <c r="C6" s="6" t="n">
        <f aca="false">CF_aa!C93</f>
        <v>8.8779546530178</v>
      </c>
      <c r="D6" s="7" t="n">
        <f aca="false">CF_aa!C86</f>
        <v>0</v>
      </c>
      <c r="E6" s="7" t="n">
        <f aca="false">CF_aa!C87</f>
        <v>0.578131477897178</v>
      </c>
      <c r="F6" s="8" t="n">
        <f aca="false">CF_aa!C89</f>
        <v>0.643851618739666</v>
      </c>
      <c r="G6" s="9" t="n">
        <f aca="false">CF_aa!C90</f>
        <v>0</v>
      </c>
      <c r="H6" s="6" t="n">
        <f aca="false">CF_aa!C91</f>
        <v>13.2432740844142</v>
      </c>
      <c r="I6" s="6" t="n">
        <f aca="false">CF_aa!C92</f>
        <v>20.3593537048095</v>
      </c>
      <c r="J6" s="9" t="n">
        <f aca="false">CF_aa!C94</f>
        <v>1</v>
      </c>
      <c r="K6" s="9" t="n">
        <f aca="false">CF_aa!C95</f>
        <v>0</v>
      </c>
    </row>
    <row r="7" customFormat="false" ht="15" hidden="false" customHeight="false" outlineLevel="0" collapsed="false">
      <c r="A7" s="2" t="s">
        <v>34</v>
      </c>
      <c r="B7" s="5" t="n">
        <f aca="false">CF_a!C10</f>
        <v>0.82</v>
      </c>
      <c r="C7" s="6" t="n">
        <f aca="false">CF_a!C93</f>
        <v>8.47094254200754</v>
      </c>
      <c r="D7" s="7" t="n">
        <f aca="false">CF_a!C86</f>
        <v>0</v>
      </c>
      <c r="E7" s="7" t="n">
        <f aca="false">CF_a!C87</f>
        <v>0</v>
      </c>
      <c r="F7" s="8" t="n">
        <f aca="false">CF_a!C89</f>
        <v>16.2555648486368</v>
      </c>
      <c r="G7" s="9" t="n">
        <f aca="false">CF_a!C90</f>
        <v>0</v>
      </c>
      <c r="H7" s="6" t="n">
        <f aca="false">CF_a!C91</f>
        <v>9.27018800418234</v>
      </c>
      <c r="I7" s="6" t="n">
        <f aca="false">CF_a!C92</f>
        <v>14.0002111962267</v>
      </c>
      <c r="J7" s="9" t="n">
        <f aca="false">CF_a!C94</f>
        <v>1</v>
      </c>
      <c r="K7" s="9" t="n">
        <f aca="false">CF_a!C95</f>
        <v>1</v>
      </c>
    </row>
    <row r="8" customFormat="false" ht="15" hidden="false" customHeight="false" outlineLevel="0" collapsed="false">
      <c r="A8" s="2" t="s">
        <v>35</v>
      </c>
      <c r="B8" s="5" t="n">
        <f aca="false">CF_bbb!C10</f>
        <v>0.88</v>
      </c>
      <c r="C8" s="6" t="n">
        <f aca="false">CF_bbb!C93</f>
        <v>8.10258765402886</v>
      </c>
      <c r="D8" s="7" t="n">
        <f aca="false">CF_bbb!C86</f>
        <v>0</v>
      </c>
      <c r="E8" s="7" t="n">
        <f aca="false">CF_bbb!C87</f>
        <v>0</v>
      </c>
      <c r="F8" s="8" t="n">
        <f aca="false">CF_bbb!C89</f>
        <v>21.9260410523617</v>
      </c>
      <c r="G8" s="9" t="n">
        <f aca="false">CF_bbb!C90</f>
        <v>0</v>
      </c>
      <c r="H8" s="6" t="n">
        <f aca="false">CF_bbb!C91</f>
        <v>7.05611421021885</v>
      </c>
      <c r="I8" s="6" t="n">
        <f aca="false">CF_bbb!C92</f>
        <v>11.1527695670267</v>
      </c>
      <c r="J8" s="9" t="n">
        <f aca="false">CF_bbb!C94</f>
        <v>1</v>
      </c>
      <c r="K8" s="9" t="n">
        <f aca="false">CF_bbb!C95</f>
        <v>1</v>
      </c>
    </row>
    <row r="9" customFormat="false" ht="15" hidden="false" customHeight="false" outlineLevel="0" collapsed="false">
      <c r="A9" s="2" t="s">
        <v>36</v>
      </c>
      <c r="B9" s="5" t="n">
        <f aca="false">CF_bb!C10</f>
        <v>0.94</v>
      </c>
      <c r="C9" s="6" t="n">
        <f aca="false">CF_bb!C93</f>
        <v>7.76732384863591</v>
      </c>
      <c r="D9" s="7" t="n">
        <f aca="false">CF_bb!C86</f>
        <v>0</v>
      </c>
      <c r="E9" s="7" t="n">
        <f aca="false">CF_bb!C87</f>
        <v>0</v>
      </c>
      <c r="F9" s="8" t="n">
        <f aca="false">CF_bb!C89</f>
        <v>25.8096967265387</v>
      </c>
      <c r="G9" s="9" t="n">
        <f aca="false">CF_bb!C90</f>
        <v>0</v>
      </c>
      <c r="H9" s="6" t="n">
        <f aca="false">CF_bb!C91</f>
        <v>5.6497335525873</v>
      </c>
      <c r="I9" s="6" t="n">
        <f aca="false">CF_bb!C92</f>
        <v>9.40706796929258</v>
      </c>
      <c r="J9" s="9" t="n">
        <f aca="false">CF_bb!C94</f>
        <v>1</v>
      </c>
      <c r="K9" s="9" t="n">
        <f aca="false">CF_bb!C95</f>
        <v>1</v>
      </c>
    </row>
    <row r="10" customFormat="false" ht="15" hidden="false" customHeight="false" outlineLevel="0" collapsed="false">
      <c r="A10" s="2" t="s">
        <v>37</v>
      </c>
      <c r="B10" s="5" t="n">
        <f aca="false">CF_base!C10</f>
        <v>1</v>
      </c>
      <c r="C10" s="6" t="n">
        <f aca="false">CF_base!C93</f>
        <v>7.46061838440676</v>
      </c>
      <c r="D10" s="7" t="n">
        <f aca="false">CF_base!C86</f>
        <v>0</v>
      </c>
      <c r="E10" s="7" t="n">
        <f aca="false">CF_base!C87</f>
        <v>0</v>
      </c>
      <c r="F10" s="8" t="n">
        <f aca="false">CF_base!C89</f>
        <v>27.855195572842</v>
      </c>
      <c r="G10" s="9" t="n">
        <f aca="false">CF_base!C90</f>
        <v>0</v>
      </c>
      <c r="H10" s="6" t="n">
        <f aca="false">CF_base!C91</f>
        <v>4.74407680692066</v>
      </c>
      <c r="I10" s="6" t="n">
        <f aca="false">CF_base!C92</f>
        <v>8.14230826678039</v>
      </c>
      <c r="J10" s="9" t="n">
        <f aca="false">CF_base!C94</f>
        <v>1</v>
      </c>
      <c r="K10" s="9" t="n">
        <f aca="false">CF_base!C95</f>
        <v>1</v>
      </c>
    </row>
    <row r="12" customFormat="false" ht="15" hidden="false" customHeight="false" outlineLevel="0" collapsed="false">
      <c r="A12" s="2" t="s">
        <v>38</v>
      </c>
      <c r="D12" s="2" t="s">
        <v>39</v>
      </c>
    </row>
    <row r="13" customFormat="false" ht="15" hidden="false" customHeight="false" outlineLevel="0" collapsed="false">
      <c r="A13" s="10" t="n">
        <v>1</v>
      </c>
      <c r="B13" s="3" t="s">
        <v>32</v>
      </c>
      <c r="D13" s="3" t="s">
        <v>40</v>
      </c>
      <c r="F13" s="10" t="n">
        <f aca="false">IF(J5=1,1,IF(J6=1,3,IF(J7=1,6,IF(J8=1,9,IF(J9=1,12,14)))))</f>
        <v>3</v>
      </c>
    </row>
    <row r="14" customFormat="false" ht="15" hidden="false" customHeight="false" outlineLevel="0" collapsed="false">
      <c r="A14" s="10" t="n">
        <v>2</v>
      </c>
      <c r="B14" s="3" t="s">
        <v>41</v>
      </c>
      <c r="D14" s="3" t="s">
        <v>42</v>
      </c>
      <c r="F14" s="3" t="str">
        <f aca="false">INDEX($B$13:$B$26,F13)</f>
        <v>aa</v>
      </c>
    </row>
    <row r="15" customFormat="false" ht="15" hidden="false" customHeight="false" outlineLevel="0" collapsed="false">
      <c r="A15" s="10" t="n">
        <v>3</v>
      </c>
      <c r="B15" s="3" t="s">
        <v>33</v>
      </c>
      <c r="D15" s="3" t="s">
        <v>43</v>
      </c>
      <c r="F15" s="10" t="n">
        <f aca="false">IF(K5=1,1,IF(K6=1,3,IF(K7=1,6,IF(K8=1,9,IF(K9=1,12,14)))))</f>
        <v>6</v>
      </c>
    </row>
    <row r="16" customFormat="false" ht="15" hidden="false" customHeight="false" outlineLevel="0" collapsed="false">
      <c r="A16" s="10" t="n">
        <v>4</v>
      </c>
      <c r="B16" s="3" t="s">
        <v>44</v>
      </c>
      <c r="D16" s="3" t="s">
        <v>45</v>
      </c>
      <c r="F16" s="3" t="str">
        <f aca="false">INDEX($B$13:$B$26,F15)</f>
        <v>a</v>
      </c>
    </row>
    <row r="17" customFormat="false" ht="15" hidden="false" customHeight="false" outlineLevel="0" collapsed="false">
      <c r="A17" s="10" t="n">
        <v>5</v>
      </c>
      <c r="B17" s="3" t="s">
        <v>46</v>
      </c>
      <c r="D17" s="3" t="s">
        <v>47</v>
      </c>
      <c r="F17" s="9" t="n">
        <f aca="false">Ponderacion!C31</f>
        <v>-1</v>
      </c>
    </row>
    <row r="18" customFormat="false" ht="15" hidden="false" customHeight="false" outlineLevel="0" collapsed="false">
      <c r="A18" s="10" t="n">
        <v>6</v>
      </c>
      <c r="B18" s="3" t="s">
        <v>34</v>
      </c>
    </row>
    <row r="19" customFormat="false" ht="15" hidden="false" customHeight="false" outlineLevel="0" collapsed="false">
      <c r="A19" s="10" t="n">
        <v>7</v>
      </c>
      <c r="B19" s="3" t="s">
        <v>48</v>
      </c>
      <c r="D19" s="2" t="s">
        <v>49</v>
      </c>
      <c r="F19" s="11" t="str">
        <f aca="false">INDEX($B$13:$B$26,MIN(14,F13-F17))</f>
        <v>aa-</v>
      </c>
    </row>
    <row r="20" customFormat="false" ht="15" hidden="false" customHeight="false" outlineLevel="0" collapsed="false">
      <c r="A20" s="10" t="n">
        <v>8</v>
      </c>
      <c r="B20" s="3" t="s">
        <v>50</v>
      </c>
      <c r="D20" s="2" t="s">
        <v>51</v>
      </c>
      <c r="F20" s="11" t="str">
        <f aca="false">INDEX($B$13:$B$26,MIN(14,F15-F17))</f>
        <v>a-</v>
      </c>
    </row>
    <row r="21" customFormat="false" ht="15" hidden="false" customHeight="false" outlineLevel="0" collapsed="false">
      <c r="A21" s="10" t="n">
        <v>9</v>
      </c>
      <c r="B21" s="3" t="s">
        <v>35</v>
      </c>
    </row>
    <row r="22" customFormat="false" ht="15" hidden="false" customHeight="false" outlineLevel="0" collapsed="false">
      <c r="A22" s="10" t="n">
        <v>10</v>
      </c>
      <c r="B22" s="3" t="s">
        <v>52</v>
      </c>
      <c r="D22" s="3" t="s">
        <v>53</v>
      </c>
      <c r="F22" s="12" t="n">
        <f aca="false">Cartera!C17</f>
        <v>0.222222222222222</v>
      </c>
    </row>
    <row r="23" customFormat="false" ht="15" hidden="false" customHeight="false" outlineLevel="0" collapsed="false">
      <c r="A23" s="10" t="n">
        <v>11</v>
      </c>
      <c r="B23" s="3" t="s">
        <v>54</v>
      </c>
      <c r="D23" s="3" t="s">
        <v>55</v>
      </c>
      <c r="F23" s="8" t="n">
        <f aca="false">CF_base!C96</f>
        <v>134.015441623993</v>
      </c>
    </row>
    <row r="24" customFormat="false" ht="15" hidden="false" customHeight="false" outlineLevel="0" collapsed="false">
      <c r="A24" s="10" t="n">
        <v>12</v>
      </c>
      <c r="B24" s="3" t="s">
        <v>36</v>
      </c>
      <c r="D24" s="3" t="s">
        <v>56</v>
      </c>
      <c r="F24" s="8" t="n">
        <f aca="false">Supuestos!C9</f>
        <v>20</v>
      </c>
    </row>
    <row r="25" customFormat="false" ht="15" hidden="false" customHeight="false" outlineLevel="0" collapsed="false">
      <c r="A25" s="10" t="n">
        <v>13</v>
      </c>
      <c r="B25" s="3" t="s">
        <v>57</v>
      </c>
      <c r="D25" s="3" t="s">
        <v>58</v>
      </c>
      <c r="F25" s="13" t="n">
        <f aca="false">IFERROR(F23/F24,0)</f>
        <v>6.70077208119966</v>
      </c>
    </row>
    <row r="26" customFormat="false" ht="15" hidden="false" customHeight="false" outlineLevel="0" collapsed="false">
      <c r="A26" s="10" t="n">
        <v>14</v>
      </c>
      <c r="B26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60</v>
      </c>
    </row>
    <row r="3" customFormat="false" ht="15" hidden="false" customHeight="false" outlineLevel="0" collapsed="false">
      <c r="A3" s="4"/>
      <c r="B3" s="4" t="s">
        <v>61</v>
      </c>
      <c r="C3" s="4" t="s">
        <v>62</v>
      </c>
      <c r="D3" s="4" t="s">
        <v>63</v>
      </c>
      <c r="E3" s="4" t="s">
        <v>64</v>
      </c>
    </row>
    <row r="5" customFormat="false" ht="15" hidden="false" customHeight="false" outlineLevel="0" collapsed="false">
      <c r="B5" s="3" t="s">
        <v>65</v>
      </c>
      <c r="C5" s="14" t="n">
        <v>75</v>
      </c>
      <c r="D5" s="3" t="s">
        <v>66</v>
      </c>
      <c r="E5" s="3" t="s">
        <v>67</v>
      </c>
    </row>
    <row r="6" customFormat="false" ht="15" hidden="false" customHeight="false" outlineLevel="0" collapsed="false">
      <c r="B6" s="3" t="s">
        <v>68</v>
      </c>
      <c r="C6" s="15" t="n">
        <v>0.065</v>
      </c>
      <c r="D6" s="3" t="s">
        <v>69</v>
      </c>
      <c r="E6" s="3" t="s">
        <v>70</v>
      </c>
    </row>
    <row r="7" customFormat="false" ht="15" hidden="false" customHeight="false" outlineLevel="0" collapsed="false">
      <c r="B7" s="3" t="s">
        <v>71</v>
      </c>
      <c r="C7" s="14" t="n">
        <v>25</v>
      </c>
      <c r="D7" s="3" t="s">
        <v>66</v>
      </c>
      <c r="E7" s="3" t="s">
        <v>70</v>
      </c>
    </row>
    <row r="8" customFormat="false" ht="15" hidden="false" customHeight="false" outlineLevel="0" collapsed="false">
      <c r="B8" s="3" t="s">
        <v>72</v>
      </c>
      <c r="C8" s="15" t="n">
        <v>0.095</v>
      </c>
      <c r="D8" s="3" t="s">
        <v>69</v>
      </c>
      <c r="E8" s="3" t="s">
        <v>70</v>
      </c>
    </row>
    <row r="9" customFormat="false" ht="15" hidden="false" customHeight="false" outlineLevel="0" collapsed="false">
      <c r="B9" s="3" t="s">
        <v>73</v>
      </c>
      <c r="C9" s="16" t="n">
        <v>20</v>
      </c>
      <c r="D9" s="3" t="s">
        <v>66</v>
      </c>
      <c r="E9" s="3" t="s">
        <v>70</v>
      </c>
    </row>
    <row r="10" customFormat="false" ht="15" hidden="false" customHeight="false" outlineLevel="0" collapsed="false">
      <c r="B10" s="3" t="s">
        <v>74</v>
      </c>
      <c r="C10" s="17" t="n">
        <v>12</v>
      </c>
      <c r="D10" s="3" t="s">
        <v>75</v>
      </c>
      <c r="E10" s="3" t="s">
        <v>76</v>
      </c>
    </row>
    <row r="11" customFormat="false" ht="15" hidden="false" customHeight="false" outlineLevel="0" collapsed="false">
      <c r="B11" s="3" t="s">
        <v>77</v>
      </c>
      <c r="C11" s="15" t="n">
        <v>0.03</v>
      </c>
      <c r="D11" s="3" t="s">
        <v>69</v>
      </c>
      <c r="E11" s="3" t="s">
        <v>70</v>
      </c>
    </row>
    <row r="12" customFormat="false" ht="15" hidden="false" customHeight="false" outlineLevel="0" collapsed="false">
      <c r="B12" s="3" t="s">
        <v>78</v>
      </c>
      <c r="C12" s="14" t="n">
        <v>0.75</v>
      </c>
      <c r="D12" s="3" t="s">
        <v>79</v>
      </c>
      <c r="E12" s="3" t="s">
        <v>70</v>
      </c>
    </row>
    <row r="13" customFormat="false" ht="15" hidden="false" customHeight="false" outlineLevel="0" collapsed="false">
      <c r="B13" s="3" t="s">
        <v>80</v>
      </c>
      <c r="C13" s="15" t="n">
        <v>0.0005</v>
      </c>
      <c r="D13" s="3" t="s">
        <v>69</v>
      </c>
      <c r="E13" s="3" t="s">
        <v>70</v>
      </c>
    </row>
    <row r="14" customFormat="false" ht="15" hidden="false" customHeight="false" outlineLevel="0" collapsed="false">
      <c r="B14" s="3" t="s">
        <v>81</v>
      </c>
      <c r="C14" s="18" t="n">
        <v>0.2</v>
      </c>
      <c r="D14" s="3" t="s">
        <v>82</v>
      </c>
      <c r="E14" s="3" t="s">
        <v>70</v>
      </c>
    </row>
    <row r="15" customFormat="false" ht="15" hidden="false" customHeight="false" outlineLevel="0" collapsed="false">
      <c r="B15" s="3" t="s">
        <v>83</v>
      </c>
      <c r="C15" s="10" t="n">
        <v>25</v>
      </c>
      <c r="D15" s="3" t="s">
        <v>84</v>
      </c>
      <c r="E15" s="3" t="s">
        <v>85</v>
      </c>
    </row>
    <row r="16" customFormat="false" ht="15" hidden="false" customHeight="false" outlineLevel="0" collapsed="false">
      <c r="B16" s="3" t="s">
        <v>86</v>
      </c>
      <c r="C16" s="19" t="n">
        <v>300</v>
      </c>
      <c r="D16" s="3" t="s">
        <v>87</v>
      </c>
      <c r="E16" s="3" t="s">
        <v>88</v>
      </c>
    </row>
    <row r="17" customFormat="false" ht="15" hidden="false" customHeight="false" outlineLevel="0" collapsed="false">
      <c r="B17" s="3" t="s">
        <v>89</v>
      </c>
      <c r="C17" s="15" t="n">
        <v>0.0333</v>
      </c>
      <c r="D17" s="3" t="s">
        <v>82</v>
      </c>
      <c r="E17" s="3" t="s">
        <v>90</v>
      </c>
    </row>
    <row r="18" customFormat="false" ht="15" hidden="false" customHeight="false" outlineLevel="0" collapsed="false">
      <c r="B18" s="3" t="s">
        <v>91</v>
      </c>
      <c r="C18" s="19" t="n">
        <v>12</v>
      </c>
      <c r="D18" s="3" t="s">
        <v>75</v>
      </c>
      <c r="E18" s="3" t="s">
        <v>92</v>
      </c>
    </row>
    <row r="19" customFormat="false" ht="15" hidden="false" customHeight="false" outlineLevel="0" collapsed="false">
      <c r="B19" s="3" t="s">
        <v>93</v>
      </c>
      <c r="C19" s="19" t="n">
        <v>2</v>
      </c>
      <c r="D19" s="3" t="s">
        <v>94</v>
      </c>
      <c r="E19" s="3" t="s">
        <v>95</v>
      </c>
    </row>
    <row r="20" customFormat="false" ht="15" hidden="false" customHeight="false" outlineLevel="0" collapsed="false">
      <c r="B20" s="3" t="s">
        <v>96</v>
      </c>
      <c r="C20" s="15" t="n">
        <v>0</v>
      </c>
      <c r="D20" s="3" t="s">
        <v>97</v>
      </c>
      <c r="E20" s="3" t="s">
        <v>98</v>
      </c>
    </row>
    <row r="22" customFormat="false" ht="15" hidden="false" customHeight="false" outlineLevel="0" collapsed="false">
      <c r="B22" s="2" t="s">
        <v>99</v>
      </c>
    </row>
    <row r="23" customFormat="false" ht="35.05" hidden="false" customHeight="false" outlineLevel="0" collapsed="false">
      <c r="A23" s="4"/>
      <c r="B23" s="4" t="s">
        <v>21</v>
      </c>
      <c r="C23" s="4" t="s">
        <v>100</v>
      </c>
      <c r="D23" s="4" t="s">
        <v>101</v>
      </c>
      <c r="E23" s="4" t="s">
        <v>102</v>
      </c>
      <c r="F23" s="4" t="s">
        <v>103</v>
      </c>
      <c r="G23" s="4" t="s">
        <v>104</v>
      </c>
      <c r="H23" s="4" t="s">
        <v>64</v>
      </c>
    </row>
    <row r="24" customFormat="false" ht="15" hidden="false" customHeight="false" outlineLevel="0" collapsed="false">
      <c r="B24" s="2" t="s">
        <v>32</v>
      </c>
      <c r="C24" s="20" t="n">
        <v>0.7</v>
      </c>
      <c r="D24" s="20" t="n">
        <v>0.05</v>
      </c>
      <c r="E24" s="18" t="n">
        <v>0.06</v>
      </c>
      <c r="F24" s="21" t="n">
        <v>0.02</v>
      </c>
      <c r="G24" s="18" t="n">
        <v>0.5</v>
      </c>
      <c r="H24" s="3" t="s">
        <v>105</v>
      </c>
    </row>
    <row r="25" customFormat="false" ht="15" hidden="false" customHeight="false" outlineLevel="0" collapsed="false">
      <c r="B25" s="2" t="s">
        <v>33</v>
      </c>
      <c r="C25" s="20" t="n">
        <v>0.76</v>
      </c>
      <c r="D25" s="20" t="n">
        <v>0.04</v>
      </c>
      <c r="E25" s="18" t="n">
        <v>0.045</v>
      </c>
      <c r="F25" s="21" t="n">
        <v>0.015</v>
      </c>
      <c r="G25" s="18" t="n">
        <v>0.4</v>
      </c>
      <c r="H25" s="3" t="s">
        <v>105</v>
      </c>
    </row>
    <row r="26" customFormat="false" ht="15" hidden="false" customHeight="false" outlineLevel="0" collapsed="false">
      <c r="B26" s="2" t="s">
        <v>34</v>
      </c>
      <c r="C26" s="20" t="n">
        <v>0.82</v>
      </c>
      <c r="D26" s="20" t="n">
        <v>0.03</v>
      </c>
      <c r="E26" s="18" t="n">
        <v>0.03</v>
      </c>
      <c r="F26" s="21" t="n">
        <v>0.01</v>
      </c>
      <c r="G26" s="18" t="n">
        <v>0.3</v>
      </c>
      <c r="H26" s="3" t="s">
        <v>105</v>
      </c>
    </row>
    <row r="27" customFormat="false" ht="15" hidden="false" customHeight="false" outlineLevel="0" collapsed="false">
      <c r="B27" s="2" t="s">
        <v>35</v>
      </c>
      <c r="C27" s="20" t="n">
        <v>0.88</v>
      </c>
      <c r="D27" s="20" t="n">
        <v>0.02</v>
      </c>
      <c r="E27" s="18" t="n">
        <v>0.02</v>
      </c>
      <c r="F27" s="21" t="n">
        <v>0.005</v>
      </c>
      <c r="G27" s="18" t="n">
        <v>0.2</v>
      </c>
      <c r="H27" s="3" t="s">
        <v>105</v>
      </c>
    </row>
    <row r="28" customFormat="false" ht="15" hidden="false" customHeight="false" outlineLevel="0" collapsed="false">
      <c r="B28" s="2" t="s">
        <v>36</v>
      </c>
      <c r="C28" s="20" t="n">
        <v>0.94</v>
      </c>
      <c r="D28" s="20" t="n">
        <v>0.01</v>
      </c>
      <c r="E28" s="18" t="n">
        <v>0.01</v>
      </c>
      <c r="F28" s="21" t="n">
        <v>0.0025</v>
      </c>
      <c r="G28" s="18" t="n">
        <v>0.1</v>
      </c>
      <c r="H28" s="3" t="s">
        <v>105</v>
      </c>
    </row>
    <row r="29" customFormat="false" ht="15" hidden="false" customHeight="false" outlineLevel="0" collapsed="false">
      <c r="B29" s="2" t="s">
        <v>37</v>
      </c>
      <c r="C29" s="20" t="n">
        <v>1</v>
      </c>
      <c r="D29" s="20" t="n">
        <v>0</v>
      </c>
      <c r="E29" s="18" t="n">
        <v>0.005</v>
      </c>
      <c r="F29" s="21" t="n">
        <v>0</v>
      </c>
      <c r="G29" s="18" t="n">
        <v>0</v>
      </c>
      <c r="H29" s="3" t="s">
        <v>106</v>
      </c>
    </row>
    <row r="31" customFormat="false" ht="15" hidden="false" customHeight="false" outlineLevel="0" collapsed="false">
      <c r="B31" s="3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108</v>
      </c>
    </row>
    <row r="4" customFormat="false" ht="35.05" hidden="false" customHeight="false" outlineLevel="0" collapsed="false">
      <c r="A4" s="4" t="s">
        <v>109</v>
      </c>
      <c r="B4" s="4" t="s">
        <v>110</v>
      </c>
      <c r="C4" s="4" t="s">
        <v>111</v>
      </c>
      <c r="D4" s="4" t="s">
        <v>112</v>
      </c>
      <c r="E4" s="4" t="s">
        <v>113</v>
      </c>
      <c r="F4" s="4" t="s">
        <v>114</v>
      </c>
      <c r="G4" s="4" t="s">
        <v>115</v>
      </c>
      <c r="H4" s="4" t="s">
        <v>116</v>
      </c>
      <c r="I4" s="4" t="s">
        <v>117</v>
      </c>
      <c r="J4" s="4" t="s">
        <v>118</v>
      </c>
      <c r="K4" s="4" t="s">
        <v>119</v>
      </c>
      <c r="L4" s="4" t="s">
        <v>82</v>
      </c>
    </row>
    <row r="5" customFormat="false" ht="15" hidden="false" customHeight="false" outlineLevel="0" collapsed="false">
      <c r="A5" s="3" t="s">
        <v>120</v>
      </c>
      <c r="B5" s="3" t="s">
        <v>121</v>
      </c>
      <c r="C5" s="19" t="n">
        <v>70</v>
      </c>
      <c r="D5" s="14" t="n">
        <v>90</v>
      </c>
      <c r="E5" s="19" t="n">
        <v>77</v>
      </c>
      <c r="F5" s="15" t="n">
        <v>0.045</v>
      </c>
      <c r="G5" s="22" t="n">
        <v>0.11</v>
      </c>
      <c r="H5" s="15" t="n">
        <v>0.04</v>
      </c>
      <c r="I5" s="23" t="s">
        <v>122</v>
      </c>
      <c r="J5" s="14" t="n">
        <v>2.5</v>
      </c>
      <c r="K5" s="6" t="n">
        <f aca="false">LE!C4</f>
        <v>9.60464122596345</v>
      </c>
      <c r="L5" s="24" t="n">
        <f aca="false">D5/$D$10</f>
        <v>0.2</v>
      </c>
    </row>
    <row r="6" customFormat="false" ht="15" hidden="false" customHeight="false" outlineLevel="0" collapsed="false">
      <c r="A6" s="3" t="s">
        <v>123</v>
      </c>
      <c r="B6" s="3" t="s">
        <v>124</v>
      </c>
      <c r="C6" s="19" t="n">
        <v>80</v>
      </c>
      <c r="D6" s="14" t="n">
        <v>120</v>
      </c>
      <c r="E6" s="19" t="n">
        <v>82</v>
      </c>
      <c r="F6" s="15" t="n">
        <v>0.065</v>
      </c>
      <c r="G6" s="22" t="n">
        <v>0.1</v>
      </c>
      <c r="H6" s="15" t="n">
        <v>0.05</v>
      </c>
      <c r="I6" s="23" t="s">
        <v>125</v>
      </c>
      <c r="J6" s="14" t="n">
        <v>3</v>
      </c>
      <c r="K6" s="6" t="n">
        <f aca="false">LE!C5</f>
        <v>7.93978144719023</v>
      </c>
      <c r="L6" s="24" t="n">
        <f aca="false">D6/$D$10</f>
        <v>0.266666666666667</v>
      </c>
    </row>
    <row r="7" customFormat="false" ht="15" hidden="false" customHeight="false" outlineLevel="0" collapsed="false">
      <c r="A7" s="3" t="s">
        <v>126</v>
      </c>
      <c r="B7" s="3" t="s">
        <v>127</v>
      </c>
      <c r="C7" s="19" t="n">
        <v>60</v>
      </c>
      <c r="D7" s="14" t="n">
        <v>100</v>
      </c>
      <c r="E7" s="19" t="n">
        <v>86</v>
      </c>
      <c r="F7" s="15" t="n">
        <v>0.095</v>
      </c>
      <c r="G7" s="22" t="n">
        <v>0.09</v>
      </c>
      <c r="H7" s="15" t="n">
        <v>0.06</v>
      </c>
      <c r="I7" s="23" t="s">
        <v>125</v>
      </c>
      <c r="J7" s="14" t="n">
        <v>3</v>
      </c>
      <c r="K7" s="6" t="n">
        <f aca="false">LE!C6</f>
        <v>6.31518246981967</v>
      </c>
      <c r="L7" s="24" t="n">
        <f aca="false">D7/$D$10</f>
        <v>0.222222222222222</v>
      </c>
    </row>
    <row r="8" customFormat="false" ht="15" hidden="false" customHeight="false" outlineLevel="0" collapsed="false">
      <c r="A8" s="3" t="s">
        <v>128</v>
      </c>
      <c r="B8" s="3" t="s">
        <v>129</v>
      </c>
      <c r="C8" s="19" t="n">
        <v>50</v>
      </c>
      <c r="D8" s="14" t="n">
        <v>80</v>
      </c>
      <c r="E8" s="19" t="n">
        <v>91</v>
      </c>
      <c r="F8" s="15" t="n">
        <v>0.14</v>
      </c>
      <c r="G8" s="22" t="n">
        <v>0.08</v>
      </c>
      <c r="H8" s="15" t="n">
        <v>0.07</v>
      </c>
      <c r="I8" s="23" t="s">
        <v>130</v>
      </c>
      <c r="J8" s="14" t="n">
        <v>2.5</v>
      </c>
      <c r="K8" s="6" t="n">
        <f aca="false">LE!C7</f>
        <v>4.81402403267089</v>
      </c>
      <c r="L8" s="24" t="n">
        <f aca="false">D8/$D$10</f>
        <v>0.177777777777778</v>
      </c>
    </row>
    <row r="9" customFormat="false" ht="15" hidden="false" customHeight="false" outlineLevel="0" collapsed="false">
      <c r="A9" s="3" t="s">
        <v>131</v>
      </c>
      <c r="B9" s="3" t="s">
        <v>132</v>
      </c>
      <c r="C9" s="19" t="n">
        <v>40</v>
      </c>
      <c r="D9" s="14" t="n">
        <v>60</v>
      </c>
      <c r="E9" s="19" t="n">
        <v>72</v>
      </c>
      <c r="F9" s="15" t="n">
        <v>0.05</v>
      </c>
      <c r="G9" s="22" t="n">
        <v>0.12</v>
      </c>
      <c r="H9" s="15" t="n">
        <v>0.035</v>
      </c>
      <c r="I9" s="23" t="s">
        <v>122</v>
      </c>
      <c r="J9" s="14" t="n">
        <v>2</v>
      </c>
      <c r="K9" s="6" t="n">
        <f aca="false">LE!C8</f>
        <v>8.72591297424296</v>
      </c>
      <c r="L9" s="24" t="n">
        <f aca="false">D9/$D$10</f>
        <v>0.133333333333333</v>
      </c>
    </row>
    <row r="10" customFormat="false" ht="15" hidden="false" customHeight="false" outlineLevel="0" collapsed="false">
      <c r="A10" s="25" t="s">
        <v>133</v>
      </c>
      <c r="B10" s="26"/>
      <c r="C10" s="27" t="n">
        <f aca="false">SUM(C5:C9)</f>
        <v>300</v>
      </c>
      <c r="D10" s="28" t="n">
        <f aca="false">SUM(D5:D9)</f>
        <v>450</v>
      </c>
      <c r="E10" s="29" t="n">
        <f aca="false">SUMPRODUCT(E5:E9,D5:D9)/D10</f>
        <v>82.1555555555556</v>
      </c>
      <c r="F10" s="26"/>
      <c r="G10" s="26"/>
      <c r="H10" s="26"/>
      <c r="I10" s="26"/>
      <c r="J10" s="28" t="n">
        <f aca="false">MAX(J5:J9)</f>
        <v>3</v>
      </c>
      <c r="K10" s="29" t="n">
        <f aca="false">SUMPRODUCT(K5:K9,D5:D9)/D10</f>
        <v>7.46085873788834</v>
      </c>
      <c r="L10" s="30" t="n">
        <f aca="false">SUM(L5:L9)</f>
        <v>1</v>
      </c>
    </row>
    <row r="13" customFormat="false" ht="15" hidden="false" customHeight="false" outlineLevel="0" collapsed="false">
      <c r="A13" s="2" t="s">
        <v>134</v>
      </c>
    </row>
    <row r="14" customFormat="false" ht="15" hidden="false" customHeight="false" outlineLevel="0" collapsed="false">
      <c r="B14" s="3" t="s">
        <v>135</v>
      </c>
      <c r="C14" s="17" t="n">
        <v>8</v>
      </c>
    </row>
    <row r="15" customFormat="false" ht="15" hidden="false" customHeight="false" outlineLevel="0" collapsed="false">
      <c r="B15" s="3" t="s">
        <v>136</v>
      </c>
      <c r="C15" s="17" t="n">
        <v>2</v>
      </c>
    </row>
    <row r="16" customFormat="false" ht="15" hidden="false" customHeight="false" outlineLevel="0" collapsed="false">
      <c r="B16" s="3" t="s">
        <v>137</v>
      </c>
      <c r="C16" s="8" t="n">
        <f aca="false">Supuestos!C5+Supuestos!C7</f>
        <v>100</v>
      </c>
    </row>
    <row r="17" customFormat="false" ht="15" hidden="false" customHeight="false" outlineLevel="0" collapsed="false">
      <c r="B17" s="3" t="s">
        <v>138</v>
      </c>
      <c r="C17" s="24" t="n">
        <f aca="false">C16/D10</f>
        <v>0.222222222222222</v>
      </c>
    </row>
    <row r="18" customFormat="false" ht="15" hidden="false" customHeight="false" outlineLevel="0" collapsed="false">
      <c r="B18" s="3" t="s">
        <v>139</v>
      </c>
      <c r="C18" s="31" t="n">
        <f aca="false">J10/D10</f>
        <v>0.00666666666666667</v>
      </c>
    </row>
    <row r="20" customFormat="false" ht="15" hidden="false" customHeight="false" outlineLevel="0" collapsed="false">
      <c r="A20" s="3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3" t="s">
        <v>142</v>
      </c>
    </row>
    <row r="3" customFormat="false" ht="23.85" hidden="false" customHeight="false" outlineLevel="0" collapsed="false">
      <c r="A3" s="4" t="s">
        <v>109</v>
      </c>
      <c r="B3" s="4"/>
      <c r="C3" s="4" t="s">
        <v>143</v>
      </c>
      <c r="D3" s="4" t="s">
        <v>144</v>
      </c>
      <c r="E3" s="4" t="s">
        <v>145</v>
      </c>
      <c r="F3" s="4" t="s">
        <v>146</v>
      </c>
      <c r="G3" s="4" t="s">
        <v>147</v>
      </c>
      <c r="H3" s="4" t="s">
        <v>148</v>
      </c>
      <c r="I3" s="4" t="s">
        <v>149</v>
      </c>
      <c r="J3" s="4" t="s">
        <v>150</v>
      </c>
      <c r="K3" s="4" t="s">
        <v>151</v>
      </c>
      <c r="L3" s="4" t="s">
        <v>152</v>
      </c>
      <c r="M3" s="4" t="s">
        <v>153</v>
      </c>
      <c r="N3" s="4" t="s">
        <v>154</v>
      </c>
      <c r="O3" s="4" t="s">
        <v>155</v>
      </c>
      <c r="P3" s="4" t="s">
        <v>156</v>
      </c>
      <c r="Q3" s="4" t="s">
        <v>157</v>
      </c>
      <c r="R3" s="4" t="s">
        <v>158</v>
      </c>
      <c r="S3" s="4" t="s">
        <v>159</v>
      </c>
      <c r="T3" s="4" t="s">
        <v>160</v>
      </c>
      <c r="U3" s="4" t="s">
        <v>161</v>
      </c>
      <c r="V3" s="4" t="s">
        <v>162</v>
      </c>
      <c r="W3" s="4" t="s">
        <v>163</v>
      </c>
      <c r="X3" s="4" t="s">
        <v>164</v>
      </c>
      <c r="Y3" s="4" t="s">
        <v>165</v>
      </c>
      <c r="Z3" s="4" t="s">
        <v>166</v>
      </c>
      <c r="AA3" s="4" t="s">
        <v>167</v>
      </c>
      <c r="AB3" s="4" t="s">
        <v>168</v>
      </c>
      <c r="AC3" s="4" t="s">
        <v>169</v>
      </c>
      <c r="AD3" s="4" t="s">
        <v>170</v>
      </c>
      <c r="AE3" s="4" t="s">
        <v>171</v>
      </c>
      <c r="AF3" s="4" t="s">
        <v>172</v>
      </c>
      <c r="AG3" s="4" t="s">
        <v>173</v>
      </c>
      <c r="AH3" s="4" t="s">
        <v>174</v>
      </c>
      <c r="AI3" s="4" t="s">
        <v>175</v>
      </c>
      <c r="AJ3" s="4" t="s">
        <v>176</v>
      </c>
      <c r="AK3" s="4" t="s">
        <v>177</v>
      </c>
      <c r="AL3" s="4" t="s">
        <v>178</v>
      </c>
      <c r="AM3" s="4" t="s">
        <v>179</v>
      </c>
      <c r="AN3" s="4" t="s">
        <v>180</v>
      </c>
      <c r="AO3" s="4" t="s">
        <v>181</v>
      </c>
      <c r="AP3" s="4" t="s">
        <v>182</v>
      </c>
      <c r="AQ3" s="4" t="s">
        <v>183</v>
      </c>
    </row>
    <row r="4" customFormat="false" ht="15" hidden="false" customHeight="false" outlineLevel="0" collapsed="false">
      <c r="A4" s="32" t="str">
        <f aca="false">Cartera!A5</f>
        <v>C1</v>
      </c>
      <c r="C4" s="33" t="n">
        <f aca="false">SUM(D4:AQ4)+0.5</f>
        <v>9.60464122596345</v>
      </c>
      <c r="D4" s="34" t="n">
        <f aca="false">1-MIN(1,Cartera!$F$5*(1+Cartera!$G$5)^(1-1))</f>
        <v>0.955</v>
      </c>
      <c r="E4" s="34" t="n">
        <f aca="false">D4*(1-MIN(1,Cartera!$F$5*(1+Cartera!$G$5)^(2-1)))</f>
        <v>0.90729775</v>
      </c>
      <c r="F4" s="34" t="n">
        <f aca="false">E4*(1-MIN(1,Cartera!$F$5*(1+Cartera!$G$5)^(3-1)))</f>
        <v>0.856993079900125</v>
      </c>
      <c r="G4" s="34" t="n">
        <f aca="false">F4*(1-MIN(1,Cartera!$F$5*(1+Cartera!$G$5)^(4-1)))</f>
        <v>0.804250816271565</v>
      </c>
      <c r="H4" s="34" t="n">
        <f aca="false">G4*(1-MIN(1,Cartera!$F$5*(1+Cartera!$G$5)^(5-1)))</f>
        <v>0.749309894783556</v>
      </c>
      <c r="I4" s="34" t="n">
        <f aca="false">H4*(1-MIN(1,Cartera!$F$5*(1+Cartera!$G$5)^(6-1)))</f>
        <v>0.692491511082959</v>
      </c>
      <c r="J4" s="34" t="n">
        <f aca="false">I4*(1-MIN(1,Cartera!$F$5*(1+Cartera!$G$5)^(7-1)))</f>
        <v>0.63420543210197</v>
      </c>
      <c r="K4" s="34" t="n">
        <f aca="false">J4*(1-MIN(1,Cartera!$F$5*(1+Cartera!$G$5)^(8-1)))</f>
        <v>0.574953389992279</v>
      </c>
      <c r="L4" s="34" t="n">
        <f aca="false">K4*(1-MIN(1,Cartera!$F$5*(1+Cartera!$G$5)^(9-1)))</f>
        <v>0.515328308854383</v>
      </c>
      <c r="M4" s="34" t="n">
        <f aca="false">L4*(1-MIN(1,Cartera!$F$5*(1+Cartera!$G$5)^(10-1)))</f>
        <v>0.45600801095398</v>
      </c>
      <c r="N4" s="34" t="n">
        <f aca="false">M4*(1-MIN(1,Cartera!$F$5*(1+Cartera!$G$5)^(11-1)))</f>
        <v>0.397742068728656</v>
      </c>
      <c r="O4" s="34" t="n">
        <f aca="false">N4*(1-MIN(1,Cartera!$F$5*(1+Cartera!$G$5)^(12-1)))</f>
        <v>0.341330677737973</v>
      </c>
      <c r="P4" s="34" t="n">
        <f aca="false">O4*(1-MIN(1,Cartera!$F$5*(1+Cartera!$G$5)^(13-1)))</f>
        <v>0.287594894640154</v>
      </c>
      <c r="Q4" s="34" t="n">
        <f aca="false">P4*(1-MIN(1,Cartera!$F$5*(1+Cartera!$G$5)^(14-1)))</f>
        <v>0.237338374925221</v>
      </c>
      <c r="R4" s="34" t="n">
        <f aca="false">Q4*(1-MIN(1,Cartera!$F$5*(1+Cartera!$G$5)^(15-1)))</f>
        <v>0.191301887336855</v>
      </c>
      <c r="S4" s="34" t="n">
        <f aca="false">R4*(1-MIN(1,Cartera!$F$5*(1+Cartera!$G$5)^(16-1)))</f>
        <v>0.150113342370557</v>
      </c>
      <c r="T4" s="34" t="n">
        <f aca="false">S4*(1-MIN(1,Cartera!$F$5*(1+Cartera!$G$5)^(17-1)))</f>
        <v>0.114237717908285</v>
      </c>
      <c r="U4" s="34" t="n">
        <f aca="false">T4*(1-MIN(1,Cartera!$F$5*(1+Cartera!$G$5)^(18-1)))</f>
        <v>0.0839328307034128</v>
      </c>
      <c r="V4" s="34" t="n">
        <f aca="false">U4*(1-MIN(1,Cartera!$F$5*(1+Cartera!$G$5)^(19-1)))</f>
        <v>0.0592179793798153</v>
      </c>
      <c r="W4" s="34" t="n">
        <f aca="false">V4*(1-MIN(1,Cartera!$F$5*(1+Cartera!$G$5)^(20-1)))</f>
        <v>0.0398625551244041</v>
      </c>
      <c r="X4" s="34" t="n">
        <f aca="false">W4*(1-MIN(1,Cartera!$F$5*(1+Cartera!$G$5)^(21-1)))</f>
        <v>0.025400259912646</v>
      </c>
      <c r="Y4" s="34" t="n">
        <f aca="false">X4*(1-MIN(1,Cartera!$F$5*(1+Cartera!$G$5)^(22-1)))</f>
        <v>0.0151712587273515</v>
      </c>
      <c r="Z4" s="34" t="n">
        <f aca="false">Y4*(1-MIN(1,Cartera!$F$5*(1+Cartera!$G$5)^(23-1)))</f>
        <v>0.00838954174168316</v>
      </c>
      <c r="AA4" s="34" t="n">
        <f aca="false">Z4*(1-MIN(1,Cartera!$F$5*(1+Cartera!$G$5)^(24-1)))</f>
        <v>0.00422680194421605</v>
      </c>
      <c r="AB4" s="34" t="n">
        <f aca="false">AA4*(1-MIN(1,Cartera!$F$5*(1+Cartera!$G$5)^(25-1)))</f>
        <v>0.00189883985711245</v>
      </c>
      <c r="AC4" s="34" t="n">
        <f aca="false">AB4*(1-MIN(1,Cartera!$F$5*(1+Cartera!$G$5)^(26-1)))</f>
        <v>0.000737991950527765</v>
      </c>
      <c r="AD4" s="34" t="n">
        <f aca="false">AC4*(1-MIN(1,Cartera!$F$5*(1+Cartera!$G$5)^(27-1)))</f>
        <v>0.000237195102137561</v>
      </c>
      <c r="AE4" s="34" t="n">
        <f aca="false">AD4*(1-MIN(1,Cartera!$F$5*(1+Cartera!$G$5)^(28-1)))</f>
        <v>5.85304418167548E-005</v>
      </c>
      <c r="AF4" s="34" t="n">
        <f aca="false">AE4*(1-MIN(1,Cartera!$F$5*(1+Cartera!$G$5)^(29-1)))</f>
        <v>9.5933989915481E-006</v>
      </c>
      <c r="AG4" s="34" t="n">
        <f aca="false">AF4*(1-MIN(1,Cartera!$F$5*(1+Cartera!$G$5)^(30-1)))</f>
        <v>6.90090822067202E-007</v>
      </c>
      <c r="AH4" s="34" t="n">
        <f aca="false">AG4*(1-MIN(1,Cartera!$F$5*(1+Cartera!$G$5)^(31-1)))</f>
        <v>0</v>
      </c>
      <c r="AI4" s="34" t="n">
        <f aca="false">AH4*(1-MIN(1,Cartera!$F$5*(1+Cartera!$G$5)^(32-1)))</f>
        <v>0</v>
      </c>
      <c r="AJ4" s="34" t="n">
        <f aca="false">AI4*(1-MIN(1,Cartera!$F$5*(1+Cartera!$G$5)^(33-1)))</f>
        <v>0</v>
      </c>
      <c r="AK4" s="34" t="n">
        <f aca="false">AJ4*(1-MIN(1,Cartera!$F$5*(1+Cartera!$G$5)^(34-1)))</f>
        <v>0</v>
      </c>
      <c r="AL4" s="34" t="n">
        <f aca="false">AK4*(1-MIN(1,Cartera!$F$5*(1+Cartera!$G$5)^(35-1)))</f>
        <v>0</v>
      </c>
      <c r="AM4" s="34" t="n">
        <f aca="false">AL4*(1-MIN(1,Cartera!$F$5*(1+Cartera!$G$5)^(36-1)))</f>
        <v>0</v>
      </c>
      <c r="AN4" s="34" t="n">
        <f aca="false">AM4*(1-MIN(1,Cartera!$F$5*(1+Cartera!$G$5)^(37-1)))</f>
        <v>0</v>
      </c>
      <c r="AO4" s="34" t="n">
        <f aca="false">AN4*(1-MIN(1,Cartera!$F$5*(1+Cartera!$G$5)^(38-1)))</f>
        <v>0</v>
      </c>
      <c r="AP4" s="34" t="n">
        <f aca="false">AO4*(1-MIN(1,Cartera!$F$5*(1+Cartera!$G$5)^(39-1)))</f>
        <v>0</v>
      </c>
      <c r="AQ4" s="34" t="n">
        <f aca="false">AP4*(1-MIN(1,Cartera!$F$5*(1+Cartera!$G$5)^(40-1)))</f>
        <v>0</v>
      </c>
    </row>
    <row r="5" customFormat="false" ht="15" hidden="false" customHeight="false" outlineLevel="0" collapsed="false">
      <c r="A5" s="32" t="str">
        <f aca="false">Cartera!A6</f>
        <v>C2</v>
      </c>
      <c r="C5" s="33" t="n">
        <f aca="false">SUM(D5:AQ5)+0.5</f>
        <v>7.93978144719023</v>
      </c>
      <c r="D5" s="34" t="n">
        <f aca="false">1-MIN(1,Cartera!$F$6*(1+Cartera!$G$6)^(1-1))</f>
        <v>0.935</v>
      </c>
      <c r="E5" s="34" t="n">
        <f aca="false">D5*(1-MIN(1,Cartera!$F$6*(1+Cartera!$G$6)^(2-1)))</f>
        <v>0.8681475</v>
      </c>
      <c r="F5" s="34" t="n">
        <f aca="false">E5*(1-MIN(1,Cartera!$F$6*(1+Cartera!$G$6)^(3-1)))</f>
        <v>0.799867699125</v>
      </c>
      <c r="G5" s="34" t="n">
        <f aca="false">F5*(1-MIN(1,Cartera!$F$6*(1+Cartera!$G$6)^(4-1)))</f>
        <v>0.730667145135201</v>
      </c>
      <c r="H5" s="34" t="n">
        <f aca="false">G5*(1-MIN(1,Cartera!$F$6*(1+Cartera!$G$6)^(5-1)))</f>
        <v>0.661132110267692</v>
      </c>
      <c r="I5" s="34" t="n">
        <f aca="false">H5*(1-MIN(1,Cartera!$F$6*(1+Cartera!$G$6)^(6-1)))</f>
        <v>0.591922718398722</v>
      </c>
      <c r="J5" s="34" t="n">
        <f aca="false">I5*(1-MIN(1,Cartera!$F$6*(1+Cartera!$G$6)^(7-1)))</f>
        <v>0.523761950208327</v>
      </c>
      <c r="K5" s="34" t="n">
        <f aca="false">J5*(1-MIN(1,Cartera!$F$6*(1+Cartera!$G$6)^(8-1)))</f>
        <v>0.457418798742806</v>
      </c>
      <c r="L5" s="34" t="n">
        <f aca="false">K5*(1-MIN(1,Cartera!$F$6*(1+Cartera!$G$6)^(9-1)))</f>
        <v>0.393685140542339</v>
      </c>
      <c r="M5" s="34" t="n">
        <f aca="false">L5*(1-MIN(1,Cartera!$F$6*(1+Cartera!$G$6)^(10-1)))</f>
        <v>0.333346357614356</v>
      </c>
      <c r="N5" s="34" t="n">
        <f aca="false">M5*(1-MIN(1,Cartera!$F$6*(1+Cartera!$G$6)^(11-1)))</f>
        <v>0.277146408506194</v>
      </c>
      <c r="O5" s="34" t="n">
        <f aca="false">N5*(1-MIN(1,Cartera!$F$6*(1+Cartera!$G$6)^(12-1)))</f>
        <v>0.225748890376612</v>
      </c>
      <c r="P5" s="34" t="n">
        <f aca="false">O5*(1-MIN(1,Cartera!$F$6*(1+Cartera!$G$6)^(13-1)))</f>
        <v>0.179696603344482</v>
      </c>
      <c r="Q5" s="34" t="n">
        <f aca="false">P5*(1-MIN(1,Cartera!$F$6*(1+Cartera!$G$6)^(14-1)))</f>
        <v>0.139373111626208</v>
      </c>
      <c r="R5" s="34" t="n">
        <f aca="false">Q5*(1-MIN(1,Cartera!$F$6*(1+Cartera!$G$6)^(15-1)))</f>
        <v>0.104970616261288</v>
      </c>
      <c r="S5" s="34" t="n">
        <f aca="false">R5*(1-MIN(1,Cartera!$F$6*(1+Cartera!$G$6)^(16-1)))</f>
        <v>0.0764688758109943</v>
      </c>
      <c r="T5" s="34" t="n">
        <f aca="false">S5*(1-MIN(1,Cartera!$F$6*(1+Cartera!$G$6)^(17-1)))</f>
        <v>0.0536296685988337</v>
      </c>
      <c r="U5" s="34" t="n">
        <f aca="false">T5*(1-MIN(1,Cartera!$F$6*(1+Cartera!$G$6)^(18-1)))</f>
        <v>0.0360101467875901</v>
      </c>
      <c r="V5" s="34" t="n">
        <f aca="false">U5*(1-MIN(1,Cartera!$F$6*(1+Cartera!$G$6)^(19-1)))</f>
        <v>0.0229962732795184</v>
      </c>
      <c r="W5" s="34" t="n">
        <f aca="false">V5*(1-MIN(1,Cartera!$F$6*(1+Cartera!$G$6)^(20-1)))</f>
        <v>0.013854470755908</v>
      </c>
      <c r="X5" s="34" t="n">
        <f aca="false">W5*(1-MIN(1,Cartera!$F$6*(1+Cartera!$G$6)^(21-1)))</f>
        <v>0.00779608392086821</v>
      </c>
      <c r="Y5" s="34" t="n">
        <f aca="false">X5*(1-MIN(1,Cartera!$F$6*(1+Cartera!$G$6)^(22-1)))</f>
        <v>0.0040460408968138</v>
      </c>
      <c r="Z5" s="34" t="n">
        <f aca="false">Y5*(1-MIN(1,Cartera!$F$6*(1+Cartera!$G$6)^(23-1)))</f>
        <v>0.00190520835145425</v>
      </c>
      <c r="AA5" s="34" t="n">
        <f aca="false">Z5*(1-MIN(1,Cartera!$F$6*(1+Cartera!$G$6)^(24-1)))</f>
        <v>0.000796320586017765</v>
      </c>
      <c r="AB5" s="34" t="n">
        <f aca="false">AA5*(1-MIN(1,Cartera!$F$6*(1+Cartera!$G$6)^(25-1)))</f>
        <v>0.00028649016774413</v>
      </c>
      <c r="AC5" s="34" t="n">
        <f aca="false">AB5*(1-MIN(1,Cartera!$F$6*(1+Cartera!$G$6)^(26-1)))</f>
        <v>8.47277807374518E-005</v>
      </c>
      <c r="AD5" s="34" t="n">
        <f aca="false">AC5*(1-MIN(1,Cartera!$F$6*(1+Cartera!$G$6)^(27-1)))</f>
        <v>1.90907385863301E-005</v>
      </c>
      <c r="AE5" s="34" t="n">
        <f aca="false">AD5*(1-MIN(1,Cartera!$F$6*(1+Cartera!$G$6)^(28-1)))</f>
        <v>2.82257290774504E-006</v>
      </c>
      <c r="AF5" s="34" t="n">
        <f aca="false">AE5*(1-MIN(1,Cartera!$F$6*(1+Cartera!$G$6)^(29-1)))</f>
        <v>1.76793026313022E-007</v>
      </c>
      <c r="AG5" s="34" t="n">
        <f aca="false">AF5*(1-MIN(1,Cartera!$F$6*(1+Cartera!$G$6)^(30-1)))</f>
        <v>0</v>
      </c>
      <c r="AH5" s="34" t="n">
        <f aca="false">AG5*(1-MIN(1,Cartera!$F$6*(1+Cartera!$G$6)^(31-1)))</f>
        <v>0</v>
      </c>
      <c r="AI5" s="34" t="n">
        <f aca="false">AH5*(1-MIN(1,Cartera!$F$6*(1+Cartera!$G$6)^(32-1)))</f>
        <v>0</v>
      </c>
      <c r="AJ5" s="34" t="n">
        <f aca="false">AI5*(1-MIN(1,Cartera!$F$6*(1+Cartera!$G$6)^(33-1)))</f>
        <v>0</v>
      </c>
      <c r="AK5" s="34" t="n">
        <f aca="false">AJ5*(1-MIN(1,Cartera!$F$6*(1+Cartera!$G$6)^(34-1)))</f>
        <v>0</v>
      </c>
      <c r="AL5" s="34" t="n">
        <f aca="false">AK5*(1-MIN(1,Cartera!$F$6*(1+Cartera!$G$6)^(35-1)))</f>
        <v>0</v>
      </c>
      <c r="AM5" s="34" t="n">
        <f aca="false">AL5*(1-MIN(1,Cartera!$F$6*(1+Cartera!$G$6)^(36-1)))</f>
        <v>0</v>
      </c>
      <c r="AN5" s="34" t="n">
        <f aca="false">AM5*(1-MIN(1,Cartera!$F$6*(1+Cartera!$G$6)^(37-1)))</f>
        <v>0</v>
      </c>
      <c r="AO5" s="34" t="n">
        <f aca="false">AN5*(1-MIN(1,Cartera!$F$6*(1+Cartera!$G$6)^(38-1)))</f>
        <v>0</v>
      </c>
      <c r="AP5" s="34" t="n">
        <f aca="false">AO5*(1-MIN(1,Cartera!$F$6*(1+Cartera!$G$6)^(39-1)))</f>
        <v>0</v>
      </c>
      <c r="AQ5" s="34" t="n">
        <f aca="false">AP5*(1-MIN(1,Cartera!$F$6*(1+Cartera!$G$6)^(40-1)))</f>
        <v>0</v>
      </c>
    </row>
    <row r="6" customFormat="false" ht="15" hidden="false" customHeight="false" outlineLevel="0" collapsed="false">
      <c r="A6" s="32" t="str">
        <f aca="false">Cartera!A7</f>
        <v>C3</v>
      </c>
      <c r="C6" s="33" t="n">
        <f aca="false">SUM(D6:AQ6)+0.5</f>
        <v>6.31518246981967</v>
      </c>
      <c r="D6" s="34" t="n">
        <f aca="false">1-MIN(1,Cartera!$F$7*(1+Cartera!$G$7)^(1-1))</f>
        <v>0.905</v>
      </c>
      <c r="E6" s="34" t="n">
        <f aca="false">D6*(1-MIN(1,Cartera!$F$7*(1+Cartera!$G$7)^(2-1)))</f>
        <v>0.81128725</v>
      </c>
      <c r="F6" s="34" t="n">
        <f aca="false">E6*(1-MIN(1,Cartera!$F$7*(1+Cartera!$G$7)^(3-1)))</f>
        <v>0.719717663736125</v>
      </c>
      <c r="G6" s="34" t="n">
        <f aca="false">F6*(1-MIN(1,Cartera!$F$7*(1+Cartera!$G$7)^(4-1)))</f>
        <v>0.631172415332825</v>
      </c>
      <c r="H6" s="34" t="n">
        <f aca="false">G6*(1-MIN(1,Cartera!$F$7*(1+Cartera!$G$7)^(5-1)))</f>
        <v>0.54653203478163</v>
      </c>
      <c r="I6" s="34" t="n">
        <f aca="false">H6*(1-MIN(1,Cartera!$F$7*(1+Cartera!$G$7)^(6-1)))</f>
        <v>0.466645843102281</v>
      </c>
      <c r="J6" s="34" t="n">
        <f aca="false">I6*(1-MIN(1,Cartera!$F$7*(1+Cartera!$G$7)^(7-1)))</f>
        <v>0.3922977225592</v>
      </c>
      <c r="K6" s="34" t="n">
        <f aca="false">J6*(1-MIN(1,Cartera!$F$7*(1+Cartera!$G$7)^(8-1)))</f>
        <v>0.324169842093876</v>
      </c>
      <c r="L6" s="34" t="n">
        <f aca="false">K6*(1-MIN(1,Cartera!$F$7*(1+Cartera!$G$7)^(9-1)))</f>
        <v>0.262806613986584</v>
      </c>
      <c r="M6" s="34" t="n">
        <f aca="false">L6*(1-MIN(1,Cartera!$F$7*(1+Cartera!$G$7)^(10-1)))</f>
        <v>0.208581761709091</v>
      </c>
      <c r="N6" s="34" t="n">
        <f aca="false">M6*(1-MIN(1,Cartera!$F$7*(1+Cartera!$G$7)^(11-1)))</f>
        <v>0.161671817553101</v>
      </c>
      <c r="O6" s="34" t="n">
        <f aca="false">N6*(1-MIN(1,Cartera!$F$7*(1+Cartera!$G$7)^(12-1)))</f>
        <v>0.122039505987365</v>
      </c>
      <c r="P6" s="34" t="n">
        <f aca="false">O6*(1-MIN(1,Cartera!$F$7*(1+Cartera!$G$7)^(13-1)))</f>
        <v>0.0894301650420651</v>
      </c>
      <c r="Q6" s="34" t="n">
        <f aca="false">P6*(1-MIN(1,Cartera!$F$7*(1+Cartera!$G$7)^(14-1)))</f>
        <v>0.0633835008592481</v>
      </c>
      <c r="R6" s="34" t="n">
        <f aca="false">Q6*(1-MIN(1,Cartera!$F$7*(1+Cartera!$G$7)^(15-1)))</f>
        <v>0.0432615168585389</v>
      </c>
      <c r="S6" s="34" t="n">
        <f aca="false">R6*(1-MIN(1,Cartera!$F$7*(1+Cartera!$G$7)^(16-1)))</f>
        <v>0.028291481806552</v>
      </c>
      <c r="T6" s="34" t="n">
        <f aca="false">S6*(1-MIN(1,Cartera!$F$7*(1+Cartera!$G$7)^(17-1)))</f>
        <v>0.0176205273295104</v>
      </c>
      <c r="U6" s="34" t="n">
        <f aca="false">T6*(1-MIN(1,Cartera!$F$7*(1+Cartera!$G$7)^(18-1)))</f>
        <v>0.0103762849654808</v>
      </c>
      <c r="V6" s="34" t="n">
        <f aca="false">U6*(1-MIN(1,Cartera!$F$7*(1+Cartera!$G$7)^(19-1)))</f>
        <v>0.00572639732718667</v>
      </c>
      <c r="W6" s="34" t="n">
        <f aca="false">V6*(1-MIN(1,Cartera!$F$7*(1+Cartera!$G$7)^(20-1)))</f>
        <v>0.0029292937768189</v>
      </c>
      <c r="X6" s="34" t="n">
        <f aca="false">W6*(1-MIN(1,Cartera!$F$7*(1+Cartera!$G$7)^(21-1)))</f>
        <v>0.00136968204626387</v>
      </c>
      <c r="Y6" s="34" t="n">
        <f aca="false">X6*(1-MIN(1,Cartera!$F$7*(1+Cartera!$G$7)^(22-1)))</f>
        <v>0.000574805239542259</v>
      </c>
      <c r="Z6" s="34" t="n">
        <f aca="false">Y6*(1-MIN(1,Cartera!$F$7*(1+Cartera!$G$7)^(23-1)))</f>
        <v>0.000211202389925338</v>
      </c>
      <c r="AA6" s="34" t="n">
        <f aca="false">Z6*(1-MIN(1,Cartera!$F$7*(1+Cartera!$G$7)^(24-1)))</f>
        <v>6.55787486664953E-005</v>
      </c>
      <c r="AB6" s="34" t="n">
        <f aca="false">AA6*(1-MIN(1,Cartera!$F$7*(1+Cartera!$G$7)^(25-1)))</f>
        <v>1.62928498232363E-005</v>
      </c>
      <c r="AC6" s="34" t="n">
        <f aca="false">AB6*(1-MIN(1,Cartera!$F$7*(1+Cartera!$G$7)^(26-1)))</f>
        <v>2.94586679294406E-006</v>
      </c>
      <c r="AD6" s="34" t="n">
        <f aca="false">AC6*(1-MIN(1,Cartera!$F$7*(1+Cartera!$G$7)^(27-1)))</f>
        <v>3.15443409163291E-007</v>
      </c>
      <c r="AE6" s="34" t="n">
        <f aca="false">AD6*(1-MIN(1,Cartera!$F$7*(1+Cartera!$G$7)^(28-1)))</f>
        <v>8.42776383134056E-009</v>
      </c>
      <c r="AF6" s="34" t="n">
        <f aca="false">AE6*(1-MIN(1,Cartera!$F$7*(1+Cartera!$G$7)^(29-1)))</f>
        <v>0</v>
      </c>
      <c r="AG6" s="34" t="n">
        <f aca="false">AF6*(1-MIN(1,Cartera!$F$7*(1+Cartera!$G$7)^(30-1)))</f>
        <v>0</v>
      </c>
      <c r="AH6" s="34" t="n">
        <f aca="false">AG6*(1-MIN(1,Cartera!$F$7*(1+Cartera!$G$7)^(31-1)))</f>
        <v>0</v>
      </c>
      <c r="AI6" s="34" t="n">
        <f aca="false">AH6*(1-MIN(1,Cartera!$F$7*(1+Cartera!$G$7)^(32-1)))</f>
        <v>0</v>
      </c>
      <c r="AJ6" s="34" t="n">
        <f aca="false">AI6*(1-MIN(1,Cartera!$F$7*(1+Cartera!$G$7)^(33-1)))</f>
        <v>0</v>
      </c>
      <c r="AK6" s="34" t="n">
        <f aca="false">AJ6*(1-MIN(1,Cartera!$F$7*(1+Cartera!$G$7)^(34-1)))</f>
        <v>0</v>
      </c>
      <c r="AL6" s="34" t="n">
        <f aca="false">AK6*(1-MIN(1,Cartera!$F$7*(1+Cartera!$G$7)^(35-1)))</f>
        <v>0</v>
      </c>
      <c r="AM6" s="34" t="n">
        <f aca="false">AL6*(1-MIN(1,Cartera!$F$7*(1+Cartera!$G$7)^(36-1)))</f>
        <v>0</v>
      </c>
      <c r="AN6" s="34" t="n">
        <f aca="false">AM6*(1-MIN(1,Cartera!$F$7*(1+Cartera!$G$7)^(37-1)))</f>
        <v>0</v>
      </c>
      <c r="AO6" s="34" t="n">
        <f aca="false">AN6*(1-MIN(1,Cartera!$F$7*(1+Cartera!$G$7)^(38-1)))</f>
        <v>0</v>
      </c>
      <c r="AP6" s="34" t="n">
        <f aca="false">AO6*(1-MIN(1,Cartera!$F$7*(1+Cartera!$G$7)^(39-1)))</f>
        <v>0</v>
      </c>
      <c r="AQ6" s="34" t="n">
        <f aca="false">AP6*(1-MIN(1,Cartera!$F$7*(1+Cartera!$G$7)^(40-1)))</f>
        <v>0</v>
      </c>
    </row>
    <row r="7" customFormat="false" ht="15" hidden="false" customHeight="false" outlineLevel="0" collapsed="false">
      <c r="A7" s="32" t="str">
        <f aca="false">Cartera!A8</f>
        <v>C4</v>
      </c>
      <c r="C7" s="33" t="n">
        <f aca="false">SUM(D7:AQ7)+0.5</f>
        <v>4.81402403267089</v>
      </c>
      <c r="D7" s="34" t="n">
        <f aca="false">1-MIN(1,Cartera!$F$8*(1+Cartera!$G$8)^(1-1))</f>
        <v>0.86</v>
      </c>
      <c r="E7" s="34" t="n">
        <f aca="false">D7*(1-MIN(1,Cartera!$F$8*(1+Cartera!$G$8)^(2-1)))</f>
        <v>0.729968</v>
      </c>
      <c r="F7" s="34" t="n">
        <f aca="false">E7*(1-MIN(1,Cartera!$F$8*(1+Cartera!$G$8)^(3-1)))</f>
        <v>0.610767145472</v>
      </c>
      <c r="G7" s="34" t="n">
        <f aca="false">F7*(1-MIN(1,Cartera!$F$8*(1+Cartera!$G$8)^(4-1)))</f>
        <v>0.503052447142045</v>
      </c>
      <c r="H7" s="34" t="n">
        <f aca="false">G7*(1-MIN(1,Cartera!$F$8*(1+Cartera!$G$8)^(5-1)))</f>
        <v>0.407236825052762</v>
      </c>
      <c r="I7" s="34" t="n">
        <f aca="false">H7*(1-MIN(1,Cartera!$F$8*(1+Cartera!$G$8)^(6-1)))</f>
        <v>0.323465794918794</v>
      </c>
      <c r="J7" s="34" t="n">
        <f aca="false">I7*(1-MIN(1,Cartera!$F$8*(1+Cartera!$G$8)^(7-1)))</f>
        <v>0.251603855915771</v>
      </c>
      <c r="K7" s="34" t="n">
        <f aca="false">J7*(1-MIN(1,Cartera!$F$8*(1+Cartera!$G$8)^(8-1)))</f>
        <v>0.191235184701598</v>
      </c>
      <c r="L7" s="34" t="n">
        <f aca="false">K7*(1-MIN(1,Cartera!$F$8*(1+Cartera!$G$8)^(9-1)))</f>
        <v>0.141680367412974</v>
      </c>
      <c r="M7" s="34" t="n">
        <f aca="false">L7*(1-MIN(1,Cartera!$F$8*(1+Cartera!$G$8)^(10-1)))</f>
        <v>0.102029608009</v>
      </c>
      <c r="N7" s="34" t="n">
        <f aca="false">M7*(1-MIN(1,Cartera!$F$8*(1+Cartera!$G$8)^(11-1)))</f>
        <v>0.0711912100420393</v>
      </c>
      <c r="O7" s="34" t="n">
        <f aca="false">N7*(1-MIN(1,Cartera!$F$8*(1+Cartera!$G$8)^(12-1)))</f>
        <v>0.0479523018206259</v>
      </c>
      <c r="P7" s="34" t="n">
        <f aca="false">O7*(1-MIN(1,Cartera!$F$8*(1+Cartera!$G$8)^(13-1)))</f>
        <v>0.031047014333792</v>
      </c>
      <c r="Q7" s="34" t="n">
        <f aca="false">P7*(1-MIN(1,Cartera!$F$8*(1+Cartera!$G$8)^(14-1)))</f>
        <v>0.019225946780567</v>
      </c>
      <c r="R7" s="34" t="n">
        <f aca="false">Q7*(1-MIN(1,Cartera!$F$8*(1+Cartera!$G$8)^(15-1)))</f>
        <v>0.0113201008179792</v>
      </c>
      <c r="S7" s="34" t="n">
        <f aca="false">R7*(1-MIN(1,Cartera!$F$8*(1+Cartera!$G$8)^(16-1)))</f>
        <v>0.00629280243216263</v>
      </c>
      <c r="T7" s="34" t="n">
        <f aca="false">S7*(1-MIN(1,Cartera!$F$8*(1+Cartera!$G$8)^(17-1)))</f>
        <v>0.00327457320438345</v>
      </c>
      <c r="U7" s="34" t="n">
        <f aca="false">T7*(1-MIN(1,Cartera!$F$8*(1+Cartera!$G$8)^(18-1)))</f>
        <v>0.00157833600746542</v>
      </c>
      <c r="V7" s="34" t="n">
        <f aca="false">U7*(1-MIN(1,Cartera!$F$8*(1+Cartera!$G$8)^(19-1)))</f>
        <v>0.00069534740277177</v>
      </c>
      <c r="W7" s="34" t="n">
        <f aca="false">V7*(1-MIN(1,Cartera!$F$8*(1+Cartera!$G$8)^(20-1)))</f>
        <v>0.000275219789608011</v>
      </c>
      <c r="X7" s="34" t="n">
        <f aca="false">W7*(1-MIN(1,Cartera!$F$8*(1+Cartera!$G$8)^(21-1)))</f>
        <v>9.56295193777081E-005</v>
      </c>
      <c r="Y7" s="34" t="n">
        <f aca="false">X7*(1-MIN(1,Cartera!$F$8*(1+Cartera!$G$8)^(22-1)))</f>
        <v>2.82358855419397E-005</v>
      </c>
      <c r="Z7" s="34" t="n">
        <f aca="false">Y7*(1-MIN(1,Cartera!$F$8*(1+Cartera!$G$8)^(23-1)))</f>
        <v>6.74511094519325E-006</v>
      </c>
      <c r="AA7" s="34" t="n">
        <f aca="false">Z7*(1-MIN(1,Cartera!$F$8*(1+Cartera!$G$8)^(24-1)))</f>
        <v>1.20059662716643E-006</v>
      </c>
      <c r="AB7" s="34" t="n">
        <f aca="false">AA7*(1-MIN(1,Cartera!$F$8*(1+Cartera!$G$8)^(25-1)))</f>
        <v>1.34748598412779E-007</v>
      </c>
      <c r="AC7" s="34" t="n">
        <f aca="false">AB7*(1-MIN(1,Cartera!$F$8*(1+Cartera!$G$8)^(26-1)))</f>
        <v>5.55345765904593E-009</v>
      </c>
      <c r="AD7" s="34" t="n">
        <f aca="false">AC7*(1-MIN(1,Cartera!$F$8*(1+Cartera!$G$8)^(27-1)))</f>
        <v>0</v>
      </c>
      <c r="AE7" s="34" t="n">
        <f aca="false">AD7*(1-MIN(1,Cartera!$F$8*(1+Cartera!$G$8)^(28-1)))</f>
        <v>0</v>
      </c>
      <c r="AF7" s="34" t="n">
        <f aca="false">AE7*(1-MIN(1,Cartera!$F$8*(1+Cartera!$G$8)^(29-1)))</f>
        <v>0</v>
      </c>
      <c r="AG7" s="34" t="n">
        <f aca="false">AF7*(1-MIN(1,Cartera!$F$8*(1+Cartera!$G$8)^(30-1)))</f>
        <v>0</v>
      </c>
      <c r="AH7" s="34" t="n">
        <f aca="false">AG7*(1-MIN(1,Cartera!$F$8*(1+Cartera!$G$8)^(31-1)))</f>
        <v>0</v>
      </c>
      <c r="AI7" s="34" t="n">
        <f aca="false">AH7*(1-MIN(1,Cartera!$F$8*(1+Cartera!$G$8)^(32-1)))</f>
        <v>0</v>
      </c>
      <c r="AJ7" s="34" t="n">
        <f aca="false">AI7*(1-MIN(1,Cartera!$F$8*(1+Cartera!$G$8)^(33-1)))</f>
        <v>0</v>
      </c>
      <c r="AK7" s="34" t="n">
        <f aca="false">AJ7*(1-MIN(1,Cartera!$F$8*(1+Cartera!$G$8)^(34-1)))</f>
        <v>0</v>
      </c>
      <c r="AL7" s="34" t="n">
        <f aca="false">AK7*(1-MIN(1,Cartera!$F$8*(1+Cartera!$G$8)^(35-1)))</f>
        <v>0</v>
      </c>
      <c r="AM7" s="34" t="n">
        <f aca="false">AL7*(1-MIN(1,Cartera!$F$8*(1+Cartera!$G$8)^(36-1)))</f>
        <v>0</v>
      </c>
      <c r="AN7" s="34" t="n">
        <f aca="false">AM7*(1-MIN(1,Cartera!$F$8*(1+Cartera!$G$8)^(37-1)))</f>
        <v>0</v>
      </c>
      <c r="AO7" s="34" t="n">
        <f aca="false">AN7*(1-MIN(1,Cartera!$F$8*(1+Cartera!$G$8)^(38-1)))</f>
        <v>0</v>
      </c>
      <c r="AP7" s="34" t="n">
        <f aca="false">AO7*(1-MIN(1,Cartera!$F$8*(1+Cartera!$G$8)^(39-1)))</f>
        <v>0</v>
      </c>
      <c r="AQ7" s="34" t="n">
        <f aca="false">AP7*(1-MIN(1,Cartera!$F$8*(1+Cartera!$G$8)^(40-1)))</f>
        <v>0</v>
      </c>
    </row>
    <row r="8" customFormat="false" ht="15" hidden="false" customHeight="false" outlineLevel="0" collapsed="false">
      <c r="A8" s="32" t="str">
        <f aca="false">Cartera!A9</f>
        <v>C5</v>
      </c>
      <c r="C8" s="33" t="n">
        <f aca="false">SUM(D8:AQ8)+0.5</f>
        <v>8.72591297424296</v>
      </c>
      <c r="D8" s="34" t="n">
        <f aca="false">1-MIN(1,Cartera!$F$9*(1+Cartera!$G$9)^(1-1))</f>
        <v>0.95</v>
      </c>
      <c r="E8" s="34" t="n">
        <f aca="false">D8*(1-MIN(1,Cartera!$F$9*(1+Cartera!$G$9)^(2-1)))</f>
        <v>0.8968</v>
      </c>
      <c r="F8" s="34" t="n">
        <f aca="false">E8*(1-MIN(1,Cartera!$F$9*(1+Cartera!$G$9)^(3-1)))</f>
        <v>0.840552704</v>
      </c>
      <c r="G8" s="34" t="n">
        <f aca="false">F8*(1-MIN(1,Cartera!$F$9*(1+Cartera!$G$9)^(4-1)))</f>
        <v>0.781506902533734</v>
      </c>
      <c r="H8" s="34" t="n">
        <f aca="false">G8*(1-MIN(1,Cartera!$F$9*(1+Cartera!$G$9)^(5-1)))</f>
        <v>0.720021090478211</v>
      </c>
      <c r="I8" s="34" t="n">
        <f aca="false">H8*(1-MIN(1,Cartera!$F$9*(1+Cartera!$G$9)^(6-1)))</f>
        <v>0.656574931451568</v>
      </c>
      <c r="J8" s="34" t="n">
        <f aca="false">I8*(1-MIN(1,Cartera!$F$9*(1+Cartera!$G$9)^(7-1)))</f>
        <v>0.591776806740456</v>
      </c>
      <c r="K8" s="34" t="n">
        <f aca="false">J8*(1-MIN(1,Cartera!$F$9*(1+Cartera!$G$9)^(8-1)))</f>
        <v>0.526365307540692</v>
      </c>
      <c r="L8" s="34" t="n">
        <f aca="false">K8*(1-MIN(1,Cartera!$F$9*(1+Cartera!$G$9)^(9-1)))</f>
        <v>0.4612022516032</v>
      </c>
      <c r="M8" s="34" t="n">
        <f aca="false">L8*(1-MIN(1,Cartera!$F$9*(1+Cartera!$G$9)^(10-1)))</f>
        <v>0.397254743262748</v>
      </c>
      <c r="N8" s="34" t="n">
        <f aca="false">M8*(1-MIN(1,Cartera!$F$9*(1+Cartera!$G$9)^(11-1)))</f>
        <v>0.335564096631806</v>
      </c>
      <c r="O8" s="34" t="n">
        <f aca="false">N8*(1-MIN(1,Cartera!$F$9*(1+Cartera!$G$9)^(12-1)))</f>
        <v>0.277200272326528</v>
      </c>
      <c r="P8" s="34" t="n">
        <f aca="false">O8*(1-MIN(1,Cartera!$F$9*(1+Cartera!$G$9)^(13-1)))</f>
        <v>0.223201992020946</v>
      </c>
      <c r="Q8" s="34" t="n">
        <f aca="false">P8*(1-MIN(1,Cartera!$F$9*(1+Cartera!$G$9)^(14-1)))</f>
        <v>0.174504974286419</v>
      </c>
      <c r="R8" s="34" t="n">
        <f aca="false">Q8*(1-MIN(1,Cartera!$F$9*(1+Cartera!$G$9)^(15-1)))</f>
        <v>0.131863704104536</v>
      </c>
      <c r="S8" s="34" t="n">
        <f aca="false">R8*(1-MIN(1,Cartera!$F$9*(1+Cartera!$G$9)^(16-1)))</f>
        <v>0.0957754713207666</v>
      </c>
      <c r="T8" s="34" t="n">
        <f aca="false">S8*(1-MIN(1,Cartera!$F$9*(1+Cartera!$G$9)^(17-1)))</f>
        <v>0.0664184042584756</v>
      </c>
      <c r="U8" s="34" t="n">
        <f aca="false">T8*(1-MIN(1,Cartera!$F$9*(1+Cartera!$G$9)^(18-1)))</f>
        <v>0.0436168302893869</v>
      </c>
      <c r="V8" s="34" t="n">
        <f aca="false">U8*(1-MIN(1,Cartera!$F$9*(1+Cartera!$G$9)^(19-1)))</f>
        <v>0.0268462336387548</v>
      </c>
      <c r="W8" s="34" t="n">
        <f aca="false">V8*(1-MIN(1,Cartera!$F$9*(1+Cartera!$G$9)^(20-1)))</f>
        <v>0.0152852230079527</v>
      </c>
      <c r="X8" s="34" t="n">
        <f aca="false">W8*(1-MIN(1,Cartera!$F$9*(1+Cartera!$G$9)^(21-1)))</f>
        <v>0.00791293595141364</v>
      </c>
      <c r="Y8" s="34" t="n">
        <f aca="false">X8*(1-MIN(1,Cartera!$F$9*(1+Cartera!$G$9)^(22-1)))</f>
        <v>0.00363842798413733</v>
      </c>
      <c r="Z8" s="34" t="n">
        <f aca="false">Y8*(1-MIN(1,Cartera!$F$9*(1+Cartera!$G$9)^(23-1)))</f>
        <v>0.00143712264787576</v>
      </c>
      <c r="AA8" s="34" t="n">
        <f aca="false">Z8*(1-MIN(1,Cartera!$F$9*(1+Cartera!$G$9)^(24-1)))</f>
        <v>0.000463303388702735</v>
      </c>
      <c r="AB8" s="34" t="n">
        <f aca="false">AA8*(1-MIN(1,Cartera!$F$9*(1+Cartera!$G$9)^(25-1)))</f>
        <v>0.000111687877641917</v>
      </c>
      <c r="AC8" s="34" t="n">
        <f aca="false">AB8*(1-MIN(1,Cartera!$F$9*(1+Cartera!$G$9)^(26-1)))</f>
        <v>1.6752821974226E-005</v>
      </c>
      <c r="AD8" s="34" t="n">
        <f aca="false">AC8*(1-MIN(1,Cartera!$F$9*(1+Cartera!$G$9)^(27-1)))</f>
        <v>8.04075031153754E-007</v>
      </c>
      <c r="AE8" s="34" t="n">
        <f aca="false">AD8*(1-MIN(1,Cartera!$F$9*(1+Cartera!$G$9)^(28-1)))</f>
        <v>0</v>
      </c>
      <c r="AF8" s="34" t="n">
        <f aca="false">AE8*(1-MIN(1,Cartera!$F$9*(1+Cartera!$G$9)^(29-1)))</f>
        <v>0</v>
      </c>
      <c r="AG8" s="34" t="n">
        <f aca="false">AF8*(1-MIN(1,Cartera!$F$9*(1+Cartera!$G$9)^(30-1)))</f>
        <v>0</v>
      </c>
      <c r="AH8" s="34" t="n">
        <f aca="false">AG8*(1-MIN(1,Cartera!$F$9*(1+Cartera!$G$9)^(31-1)))</f>
        <v>0</v>
      </c>
      <c r="AI8" s="34" t="n">
        <f aca="false">AH8*(1-MIN(1,Cartera!$F$9*(1+Cartera!$G$9)^(32-1)))</f>
        <v>0</v>
      </c>
      <c r="AJ8" s="34" t="n">
        <f aca="false">AI8*(1-MIN(1,Cartera!$F$9*(1+Cartera!$G$9)^(33-1)))</f>
        <v>0</v>
      </c>
      <c r="AK8" s="34" t="n">
        <f aca="false">AJ8*(1-MIN(1,Cartera!$F$9*(1+Cartera!$G$9)^(34-1)))</f>
        <v>0</v>
      </c>
      <c r="AL8" s="34" t="n">
        <f aca="false">AK8*(1-MIN(1,Cartera!$F$9*(1+Cartera!$G$9)^(35-1)))</f>
        <v>0</v>
      </c>
      <c r="AM8" s="34" t="n">
        <f aca="false">AL8*(1-MIN(1,Cartera!$F$9*(1+Cartera!$G$9)^(36-1)))</f>
        <v>0</v>
      </c>
      <c r="AN8" s="34" t="n">
        <f aca="false">AM8*(1-MIN(1,Cartera!$F$9*(1+Cartera!$G$9)^(37-1)))</f>
        <v>0</v>
      </c>
      <c r="AO8" s="34" t="n">
        <f aca="false">AN8*(1-MIN(1,Cartera!$F$9*(1+Cartera!$G$9)^(38-1)))</f>
        <v>0</v>
      </c>
      <c r="AP8" s="34" t="n">
        <f aca="false">AO8*(1-MIN(1,Cartera!$F$9*(1+Cartera!$G$9)^(39-1)))</f>
        <v>0</v>
      </c>
      <c r="AQ8" s="34" t="n">
        <f aca="false">AP8*(1-MIN(1,Cartera!$F$9*(1+Cartera!$G$9)^(40-1)))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28" min="4" style="0" width="10"/>
  </cols>
  <sheetData>
    <row r="1" customFormat="false" ht="17.3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3" t="s">
        <v>21</v>
      </c>
      <c r="C2" s="2" t="s">
        <v>32</v>
      </c>
    </row>
    <row r="3" customFormat="false" ht="15" hidden="false" customHeight="false" outlineLevel="0" collapsed="false">
      <c r="A3" s="2" t="s">
        <v>185</v>
      </c>
      <c r="D3" s="35" t="n">
        <v>1</v>
      </c>
      <c r="E3" s="35" t="n">
        <v>2</v>
      </c>
      <c r="F3" s="35" t="n">
        <v>3</v>
      </c>
      <c r="G3" s="35" t="n">
        <v>4</v>
      </c>
      <c r="H3" s="35" t="n">
        <v>5</v>
      </c>
      <c r="I3" s="35" t="n">
        <v>6</v>
      </c>
      <c r="J3" s="35" t="n">
        <v>7</v>
      </c>
      <c r="K3" s="35" t="n">
        <v>8</v>
      </c>
      <c r="L3" s="35" t="n">
        <v>9</v>
      </c>
      <c r="M3" s="35" t="n">
        <v>10</v>
      </c>
      <c r="N3" s="35" t="n">
        <v>11</v>
      </c>
      <c r="O3" s="35" t="n">
        <v>12</v>
      </c>
      <c r="P3" s="35" t="n">
        <v>13</v>
      </c>
      <c r="Q3" s="35" t="n">
        <v>14</v>
      </c>
      <c r="R3" s="35" t="n">
        <v>15</v>
      </c>
      <c r="S3" s="35" t="n">
        <v>16</v>
      </c>
      <c r="T3" s="35" t="n">
        <v>17</v>
      </c>
      <c r="U3" s="35" t="n">
        <v>18</v>
      </c>
      <c r="V3" s="35" t="n">
        <v>19</v>
      </c>
      <c r="W3" s="35" t="n">
        <v>20</v>
      </c>
      <c r="X3" s="35" t="n">
        <v>21</v>
      </c>
      <c r="Y3" s="35" t="n">
        <v>22</v>
      </c>
      <c r="Z3" s="35" t="n">
        <v>23</v>
      </c>
      <c r="AA3" s="35" t="n">
        <v>24</v>
      </c>
      <c r="AB3" s="35" t="n">
        <v>25</v>
      </c>
    </row>
    <row r="5" customFormat="false" ht="15" hidden="false" customHeight="false" outlineLevel="0" collapsed="false">
      <c r="A5" s="3" t="s">
        <v>186</v>
      </c>
      <c r="C5" s="5" t="n">
        <f aca="false">Supuestos!C24</f>
        <v>0.7</v>
      </c>
    </row>
    <row r="6" customFormat="false" ht="15" hidden="false" customHeight="false" outlineLevel="0" collapsed="false">
      <c r="A6" s="3" t="s">
        <v>187</v>
      </c>
      <c r="C6" s="5" t="n">
        <f aca="false">Supuestos!D24</f>
        <v>0.05</v>
      </c>
    </row>
    <row r="7" customFormat="false" ht="15" hidden="false" customHeight="false" outlineLevel="0" collapsed="false">
      <c r="A7" s="3" t="s">
        <v>188</v>
      </c>
      <c r="C7" s="12" t="n">
        <f aca="false">Supuestos!E24</f>
        <v>0.06</v>
      </c>
    </row>
    <row r="8" customFormat="false" ht="15" hidden="false" customHeight="false" outlineLevel="0" collapsed="false">
      <c r="A8" s="3" t="s">
        <v>189</v>
      </c>
      <c r="C8" s="7" t="n">
        <f aca="false">Supuestos!F24</f>
        <v>0.02</v>
      </c>
    </row>
    <row r="9" customFormat="false" ht="15" hidden="false" customHeight="false" outlineLevel="0" collapsed="false">
      <c r="A9" s="3" t="s">
        <v>104</v>
      </c>
      <c r="C9" s="12" t="n">
        <f aca="false">Supuestos!G24</f>
        <v>0.5</v>
      </c>
    </row>
    <row r="10" customFormat="false" ht="15" hidden="false" customHeight="false" outlineLevel="0" collapsed="false">
      <c r="A10" s="2" t="s">
        <v>190</v>
      </c>
      <c r="C10" s="36" t="n">
        <f aca="false">MAX(0,C5-IF(Cartera!C10&lt;Supuestos!C16,C6,0))</f>
        <v>0.7</v>
      </c>
    </row>
    <row r="12" customFormat="false" ht="15" hidden="false" customHeight="false" outlineLevel="0" collapsed="false">
      <c r="A12" s="37" t="str">
        <f aca="false">Cartera!A5&amp;" – "&amp;Cartera!B5</f>
        <v>C1 – Edad 75–79, salud estándar</v>
      </c>
    </row>
    <row r="13" customFormat="false" ht="15" hidden="false" customHeight="false" outlineLevel="0" collapsed="false">
      <c r="B13" s="3" t="s">
        <v>191</v>
      </c>
      <c r="D13" s="34" t="n">
        <f aca="false">MIN(1,Cartera!$F$5*(1+Cartera!$G$5)^(D$3-1)*$C$10)</f>
        <v>0.0315</v>
      </c>
      <c r="E13" s="34" t="n">
        <f aca="false">MIN(1,Cartera!$F$5*(1+Cartera!$G$5)^(E$3-1)*$C$10)</f>
        <v>0.034965</v>
      </c>
      <c r="F13" s="34" t="n">
        <f aca="false">MIN(1,Cartera!$F$5*(1+Cartera!$G$5)^(F$3-1)*$C$10)</f>
        <v>0.03881115</v>
      </c>
      <c r="G13" s="34" t="n">
        <f aca="false">MIN(1,Cartera!$F$5*(1+Cartera!$G$5)^(G$3-1)*$C$10)</f>
        <v>0.0430803765</v>
      </c>
      <c r="H13" s="34" t="n">
        <f aca="false">MIN(1,Cartera!$F$5*(1+Cartera!$G$5)^(H$3-1)*$C$10)</f>
        <v>0.047819217915</v>
      </c>
      <c r="I13" s="34" t="n">
        <f aca="false">MIN(1,Cartera!$F$5*(1+Cartera!$G$5)^(I$3-1)*$C$10)</f>
        <v>0.05307933188565</v>
      </c>
      <c r="J13" s="34" t="n">
        <f aca="false">MIN(1,Cartera!$F$5*(1+Cartera!$G$5)^(J$3-1)*$C$10)</f>
        <v>0.0589180583930715</v>
      </c>
      <c r="K13" s="34" t="n">
        <f aca="false">MIN(1,Cartera!$F$5*(1+Cartera!$G$5)^(K$3-1)*$C$10)</f>
        <v>0.0653990448163094</v>
      </c>
      <c r="L13" s="34" t="n">
        <f aca="false">MIN(1,Cartera!$F$5*(1+Cartera!$G$5)^(L$3-1)*$C$10)</f>
        <v>0.0725929397461034</v>
      </c>
      <c r="M13" s="34" t="n">
        <f aca="false">MIN(1,Cartera!$F$5*(1+Cartera!$G$5)^(M$3-1)*$C$10)</f>
        <v>0.0805781631181748</v>
      </c>
      <c r="N13" s="34" t="n">
        <f aca="false">MIN(1,Cartera!$F$5*(1+Cartera!$G$5)^(N$3-1)*$C$10)</f>
        <v>0.0894417610611741</v>
      </c>
      <c r="O13" s="34" t="n">
        <f aca="false">MIN(1,Cartera!$F$5*(1+Cartera!$G$5)^(O$3-1)*$C$10)</f>
        <v>0.0992803547779032</v>
      </c>
      <c r="P13" s="34" t="n">
        <f aca="false">MIN(1,Cartera!$F$5*(1+Cartera!$G$5)^(P$3-1)*$C$10)</f>
        <v>0.110201193803473</v>
      </c>
      <c r="Q13" s="34" t="n">
        <f aca="false">MIN(1,Cartera!$F$5*(1+Cartera!$G$5)^(Q$3-1)*$C$10)</f>
        <v>0.122323325121855</v>
      </c>
      <c r="R13" s="34" t="n">
        <f aca="false">MIN(1,Cartera!$F$5*(1+Cartera!$G$5)^(R$3-1)*$C$10)</f>
        <v>0.135778890885259</v>
      </c>
      <c r="S13" s="34" t="n">
        <f aca="false">MIN(1,Cartera!$F$5*(1+Cartera!$G$5)^(S$3-1)*$C$10)</f>
        <v>0.150714568882637</v>
      </c>
      <c r="T13" s="34" t="n">
        <f aca="false">MIN(1,Cartera!$F$5*(1+Cartera!$G$5)^(T$3-1)*$C$10)</f>
        <v>0.167293171459727</v>
      </c>
      <c r="U13" s="34" t="n">
        <f aca="false">MIN(1,Cartera!$F$5*(1+Cartera!$G$5)^(U$3-1)*$C$10)</f>
        <v>0.185695420320297</v>
      </c>
      <c r="V13" s="34" t="n">
        <f aca="false">MIN(1,Cartera!$F$5*(1+Cartera!$G$5)^(V$3-1)*$C$10)</f>
        <v>0.20612191655553</v>
      </c>
      <c r="W13" s="34" t="n">
        <f aca="false">MIN(1,Cartera!$F$5*(1+Cartera!$G$5)^(W$3-1)*$C$10)</f>
        <v>0.228795327376638</v>
      </c>
      <c r="X13" s="34" t="n">
        <f aca="false">MIN(1,Cartera!$F$5*(1+Cartera!$G$5)^(X$3-1)*$C$10)</f>
        <v>0.253962813388068</v>
      </c>
      <c r="Y13" s="34" t="n">
        <f aca="false">MIN(1,Cartera!$F$5*(1+Cartera!$G$5)^(Y$3-1)*$C$10)</f>
        <v>0.281898722860756</v>
      </c>
      <c r="Z13" s="34" t="n">
        <f aca="false">MIN(1,Cartera!$F$5*(1+Cartera!$G$5)^(Z$3-1)*$C$10)</f>
        <v>0.312907582375439</v>
      </c>
      <c r="AA13" s="34" t="n">
        <f aca="false">MIN(1,Cartera!$F$5*(1+Cartera!$G$5)^(AA$3-1)*$C$10)</f>
        <v>0.347327416436737</v>
      </c>
      <c r="AB13" s="34" t="n">
        <f aca="false">MIN(1,Cartera!$F$5*(1+Cartera!$G$5)^(AB$3-1)*$C$10)</f>
        <v>0.385533432244779</v>
      </c>
    </row>
    <row r="14" customFormat="false" ht="15" hidden="false" customHeight="false" outlineLevel="0" collapsed="false">
      <c r="B14" s="3" t="s">
        <v>192</v>
      </c>
      <c r="C14" s="3" t="s">
        <v>193</v>
      </c>
      <c r="D14" s="34" t="n">
        <f aca="false">1</f>
        <v>1</v>
      </c>
      <c r="E14" s="34" t="n">
        <f aca="false">D18</f>
        <v>0.9685</v>
      </c>
      <c r="F14" s="34" t="n">
        <f aca="false">E18</f>
        <v>0.9346363975</v>
      </c>
      <c r="G14" s="34" t="n">
        <f aca="false">F18</f>
        <v>0.898362084081168</v>
      </c>
      <c r="H14" s="34" t="n">
        <f aca="false">G18</f>
        <v>0.859660307265627</v>
      </c>
      <c r="I14" s="34" t="n">
        <f aca="false">H18</f>
        <v>0.818552023699616</v>
      </c>
      <c r="J14" s="34" t="n">
        <f aca="false">I18</f>
        <v>0.775103829167993</v>
      </c>
      <c r="K14" s="34" t="n">
        <f aca="false">J18</f>
        <v>0.72943621650038</v>
      </c>
      <c r="L14" s="34" t="n">
        <f aca="false">K18</f>
        <v>0.681731784686833</v>
      </c>
      <c r="M14" s="34" t="n">
        <f aca="false">L18</f>
        <v>0.632242870318058</v>
      </c>
      <c r="N14" s="34" t="n">
        <f aca="false">M18</f>
        <v>0.581297901183266</v>
      </c>
      <c r="O14" s="34" t="n">
        <f aca="false">N18</f>
        <v>0.529305593200271</v>
      </c>
      <c r="P14" s="34" t="n">
        <f aca="false">O18</f>
        <v>0.476755946121419</v>
      </c>
      <c r="Q14" s="34" t="n">
        <f aca="false">P18</f>
        <v>0.424216871705935</v>
      </c>
      <c r="R14" s="34" t="n">
        <f aca="false">Q18</f>
        <v>0.372325253386074</v>
      </c>
      <c r="S14" s="34" t="n">
        <f aca="false">R18</f>
        <v>0.32177134343274</v>
      </c>
      <c r="T14" s="34" t="n">
        <f aca="false">S18</f>
        <v>0.273275714128487</v>
      </c>
      <c r="U14" s="34" t="n">
        <f aca="false">T18</f>
        <v>0.227558553229011</v>
      </c>
      <c r="V14" s="34" t="n">
        <f aca="false">U18</f>
        <v>0.185301972039671</v>
      </c>
      <c r="W14" s="34" t="n">
        <f aca="false">V18</f>
        <v>0.147107174421335</v>
      </c>
      <c r="X14" s="34" t="n">
        <f aca="false">W18</f>
        <v>0.113449740290153</v>
      </c>
      <c r="Y14" s="34" t="n">
        <f aca="false">X18</f>
        <v>0.0846377250679203</v>
      </c>
      <c r="Z14" s="34" t="n">
        <f aca="false">Y18</f>
        <v>0.0607784584654338</v>
      </c>
      <c r="AA14" s="34" t="n">
        <f aca="false">Z18</f>
        <v>0.0417604179665089</v>
      </c>
      <c r="AB14" s="34" t="n">
        <f aca="false">AA18</f>
        <v>0.027255879884883</v>
      </c>
    </row>
    <row r="15" customFormat="false" ht="15" hidden="false" customHeight="false" outlineLevel="0" collapsed="false">
      <c r="B15" s="3" t="s">
        <v>194</v>
      </c>
      <c r="D15" s="34" t="n">
        <f aca="false">D14*D13</f>
        <v>0.0315</v>
      </c>
      <c r="E15" s="34" t="n">
        <f aca="false">E14*E13</f>
        <v>0.0338636025</v>
      </c>
      <c r="F15" s="34" t="n">
        <f aca="false">F14*F13</f>
        <v>0.0362743134188321</v>
      </c>
      <c r="G15" s="34" t="n">
        <f aca="false">G14*G13</f>
        <v>0.0387017768155414</v>
      </c>
      <c r="H15" s="34" t="n">
        <f aca="false">H14*H13</f>
        <v>0.0411082835660109</v>
      </c>
      <c r="I15" s="34" t="n">
        <f aca="false">I14*I13</f>
        <v>0.0434481945316224</v>
      </c>
      <c r="J15" s="34" t="n">
        <f aca="false">J14*J13</f>
        <v>0.0456676126676132</v>
      </c>
      <c r="K15" s="34" t="n">
        <f aca="false">K14*K13</f>
        <v>0.0477044318135475</v>
      </c>
      <c r="L15" s="34" t="n">
        <f aca="false">L14*L13</f>
        <v>0.0494889143687748</v>
      </c>
      <c r="M15" s="34" t="n">
        <f aca="false">M14*M13</f>
        <v>0.0509449691347915</v>
      </c>
      <c r="N15" s="34" t="n">
        <f aca="false">N14*N13</f>
        <v>0.0519923079829957</v>
      </c>
      <c r="O15" s="34" t="n">
        <f aca="false">O14*O13</f>
        <v>0.0525496470788514</v>
      </c>
      <c r="P15" s="34" t="n">
        <f aca="false">P14*P13</f>
        <v>0.0525390744154845</v>
      </c>
      <c r="Q15" s="34" t="n">
        <f aca="false">Q14*Q13</f>
        <v>0.0518916183198611</v>
      </c>
      <c r="R15" s="34" t="n">
        <f aca="false">R14*R13</f>
        <v>0.0505539099533339</v>
      </c>
      <c r="S15" s="34" t="n">
        <f aca="false">S14*S13</f>
        <v>0.0484956293042523</v>
      </c>
      <c r="T15" s="34" t="n">
        <f aca="false">T14*T13</f>
        <v>0.0457171608994764</v>
      </c>
      <c r="U15" s="34" t="n">
        <f aca="false">U14*U13</f>
        <v>0.0422565811893399</v>
      </c>
      <c r="V15" s="34" t="n">
        <f aca="false">V14*V13</f>
        <v>0.0381947976183362</v>
      </c>
      <c r="W15" s="34" t="n">
        <f aca="false">W14*W13</f>
        <v>0.0336574341311815</v>
      </c>
      <c r="X15" s="34" t="n">
        <f aca="false">X14*X13</f>
        <v>0.028812015222233</v>
      </c>
      <c r="Y15" s="34" t="n">
        <f aca="false">Y14*Y13</f>
        <v>0.0238592666024865</v>
      </c>
      <c r="Z15" s="34" t="n">
        <f aca="false">Z14*Z13</f>
        <v>0.0190180404989249</v>
      </c>
      <c r="AA15" s="34" t="n">
        <f aca="false">AA14*AA13</f>
        <v>0.0145045380816258</v>
      </c>
      <c r="AB15" s="34" t="n">
        <f aca="false">AB14*AB13</f>
        <v>0.0105080529208704</v>
      </c>
    </row>
    <row r="16" customFormat="false" ht="15" hidden="false" customHeight="false" outlineLevel="0" collapsed="false">
      <c r="B16" s="3" t="s">
        <v>195</v>
      </c>
      <c r="D16" s="38" t="n">
        <f aca="false">D15*Cartera!$D$5</f>
        <v>2.835</v>
      </c>
      <c r="E16" s="38" t="n">
        <f aca="false">E15*Cartera!$D$5</f>
        <v>3.047724225</v>
      </c>
      <c r="F16" s="38" t="n">
        <f aca="false">F15*Cartera!$D$5</f>
        <v>3.26468820769489</v>
      </c>
      <c r="G16" s="38" t="n">
        <f aca="false">G15*Cartera!$D$5</f>
        <v>3.48315991339872</v>
      </c>
      <c r="H16" s="38" t="n">
        <f aca="false">H15*Cartera!$D$5</f>
        <v>3.69974552094098</v>
      </c>
      <c r="I16" s="38" t="n">
        <f aca="false">I15*Cartera!$D$5</f>
        <v>3.91033750784601</v>
      </c>
      <c r="J16" s="38" t="n">
        <f aca="false">J15*Cartera!$D$5</f>
        <v>4.11008514008519</v>
      </c>
      <c r="K16" s="38" t="n">
        <f aca="false">K15*Cartera!$D$5</f>
        <v>4.29339886321928</v>
      </c>
      <c r="L16" s="38" t="n">
        <f aca="false">L15*Cartera!$D$5</f>
        <v>4.45400229318973</v>
      </c>
      <c r="M16" s="38" t="n">
        <f aca="false">M15*Cartera!$D$5</f>
        <v>4.58504722213124</v>
      </c>
      <c r="N16" s="38" t="n">
        <f aca="false">N15*Cartera!$D$5</f>
        <v>4.67930771846961</v>
      </c>
      <c r="O16" s="38" t="n">
        <f aca="false">O15*Cartera!$D$5</f>
        <v>4.72946823709663</v>
      </c>
      <c r="P16" s="38" t="n">
        <f aca="false">P15*Cartera!$D$5</f>
        <v>4.7285166973936</v>
      </c>
      <c r="Q16" s="38" t="n">
        <f aca="false">Q15*Cartera!$D$5</f>
        <v>4.6702456487875</v>
      </c>
      <c r="R16" s="38" t="n">
        <f aca="false">R15*Cartera!$D$5</f>
        <v>4.54985189580006</v>
      </c>
      <c r="S16" s="38" t="n">
        <f aca="false">S15*Cartera!$D$5</f>
        <v>4.36460663738271</v>
      </c>
      <c r="T16" s="38" t="n">
        <f aca="false">T15*Cartera!$D$5</f>
        <v>4.11454448095288</v>
      </c>
      <c r="U16" s="38" t="n">
        <f aca="false">U15*Cartera!$D$5</f>
        <v>3.80309230704059</v>
      </c>
      <c r="V16" s="38" t="n">
        <f aca="false">V15*Cartera!$D$5</f>
        <v>3.43753178565026</v>
      </c>
      <c r="W16" s="38" t="n">
        <f aca="false">W15*Cartera!$D$5</f>
        <v>3.02916907180634</v>
      </c>
      <c r="X16" s="38" t="n">
        <f aca="false">X15*Cartera!$D$5</f>
        <v>2.59308137000097</v>
      </c>
      <c r="Y16" s="38" t="n">
        <f aca="false">Y15*Cartera!$D$5</f>
        <v>2.14733399422379</v>
      </c>
      <c r="Z16" s="38" t="n">
        <f aca="false">Z15*Cartera!$D$5</f>
        <v>1.71162364490324</v>
      </c>
      <c r="AA16" s="38" t="n">
        <f aca="false">AA15*Cartera!$D$5</f>
        <v>1.30540842734632</v>
      </c>
      <c r="AB16" s="38" t="n">
        <f aca="false">AB15*Cartera!$D$5</f>
        <v>0.945724762878333</v>
      </c>
    </row>
    <row r="17" customFormat="false" ht="15" hidden="false" customHeight="false" outlineLevel="0" collapsed="false">
      <c r="B17" s="3" t="s">
        <v>196</v>
      </c>
      <c r="D17" s="38" t="n">
        <f aca="false">D14*Cartera!$D$5*Cartera!$H$5*(1+$C$8)^(D$3-1)</f>
        <v>3.6</v>
      </c>
      <c r="E17" s="38" t="n">
        <f aca="false">E14*Cartera!$D$5*Cartera!$H$5*(1+$C$8)^(E$3-1)</f>
        <v>3.556332</v>
      </c>
      <c r="F17" s="38" t="n">
        <f aca="false">F14*Cartera!$D$5*Cartera!$H$5*(1+$C$8)^(F$3-1)</f>
        <v>3.5006245486524</v>
      </c>
      <c r="G17" s="38" t="n">
        <f aca="false">G14*Cartera!$D$5*Cartera!$H$5*(1+$C$8)^(G$3-1)</f>
        <v>3.43205650988499</v>
      </c>
      <c r="H17" s="38" t="n">
        <f aca="false">H14*Cartera!$D$5*Cartera!$H$5*(1+$C$8)^(H$3-1)</f>
        <v>3.34988626773527</v>
      </c>
      <c r="I17" s="38" t="n">
        <f aca="false">I14*Cartera!$D$5*Cartera!$H$5*(1+$C$8)^(I$3-1)</f>
        <v>3.25349127283413</v>
      </c>
      <c r="J17" s="38" t="n">
        <f aca="false">J14*Cartera!$D$5*Cartera!$H$5*(1+$C$8)^(J$3-1)</f>
        <v>3.14241409237182</v>
      </c>
      <c r="K17" s="38" t="n">
        <f aca="false">K14*Cartera!$D$5*Cartera!$H$5*(1+$C$8)^(K$3-1)</f>
        <v>3.01641453848989</v>
      </c>
      <c r="L17" s="38" t="n">
        <f aca="false">L14*Cartera!$D$5*Cartera!$H$5*(1+$C$8)^(L$3-1)</f>
        <v>2.87552678708068</v>
      </c>
      <c r="M17" s="38" t="n">
        <f aca="false">M14*Cartera!$D$5*Cartera!$H$5*(1+$C$8)^(M$3-1)</f>
        <v>2.72011952117358</v>
      </c>
      <c r="N17" s="38" t="n">
        <f aca="false">N14*Cartera!$D$5*Cartera!$H$5*(1+$C$8)^(N$3-1)</f>
        <v>2.55095603242944</v>
      </c>
      <c r="O17" s="38" t="n">
        <f aca="false">O14*Cartera!$D$5*Cartera!$H$5*(1+$C$8)^(O$3-1)</f>
        <v>2.36924991314931</v>
      </c>
      <c r="P17" s="38" t="n">
        <f aca="false">P14*Cartera!$D$5*Cartera!$H$5*(1+$C$8)^(P$3-1)</f>
        <v>2.17671054003861</v>
      </c>
      <c r="Q17" s="38" t="n">
        <f aca="false">Q14*Cartera!$D$5*Cartera!$H$5*(1+$C$8)^(Q$3-1)</f>
        <v>1.97557112876099</v>
      </c>
      <c r="R17" s="38" t="n">
        <f aca="false">R14*Cartera!$D$5*Cartera!$H$5*(1+$C$8)^(R$3-1)</f>
        <v>1.76859095326174</v>
      </c>
      <c r="S17" s="38" t="n">
        <f aca="false">S14*Cartera!$D$5*Cartera!$H$5*(1+$C$8)^(S$3-1)</f>
        <v>1.55902270790212</v>
      </c>
      <c r="T17" s="38" t="n">
        <f aca="false">T14*Cartera!$D$5*Cartera!$H$5*(1+$C$8)^(T$3-1)</f>
        <v>1.35053637805446</v>
      </c>
      <c r="U17" s="38" t="n">
        <f aca="false">U14*Cartera!$D$5*Cartera!$H$5*(1+$C$8)^(U$3-1)</f>
        <v>1.14709288148196</v>
      </c>
      <c r="V17" s="38" t="n">
        <f aca="false">V14*Cartera!$D$5*Cartera!$H$5*(1+$C$8)^(V$3-1)</f>
        <v>0.952764646442918</v>
      </c>
      <c r="W17" s="38" t="n">
        <f aca="false">W14*Cartera!$D$5*Cartera!$H$5*(1+$C$8)^(W$3-1)</f>
        <v>0.771506550921587</v>
      </c>
      <c r="X17" s="38" t="n">
        <f aca="false">X14*Cartera!$D$5*Cartera!$H$5*(1+$C$8)^(X$3-1)</f>
        <v>0.606889246170867</v>
      </c>
      <c r="Y17" s="38" t="n">
        <f aca="false">Y14*Cartera!$D$5*Cartera!$H$5*(1+$C$8)^(Y$3-1)</f>
        <v>0.461817184714316</v>
      </c>
      <c r="Z17" s="38" t="n">
        <f aca="false">Z14*Cartera!$D$5*Cartera!$H$5*(1+$C$8)^(Z$3-1)</f>
        <v>0.338264140351165</v>
      </c>
      <c r="AA17" s="38" t="n">
        <f aca="false">AA14*Cartera!$D$5*Cartera!$H$5*(1+$C$8)^(AA$3-1)</f>
        <v>0.237067100509367</v>
      </c>
      <c r="AB17" s="38" t="n">
        <f aca="false">AB14*Cartera!$D$5*Cartera!$H$5*(1+$C$8)^(AB$3-1)</f>
        <v>0.157821740906646</v>
      </c>
    </row>
    <row r="18" customFormat="false" ht="15" hidden="false" customHeight="false" outlineLevel="0" collapsed="false">
      <c r="B18" s="3" t="s">
        <v>197</v>
      </c>
      <c r="C18" s="33" t="n">
        <f aca="false">SUM(D18:AB18)+0.5</f>
        <v>11.6817718847068</v>
      </c>
      <c r="D18" s="34" t="n">
        <f aca="false">D14-D15</f>
        <v>0.9685</v>
      </c>
      <c r="E18" s="34" t="n">
        <f aca="false">E14-E15</f>
        <v>0.9346363975</v>
      </c>
      <c r="F18" s="34" t="n">
        <f aca="false">F14-F15</f>
        <v>0.898362084081168</v>
      </c>
      <c r="G18" s="34" t="n">
        <f aca="false">G14-G15</f>
        <v>0.859660307265627</v>
      </c>
      <c r="H18" s="34" t="n">
        <f aca="false">H14-H15</f>
        <v>0.818552023699616</v>
      </c>
      <c r="I18" s="34" t="n">
        <f aca="false">I14-I15</f>
        <v>0.775103829167993</v>
      </c>
      <c r="J18" s="34" t="n">
        <f aca="false">J14-J15</f>
        <v>0.72943621650038</v>
      </c>
      <c r="K18" s="34" t="n">
        <f aca="false">K14-K15</f>
        <v>0.681731784686833</v>
      </c>
      <c r="L18" s="34" t="n">
        <f aca="false">L14-L15</f>
        <v>0.632242870318058</v>
      </c>
      <c r="M18" s="34" t="n">
        <f aca="false">M14-M15</f>
        <v>0.581297901183266</v>
      </c>
      <c r="N18" s="34" t="n">
        <f aca="false">N14-N15</f>
        <v>0.529305593200271</v>
      </c>
      <c r="O18" s="34" t="n">
        <f aca="false">O14-O15</f>
        <v>0.476755946121419</v>
      </c>
      <c r="P18" s="34" t="n">
        <f aca="false">P14-P15</f>
        <v>0.424216871705935</v>
      </c>
      <c r="Q18" s="34" t="n">
        <f aca="false">Q14-Q15</f>
        <v>0.372325253386074</v>
      </c>
      <c r="R18" s="34" t="n">
        <f aca="false">R14-R15</f>
        <v>0.32177134343274</v>
      </c>
      <c r="S18" s="34" t="n">
        <f aca="false">S14-S15</f>
        <v>0.273275714128487</v>
      </c>
      <c r="T18" s="34" t="n">
        <f aca="false">T14-T15</f>
        <v>0.227558553229011</v>
      </c>
      <c r="U18" s="34" t="n">
        <f aca="false">U14-U15</f>
        <v>0.185301972039671</v>
      </c>
      <c r="V18" s="34" t="n">
        <f aca="false">V14-V15</f>
        <v>0.147107174421335</v>
      </c>
      <c r="W18" s="34" t="n">
        <f aca="false">W14-W15</f>
        <v>0.113449740290153</v>
      </c>
      <c r="X18" s="34" t="n">
        <f aca="false">X14-X15</f>
        <v>0.0846377250679203</v>
      </c>
      <c r="Y18" s="34" t="n">
        <f aca="false">Y14-Y15</f>
        <v>0.0607784584654338</v>
      </c>
      <c r="Z18" s="34" t="n">
        <f aca="false">Z14-Z15</f>
        <v>0.0417604179665089</v>
      </c>
      <c r="AA18" s="34" t="n">
        <f aca="false">AA14-AA15</f>
        <v>0.027255879884883</v>
      </c>
      <c r="AB18" s="34" t="n">
        <f aca="false">AB14-AB15</f>
        <v>0.0167478269640127</v>
      </c>
    </row>
    <row r="20" customFormat="false" ht="15" hidden="false" customHeight="false" outlineLevel="0" collapsed="false">
      <c r="A20" s="37" t="str">
        <f aca="false">Cartera!A6&amp;" – "&amp;Cartera!B6</f>
        <v>C2 – Edad 80–84, deterioro moderado</v>
      </c>
    </row>
    <row r="21" customFormat="false" ht="15" hidden="false" customHeight="false" outlineLevel="0" collapsed="false">
      <c r="B21" s="3" t="s">
        <v>191</v>
      </c>
      <c r="D21" s="34" t="n">
        <f aca="false">MIN(1,Cartera!$F$6*(1+Cartera!$G$6)^(D$3-1)*$C$10)</f>
        <v>0.0455</v>
      </c>
      <c r="E21" s="34" t="n">
        <f aca="false">MIN(1,Cartera!$F$6*(1+Cartera!$G$6)^(E$3-1)*$C$10)</f>
        <v>0.05005</v>
      </c>
      <c r="F21" s="34" t="n">
        <f aca="false">MIN(1,Cartera!$F$6*(1+Cartera!$G$6)^(F$3-1)*$C$10)</f>
        <v>0.055055</v>
      </c>
      <c r="G21" s="34" t="n">
        <f aca="false">MIN(1,Cartera!$F$6*(1+Cartera!$G$6)^(G$3-1)*$C$10)</f>
        <v>0.0605605</v>
      </c>
      <c r="H21" s="34" t="n">
        <f aca="false">MIN(1,Cartera!$F$6*(1+Cartera!$G$6)^(H$3-1)*$C$10)</f>
        <v>0.06661655</v>
      </c>
      <c r="I21" s="34" t="n">
        <f aca="false">MIN(1,Cartera!$F$6*(1+Cartera!$G$6)^(I$3-1)*$C$10)</f>
        <v>0.073278205</v>
      </c>
      <c r="J21" s="34" t="n">
        <f aca="false">MIN(1,Cartera!$F$6*(1+Cartera!$G$6)^(J$3-1)*$C$10)</f>
        <v>0.0806060255</v>
      </c>
      <c r="K21" s="34" t="n">
        <f aca="false">MIN(1,Cartera!$F$6*(1+Cartera!$G$6)^(K$3-1)*$C$10)</f>
        <v>0.0886666280500001</v>
      </c>
      <c r="L21" s="34" t="n">
        <f aca="false">MIN(1,Cartera!$F$6*(1+Cartera!$G$6)^(L$3-1)*$C$10)</f>
        <v>0.0975332908550001</v>
      </c>
      <c r="M21" s="34" t="n">
        <f aca="false">MIN(1,Cartera!$F$6*(1+Cartera!$G$6)^(M$3-1)*$C$10)</f>
        <v>0.1072866199405</v>
      </c>
      <c r="N21" s="34" t="n">
        <f aca="false">MIN(1,Cartera!$F$6*(1+Cartera!$G$6)^(N$3-1)*$C$10)</f>
        <v>0.11801528193455</v>
      </c>
      <c r="O21" s="34" t="n">
        <f aca="false">MIN(1,Cartera!$F$6*(1+Cartera!$G$6)^(O$3-1)*$C$10)</f>
        <v>0.129816810128005</v>
      </c>
      <c r="P21" s="34" t="n">
        <f aca="false">MIN(1,Cartera!$F$6*(1+Cartera!$G$6)^(P$3-1)*$C$10)</f>
        <v>0.142798491140806</v>
      </c>
      <c r="Q21" s="34" t="n">
        <f aca="false">MIN(1,Cartera!$F$6*(1+Cartera!$G$6)^(Q$3-1)*$C$10)</f>
        <v>0.157078340254886</v>
      </c>
      <c r="R21" s="34" t="n">
        <f aca="false">MIN(1,Cartera!$F$6*(1+Cartera!$G$6)^(R$3-1)*$C$10)</f>
        <v>0.172786174280375</v>
      </c>
      <c r="S21" s="34" t="n">
        <f aca="false">MIN(1,Cartera!$F$6*(1+Cartera!$G$6)^(S$3-1)*$C$10)</f>
        <v>0.190064791708412</v>
      </c>
      <c r="T21" s="34" t="n">
        <f aca="false">MIN(1,Cartera!$F$6*(1+Cartera!$G$6)^(T$3-1)*$C$10)</f>
        <v>0.209071270879254</v>
      </c>
      <c r="U21" s="34" t="n">
        <f aca="false">MIN(1,Cartera!$F$6*(1+Cartera!$G$6)^(U$3-1)*$C$10)</f>
        <v>0.229978397967179</v>
      </c>
      <c r="V21" s="34" t="n">
        <f aca="false">MIN(1,Cartera!$F$6*(1+Cartera!$G$6)^(V$3-1)*$C$10)</f>
        <v>0.252976237763897</v>
      </c>
      <c r="W21" s="34" t="n">
        <f aca="false">MIN(1,Cartera!$F$6*(1+Cartera!$G$6)^(W$3-1)*$C$10)</f>
        <v>0.278273861540287</v>
      </c>
      <c r="X21" s="34" t="n">
        <f aca="false">MIN(1,Cartera!$F$6*(1+Cartera!$G$6)^(X$3-1)*$C$10)</f>
        <v>0.306101247694315</v>
      </c>
      <c r="Y21" s="34" t="n">
        <f aca="false">MIN(1,Cartera!$F$6*(1+Cartera!$G$6)^(Y$3-1)*$C$10)</f>
        <v>0.336711372463747</v>
      </c>
      <c r="Z21" s="34" t="n">
        <f aca="false">MIN(1,Cartera!$F$6*(1+Cartera!$G$6)^(Z$3-1)*$C$10)</f>
        <v>0.370382509710122</v>
      </c>
      <c r="AA21" s="34" t="n">
        <f aca="false">MIN(1,Cartera!$F$6*(1+Cartera!$G$6)^(AA$3-1)*$C$10)</f>
        <v>0.407420760681134</v>
      </c>
      <c r="AB21" s="34" t="n">
        <f aca="false">MIN(1,Cartera!$F$6*(1+Cartera!$G$6)^(AB$3-1)*$C$10)</f>
        <v>0.448162836749247</v>
      </c>
    </row>
    <row r="22" customFormat="false" ht="15" hidden="false" customHeight="false" outlineLevel="0" collapsed="false">
      <c r="B22" s="3" t="s">
        <v>192</v>
      </c>
      <c r="C22" s="3" t="s">
        <v>193</v>
      </c>
      <c r="D22" s="34" t="n">
        <f aca="false">1</f>
        <v>1</v>
      </c>
      <c r="E22" s="34" t="n">
        <f aca="false">D26</f>
        <v>0.9545</v>
      </c>
      <c r="F22" s="34" t="n">
        <f aca="false">E26</f>
        <v>0.906727275</v>
      </c>
      <c r="G22" s="34" t="n">
        <f aca="false">F26</f>
        <v>0.856807404874875</v>
      </c>
      <c r="H22" s="34" t="n">
        <f aca="false">G26</f>
        <v>0.80491872003195</v>
      </c>
      <c r="I22" s="34" t="n">
        <f aca="false">H26</f>
        <v>0.751297811873006</v>
      </c>
      <c r="J22" s="34" t="n">
        <f aca="false">I26</f>
        <v>0.696244056798524</v>
      </c>
      <c r="K22" s="34" t="n">
        <f aca="false">J26</f>
        <v>0.640122590601999</v>
      </c>
      <c r="L22" s="34" t="n">
        <f aca="false">K26</f>
        <v>0.583365078954689</v>
      </c>
      <c r="M22" s="34" t="n">
        <f aca="false">L26</f>
        <v>0.526467563034351</v>
      </c>
      <c r="N22" s="34" t="n">
        <f aca="false">M26</f>
        <v>0.469984637688083</v>
      </c>
      <c r="O22" s="34" t="n">
        <f aca="false">N26</f>
        <v>0.414519268166417</v>
      </c>
      <c r="P22" s="34" t="n">
        <f aca="false">O26</f>
        <v>0.360707699036458</v>
      </c>
      <c r="Q22" s="34" t="n">
        <f aca="false">P26</f>
        <v>0.30919918387118</v>
      </c>
      <c r="R22" s="34" t="n">
        <f aca="false">Q26</f>
        <v>0.260630689260529</v>
      </c>
      <c r="S22" s="34" t="n">
        <f aca="false">R26</f>
        <v>0.215597309563145</v>
      </c>
      <c r="T22" s="34" t="n">
        <f aca="false">S26</f>
        <v>0.174619851828132</v>
      </c>
      <c r="U22" s="34" t="n">
        <f aca="false">T26</f>
        <v>0.138111857485678</v>
      </c>
      <c r="V22" s="34" t="n">
        <f aca="false">U26</f>
        <v>0.10634911376085</v>
      </c>
      <c r="W22" s="34" t="n">
        <f aca="false">V26</f>
        <v>0.0794453150721055</v>
      </c>
      <c r="X22" s="34" t="n">
        <f aca="false">W26</f>
        <v>0.057337760465706</v>
      </c>
      <c r="Y22" s="34" t="n">
        <f aca="false">X26</f>
        <v>0.0397866004471556</v>
      </c>
      <c r="Z22" s="34" t="n">
        <f aca="false">Y26</f>
        <v>0.0263899996049271</v>
      </c>
      <c r="AA22" s="34" t="n">
        <f aca="false">Z26</f>
        <v>0.0166156053200051</v>
      </c>
      <c r="AB22" s="34" t="n">
        <f aca="false">AA26</f>
        <v>0.00984606276135112</v>
      </c>
    </row>
    <row r="23" customFormat="false" ht="15" hidden="false" customHeight="false" outlineLevel="0" collapsed="false">
      <c r="B23" s="3" t="s">
        <v>194</v>
      </c>
      <c r="D23" s="34" t="n">
        <f aca="false">D22*D21</f>
        <v>0.0455</v>
      </c>
      <c r="E23" s="34" t="n">
        <f aca="false">E22*E21</f>
        <v>0.047772725</v>
      </c>
      <c r="F23" s="34" t="n">
        <f aca="false">F22*F21</f>
        <v>0.049919870125125</v>
      </c>
      <c r="G23" s="34" t="n">
        <f aca="false">G22*G21</f>
        <v>0.0518886848429249</v>
      </c>
      <c r="H23" s="34" t="n">
        <f aca="false">H22*H21</f>
        <v>0.0536209081589444</v>
      </c>
      <c r="I23" s="34" t="n">
        <f aca="false">I22*I21</f>
        <v>0.0550537550744816</v>
      </c>
      <c r="J23" s="34" t="n">
        <f aca="false">J22*J21</f>
        <v>0.0561214661965253</v>
      </c>
      <c r="K23" s="34" t="n">
        <f aca="false">K22*K21</f>
        <v>0.0567575116473099</v>
      </c>
      <c r="L23" s="34" t="n">
        <f aca="false">L22*L21</f>
        <v>0.0568975159203378</v>
      </c>
      <c r="M23" s="34" t="n">
        <f aca="false">M22*M21</f>
        <v>0.0564829253462677</v>
      </c>
      <c r="N23" s="34" t="n">
        <f aca="false">N22*N21</f>
        <v>0.0554653695216665</v>
      </c>
      <c r="O23" s="34" t="n">
        <f aca="false">O22*O21</f>
        <v>0.0538115691299594</v>
      </c>
      <c r="P23" s="34" t="n">
        <f aca="false">P22*P21</f>
        <v>0.051508515165278</v>
      </c>
      <c r="Q23" s="34" t="n">
        <f aca="false">Q22*Q21</f>
        <v>0.0485684946106503</v>
      </c>
      <c r="R23" s="34" t="n">
        <f aca="false">R22*R21</f>
        <v>0.045033379697384</v>
      </c>
      <c r="S23" s="34" t="n">
        <f aca="false">S22*S21</f>
        <v>0.0409774577350133</v>
      </c>
      <c r="T23" s="34" t="n">
        <f aca="false">T22*T21</f>
        <v>0.0365079943424545</v>
      </c>
      <c r="U23" s="34" t="n">
        <f aca="false">U22*U21</f>
        <v>0.0317627437248275</v>
      </c>
      <c r="V23" s="34" t="n">
        <f aca="false">V22*V21</f>
        <v>0.0269037986887445</v>
      </c>
      <c r="W23" s="34" t="n">
        <f aca="false">W22*W21</f>
        <v>0.0221075546063995</v>
      </c>
      <c r="X23" s="34" t="n">
        <f aca="false">X22*X21</f>
        <v>0.0175511600185504</v>
      </c>
      <c r="Y23" s="34" t="n">
        <f aca="false">Y22*Y21</f>
        <v>0.0133966008422285</v>
      </c>
      <c r="Z23" s="34" t="n">
        <f aca="false">Z22*Z21</f>
        <v>0.00977439428492202</v>
      </c>
      <c r="AA23" s="34" t="n">
        <f aca="false">AA22*AA21</f>
        <v>0.00676954255865397</v>
      </c>
      <c r="AB23" s="34" t="n">
        <f aca="false">AB22*AB21</f>
        <v>0.00441263941793825</v>
      </c>
    </row>
    <row r="24" customFormat="false" ht="15" hidden="false" customHeight="false" outlineLevel="0" collapsed="false">
      <c r="B24" s="3" t="s">
        <v>195</v>
      </c>
      <c r="D24" s="38" t="n">
        <f aca="false">D23*Cartera!$D$6</f>
        <v>5.46</v>
      </c>
      <c r="E24" s="38" t="n">
        <f aca="false">E23*Cartera!$D$6</f>
        <v>5.732727</v>
      </c>
      <c r="F24" s="38" t="n">
        <f aca="false">F23*Cartera!$D$6</f>
        <v>5.990384415015</v>
      </c>
      <c r="G24" s="38" t="n">
        <f aca="false">G23*Cartera!$D$6</f>
        <v>6.22664218115099</v>
      </c>
      <c r="H24" s="38" t="n">
        <f aca="false">H23*Cartera!$D$6</f>
        <v>6.43450897907333</v>
      </c>
      <c r="I24" s="38" t="n">
        <f aca="false">I23*Cartera!$D$6</f>
        <v>6.60645060893779</v>
      </c>
      <c r="J24" s="38" t="n">
        <f aca="false">J23*Cartera!$D$6</f>
        <v>6.73457594358304</v>
      </c>
      <c r="K24" s="38" t="n">
        <f aca="false">K23*Cartera!$D$6</f>
        <v>6.81090139767719</v>
      </c>
      <c r="L24" s="38" t="n">
        <f aca="false">L23*Cartera!$D$6</f>
        <v>6.82770191044053</v>
      </c>
      <c r="M24" s="38" t="n">
        <f aca="false">M23*Cartera!$D$6</f>
        <v>6.77795104155213</v>
      </c>
      <c r="N24" s="38" t="n">
        <f aca="false">N23*Cartera!$D$6</f>
        <v>6.65584434259999</v>
      </c>
      <c r="O24" s="38" t="n">
        <f aca="false">O23*Cartera!$D$6</f>
        <v>6.45738829559513</v>
      </c>
      <c r="P24" s="38" t="n">
        <f aca="false">P23*Cartera!$D$6</f>
        <v>6.18102181983336</v>
      </c>
      <c r="Q24" s="38" t="n">
        <f aca="false">Q23*Cartera!$D$6</f>
        <v>5.82821935327803</v>
      </c>
      <c r="R24" s="38" t="n">
        <f aca="false">R23*Cartera!$D$6</f>
        <v>5.40400556368609</v>
      </c>
      <c r="S24" s="38" t="n">
        <f aca="false">S23*Cartera!$D$6</f>
        <v>4.9172949282016</v>
      </c>
      <c r="T24" s="38" t="n">
        <f aca="false">T23*Cartera!$D$6</f>
        <v>4.38095932109454</v>
      </c>
      <c r="U24" s="38" t="n">
        <f aca="false">U23*Cartera!$D$6</f>
        <v>3.81152924697929</v>
      </c>
      <c r="V24" s="38" t="n">
        <f aca="false">V23*Cartera!$D$6</f>
        <v>3.22845584264934</v>
      </c>
      <c r="W24" s="38" t="n">
        <f aca="false">W23*Cartera!$D$6</f>
        <v>2.65290655276795</v>
      </c>
      <c r="X24" s="38" t="n">
        <f aca="false">X23*Cartera!$D$6</f>
        <v>2.10613920222605</v>
      </c>
      <c r="Y24" s="38" t="n">
        <f aca="false">Y23*Cartera!$D$6</f>
        <v>1.60759210106742</v>
      </c>
      <c r="Z24" s="38" t="n">
        <f aca="false">Z23*Cartera!$D$6</f>
        <v>1.17292731419064</v>
      </c>
      <c r="AA24" s="38" t="n">
        <f aca="false">AA23*Cartera!$D$6</f>
        <v>0.812345107038476</v>
      </c>
      <c r="AB24" s="38" t="n">
        <f aca="false">AB23*Cartera!$D$6</f>
        <v>0.529516730152589</v>
      </c>
    </row>
    <row r="25" customFormat="false" ht="15" hidden="false" customHeight="false" outlineLevel="0" collapsed="false">
      <c r="B25" s="3" t="s">
        <v>196</v>
      </c>
      <c r="D25" s="38" t="n">
        <f aca="false">D22*Cartera!$D$6*Cartera!$H$6*(1+$C$8)^(D$3-1)</f>
        <v>6</v>
      </c>
      <c r="E25" s="38" t="n">
        <f aca="false">E22*Cartera!$D$6*Cartera!$H$6*(1+$C$8)^(E$3-1)</f>
        <v>5.84154</v>
      </c>
      <c r="F25" s="38" t="n">
        <f aca="false">F22*Cartera!$D$6*Cartera!$H$6*(1+$C$8)^(F$3-1)</f>
        <v>5.66015434146</v>
      </c>
      <c r="G25" s="38" t="n">
        <f aca="false">G22*Cartera!$D$6*Cartera!$H$6*(1+$C$8)^(G$3-1)</f>
        <v>5.45550523507474</v>
      </c>
      <c r="H25" s="38" t="n">
        <f aca="false">H22*Cartera!$D$6*Cartera!$H$6*(1+$C$8)^(H$3-1)</f>
        <v>5.22761945249172</v>
      </c>
      <c r="I25" s="38" t="n">
        <f aca="false">I22*Cartera!$D$6*Cartera!$H$6*(1+$C$8)^(I$3-1)</f>
        <v>4.97696094945091</v>
      </c>
      <c r="J25" s="38" t="n">
        <f aca="false">J22*Cartera!$D$6*Cartera!$H$6*(1+$C$8)^(J$3-1)</f>
        <v>4.70450334841445</v>
      </c>
      <c r="K25" s="38" t="n">
        <f aca="false">K22*Cartera!$D$6*Cartera!$H$6*(1+$C$8)^(K$3-1)</f>
        <v>4.41179787217826</v>
      </c>
      <c r="L25" s="38" t="n">
        <f aca="false">L22*Cartera!$D$6*Cartera!$H$6*(1+$C$8)^(L$3-1)</f>
        <v>4.10103100383833</v>
      </c>
      <c r="M25" s="38" t="n">
        <f aca="false">M22*Cartera!$D$6*Cartera!$H$6*(1+$C$8)^(M$3-1)</f>
        <v>3.77506483321831</v>
      </c>
      <c r="N25" s="38" t="n">
        <f aca="false">N22*Cartera!$D$6*Cartera!$H$6*(1+$C$8)^(N$3-1)</f>
        <v>3.43745190495019</v>
      </c>
      <c r="O25" s="38" t="n">
        <f aca="false">O22*Cartera!$D$6*Cartera!$H$6*(1+$C$8)^(O$3-1)</f>
        <v>3.09241565023606</v>
      </c>
      <c r="P25" s="38" t="n">
        <f aca="false">P22*Cartera!$D$6*Cartera!$H$6*(1+$C$8)^(P$3-1)</f>
        <v>2.74478747723114</v>
      </c>
      <c r="Q25" s="38" t="n">
        <f aca="false">Q22*Cartera!$D$6*Cartera!$H$6*(1+$C$8)^(Q$3-1)</f>
        <v>2.39989268631996</v>
      </c>
      <c r="R25" s="38" t="n">
        <f aca="false">R22*Cartera!$D$6*Cartera!$H$6*(1+$C$8)^(R$3-1)</f>
        <v>2.06337995689024</v>
      </c>
      <c r="S25" s="38" t="n">
        <f aca="false">S22*Cartera!$D$6*Cartera!$H$6*(1+$C$8)^(S$3-1)</f>
        <v>1.74099355661342</v>
      </c>
      <c r="T25" s="38" t="n">
        <f aca="false">T22*Cartera!$D$6*Cartera!$H$6*(1+$C$8)^(T$3-1)</f>
        <v>1.4382938184882</v>
      </c>
      <c r="U25" s="38" t="n">
        <f aca="false">U22*Cartera!$D$6*Cartera!$H$6*(1+$C$8)^(U$3-1)</f>
        <v>1.16033965999828</v>
      </c>
      <c r="V25" s="38" t="n">
        <f aca="false">V22*Cartera!$D$6*Cartera!$H$6*(1+$C$8)^(V$3-1)</f>
        <v>0.911356335971978</v>
      </c>
      <c r="W25" s="38" t="n">
        <f aca="false">W22*Cartera!$D$6*Cartera!$H$6*(1+$C$8)^(W$3-1)</f>
        <v>0.694420935612207</v>
      </c>
      <c r="X25" s="38" t="n">
        <f aca="false">X22*Cartera!$D$6*Cartera!$H$6*(1+$C$8)^(X$3-1)</f>
        <v>0.511205375131479</v>
      </c>
      <c r="Y25" s="38" t="n">
        <f aca="false">Y22*Cartera!$D$6*Cartera!$H$6*(1+$C$8)^(Y$3-1)</f>
        <v>0.361819267415207</v>
      </c>
      <c r="Z25" s="38" t="n">
        <f aca="false">Z22*Cartera!$D$6*Cartera!$H$6*(1+$C$8)^(Z$3-1)</f>
        <v>0.244790417406005</v>
      </c>
      <c r="AA25" s="38" t="n">
        <f aca="false">AA22*Cartera!$D$6*Cartera!$H$6*(1+$C$8)^(AA$3-1)</f>
        <v>0.157206814819264</v>
      </c>
      <c r="AB25" s="38" t="n">
        <f aca="false">AB22*Cartera!$D$6*Cartera!$H$6*(1+$C$8)^(AB$3-1)</f>
        <v>0.0950206446361683</v>
      </c>
    </row>
    <row r="26" customFormat="false" ht="15" hidden="false" customHeight="false" outlineLevel="0" collapsed="false">
      <c r="B26" s="3" t="s">
        <v>197</v>
      </c>
      <c r="C26" s="33" t="n">
        <f aca="false">SUM(D26:AB26)+0.5</f>
        <v>9.90502487884453</v>
      </c>
      <c r="D26" s="34" t="n">
        <f aca="false">D22-D23</f>
        <v>0.9545</v>
      </c>
      <c r="E26" s="34" t="n">
        <f aca="false">E22-E23</f>
        <v>0.906727275</v>
      </c>
      <c r="F26" s="34" t="n">
        <f aca="false">F22-F23</f>
        <v>0.856807404874875</v>
      </c>
      <c r="G26" s="34" t="n">
        <f aca="false">G22-G23</f>
        <v>0.80491872003195</v>
      </c>
      <c r="H26" s="34" t="n">
        <f aca="false">H22-H23</f>
        <v>0.751297811873006</v>
      </c>
      <c r="I26" s="34" t="n">
        <f aca="false">I22-I23</f>
        <v>0.696244056798524</v>
      </c>
      <c r="J26" s="34" t="n">
        <f aca="false">J22-J23</f>
        <v>0.640122590601999</v>
      </c>
      <c r="K26" s="34" t="n">
        <f aca="false">K22-K23</f>
        <v>0.583365078954689</v>
      </c>
      <c r="L26" s="34" t="n">
        <f aca="false">L22-L23</f>
        <v>0.526467563034351</v>
      </c>
      <c r="M26" s="34" t="n">
        <f aca="false">M22-M23</f>
        <v>0.469984637688083</v>
      </c>
      <c r="N26" s="34" t="n">
        <f aca="false">N22-N23</f>
        <v>0.414519268166417</v>
      </c>
      <c r="O26" s="34" t="n">
        <f aca="false">O22-O23</f>
        <v>0.360707699036458</v>
      </c>
      <c r="P26" s="34" t="n">
        <f aca="false">P22-P23</f>
        <v>0.30919918387118</v>
      </c>
      <c r="Q26" s="34" t="n">
        <f aca="false">Q22-Q23</f>
        <v>0.260630689260529</v>
      </c>
      <c r="R26" s="34" t="n">
        <f aca="false">R22-R23</f>
        <v>0.215597309563145</v>
      </c>
      <c r="S26" s="34" t="n">
        <f aca="false">S22-S23</f>
        <v>0.174619851828132</v>
      </c>
      <c r="T26" s="34" t="n">
        <f aca="false">T22-T23</f>
        <v>0.138111857485678</v>
      </c>
      <c r="U26" s="34" t="n">
        <f aca="false">U22-U23</f>
        <v>0.10634911376085</v>
      </c>
      <c r="V26" s="34" t="n">
        <f aca="false">V22-V23</f>
        <v>0.0794453150721055</v>
      </c>
      <c r="W26" s="34" t="n">
        <f aca="false">W22-W23</f>
        <v>0.057337760465706</v>
      </c>
      <c r="X26" s="34" t="n">
        <f aca="false">X22-X23</f>
        <v>0.0397866004471556</v>
      </c>
      <c r="Y26" s="34" t="n">
        <f aca="false">Y22-Y23</f>
        <v>0.0263899996049271</v>
      </c>
      <c r="Z26" s="34" t="n">
        <f aca="false">Z22-Z23</f>
        <v>0.0166156053200051</v>
      </c>
      <c r="AA26" s="34" t="n">
        <f aca="false">AA22-AA23</f>
        <v>0.00984606276135112</v>
      </c>
      <c r="AB26" s="34" t="n">
        <f aca="false">AB22-AB23</f>
        <v>0.00543342334341288</v>
      </c>
    </row>
    <row r="28" customFormat="false" ht="15" hidden="false" customHeight="false" outlineLevel="0" collapsed="false">
      <c r="A28" s="37" t="str">
        <f aca="false">Cartera!A7&amp;" – "&amp;Cartera!B7</f>
        <v>C3 – Edad 85–89, deterioro significativo</v>
      </c>
    </row>
    <row r="29" customFormat="false" ht="15" hidden="false" customHeight="false" outlineLevel="0" collapsed="false">
      <c r="B29" s="3" t="s">
        <v>191</v>
      </c>
      <c r="D29" s="34" t="n">
        <f aca="false">MIN(1,Cartera!$F$7*(1+Cartera!$G$7)^(D$3-1)*$C$10)</f>
        <v>0.0665</v>
      </c>
      <c r="E29" s="34" t="n">
        <f aca="false">MIN(1,Cartera!$F$7*(1+Cartera!$G$7)^(E$3-1)*$C$10)</f>
        <v>0.072485</v>
      </c>
      <c r="F29" s="34" t="n">
        <f aca="false">MIN(1,Cartera!$F$7*(1+Cartera!$G$7)^(F$3-1)*$C$10)</f>
        <v>0.07900865</v>
      </c>
      <c r="G29" s="34" t="n">
        <f aca="false">MIN(1,Cartera!$F$7*(1+Cartera!$G$7)^(G$3-1)*$C$10)</f>
        <v>0.0861194285</v>
      </c>
      <c r="H29" s="34" t="n">
        <f aca="false">MIN(1,Cartera!$F$7*(1+Cartera!$G$7)^(H$3-1)*$C$10)</f>
        <v>0.093870177065</v>
      </c>
      <c r="I29" s="34" t="n">
        <f aca="false">MIN(1,Cartera!$F$7*(1+Cartera!$G$7)^(I$3-1)*$C$10)</f>
        <v>0.10231849300085</v>
      </c>
      <c r="J29" s="34" t="n">
        <f aca="false">MIN(1,Cartera!$F$7*(1+Cartera!$G$7)^(J$3-1)*$C$10)</f>
        <v>0.111527157370927</v>
      </c>
      <c r="K29" s="34" t="n">
        <f aca="false">MIN(1,Cartera!$F$7*(1+Cartera!$G$7)^(K$3-1)*$C$10)</f>
        <v>0.12156460153431</v>
      </c>
      <c r="L29" s="34" t="n">
        <f aca="false">MIN(1,Cartera!$F$7*(1+Cartera!$G$7)^(L$3-1)*$C$10)</f>
        <v>0.132505415672398</v>
      </c>
      <c r="M29" s="34" t="n">
        <f aca="false">MIN(1,Cartera!$F$7*(1+Cartera!$G$7)^(M$3-1)*$C$10)</f>
        <v>0.144430903082914</v>
      </c>
      <c r="N29" s="34" t="n">
        <f aca="false">MIN(1,Cartera!$F$7*(1+Cartera!$G$7)^(N$3-1)*$C$10)</f>
        <v>0.157429684360376</v>
      </c>
      <c r="O29" s="34" t="n">
        <f aca="false">MIN(1,Cartera!$F$7*(1+Cartera!$G$7)^(O$3-1)*$C$10)</f>
        <v>0.17159835595281</v>
      </c>
      <c r="P29" s="34" t="n">
        <f aca="false">MIN(1,Cartera!$F$7*(1+Cartera!$G$7)^(P$3-1)*$C$10)</f>
        <v>0.187042207988563</v>
      </c>
      <c r="Q29" s="34" t="n">
        <f aca="false">MIN(1,Cartera!$F$7*(1+Cartera!$G$7)^(Q$3-1)*$C$10)</f>
        <v>0.203876006707533</v>
      </c>
      <c r="R29" s="34" t="n">
        <f aca="false">MIN(1,Cartera!$F$7*(1+Cartera!$G$7)^(R$3-1)*$C$10)</f>
        <v>0.222224847311211</v>
      </c>
      <c r="S29" s="34" t="n">
        <f aca="false">MIN(1,Cartera!$F$7*(1+Cartera!$G$7)^(S$3-1)*$C$10)</f>
        <v>0.24222508356922</v>
      </c>
      <c r="T29" s="34" t="n">
        <f aca="false">MIN(1,Cartera!$F$7*(1+Cartera!$G$7)^(T$3-1)*$C$10)</f>
        <v>0.26402534109045</v>
      </c>
      <c r="U29" s="34" t="n">
        <f aca="false">MIN(1,Cartera!$F$7*(1+Cartera!$G$7)^(U$3-1)*$C$10)</f>
        <v>0.287787621788591</v>
      </c>
      <c r="V29" s="34" t="n">
        <f aca="false">MIN(1,Cartera!$F$7*(1+Cartera!$G$7)^(V$3-1)*$C$10)</f>
        <v>0.313688507749564</v>
      </c>
      <c r="W29" s="34" t="n">
        <f aca="false">MIN(1,Cartera!$F$7*(1+Cartera!$G$7)^(W$3-1)*$C$10)</f>
        <v>0.341920473447025</v>
      </c>
      <c r="X29" s="34" t="n">
        <f aca="false">MIN(1,Cartera!$F$7*(1+Cartera!$G$7)^(X$3-1)*$C$10)</f>
        <v>0.372693316057257</v>
      </c>
      <c r="Y29" s="34" t="n">
        <f aca="false">MIN(1,Cartera!$F$7*(1+Cartera!$G$7)^(Y$3-1)*$C$10)</f>
        <v>0.40623571450241</v>
      </c>
      <c r="Z29" s="34" t="n">
        <f aca="false">MIN(1,Cartera!$F$7*(1+Cartera!$G$7)^(Z$3-1)*$C$10)</f>
        <v>0.442796928807627</v>
      </c>
      <c r="AA29" s="34" t="n">
        <f aca="false">MIN(1,Cartera!$F$7*(1+Cartera!$G$7)^(AA$3-1)*$C$10)</f>
        <v>0.482648652400313</v>
      </c>
      <c r="AB29" s="34" t="n">
        <f aca="false">MIN(1,Cartera!$F$7*(1+Cartera!$G$7)^(AB$3-1)*$C$10)</f>
        <v>0.526087031116342</v>
      </c>
    </row>
    <row r="30" customFormat="false" ht="15" hidden="false" customHeight="false" outlineLevel="0" collapsed="false">
      <c r="B30" s="3" t="s">
        <v>192</v>
      </c>
      <c r="C30" s="3" t="s">
        <v>193</v>
      </c>
      <c r="D30" s="34" t="n">
        <f aca="false">1</f>
        <v>1</v>
      </c>
      <c r="E30" s="34" t="n">
        <f aca="false">D34</f>
        <v>0.9335</v>
      </c>
      <c r="F30" s="34" t="n">
        <f aca="false">E34</f>
        <v>0.8658352525</v>
      </c>
      <c r="G30" s="34" t="n">
        <f aca="false">F34</f>
        <v>0.797426778077566</v>
      </c>
      <c r="H30" s="34" t="n">
        <f aca="false">G34</f>
        <v>0.72875283967893</v>
      </c>
      <c r="I30" s="34" t="n">
        <f aca="false">H34</f>
        <v>0.660344681581647</v>
      </c>
      <c r="J30" s="34" t="n">
        <f aca="false">I34</f>
        <v>0.592779208901087</v>
      </c>
      <c r="K30" s="34" t="n">
        <f aca="false">J34</f>
        <v>0.526668228783762</v>
      </c>
      <c r="L30" s="34" t="n">
        <f aca="false">K34</f>
        <v>0.462644015410883</v>
      </c>
      <c r="M30" s="34" t="n">
        <f aca="false">L34</f>
        <v>0.401341177840517</v>
      </c>
      <c r="N30" s="34" t="n">
        <f aca="false">M34</f>
        <v>0.343375109080651</v>
      </c>
      <c r="O30" s="34" t="n">
        <f aca="false">N34</f>
        <v>0.289317674040874</v>
      </c>
      <c r="P30" s="34" t="n">
        <f aca="false">O34</f>
        <v>0.239671236827369</v>
      </c>
      <c r="Q30" s="34" t="n">
        <f aca="false">P34</f>
        <v>0.194842599499828</v>
      </c>
      <c r="R30" s="34" t="n">
        <f aca="false">Q34</f>
        <v>0.155118868377288</v>
      </c>
      <c r="S30" s="34" t="n">
        <f aca="false">R34</f>
        <v>0.120647601537057</v>
      </c>
      <c r="T30" s="34" t="n">
        <f aca="false">S34</f>
        <v>0.0914237261723177</v>
      </c>
      <c r="U30" s="34" t="n">
        <f aca="false">T34</f>
        <v>0.0672855456859116</v>
      </c>
      <c r="V30" s="34" t="n">
        <f aca="false">U34</f>
        <v>0.0479215985122155</v>
      </c>
      <c r="W30" s="34" t="n">
        <f aca="false">V34</f>
        <v>0.0328891437859449</v>
      </c>
      <c r="X30" s="34" t="n">
        <f aca="false">W34</f>
        <v>0.0216436721713874</v>
      </c>
      <c r="Y30" s="34" t="n">
        <f aca="false">X34</f>
        <v>0.0135772202181768</v>
      </c>
      <c r="Z30" s="34" t="n">
        <f aca="false">Y34</f>
        <v>0.0080616684618892</v>
      </c>
      <c r="AA30" s="34" t="n">
        <f aca="false">Z34</f>
        <v>0.00449198642589936</v>
      </c>
      <c r="AB30" s="34" t="n">
        <f aca="false">AA34</f>
        <v>0.00232393523083853</v>
      </c>
    </row>
    <row r="31" customFormat="false" ht="15" hidden="false" customHeight="false" outlineLevel="0" collapsed="false">
      <c r="B31" s="3" t="s">
        <v>194</v>
      </c>
      <c r="D31" s="34" t="n">
        <f aca="false">D30*D29</f>
        <v>0.0665</v>
      </c>
      <c r="E31" s="34" t="n">
        <f aca="false">E30*E29</f>
        <v>0.0676647475</v>
      </c>
      <c r="F31" s="34" t="n">
        <f aca="false">F30*F29</f>
        <v>0.0684084744224341</v>
      </c>
      <c r="G31" s="34" t="n">
        <f aca="false">G30*G29</f>
        <v>0.0686739383986363</v>
      </c>
      <c r="H31" s="34" t="n">
        <f aca="false">H30*H29</f>
        <v>0.0684081580972827</v>
      </c>
      <c r="I31" s="34" t="n">
        <f aca="false">I30*I29</f>
        <v>0.0675654726805603</v>
      </c>
      <c r="J31" s="34" t="n">
        <f aca="false">J30*J29</f>
        <v>0.0661109801173248</v>
      </c>
      <c r="K31" s="34" t="n">
        <f aca="false">K30*K29</f>
        <v>0.0640242133728788</v>
      </c>
      <c r="L31" s="34" t="n">
        <f aca="false">L30*L29</f>
        <v>0.0613028375703663</v>
      </c>
      <c r="M31" s="34" t="n">
        <f aca="false">M30*M29</f>
        <v>0.0579660687598661</v>
      </c>
      <c r="N31" s="34" t="n">
        <f aca="false">N30*N29</f>
        <v>0.0540574350397765</v>
      </c>
      <c r="O31" s="34" t="n">
        <f aca="false">O30*O29</f>
        <v>0.0496464372135049</v>
      </c>
      <c r="P31" s="34" t="n">
        <f aca="false">P30*P29</f>
        <v>0.0448286373275408</v>
      </c>
      <c r="Q31" s="34" t="n">
        <f aca="false">Q30*Q29</f>
        <v>0.0397237311225402</v>
      </c>
      <c r="R31" s="34" t="n">
        <f aca="false">R30*R29</f>
        <v>0.0344712668402308</v>
      </c>
      <c r="S31" s="34" t="n">
        <f aca="false">S30*S29</f>
        <v>0.0292238753647397</v>
      </c>
      <c r="T31" s="34" t="n">
        <f aca="false">T30*T29</f>
        <v>0.0241381804864061</v>
      </c>
      <c r="U31" s="34" t="n">
        <f aca="false">U30*U29</f>
        <v>0.0193639471736961</v>
      </c>
      <c r="V31" s="34" t="n">
        <f aca="false">V30*V29</f>
        <v>0.0150324547262706</v>
      </c>
      <c r="W31" s="34" t="n">
        <f aca="false">W30*W29</f>
        <v>0.0112454716145576</v>
      </c>
      <c r="X31" s="34" t="n">
        <f aca="false">X30*X29</f>
        <v>0.00806645195321053</v>
      </c>
      <c r="Y31" s="34" t="n">
        <f aca="false">Y30*Y29</f>
        <v>0.00551555175628763</v>
      </c>
      <c r="Z31" s="34" t="n">
        <f aca="false">Z30*Z29</f>
        <v>0.00356968203598984</v>
      </c>
      <c r="AA31" s="34" t="n">
        <f aca="false">AA30*AA29</f>
        <v>0.00216805119506082</v>
      </c>
      <c r="AB31" s="34" t="n">
        <f aca="false">AB30*AB29</f>
        <v>0.00122259218609851</v>
      </c>
    </row>
    <row r="32" customFormat="false" ht="15" hidden="false" customHeight="false" outlineLevel="0" collapsed="false">
      <c r="B32" s="3" t="s">
        <v>195</v>
      </c>
      <c r="D32" s="38" t="n">
        <f aca="false">D31*Cartera!$D$7</f>
        <v>6.65</v>
      </c>
      <c r="E32" s="38" t="n">
        <f aca="false">E31*Cartera!$D$7</f>
        <v>6.76647475</v>
      </c>
      <c r="F32" s="38" t="n">
        <f aca="false">F31*Cartera!$D$7</f>
        <v>6.84084744224341</v>
      </c>
      <c r="G32" s="38" t="n">
        <f aca="false">G31*Cartera!$D$7</f>
        <v>6.86739383986363</v>
      </c>
      <c r="H32" s="38" t="n">
        <f aca="false">H31*Cartera!$D$7</f>
        <v>6.84081580972827</v>
      </c>
      <c r="I32" s="38" t="n">
        <f aca="false">I31*Cartera!$D$7</f>
        <v>6.75654726805603</v>
      </c>
      <c r="J32" s="38" t="n">
        <f aca="false">J31*Cartera!$D$7</f>
        <v>6.61109801173248</v>
      </c>
      <c r="K32" s="38" t="n">
        <f aca="false">K31*Cartera!$D$7</f>
        <v>6.40242133728788</v>
      </c>
      <c r="L32" s="38" t="n">
        <f aca="false">L31*Cartera!$D$7</f>
        <v>6.13028375703663</v>
      </c>
      <c r="M32" s="38" t="n">
        <f aca="false">M31*Cartera!$D$7</f>
        <v>5.79660687598661</v>
      </c>
      <c r="N32" s="38" t="n">
        <f aca="false">N31*Cartera!$D$7</f>
        <v>5.40574350397765</v>
      </c>
      <c r="O32" s="38" t="n">
        <f aca="false">O31*Cartera!$D$7</f>
        <v>4.96464372135049</v>
      </c>
      <c r="P32" s="38" t="n">
        <f aca="false">P31*Cartera!$D$7</f>
        <v>4.48286373275409</v>
      </c>
      <c r="Q32" s="38" t="n">
        <f aca="false">Q31*Cartera!$D$7</f>
        <v>3.97237311225402</v>
      </c>
      <c r="R32" s="38" t="n">
        <f aca="false">R31*Cartera!$D$7</f>
        <v>3.44712668402308</v>
      </c>
      <c r="S32" s="38" t="n">
        <f aca="false">S31*Cartera!$D$7</f>
        <v>2.92238753647397</v>
      </c>
      <c r="T32" s="38" t="n">
        <f aca="false">T31*Cartera!$D$7</f>
        <v>2.41381804864061</v>
      </c>
      <c r="U32" s="38" t="n">
        <f aca="false">U31*Cartera!$D$7</f>
        <v>1.93639471736961</v>
      </c>
      <c r="V32" s="38" t="n">
        <f aca="false">V31*Cartera!$D$7</f>
        <v>1.50324547262706</v>
      </c>
      <c r="W32" s="38" t="n">
        <f aca="false">W31*Cartera!$D$7</f>
        <v>1.12454716145576</v>
      </c>
      <c r="X32" s="38" t="n">
        <f aca="false">X31*Cartera!$D$7</f>
        <v>0.806645195321053</v>
      </c>
      <c r="Y32" s="38" t="n">
        <f aca="false">Y31*Cartera!$D$7</f>
        <v>0.551555175628763</v>
      </c>
      <c r="Z32" s="38" t="n">
        <f aca="false">Z31*Cartera!$D$7</f>
        <v>0.356968203598984</v>
      </c>
      <c r="AA32" s="38" t="n">
        <f aca="false">AA31*Cartera!$D$7</f>
        <v>0.216805119506082</v>
      </c>
      <c r="AB32" s="38" t="n">
        <f aca="false">AB31*Cartera!$D$7</f>
        <v>0.122259218609851</v>
      </c>
    </row>
    <row r="33" customFormat="false" ht="15" hidden="false" customHeight="false" outlineLevel="0" collapsed="false">
      <c r="B33" s="3" t="s">
        <v>196</v>
      </c>
      <c r="D33" s="38" t="n">
        <f aca="false">D30*Cartera!$D$7*Cartera!$H$7*(1+$C$8)^(D$3-1)</f>
        <v>6</v>
      </c>
      <c r="E33" s="38" t="n">
        <f aca="false">E30*Cartera!$D$7*Cartera!$H$7*(1+$C$8)^(E$3-1)</f>
        <v>5.71302</v>
      </c>
      <c r="F33" s="38" t="n">
        <f aca="false">F30*Cartera!$D$7*Cartera!$H$7*(1+$C$8)^(F$3-1)</f>
        <v>5.404889980206</v>
      </c>
      <c r="G33" s="38" t="n">
        <f aca="false">G30*Cartera!$D$7*Cartera!$H$7*(1+$C$8)^(G$3-1)</f>
        <v>5.07741405786083</v>
      </c>
      <c r="H33" s="38" t="n">
        <f aca="false">H30*Cartera!$D$7*Cartera!$H$7*(1+$C$8)^(H$3-1)</f>
        <v>4.73295306215878</v>
      </c>
      <c r="I33" s="38" t="n">
        <f aca="false">I30*Cartera!$D$7*Cartera!$H$7*(1+$C$8)^(I$3-1)</f>
        <v>4.37444331857708</v>
      </c>
      <c r="J33" s="38" t="n">
        <f aca="false">J30*Cartera!$D$7*Cartera!$H$7*(1+$C$8)^(J$3-1)</f>
        <v>4.00539400791269</v>
      </c>
      <c r="K33" s="38" t="n">
        <f aca="false">K30*Cartera!$D$7*Cartera!$H$7*(1+$C$8)^(K$3-1)</f>
        <v>3.62985747606083</v>
      </c>
      <c r="L33" s="38" t="n">
        <f aca="false">L30*Cartera!$D$7*Cartera!$H$7*(1+$C$8)^(L$3-1)</f>
        <v>3.25236720432431</v>
      </c>
      <c r="M33" s="38" t="n">
        <f aca="false">M30*Cartera!$D$7*Cartera!$H$7*(1+$C$8)^(M$3-1)</f>
        <v>2.87783915471596</v>
      </c>
      <c r="N33" s="38" t="n">
        <f aca="false">N30*Cartera!$D$7*Cartera!$H$7*(1+$C$8)^(N$3-1)</f>
        <v>2.51143405160643</v>
      </c>
      <c r="O33" s="38" t="n">
        <f aca="false">O30*Cartera!$D$7*Cartera!$H$7*(1+$C$8)^(O$3-1)</f>
        <v>2.15838097720153</v>
      </c>
      <c r="P33" s="38" t="n">
        <f aca="false">P30*Cartera!$D$7*Cartera!$H$7*(1+$C$8)^(P$3-1)</f>
        <v>1.82376647699381</v>
      </c>
      <c r="Q33" s="38" t="n">
        <f aca="false">Q30*Cartera!$D$7*Cartera!$H$7*(1+$C$8)^(Q$3-1)</f>
        <v>1.51229807164699</v>
      </c>
      <c r="R33" s="38" t="n">
        <f aca="false">R30*Cartera!$D$7*Cartera!$H$7*(1+$C$8)^(R$3-1)</f>
        <v>1.22805631544506</v>
      </c>
      <c r="S33" s="38" t="n">
        <f aca="false">S30*Cartera!$D$7*Cartera!$H$7*(1+$C$8)^(S$3-1)</f>
        <v>0.974254722020827</v>
      </c>
      <c r="T33" s="38" t="n">
        <f aca="false">T30*Cartera!$D$7*Cartera!$H$7*(1+$C$8)^(T$3-1)</f>
        <v>0.753031106372857</v>
      </c>
      <c r="U33" s="38" t="n">
        <f aca="false">U30*Cartera!$D$7*Cartera!$H$7*(1+$C$8)^(U$3-1)</f>
        <v>0.565296047894266</v>
      </c>
      <c r="V33" s="38" t="n">
        <f aca="false">V30*Cartera!$D$7*Cartera!$H$7*(1+$C$8)^(V$3-1)</f>
        <v>0.410663059517571</v>
      </c>
      <c r="W33" s="38" t="n">
        <f aca="false">W30*Cartera!$D$7*Cartera!$H$7*(1+$C$8)^(W$3-1)</f>
        <v>0.287479632733427</v>
      </c>
      <c r="X33" s="38" t="n">
        <f aca="false">X30*Cartera!$D$7*Cartera!$H$7*(1+$C$8)^(X$3-1)</f>
        <v>0.192968149814893</v>
      </c>
      <c r="Y33" s="38" t="n">
        <f aca="false">Y30*Cartera!$D$7*Cartera!$H$7*(1+$C$8)^(Y$3-1)</f>
        <v>0.123471214370286</v>
      </c>
      <c r="Z33" s="38" t="n">
        <f aca="false">Z30*Cartera!$D$7*Cartera!$H$7*(1+$C$8)^(Z$3-1)</f>
        <v>0.0747790533276946</v>
      </c>
      <c r="AA33" s="38" t="n">
        <f aca="false">AA30*Cartera!$D$7*Cartera!$H$7*(1+$C$8)^(AA$3-1)</f>
        <v>0.0425004605385507</v>
      </c>
      <c r="AB33" s="38" t="n">
        <f aca="false">AB30*Cartera!$D$7*Cartera!$H$7*(1+$C$8)^(AB$3-1)</f>
        <v>0.022427423943891</v>
      </c>
    </row>
    <row r="34" customFormat="false" ht="15" hidden="false" customHeight="false" outlineLevel="0" collapsed="false">
      <c r="B34" s="3" t="s">
        <v>197</v>
      </c>
      <c r="C34" s="33" t="n">
        <f aca="false">SUM(D34:AB34)+0.5</f>
        <v>8.10298511184678</v>
      </c>
      <c r="D34" s="34" t="n">
        <f aca="false">D30-D31</f>
        <v>0.9335</v>
      </c>
      <c r="E34" s="34" t="n">
        <f aca="false">E30-E31</f>
        <v>0.8658352525</v>
      </c>
      <c r="F34" s="34" t="n">
        <f aca="false">F30-F31</f>
        <v>0.797426778077566</v>
      </c>
      <c r="G34" s="34" t="n">
        <f aca="false">G30-G31</f>
        <v>0.72875283967893</v>
      </c>
      <c r="H34" s="34" t="n">
        <f aca="false">H30-H31</f>
        <v>0.660344681581647</v>
      </c>
      <c r="I34" s="34" t="n">
        <f aca="false">I30-I31</f>
        <v>0.592779208901087</v>
      </c>
      <c r="J34" s="34" t="n">
        <f aca="false">J30-J31</f>
        <v>0.526668228783762</v>
      </c>
      <c r="K34" s="34" t="n">
        <f aca="false">K30-K31</f>
        <v>0.462644015410883</v>
      </c>
      <c r="L34" s="34" t="n">
        <f aca="false">L30-L31</f>
        <v>0.401341177840517</v>
      </c>
      <c r="M34" s="34" t="n">
        <f aca="false">M30-M31</f>
        <v>0.343375109080651</v>
      </c>
      <c r="N34" s="34" t="n">
        <f aca="false">N30-N31</f>
        <v>0.289317674040874</v>
      </c>
      <c r="O34" s="34" t="n">
        <f aca="false">O30-O31</f>
        <v>0.239671236827369</v>
      </c>
      <c r="P34" s="34" t="n">
        <f aca="false">P30-P31</f>
        <v>0.194842599499828</v>
      </c>
      <c r="Q34" s="34" t="n">
        <f aca="false">Q30-Q31</f>
        <v>0.155118868377288</v>
      </c>
      <c r="R34" s="34" t="n">
        <f aca="false">R30-R31</f>
        <v>0.120647601537057</v>
      </c>
      <c r="S34" s="34" t="n">
        <f aca="false">S30-S31</f>
        <v>0.0914237261723177</v>
      </c>
      <c r="T34" s="34" t="n">
        <f aca="false">T30-T31</f>
        <v>0.0672855456859116</v>
      </c>
      <c r="U34" s="34" t="n">
        <f aca="false">U30-U31</f>
        <v>0.0479215985122155</v>
      </c>
      <c r="V34" s="34" t="n">
        <f aca="false">V30-V31</f>
        <v>0.0328891437859449</v>
      </c>
      <c r="W34" s="34" t="n">
        <f aca="false">W30-W31</f>
        <v>0.0216436721713874</v>
      </c>
      <c r="X34" s="34" t="n">
        <f aca="false">X30-X31</f>
        <v>0.0135772202181768</v>
      </c>
      <c r="Y34" s="34" t="n">
        <f aca="false">Y30-Y31</f>
        <v>0.0080616684618892</v>
      </c>
      <c r="Z34" s="34" t="n">
        <f aca="false">Z30-Z31</f>
        <v>0.00449198642589936</v>
      </c>
      <c r="AA34" s="34" t="n">
        <f aca="false">AA30-AA31</f>
        <v>0.00232393523083853</v>
      </c>
      <c r="AB34" s="34" t="n">
        <f aca="false">AB30-AB31</f>
        <v>0.00110134304474002</v>
      </c>
    </row>
    <row r="36" customFormat="false" ht="15" hidden="false" customHeight="false" outlineLevel="0" collapsed="false">
      <c r="A36" s="37" t="str">
        <f aca="false">Cartera!A8&amp;" – "&amp;Cartera!B8</f>
        <v>C4 – Edad 90+, deterioro severo</v>
      </c>
    </row>
    <row r="37" customFormat="false" ht="15" hidden="false" customHeight="false" outlineLevel="0" collapsed="false">
      <c r="B37" s="3" t="s">
        <v>191</v>
      </c>
      <c r="D37" s="34" t="n">
        <f aca="false">MIN(1,Cartera!$F$8*(1+Cartera!$G$8)^(D$3-1)*$C$10)</f>
        <v>0.098</v>
      </c>
      <c r="E37" s="34" t="n">
        <f aca="false">MIN(1,Cartera!$F$8*(1+Cartera!$G$8)^(E$3-1)*$C$10)</f>
        <v>0.10584</v>
      </c>
      <c r="F37" s="34" t="n">
        <f aca="false">MIN(1,Cartera!$F$8*(1+Cartera!$G$8)^(F$3-1)*$C$10)</f>
        <v>0.1143072</v>
      </c>
      <c r="G37" s="34" t="n">
        <f aca="false">MIN(1,Cartera!$F$8*(1+Cartera!$G$8)^(G$3-1)*$C$10)</f>
        <v>0.123451776</v>
      </c>
      <c r="H37" s="34" t="n">
        <f aca="false">MIN(1,Cartera!$F$8*(1+Cartera!$G$8)^(H$3-1)*$C$10)</f>
        <v>0.13332791808</v>
      </c>
      <c r="I37" s="34" t="n">
        <f aca="false">MIN(1,Cartera!$F$8*(1+Cartera!$G$8)^(I$3-1)*$C$10)</f>
        <v>0.1439941515264</v>
      </c>
      <c r="J37" s="34" t="n">
        <f aca="false">MIN(1,Cartera!$F$8*(1+Cartera!$G$8)^(J$3-1)*$C$10)</f>
        <v>0.155513683648512</v>
      </c>
      <c r="K37" s="34" t="n">
        <f aca="false">MIN(1,Cartera!$F$8*(1+Cartera!$G$8)^(K$3-1)*$C$10)</f>
        <v>0.167954778340393</v>
      </c>
      <c r="L37" s="34" t="n">
        <f aca="false">MIN(1,Cartera!$F$8*(1+Cartera!$G$8)^(L$3-1)*$C$10)</f>
        <v>0.181391160607624</v>
      </c>
      <c r="M37" s="34" t="n">
        <f aca="false">MIN(1,Cartera!$F$8*(1+Cartera!$G$8)^(M$3-1)*$C$10)</f>
        <v>0.195902453456234</v>
      </c>
      <c r="N37" s="34" t="n">
        <f aca="false">MIN(1,Cartera!$F$8*(1+Cartera!$G$8)^(N$3-1)*$C$10)</f>
        <v>0.211574649732733</v>
      </c>
      <c r="O37" s="34" t="n">
        <f aca="false">MIN(1,Cartera!$F$8*(1+Cartera!$G$8)^(O$3-1)*$C$10)</f>
        <v>0.228500621711352</v>
      </c>
      <c r="P37" s="34" t="n">
        <f aca="false">MIN(1,Cartera!$F$8*(1+Cartera!$G$8)^(P$3-1)*$C$10)</f>
        <v>0.24678067144826</v>
      </c>
      <c r="Q37" s="34" t="n">
        <f aca="false">MIN(1,Cartera!$F$8*(1+Cartera!$G$8)^(Q$3-1)*$C$10)</f>
        <v>0.266523125164121</v>
      </c>
      <c r="R37" s="34" t="n">
        <f aca="false">MIN(1,Cartera!$F$8*(1+Cartera!$G$8)^(R$3-1)*$C$10)</f>
        <v>0.287844975177251</v>
      </c>
      <c r="S37" s="34" t="n">
        <f aca="false">MIN(1,Cartera!$F$8*(1+Cartera!$G$8)^(S$3-1)*$C$10)</f>
        <v>0.310872573191431</v>
      </c>
      <c r="T37" s="34" t="n">
        <f aca="false">MIN(1,Cartera!$F$8*(1+Cartera!$G$8)^(T$3-1)*$C$10)</f>
        <v>0.335742379046745</v>
      </c>
      <c r="U37" s="34" t="n">
        <f aca="false">MIN(1,Cartera!$F$8*(1+Cartera!$G$8)^(U$3-1)*$C$10)</f>
        <v>0.362601769370485</v>
      </c>
      <c r="V37" s="34" t="n">
        <f aca="false">MIN(1,Cartera!$F$8*(1+Cartera!$G$8)^(V$3-1)*$C$10)</f>
        <v>0.391609910920124</v>
      </c>
      <c r="W37" s="34" t="n">
        <f aca="false">MIN(1,Cartera!$F$8*(1+Cartera!$G$8)^(W$3-1)*$C$10)</f>
        <v>0.422938703793734</v>
      </c>
      <c r="X37" s="34" t="n">
        <f aca="false">MIN(1,Cartera!$F$8*(1+Cartera!$G$8)^(X$3-1)*$C$10)</f>
        <v>0.456773800097232</v>
      </c>
      <c r="Y37" s="34" t="n">
        <f aca="false">MIN(1,Cartera!$F$8*(1+Cartera!$G$8)^(Y$3-1)*$C$10)</f>
        <v>0.493315704105011</v>
      </c>
      <c r="Z37" s="34" t="n">
        <f aca="false">MIN(1,Cartera!$F$8*(1+Cartera!$G$8)^(Z$3-1)*$C$10)</f>
        <v>0.532780960433412</v>
      </c>
      <c r="AA37" s="34" t="n">
        <f aca="false">MIN(1,Cartera!$F$8*(1+Cartera!$G$8)^(AA$3-1)*$C$10)</f>
        <v>0.575403437268085</v>
      </c>
      <c r="AB37" s="34" t="n">
        <f aca="false">MIN(1,Cartera!$F$8*(1+Cartera!$G$8)^(AB$3-1)*$C$10)</f>
        <v>0.621435712249532</v>
      </c>
    </row>
    <row r="38" customFormat="false" ht="15" hidden="false" customHeight="false" outlineLevel="0" collapsed="false">
      <c r="B38" s="3" t="s">
        <v>192</v>
      </c>
      <c r="C38" s="3" t="s">
        <v>193</v>
      </c>
      <c r="D38" s="34" t="n">
        <f aca="false">1</f>
        <v>1</v>
      </c>
      <c r="E38" s="34" t="n">
        <f aca="false">D42</f>
        <v>0.902</v>
      </c>
      <c r="F38" s="34" t="n">
        <f aca="false">E42</f>
        <v>0.80653232</v>
      </c>
      <c r="G38" s="34" t="n">
        <f aca="false">F42</f>
        <v>0.714339868791296</v>
      </c>
      <c r="H38" s="34" t="n">
        <f aca="false">G42</f>
        <v>0.626153343321404</v>
      </c>
      <c r="I38" s="34" t="n">
        <f aca="false">H42</f>
        <v>0.542669621657529</v>
      </c>
      <c r="J38" s="34" t="n">
        <f aca="false">I42</f>
        <v>0.464528369927801</v>
      </c>
      <c r="K38" s="34" t="n">
        <f aca="false">J42</f>
        <v>0.39228785196109</v>
      </c>
      <c r="L38" s="34" t="n">
        <f aca="false">K42</f>
        <v>0.326401232739336</v>
      </c>
      <c r="M38" s="34" t="n">
        <f aca="false">L42</f>
        <v>0.267194934308989</v>
      </c>
      <c r="N38" s="34" t="n">
        <f aca="false">M42</f>
        <v>0.21485079112678</v>
      </c>
      <c r="O38" s="34" t="n">
        <f aca="false">N42</f>
        <v>0.169393810249331</v>
      </c>
      <c r="P38" s="34" t="n">
        <f aca="false">O42</f>
        <v>0.130687219293304</v>
      </c>
      <c r="Q38" s="34" t="n">
        <f aca="false">P42</f>
        <v>0.0984361395663966</v>
      </c>
      <c r="R38" s="34" t="n">
        <f aca="false">Q42</f>
        <v>0.072200632020069</v>
      </c>
      <c r="S38" s="34" t="n">
        <f aca="false">R42</f>
        <v>0.0514180428884704</v>
      </c>
      <c r="T38" s="34" t="n">
        <f aca="false">S42</f>
        <v>0.0354335835872643</v>
      </c>
      <c r="U38" s="34" t="n">
        <f aca="false">T42</f>
        <v>0.0235370279355245</v>
      </c>
      <c r="V38" s="34" t="n">
        <f aca="false">U42</f>
        <v>0.0150024599603808</v>
      </c>
      <c r="W38" s="34" t="n">
        <f aca="false">V42</f>
        <v>0.00912734795171334</v>
      </c>
      <c r="X38" s="34" t="n">
        <f aca="false">W42</f>
        <v>0.00526703923994131</v>
      </c>
      <c r="Y38" s="34" t="n">
        <f aca="false">X42</f>
        <v>0.00286119371105208</v>
      </c>
      <c r="Z38" s="34" t="n">
        <f aca="false">Y42</f>
        <v>0.00144972192090359</v>
      </c>
      <c r="AA38" s="34" t="n">
        <f aca="false">Z42</f>
        <v>0.000677337683523207</v>
      </c>
      <c r="AB38" s="34" t="n">
        <f aca="false">AA42</f>
        <v>0.000287595252232751</v>
      </c>
    </row>
    <row r="39" customFormat="false" ht="15" hidden="false" customHeight="false" outlineLevel="0" collapsed="false">
      <c r="B39" s="3" t="s">
        <v>194</v>
      </c>
      <c r="D39" s="34" t="n">
        <f aca="false">D38*D37</f>
        <v>0.098</v>
      </c>
      <c r="E39" s="34" t="n">
        <f aca="false">E38*E37</f>
        <v>0.09546768</v>
      </c>
      <c r="F39" s="34" t="n">
        <f aca="false">F38*F37</f>
        <v>0.092192451208704</v>
      </c>
      <c r="G39" s="34" t="n">
        <f aca="false">G38*G37</f>
        <v>0.0881865254698925</v>
      </c>
      <c r="H39" s="34" t="n">
        <f aca="false">H38*H37</f>
        <v>0.0834837216638742</v>
      </c>
      <c r="I39" s="34" t="n">
        <f aca="false">I38*I37</f>
        <v>0.0781412517297285</v>
      </c>
      <c r="J39" s="34" t="n">
        <f aca="false">J38*J37</f>
        <v>0.072240517966711</v>
      </c>
      <c r="K39" s="34" t="n">
        <f aca="false">K38*K37</f>
        <v>0.0658866192217538</v>
      </c>
      <c r="L39" s="34" t="n">
        <f aca="false">L38*L37</f>
        <v>0.0592062984303475</v>
      </c>
      <c r="M39" s="34" t="n">
        <f aca="false">M38*M37</f>
        <v>0.0523441431822083</v>
      </c>
      <c r="N39" s="34" t="n">
        <f aca="false">N38*N37</f>
        <v>0.0454569808774492</v>
      </c>
      <c r="O39" s="34" t="n">
        <f aca="false">O38*O37</f>
        <v>0.0387065909560269</v>
      </c>
      <c r="P39" s="34" t="n">
        <f aca="false">P38*P37</f>
        <v>0.0322510797269076</v>
      </c>
      <c r="Q39" s="34" t="n">
        <f aca="false">Q38*Q37</f>
        <v>0.0262355075463276</v>
      </c>
      <c r="R39" s="34" t="n">
        <f aca="false">R38*R37</f>
        <v>0.0207825891315986</v>
      </c>
      <c r="S39" s="34" t="n">
        <f aca="false">S38*S37</f>
        <v>0.0159844593012061</v>
      </c>
      <c r="T39" s="34" t="n">
        <f aca="false">T38*T37</f>
        <v>0.0118965556517398</v>
      </c>
      <c r="U39" s="34" t="n">
        <f aca="false">U38*U37</f>
        <v>0.0085345679751437</v>
      </c>
      <c r="V39" s="34" t="n">
        <f aca="false">V38*V37</f>
        <v>0.00587511200866743</v>
      </c>
      <c r="W39" s="34" t="n">
        <f aca="false">W38*W37</f>
        <v>0.00386030871177203</v>
      </c>
      <c r="X39" s="34" t="n">
        <f aca="false">X38*X37</f>
        <v>0.00240584552888923</v>
      </c>
      <c r="Y39" s="34" t="n">
        <f aca="false">Y38*Y37</f>
        <v>0.00141147179014849</v>
      </c>
      <c r="Z39" s="34" t="n">
        <f aca="false">Z38*Z37</f>
        <v>0.000772384237380387</v>
      </c>
      <c r="AA39" s="34" t="n">
        <f aca="false">AA38*AA37</f>
        <v>0.000389742431290455</v>
      </c>
      <c r="AB39" s="34" t="n">
        <f aca="false">AB38*AB37</f>
        <v>0.000178721960410844</v>
      </c>
    </row>
    <row r="40" customFormat="false" ht="15" hidden="false" customHeight="false" outlineLevel="0" collapsed="false">
      <c r="B40" s="3" t="s">
        <v>195</v>
      </c>
      <c r="D40" s="38" t="n">
        <f aca="false">D39*Cartera!$D$8</f>
        <v>7.84</v>
      </c>
      <c r="E40" s="38" t="n">
        <f aca="false">E39*Cartera!$D$8</f>
        <v>7.6374144</v>
      </c>
      <c r="F40" s="38" t="n">
        <f aca="false">F39*Cartera!$D$8</f>
        <v>7.37539609669632</v>
      </c>
      <c r="G40" s="38" t="n">
        <f aca="false">G39*Cartera!$D$8</f>
        <v>7.0549220375914</v>
      </c>
      <c r="H40" s="38" t="n">
        <f aca="false">H39*Cartera!$D$8</f>
        <v>6.67869773310994</v>
      </c>
      <c r="I40" s="38" t="n">
        <f aca="false">I39*Cartera!$D$8</f>
        <v>6.25130013837828</v>
      </c>
      <c r="J40" s="38" t="n">
        <f aca="false">J39*Cartera!$D$8</f>
        <v>5.77924143733688</v>
      </c>
      <c r="K40" s="38" t="n">
        <f aca="false">K39*Cartera!$D$8</f>
        <v>5.2709295377403</v>
      </c>
      <c r="L40" s="38" t="n">
        <f aca="false">L39*Cartera!$D$8</f>
        <v>4.7365038744278</v>
      </c>
      <c r="M40" s="38" t="n">
        <f aca="false">M39*Cartera!$D$8</f>
        <v>4.18753145457666</v>
      </c>
      <c r="N40" s="38" t="n">
        <f aca="false">N39*Cartera!$D$8</f>
        <v>3.63655847019593</v>
      </c>
      <c r="O40" s="38" t="n">
        <f aca="false">O39*Cartera!$D$8</f>
        <v>3.09652727648215</v>
      </c>
      <c r="P40" s="38" t="n">
        <f aca="false">P39*Cartera!$D$8</f>
        <v>2.58008637815261</v>
      </c>
      <c r="Q40" s="38" t="n">
        <f aca="false">Q39*Cartera!$D$8</f>
        <v>2.09884060370621</v>
      </c>
      <c r="R40" s="38" t="n">
        <f aca="false">R39*Cartera!$D$8</f>
        <v>1.66260713052789</v>
      </c>
      <c r="S40" s="38" t="n">
        <f aca="false">S39*Cartera!$D$8</f>
        <v>1.27875674409649</v>
      </c>
      <c r="T40" s="38" t="n">
        <f aca="false">T39*Cartera!$D$8</f>
        <v>0.951724452139185</v>
      </c>
      <c r="U40" s="38" t="n">
        <f aca="false">U39*Cartera!$D$8</f>
        <v>0.682765438011496</v>
      </c>
      <c r="V40" s="38" t="n">
        <f aca="false">V39*Cartera!$D$8</f>
        <v>0.470008960693395</v>
      </c>
      <c r="W40" s="38" t="n">
        <f aca="false">W39*Cartera!$D$8</f>
        <v>0.308824696941762</v>
      </c>
      <c r="X40" s="38" t="n">
        <f aca="false">X39*Cartera!$D$8</f>
        <v>0.192467642311138</v>
      </c>
      <c r="Y40" s="38" t="n">
        <f aca="false">Y39*Cartera!$D$8</f>
        <v>0.112917743211879</v>
      </c>
      <c r="Z40" s="38" t="n">
        <f aca="false">Z39*Cartera!$D$8</f>
        <v>0.061790738990431</v>
      </c>
      <c r="AA40" s="38" t="n">
        <f aca="false">AA39*Cartera!$D$8</f>
        <v>0.0311793945032364</v>
      </c>
      <c r="AB40" s="38" t="n">
        <f aca="false">AB39*Cartera!$D$8</f>
        <v>0.0142977568328675</v>
      </c>
    </row>
    <row r="41" customFormat="false" ht="15" hidden="false" customHeight="false" outlineLevel="0" collapsed="false">
      <c r="B41" s="3" t="s">
        <v>196</v>
      </c>
      <c r="D41" s="38" t="n">
        <f aca="false">D38*Cartera!$D$8*Cartera!$H$8*(1+$C$8)^(D$3-1)</f>
        <v>5.6</v>
      </c>
      <c r="E41" s="38" t="n">
        <f aca="false">E38*Cartera!$D$8*Cartera!$H$8*(1+$C$8)^(E$3-1)</f>
        <v>5.152224</v>
      </c>
      <c r="F41" s="38" t="n">
        <f aca="false">F38*Cartera!$D$8*Cartera!$H$8*(1+$C$8)^(F$3-1)</f>
        <v>4.6990508640768</v>
      </c>
      <c r="G41" s="38" t="n">
        <f aca="false">G38*Cartera!$D$8*Cartera!$H$8*(1+$C$8)^(G$3-1)</f>
        <v>4.24515382748953</v>
      </c>
      <c r="H41" s="38" t="n">
        <f aca="false">H38*Cartera!$D$8*Cartera!$H$8*(1+$C$8)^(H$3-1)</f>
        <v>3.79550368905461</v>
      </c>
      <c r="I41" s="38" t="n">
        <f aca="false">I38*Cartera!$D$8*Cartera!$H$8*(1+$C$8)^(I$3-1)</f>
        <v>3.35524622581056</v>
      </c>
      <c r="J41" s="38" t="n">
        <f aca="false">J38*Cartera!$D$8*Cartera!$H$8*(1+$C$8)^(J$3-1)</f>
        <v>2.92955260021007</v>
      </c>
      <c r="K41" s="38" t="n">
        <f aca="false">K38*Cartera!$D$8*Cartera!$H$8*(1+$C$8)^(K$3-1)</f>
        <v>2.52344642558751</v>
      </c>
      <c r="L41" s="38" t="n">
        <f aca="false">L38*Cartera!$D$8*Cartera!$H$8*(1+$C$8)^(L$3-1)</f>
        <v>2.14161397133458</v>
      </c>
      <c r="M41" s="38" t="n">
        <f aca="false">M38*Cartera!$D$8*Cartera!$H$8*(1+$C$8)^(M$3-1)</f>
        <v>1.78820701005071</v>
      </c>
      <c r="N41" s="38" t="n">
        <f aca="false">N38*Cartera!$D$8*Cartera!$H$8*(1+$C$8)^(N$3-1)</f>
        <v>1.46665072688402</v>
      </c>
      <c r="O41" s="38" t="n">
        <f aca="false">O38*Cartera!$D$8*Cartera!$H$8*(1+$C$8)^(O$3-1)</f>
        <v>1.17947150532454</v>
      </c>
      <c r="P41" s="38" t="n">
        <f aca="false">P38*Cartera!$D$8*Cartera!$H$8*(1+$C$8)^(P$3-1)</f>
        <v>0.928160763728403</v>
      </c>
      <c r="Q41" s="38" t="n">
        <f aca="false">Q38*Cartera!$D$8*Cartera!$H$8*(1+$C$8)^(Q$3-1)</f>
        <v>0.713090799788449</v>
      </c>
      <c r="R41" s="38" t="n">
        <f aca="false">R38*Cartera!$D$8*Cartera!$H$8*(1+$C$8)^(R$3-1)</f>
        <v>0.53349632352911</v>
      </c>
      <c r="S41" s="38" t="n">
        <f aca="false">S38*Cartera!$D$8*Cartera!$H$8*(1+$C$8)^(S$3-1)</f>
        <v>0.387530729276233</v>
      </c>
      <c r="T41" s="38" t="n">
        <f aca="false">T38*Cartera!$D$8*Cartera!$H$8*(1+$C$8)^(T$3-1)</f>
        <v>0.272399215360887</v>
      </c>
      <c r="U41" s="38" t="n">
        <f aca="false">U38*Cartera!$D$8*Cartera!$H$8*(1+$C$8)^(U$3-1)</f>
        <v>0.184562119840059</v>
      </c>
      <c r="V41" s="38" t="n">
        <f aca="false">V38*Cartera!$D$8*Cartera!$H$8*(1+$C$8)^(V$3-1)</f>
        <v>0.119992359999832</v>
      </c>
      <c r="W41" s="38" t="n">
        <f aca="false">W38*Cartera!$D$8*Cartera!$H$8*(1+$C$8)^(W$3-1)</f>
        <v>0.0744622058409864</v>
      </c>
      <c r="X41" s="38" t="n">
        <f aca="false">X38*Cartera!$D$8*Cartera!$H$8*(1+$C$8)^(X$3-1)</f>
        <v>0.043828642161397</v>
      </c>
      <c r="Y41" s="38" t="n">
        <f aca="false">Y38*Cartera!$D$8*Cartera!$H$8*(1+$C$8)^(Y$3-1)</f>
        <v>0.0242850440627986</v>
      </c>
      <c r="Z41" s="38" t="n">
        <f aca="false">Z38*Cartera!$D$8*Cartera!$H$8*(1+$C$8)^(Z$3-1)</f>
        <v>0.0125509474607726</v>
      </c>
      <c r="AA41" s="38" t="n">
        <f aca="false">AA38*Cartera!$D$8*Cartera!$H$8*(1+$C$8)^(AA$3-1)</f>
        <v>0.00598132245063837</v>
      </c>
      <c r="AB41" s="38" t="n">
        <f aca="false">AB38*Cartera!$D$8*Cartera!$H$8*(1+$C$8)^(AB$3-1)</f>
        <v>0.00259044193219493</v>
      </c>
    </row>
    <row r="42" customFormat="false" ht="15" hidden="false" customHeight="false" outlineLevel="0" collapsed="false">
      <c r="B42" s="3" t="s">
        <v>197</v>
      </c>
      <c r="C42" s="33" t="n">
        <f aca="false">SUM(D42:AB42)+0.5</f>
        <v>6.37284635838615</v>
      </c>
      <c r="D42" s="34" t="n">
        <f aca="false">D38-D39</f>
        <v>0.902</v>
      </c>
      <c r="E42" s="34" t="n">
        <f aca="false">E38-E39</f>
        <v>0.80653232</v>
      </c>
      <c r="F42" s="34" t="n">
        <f aca="false">F38-F39</f>
        <v>0.714339868791296</v>
      </c>
      <c r="G42" s="34" t="n">
        <f aca="false">G38-G39</f>
        <v>0.626153343321404</v>
      </c>
      <c r="H42" s="34" t="n">
        <f aca="false">H38-H39</f>
        <v>0.542669621657529</v>
      </c>
      <c r="I42" s="34" t="n">
        <f aca="false">I38-I39</f>
        <v>0.464528369927801</v>
      </c>
      <c r="J42" s="34" t="n">
        <f aca="false">J38-J39</f>
        <v>0.39228785196109</v>
      </c>
      <c r="K42" s="34" t="n">
        <f aca="false">K38-K39</f>
        <v>0.326401232739336</v>
      </c>
      <c r="L42" s="34" t="n">
        <f aca="false">L38-L39</f>
        <v>0.267194934308989</v>
      </c>
      <c r="M42" s="34" t="n">
        <f aca="false">M38-M39</f>
        <v>0.21485079112678</v>
      </c>
      <c r="N42" s="34" t="n">
        <f aca="false">N38-N39</f>
        <v>0.169393810249331</v>
      </c>
      <c r="O42" s="34" t="n">
        <f aca="false">O38-O39</f>
        <v>0.130687219293304</v>
      </c>
      <c r="P42" s="34" t="n">
        <f aca="false">P38-P39</f>
        <v>0.0984361395663966</v>
      </c>
      <c r="Q42" s="34" t="n">
        <f aca="false">Q38-Q39</f>
        <v>0.072200632020069</v>
      </c>
      <c r="R42" s="34" t="n">
        <f aca="false">R38-R39</f>
        <v>0.0514180428884704</v>
      </c>
      <c r="S42" s="34" t="n">
        <f aca="false">S38-S39</f>
        <v>0.0354335835872643</v>
      </c>
      <c r="T42" s="34" t="n">
        <f aca="false">T38-T39</f>
        <v>0.0235370279355245</v>
      </c>
      <c r="U42" s="34" t="n">
        <f aca="false">U38-U39</f>
        <v>0.0150024599603808</v>
      </c>
      <c r="V42" s="34" t="n">
        <f aca="false">V38-V39</f>
        <v>0.00912734795171334</v>
      </c>
      <c r="W42" s="34" t="n">
        <f aca="false">W38-W39</f>
        <v>0.00526703923994131</v>
      </c>
      <c r="X42" s="34" t="n">
        <f aca="false">X38-X39</f>
        <v>0.00286119371105208</v>
      </c>
      <c r="Y42" s="34" t="n">
        <f aca="false">Y38-Y39</f>
        <v>0.00144972192090359</v>
      </c>
      <c r="Z42" s="34" t="n">
        <f aca="false">Z38-Z39</f>
        <v>0.000677337683523207</v>
      </c>
      <c r="AA42" s="34" t="n">
        <f aca="false">AA38-AA39</f>
        <v>0.000287595252232751</v>
      </c>
      <c r="AB42" s="34" t="n">
        <f aca="false">AB38-AB39</f>
        <v>0.000108873291821908</v>
      </c>
    </row>
    <row r="44" customFormat="false" ht="15" hidden="false" customHeight="false" outlineLevel="0" collapsed="false">
      <c r="A44" s="37" t="str">
        <f aca="false">Cartera!A9&amp;" – "&amp;Cartera!B9</f>
        <v>C5 – Edad 70–74, enfermedad crónica</v>
      </c>
    </row>
    <row r="45" customFormat="false" ht="15" hidden="false" customHeight="false" outlineLevel="0" collapsed="false">
      <c r="B45" s="3" t="s">
        <v>191</v>
      </c>
      <c r="D45" s="34" t="n">
        <f aca="false">MIN(1,Cartera!$F$9*(1+Cartera!$G$9)^(D$3-1)*$C$10)</f>
        <v>0.035</v>
      </c>
      <c r="E45" s="34" t="n">
        <f aca="false">MIN(1,Cartera!$F$9*(1+Cartera!$G$9)^(E$3-1)*$C$10)</f>
        <v>0.0392</v>
      </c>
      <c r="F45" s="34" t="n">
        <f aca="false">MIN(1,Cartera!$F$9*(1+Cartera!$G$9)^(F$3-1)*$C$10)</f>
        <v>0.043904</v>
      </c>
      <c r="G45" s="34" t="n">
        <f aca="false">MIN(1,Cartera!$F$9*(1+Cartera!$G$9)^(G$3-1)*$C$10)</f>
        <v>0.04917248</v>
      </c>
      <c r="H45" s="34" t="n">
        <f aca="false">MIN(1,Cartera!$F$9*(1+Cartera!$G$9)^(H$3-1)*$C$10)</f>
        <v>0.0550731776</v>
      </c>
      <c r="I45" s="34" t="n">
        <f aca="false">MIN(1,Cartera!$F$9*(1+Cartera!$G$9)^(I$3-1)*$C$10)</f>
        <v>0.061681958912</v>
      </c>
      <c r="J45" s="34" t="n">
        <f aca="false">MIN(1,Cartera!$F$9*(1+Cartera!$G$9)^(J$3-1)*$C$10)</f>
        <v>0.06908379398144</v>
      </c>
      <c r="K45" s="34" t="n">
        <f aca="false">MIN(1,Cartera!$F$9*(1+Cartera!$G$9)^(K$3-1)*$C$10)</f>
        <v>0.0773738492592129</v>
      </c>
      <c r="L45" s="34" t="n">
        <f aca="false">MIN(1,Cartera!$F$9*(1+Cartera!$G$9)^(L$3-1)*$C$10)</f>
        <v>0.0866587111703184</v>
      </c>
      <c r="M45" s="34" t="n">
        <f aca="false">MIN(1,Cartera!$F$9*(1+Cartera!$G$9)^(M$3-1)*$C$10)</f>
        <v>0.0970577565107566</v>
      </c>
      <c r="N45" s="34" t="n">
        <f aca="false">MIN(1,Cartera!$F$9*(1+Cartera!$G$9)^(N$3-1)*$C$10)</f>
        <v>0.108704687292047</v>
      </c>
      <c r="O45" s="34" t="n">
        <f aca="false">MIN(1,Cartera!$F$9*(1+Cartera!$G$9)^(O$3-1)*$C$10)</f>
        <v>0.121749249767093</v>
      </c>
      <c r="P45" s="34" t="n">
        <f aca="false">MIN(1,Cartera!$F$9*(1+Cartera!$G$9)^(P$3-1)*$C$10)</f>
        <v>0.136359159739144</v>
      </c>
      <c r="Q45" s="34" t="n">
        <f aca="false">MIN(1,Cartera!$F$9*(1+Cartera!$G$9)^(Q$3-1)*$C$10)</f>
        <v>0.152722258907842</v>
      </c>
      <c r="R45" s="34" t="n">
        <f aca="false">MIN(1,Cartera!$F$9*(1+Cartera!$G$9)^(R$3-1)*$C$10)</f>
        <v>0.171048929976783</v>
      </c>
      <c r="S45" s="34" t="n">
        <f aca="false">MIN(1,Cartera!$F$9*(1+Cartera!$G$9)^(S$3-1)*$C$10)</f>
        <v>0.191574801573997</v>
      </c>
      <c r="T45" s="34" t="n">
        <f aca="false">MIN(1,Cartera!$F$9*(1+Cartera!$G$9)^(T$3-1)*$C$10)</f>
        <v>0.214563777762876</v>
      </c>
      <c r="U45" s="34" t="n">
        <f aca="false">MIN(1,Cartera!$F$9*(1+Cartera!$G$9)^(U$3-1)*$C$10)</f>
        <v>0.240311431094421</v>
      </c>
      <c r="V45" s="34" t="n">
        <f aca="false">MIN(1,Cartera!$F$9*(1+Cartera!$G$9)^(V$3-1)*$C$10)</f>
        <v>0.269148802825752</v>
      </c>
      <c r="W45" s="34" t="n">
        <f aca="false">MIN(1,Cartera!$F$9*(1+Cartera!$G$9)^(W$3-1)*$C$10)</f>
        <v>0.301446659164842</v>
      </c>
      <c r="X45" s="34" t="n">
        <f aca="false">MIN(1,Cartera!$F$9*(1+Cartera!$G$9)^(X$3-1)*$C$10)</f>
        <v>0.337620258264623</v>
      </c>
      <c r="Y45" s="34" t="n">
        <f aca="false">MIN(1,Cartera!$F$9*(1+Cartera!$G$9)^(Y$3-1)*$C$10)</f>
        <v>0.378134689256378</v>
      </c>
      <c r="Z45" s="34" t="n">
        <f aca="false">MIN(1,Cartera!$F$9*(1+Cartera!$G$9)^(Z$3-1)*$C$10)</f>
        <v>0.423510851967144</v>
      </c>
      <c r="AA45" s="34" t="n">
        <f aca="false">MIN(1,Cartera!$F$9*(1+Cartera!$G$9)^(AA$3-1)*$C$10)</f>
        <v>0.474332154203201</v>
      </c>
      <c r="AB45" s="34" t="n">
        <f aca="false">MIN(1,Cartera!$F$9*(1+Cartera!$G$9)^(AB$3-1)*$C$10)</f>
        <v>0.531252012707585</v>
      </c>
    </row>
    <row r="46" customFormat="false" ht="15" hidden="false" customHeight="false" outlineLevel="0" collapsed="false">
      <c r="B46" s="3" t="s">
        <v>192</v>
      </c>
      <c r="C46" s="3" t="s">
        <v>193</v>
      </c>
      <c r="D46" s="34" t="n">
        <f aca="false">1</f>
        <v>1</v>
      </c>
      <c r="E46" s="34" t="n">
        <f aca="false">D50</f>
        <v>0.965</v>
      </c>
      <c r="F46" s="34" t="n">
        <f aca="false">E50</f>
        <v>0.927172</v>
      </c>
      <c r="G46" s="34" t="n">
        <f aca="false">F50</f>
        <v>0.886465440512</v>
      </c>
      <c r="H46" s="34" t="n">
        <f aca="false">G50</f>
        <v>0.842875736367733</v>
      </c>
      <c r="I46" s="34" t="n">
        <f aca="false">H50</f>
        <v>0.796455891244022</v>
      </c>
      <c r="J46" s="34" t="n">
        <f aca="false">I50</f>
        <v>0.747328931685088</v>
      </c>
      <c r="K46" s="34" t="n">
        <f aca="false">J50</f>
        <v>0.695700613732185</v>
      </c>
      <c r="L46" s="34" t="n">
        <f aca="false">K50</f>
        <v>0.641871579315729</v>
      </c>
      <c r="M46" s="34" t="n">
        <f aca="false">L50</f>
        <v>0.586247815515371</v>
      </c>
      <c r="N46" s="34" t="n">
        <f aca="false">M50</f>
        <v>0.529347917782118</v>
      </c>
      <c r="O46" s="34" t="n">
        <f aca="false">N50</f>
        <v>0.471805317910916</v>
      </c>
      <c r="P46" s="34" t="n">
        <f aca="false">O50</f>
        <v>0.414363374419137</v>
      </c>
      <c r="Q46" s="34" t="n">
        <f aca="false">P50</f>
        <v>0.357861132856667</v>
      </c>
      <c r="R46" s="34" t="n">
        <f aca="false">Q50</f>
        <v>0.303207772271478</v>
      </c>
      <c r="S46" s="34" t="n">
        <f aca="false">R50</f>
        <v>0.251344407263798</v>
      </c>
      <c r="T46" s="34" t="n">
        <f aca="false">S50</f>
        <v>0.203193152315502</v>
      </c>
      <c r="U46" s="34" t="n">
        <f aca="false">T50</f>
        <v>0.15959526193914</v>
      </c>
      <c r="V46" s="34" t="n">
        <f aca="false">U50</f>
        <v>0.121242696146656</v>
      </c>
      <c r="W46" s="34" t="n">
        <f aca="false">V50</f>
        <v>0.0886103696274174</v>
      </c>
      <c r="X46" s="34" t="n">
        <f aca="false">W50</f>
        <v>0.0618990697358706</v>
      </c>
      <c r="Y46" s="34" t="n">
        <f aca="false">X50</f>
        <v>0.041000689825306</v>
      </c>
      <c r="Z46" s="34" t="n">
        <f aca="false">Y50</f>
        <v>0.0254969067189168</v>
      </c>
      <c r="AA46" s="34" t="n">
        <f aca="false">Z50</f>
        <v>0.0146986900318616</v>
      </c>
      <c r="AB46" s="34" t="n">
        <f aca="false">AA50</f>
        <v>0.00772662872508355</v>
      </c>
    </row>
    <row r="47" customFormat="false" ht="15" hidden="false" customHeight="false" outlineLevel="0" collapsed="false">
      <c r="B47" s="3" t="s">
        <v>194</v>
      </c>
      <c r="D47" s="34" t="n">
        <f aca="false">D46*D45</f>
        <v>0.035</v>
      </c>
      <c r="E47" s="34" t="n">
        <f aca="false">E46*E45</f>
        <v>0.037828</v>
      </c>
      <c r="F47" s="34" t="n">
        <f aca="false">F46*F45</f>
        <v>0.040706559488</v>
      </c>
      <c r="G47" s="34" t="n">
        <f aca="false">G46*G45</f>
        <v>0.0435897041442675</v>
      </c>
      <c r="H47" s="34" t="n">
        <f aca="false">H46*H45</f>
        <v>0.0464198451237109</v>
      </c>
      <c r="I47" s="34" t="n">
        <f aca="false">I46*I45</f>
        <v>0.0491269595589341</v>
      </c>
      <c r="J47" s="34" t="n">
        <f aca="false">J46*J45</f>
        <v>0.0516283179529023</v>
      </c>
      <c r="K47" s="34" t="n">
        <f aca="false">K46*K45</f>
        <v>0.053829034416456</v>
      </c>
      <c r="L47" s="34" t="n">
        <f aca="false">L46*L45</f>
        <v>0.0556237638003579</v>
      </c>
      <c r="M47" s="34" t="n">
        <f aca="false">M46*M45</f>
        <v>0.0568998977332539</v>
      </c>
      <c r="N47" s="34" t="n">
        <f aca="false">N46*N45</f>
        <v>0.0575425998712015</v>
      </c>
      <c r="O47" s="34" t="n">
        <f aca="false">O46*O45</f>
        <v>0.0574419434917789</v>
      </c>
      <c r="P47" s="34" t="n">
        <f aca="false">P46*P45</f>
        <v>0.05650224156247</v>
      </c>
      <c r="Q47" s="34" t="n">
        <f aca="false">Q46*Q45</f>
        <v>0.0546533605851894</v>
      </c>
      <c r="R47" s="34" t="n">
        <f aca="false">R46*R45</f>
        <v>0.0518633650076803</v>
      </c>
      <c r="S47" s="34" t="n">
        <f aca="false">S46*S45</f>
        <v>0.0481512549482958</v>
      </c>
      <c r="T47" s="34" t="n">
        <f aca="false">T46*T45</f>
        <v>0.0435978903763616</v>
      </c>
      <c r="U47" s="34" t="n">
        <f aca="false">U46*U45</f>
        <v>0.0383525657924838</v>
      </c>
      <c r="V47" s="34" t="n">
        <f aca="false">V46*V45</f>
        <v>0.032632326519239</v>
      </c>
      <c r="W47" s="34" t="n">
        <f aca="false">W46*W45</f>
        <v>0.0267112998915468</v>
      </c>
      <c r="X47" s="34" t="n">
        <f aca="false">X46*X45</f>
        <v>0.0208983799105646</v>
      </c>
      <c r="Y47" s="34" t="n">
        <f aca="false">Y46*Y45</f>
        <v>0.0155037831063892</v>
      </c>
      <c r="Z47" s="34" t="n">
        <f aca="false">Z46*Z45</f>
        <v>0.0107982166870552</v>
      </c>
      <c r="AA47" s="34" t="n">
        <f aca="false">AA46*AA45</f>
        <v>0.00697206130677801</v>
      </c>
      <c r="AB47" s="34" t="n">
        <f aca="false">AB46*AB45</f>
        <v>0.00410478706164488</v>
      </c>
    </row>
    <row r="48" customFormat="false" ht="15" hidden="false" customHeight="false" outlineLevel="0" collapsed="false">
      <c r="B48" s="3" t="s">
        <v>195</v>
      </c>
      <c r="D48" s="38" t="n">
        <f aca="false">D47*Cartera!$D$9</f>
        <v>2.1</v>
      </c>
      <c r="E48" s="38" t="n">
        <f aca="false">E47*Cartera!$D$9</f>
        <v>2.26968</v>
      </c>
      <c r="F48" s="38" t="n">
        <f aca="false">F47*Cartera!$D$9</f>
        <v>2.44239356928</v>
      </c>
      <c r="G48" s="38" t="n">
        <f aca="false">G47*Cartera!$D$9</f>
        <v>2.61538224865605</v>
      </c>
      <c r="H48" s="38" t="n">
        <f aca="false">H47*Cartera!$D$9</f>
        <v>2.78519070742266</v>
      </c>
      <c r="I48" s="38" t="n">
        <f aca="false">I47*Cartera!$D$9</f>
        <v>2.94761757353605</v>
      </c>
      <c r="J48" s="38" t="n">
        <f aca="false">J47*Cartera!$D$9</f>
        <v>3.09769907717414</v>
      </c>
      <c r="K48" s="38" t="n">
        <f aca="false">K47*Cartera!$D$9</f>
        <v>3.22974206498736</v>
      </c>
      <c r="L48" s="38" t="n">
        <f aca="false">L47*Cartera!$D$9</f>
        <v>3.33742582802147</v>
      </c>
      <c r="M48" s="38" t="n">
        <f aca="false">M47*Cartera!$D$9</f>
        <v>3.41399386399523</v>
      </c>
      <c r="N48" s="38" t="n">
        <f aca="false">N47*Cartera!$D$9</f>
        <v>3.45255599227209</v>
      </c>
      <c r="O48" s="38" t="n">
        <f aca="false">O47*Cartera!$D$9</f>
        <v>3.44651660950673</v>
      </c>
      <c r="P48" s="38" t="n">
        <f aca="false">P47*Cartera!$D$9</f>
        <v>3.3901344937482</v>
      </c>
      <c r="Q48" s="38" t="n">
        <f aca="false">Q47*Cartera!$D$9</f>
        <v>3.27920163511137</v>
      </c>
      <c r="R48" s="38" t="n">
        <f aca="false">R47*Cartera!$D$9</f>
        <v>3.11180190046082</v>
      </c>
      <c r="S48" s="38" t="n">
        <f aca="false">S47*Cartera!$D$9</f>
        <v>2.88907529689775</v>
      </c>
      <c r="T48" s="38" t="n">
        <f aca="false">T47*Cartera!$D$9</f>
        <v>2.61587342258169</v>
      </c>
      <c r="U48" s="38" t="n">
        <f aca="false">U47*Cartera!$D$9</f>
        <v>2.30115394754903</v>
      </c>
      <c r="V48" s="38" t="n">
        <f aca="false">V47*Cartera!$D$9</f>
        <v>1.95793959115434</v>
      </c>
      <c r="W48" s="38" t="n">
        <f aca="false">W47*Cartera!$D$9</f>
        <v>1.60267799349281</v>
      </c>
      <c r="X48" s="38" t="n">
        <f aca="false">X47*Cartera!$D$9</f>
        <v>1.25390279463387</v>
      </c>
      <c r="Y48" s="38" t="n">
        <f aca="false">Y47*Cartera!$D$9</f>
        <v>0.930226986383355</v>
      </c>
      <c r="Z48" s="38" t="n">
        <f aca="false">Z47*Cartera!$D$9</f>
        <v>0.647893001223314</v>
      </c>
      <c r="AA48" s="38" t="n">
        <f aca="false">AA47*Cartera!$D$9</f>
        <v>0.41832367840668</v>
      </c>
      <c r="AB48" s="38" t="n">
        <f aca="false">AB47*Cartera!$D$9</f>
        <v>0.246287223698693</v>
      </c>
    </row>
    <row r="49" customFormat="false" ht="15" hidden="false" customHeight="false" outlineLevel="0" collapsed="false">
      <c r="B49" s="3" t="s">
        <v>196</v>
      </c>
      <c r="D49" s="38" t="n">
        <f aca="false">D46*Cartera!$D$9*Cartera!$H$9*(1+$C$8)^(D$3-1)</f>
        <v>2.1</v>
      </c>
      <c r="E49" s="38" t="n">
        <f aca="false">E46*Cartera!$D$9*Cartera!$H$9*(1+$C$8)^(E$3-1)</f>
        <v>2.06703</v>
      </c>
      <c r="F49" s="38" t="n">
        <f aca="false">F46*Cartera!$D$9*Cartera!$H$9*(1+$C$8)^(F$3-1)</f>
        <v>2.02572247248</v>
      </c>
      <c r="G49" s="38" t="n">
        <f aca="false">G46*Cartera!$D$9*Cartera!$H$9*(1+$C$8)^(G$3-1)</f>
        <v>1.9755208561092</v>
      </c>
      <c r="H49" s="38" t="n">
        <f aca="false">H46*Cartera!$D$9*Cartera!$H$9*(1+$C$8)^(H$3-1)</f>
        <v>1.91594718824904</v>
      </c>
      <c r="I49" s="38" t="n">
        <f aca="false">I46*Cartera!$D$9*Cartera!$H$9*(1+$C$8)^(I$3-1)</f>
        <v>1.84663848624795</v>
      </c>
      <c r="J49" s="38" t="n">
        <f aca="false">J46*Cartera!$D$9*Cartera!$H$9*(1+$C$8)^(J$3-1)</f>
        <v>1.76738889115416</v>
      </c>
      <c r="K49" s="38" t="n">
        <f aca="false">K46*Cartera!$D$9*Cartera!$H$9*(1+$C$8)^(K$3-1)</f>
        <v>1.67819678033484</v>
      </c>
      <c r="L49" s="38" t="n">
        <f aca="false">L46*Cartera!$D$9*Cartera!$H$9*(1+$C$8)^(L$3-1)</f>
        <v>1.57931520033843</v>
      </c>
      <c r="M49" s="38" t="n">
        <f aca="false">M46*Cartera!$D$9*Cartera!$H$9*(1+$C$8)^(M$3-1)</f>
        <v>1.47130285615632</v>
      </c>
      <c r="N49" s="38" t="n">
        <f aca="false">N46*Cartera!$D$9*Cartera!$H$9*(1+$C$8)^(N$3-1)</f>
        <v>1.35507153182571</v>
      </c>
      <c r="O49" s="38" t="n">
        <f aca="false">O46*Cartera!$D$9*Cartera!$H$9*(1+$C$8)^(O$3-1)</f>
        <v>1.23192428279425</v>
      </c>
      <c r="P49" s="38" t="n">
        <f aca="false">P46*Cartera!$D$9*Cartera!$H$9*(1+$C$8)^(P$3-1)</f>
        <v>1.10357719410607</v>
      </c>
      <c r="Q49" s="38" t="n">
        <f aca="false">Q46*Cartera!$D$9*Cartera!$H$9*(1+$C$8)^(Q$3-1)</f>
        <v>0.972156221914693</v>
      </c>
      <c r="R49" s="38" t="n">
        <f aca="false">R46*Cartera!$D$9*Cartera!$H$9*(1+$C$8)^(R$3-1)</f>
        <v>0.840160054246419</v>
      </c>
      <c r="S49" s="38" t="n">
        <f aca="false">S46*Cartera!$D$9*Cartera!$H$9*(1+$C$8)^(S$3-1)</f>
        <v>0.7103806074775</v>
      </c>
      <c r="T49" s="38" t="n">
        <f aca="false">T46*Cartera!$D$9*Cartera!$H$9*(1+$C$8)^(T$3-1)</f>
        <v>0.585775375229143</v>
      </c>
      <c r="U49" s="38" t="n">
        <f aca="false">U46*Cartera!$D$9*Cartera!$H$9*(1+$C$8)^(U$3-1)</f>
        <v>0.469290981755502</v>
      </c>
      <c r="V49" s="38" t="n">
        <f aca="false">V46*Cartera!$D$9*Cartera!$H$9*(1+$C$8)^(V$3-1)</f>
        <v>0.363645294216734</v>
      </c>
      <c r="W49" s="38" t="n">
        <f aca="false">W46*Cartera!$D$9*Cartera!$H$9*(1+$C$8)^(W$3-1)</f>
        <v>0.271086010597583</v>
      </c>
      <c r="X49" s="38" t="n">
        <f aca="false">X46*Cartera!$D$9*Cartera!$H$9*(1+$C$8)^(X$3-1)</f>
        <v>0.193155399123749</v>
      </c>
      <c r="Y49" s="38" t="n">
        <f aca="false">Y46*Cartera!$D$9*Cartera!$H$9*(1+$C$8)^(Y$3-1)</f>
        <v>0.13050106785411</v>
      </c>
      <c r="Z49" s="38" t="n">
        <f aca="false">Z46*Cartera!$D$9*Cartera!$H$9*(1+$C$8)^(Z$3-1)</f>
        <v>0.0827771688557401</v>
      </c>
      <c r="AA49" s="38" t="n">
        <f aca="false">AA46*Cartera!$D$9*Cartera!$H$9*(1+$C$8)^(AA$3-1)</f>
        <v>0.0486745423412218</v>
      </c>
      <c r="AB49" s="38" t="n">
        <f aca="false">AB46*Cartera!$D$9*Cartera!$H$9*(1+$C$8)^(AB$3-1)</f>
        <v>0.0260983746540083</v>
      </c>
    </row>
    <row r="50" customFormat="false" ht="15" hidden="false" customHeight="false" outlineLevel="0" collapsed="false">
      <c r="B50" s="3" t="s">
        <v>197</v>
      </c>
      <c r="C50" s="33" t="n">
        <f aca="false">SUM(D50:AB50)+0.5</f>
        <v>10.6441332376054</v>
      </c>
      <c r="D50" s="34" t="n">
        <f aca="false">D46-D47</f>
        <v>0.965</v>
      </c>
      <c r="E50" s="34" t="n">
        <f aca="false">E46-E47</f>
        <v>0.927172</v>
      </c>
      <c r="F50" s="34" t="n">
        <f aca="false">F46-F47</f>
        <v>0.886465440512</v>
      </c>
      <c r="G50" s="34" t="n">
        <f aca="false">G46-G47</f>
        <v>0.842875736367733</v>
      </c>
      <c r="H50" s="34" t="n">
        <f aca="false">H46-H47</f>
        <v>0.796455891244022</v>
      </c>
      <c r="I50" s="34" t="n">
        <f aca="false">I46-I47</f>
        <v>0.747328931685088</v>
      </c>
      <c r="J50" s="34" t="n">
        <f aca="false">J46-J47</f>
        <v>0.695700613732185</v>
      </c>
      <c r="K50" s="34" t="n">
        <f aca="false">K46-K47</f>
        <v>0.641871579315729</v>
      </c>
      <c r="L50" s="34" t="n">
        <f aca="false">L46-L47</f>
        <v>0.586247815515371</v>
      </c>
      <c r="M50" s="34" t="n">
        <f aca="false">M46-M47</f>
        <v>0.529347917782118</v>
      </c>
      <c r="N50" s="34" t="n">
        <f aca="false">N46-N47</f>
        <v>0.471805317910916</v>
      </c>
      <c r="O50" s="34" t="n">
        <f aca="false">O46-O47</f>
        <v>0.414363374419137</v>
      </c>
      <c r="P50" s="34" t="n">
        <f aca="false">P46-P47</f>
        <v>0.357861132856667</v>
      </c>
      <c r="Q50" s="34" t="n">
        <f aca="false">Q46-Q47</f>
        <v>0.303207772271478</v>
      </c>
      <c r="R50" s="34" t="n">
        <f aca="false">R46-R47</f>
        <v>0.251344407263798</v>
      </c>
      <c r="S50" s="34" t="n">
        <f aca="false">S46-S47</f>
        <v>0.203193152315502</v>
      </c>
      <c r="T50" s="34" t="n">
        <f aca="false">T46-T47</f>
        <v>0.15959526193914</v>
      </c>
      <c r="U50" s="34" t="n">
        <f aca="false">U46-U47</f>
        <v>0.121242696146656</v>
      </c>
      <c r="V50" s="34" t="n">
        <f aca="false">V46-V47</f>
        <v>0.0886103696274174</v>
      </c>
      <c r="W50" s="34" t="n">
        <f aca="false">W46-W47</f>
        <v>0.0618990697358706</v>
      </c>
      <c r="X50" s="34" t="n">
        <f aca="false">X46-X47</f>
        <v>0.041000689825306</v>
      </c>
      <c r="Y50" s="34" t="n">
        <f aca="false">Y46-Y47</f>
        <v>0.0254969067189168</v>
      </c>
      <c r="Z50" s="34" t="n">
        <f aca="false">Z46-Z47</f>
        <v>0.0146986900318616</v>
      </c>
      <c r="AA50" s="34" t="n">
        <f aca="false">AA46-AA47</f>
        <v>0.00772662872508355</v>
      </c>
      <c r="AB50" s="34" t="n">
        <f aca="false">AB46-AB47</f>
        <v>0.00362184166343867</v>
      </c>
    </row>
    <row r="52" customFormat="false" ht="15" hidden="false" customHeight="false" outlineLevel="0" collapsed="false">
      <c r="A52" s="2" t="s">
        <v>198</v>
      </c>
    </row>
    <row r="53" customFormat="false" ht="15" hidden="false" customHeight="false" outlineLevel="0" collapsed="false">
      <c r="B53" s="3" t="s">
        <v>199</v>
      </c>
      <c r="D53" s="38" t="n">
        <f aca="false">D14*Cartera!$D$5+D22*Cartera!$D$6+D30*Cartera!$D$7+D38*Cartera!$D$8+D46*Cartera!$D$9</f>
        <v>450</v>
      </c>
      <c r="E53" s="38" t="n">
        <f aca="false">E14*Cartera!$D$5+E22*Cartera!$D$6+E30*Cartera!$D$7+E38*Cartera!$D$8+E46*Cartera!$D$9</f>
        <v>425.115</v>
      </c>
      <c r="F53" s="38" t="n">
        <f aca="false">F14*Cartera!$D$5+F22*Cartera!$D$6+F30*Cartera!$D$7+F38*Cartera!$D$8+F46*Cartera!$D$9</f>
        <v>399.660979625</v>
      </c>
      <c r="G53" s="38" t="n">
        <f aca="false">G14*Cartera!$D$5+G22*Cartera!$D$6+G30*Cartera!$D$7+G38*Cartera!$D$8+G46*Cartera!$D$9</f>
        <v>373.74726989407</v>
      </c>
      <c r="H53" s="38" t="n">
        <f aca="false">H14*Cartera!$D$5+H22*Cartera!$D$6+H30*Cartera!$D$7+H38*Cartera!$D$8+H46*Cartera!$D$9</f>
        <v>347.49976967341</v>
      </c>
      <c r="I53" s="38" t="n">
        <f aca="false">I14*Cartera!$D$5+I22*Cartera!$D$6+I30*Cartera!$D$7+I38*Cartera!$D$8+I46*Cartera!$D$9</f>
        <v>321.060810923134</v>
      </c>
      <c r="J53" s="38" t="n">
        <f aca="false">J14*Cartera!$D$5+J22*Cartera!$D$6+J30*Cartera!$D$7+J38*Cartera!$D$8+J46*Cartera!$D$9</f>
        <v>294.58855782638</v>
      </c>
      <c r="K53" s="38" t="n">
        <f aca="false">K14*Cartera!$D$5+K22*Cartera!$D$6+K30*Cartera!$D$7+K38*Cartera!$D$8+K46*Cartera!$D$9</f>
        <v>268.255858216469</v>
      </c>
      <c r="L53" s="38" t="n">
        <f aca="false">L14*Cartera!$D$5+L22*Cartera!$D$6+L30*Cartera!$D$7+L38*Cartera!$D$8+L46*Cartera!$D$9</f>
        <v>242.248465015557</v>
      </c>
      <c r="M53" s="38" t="n">
        <f aca="false">M14*Cartera!$D$5+M22*Cartera!$D$6+M30*Cartera!$D$7+M38*Cartera!$D$8+M46*Cartera!$D$9</f>
        <v>216.76254735244</v>
      </c>
      <c r="N53" s="38" t="n">
        <f aca="false">N14*Cartera!$D$5+N22*Cartera!$D$6+N30*Cartera!$D$7+N38*Cartera!$D$8+N46*Cartera!$D$9</f>
        <v>192.001416894199</v>
      </c>
      <c r="O53" s="38" t="n">
        <f aca="false">O14*Cartera!$D$5+O22*Cartera!$D$6+O30*Cartera!$D$7+O38*Cartera!$D$8+O46*Cartera!$D$9</f>
        <v>168.171406866683</v>
      </c>
      <c r="P53" s="38" t="n">
        <f aca="false">P14*Cartera!$D$5+P22*Cartera!$D$6+P30*Cartera!$D$7+P38*Cartera!$D$8+P46*Cartera!$D$9</f>
        <v>145.476862726652</v>
      </c>
      <c r="Q53" s="38" t="n">
        <f aca="false">Q14*Cartera!$D$5+Q22*Cartera!$D$6+Q30*Cartera!$D$7+Q38*Cartera!$D$8+Q46*Cartera!$D$9</f>
        <v>124.11423960477</v>
      </c>
      <c r="R53" s="38" t="n">
        <f aca="false">R14*Cartera!$D$5+R22*Cartera!$D$6+R30*Cartera!$D$7+R38*Cartera!$D$8+R46*Cartera!$D$9</f>
        <v>104.265359251633</v>
      </c>
      <c r="S53" s="38" t="n">
        <f aca="false">S14*Cartera!$D$5+S22*Cartera!$D$6+S30*Cartera!$D$7+S38*Cartera!$D$8+S46*Cartera!$D$9</f>
        <v>86.0899660771352</v>
      </c>
      <c r="T53" s="38" t="n">
        <f aca="false">T14*Cartera!$D$5+T22*Cartera!$D$6+T30*Cartera!$D$7+T38*Cartera!$D$8+T46*Cartera!$D$9</f>
        <v>69.7178449340827</v>
      </c>
      <c r="U53" s="38" t="n">
        <f aca="false">U14*Cartera!$D$5+U22*Cartera!$D$6+U30*Cartera!$D$7+U38*Cartera!$D$8+U46*Cartera!$D$9</f>
        <v>55.2409252086738</v>
      </c>
      <c r="V53" s="38" t="n">
        <f aca="false">V14*Cartera!$D$5+V22*Cartera!$D$6+V30*Cartera!$D$7+V38*Cartera!$D$8+V46*Cartera!$D$9</f>
        <v>42.7059895517238</v>
      </c>
      <c r="W53" s="38" t="n">
        <f aca="false">W14*Cartera!$D$5+W22*Cartera!$D$6+W30*Cartera!$D$7+W38*Cartera!$D$8+W46*Cartera!$D$9</f>
        <v>32.1088078989494</v>
      </c>
      <c r="X53" s="38" t="n">
        <f aca="false">X14*Cartera!$D$5+X22*Cartera!$D$6+X30*Cartera!$D$7+X38*Cartera!$D$8+X46*Cartera!$D$9</f>
        <v>23.3906824224848</v>
      </c>
      <c r="Y53" s="38" t="n">
        <f aca="false">Y14*Cartera!$D$5+Y22*Cartera!$D$6+Y30*Cartera!$D$7+Y38*Cartera!$D$8+Y46*Cartera!$D$9</f>
        <v>16.4384462179917</v>
      </c>
      <c r="Z53" s="38" t="n">
        <f aca="false">Z14*Cartera!$D$5+Z22*Cartera!$D$6+Z30*Cartera!$D$7+Z38*Cartera!$D$8+Z46*Cartera!$D$9</f>
        <v>11.0888202174765</v>
      </c>
      <c r="AA53" s="38" t="n">
        <f aca="false">AA14*Cartera!$D$5+AA22*Cartera!$D$6+AA30*Cartera!$D$7+AA38*Cartera!$D$8+AA46*Cartera!$D$9</f>
        <v>7.13761731456989</v>
      </c>
      <c r="AB53" s="38" t="n">
        <f aca="false">AB14*Cartera!$D$5+AB22*Cartera!$D$6+AB30*Cartera!$D$7+AB38*Cartera!$D$8+AB46*Cartera!$D$9</f>
        <v>4.35355558776909</v>
      </c>
    </row>
    <row r="54" customFormat="false" ht="15" hidden="false" customHeight="false" outlineLevel="0" collapsed="false">
      <c r="B54" s="3" t="s">
        <v>200</v>
      </c>
      <c r="D54" s="38" t="n">
        <f aca="false">D16+D24+D32+D40+D48</f>
        <v>24.885</v>
      </c>
      <c r="E54" s="38" t="n">
        <f aca="false">E16+E24+E32+E40+E48</f>
        <v>25.454020375</v>
      </c>
      <c r="F54" s="38" t="n">
        <f aca="false">F16+F24+F32+F40+F48</f>
        <v>25.9137097309296</v>
      </c>
      <c r="G54" s="38" t="n">
        <f aca="false">G16+G24+G32+G40+G48</f>
        <v>26.2475002206608</v>
      </c>
      <c r="H54" s="38" t="n">
        <f aca="false">H16+H24+H32+H40+H48</f>
        <v>26.4389587502752</v>
      </c>
      <c r="I54" s="38" t="n">
        <f aca="false">I16+I24+I32+I40+I48</f>
        <v>26.4722530967542</v>
      </c>
      <c r="J54" s="38" t="n">
        <f aca="false">J16+J24+J32+J40+J48</f>
        <v>26.3326996099117</v>
      </c>
      <c r="K54" s="38" t="n">
        <f aca="false">K16+K24+K32+K40+K48</f>
        <v>26.007393200912</v>
      </c>
      <c r="L54" s="38" t="n">
        <f aca="false">L16+L24+L32+L40+L48</f>
        <v>25.4859176631162</v>
      </c>
      <c r="M54" s="38" t="n">
        <f aca="false">M16+M24+M32+M40+M48</f>
        <v>24.7611304582419</v>
      </c>
      <c r="N54" s="38" t="n">
        <f aca="false">N16+N24+N32+N40+N48</f>
        <v>23.8300100275153</v>
      </c>
      <c r="O54" s="38" t="n">
        <f aca="false">O16+O24+O32+O40+O48</f>
        <v>22.6945441400311</v>
      </c>
      <c r="P54" s="38" t="n">
        <f aca="false">P16+P24+P32+P40+P48</f>
        <v>21.3626231218819</v>
      </c>
      <c r="Q54" s="38" t="n">
        <f aca="false">Q16+Q24+Q32+Q40+Q48</f>
        <v>19.8488803531371</v>
      </c>
      <c r="R54" s="38" t="n">
        <f aca="false">R16+R24+R32+R40+R48</f>
        <v>18.1753931744979</v>
      </c>
      <c r="S54" s="38" t="n">
        <f aca="false">S16+S24+S32+S40+S48</f>
        <v>16.3721211430525</v>
      </c>
      <c r="T54" s="38" t="n">
        <f aca="false">T16+T24+T32+T40+T48</f>
        <v>14.4769197254089</v>
      </c>
      <c r="U54" s="38" t="n">
        <f aca="false">U16+U24+U32+U40+U48</f>
        <v>12.53493565695</v>
      </c>
      <c r="V54" s="38" t="n">
        <f aca="false">V16+V24+V32+V40+V48</f>
        <v>10.5971816527744</v>
      </c>
      <c r="W54" s="38" t="n">
        <f aca="false">W16+W24+W32+W40+W48</f>
        <v>8.71812547646461</v>
      </c>
      <c r="X54" s="38" t="n">
        <f aca="false">X16+X24+X32+X40+X48</f>
        <v>6.95223620449309</v>
      </c>
      <c r="Y54" s="38" t="n">
        <f aca="false">Y16+Y24+Y32+Y40+Y48</f>
        <v>5.3496260005152</v>
      </c>
      <c r="Z54" s="38" t="n">
        <f aca="false">Z16+Z24+Z32+Z40+Z48</f>
        <v>3.95120290290662</v>
      </c>
      <c r="AA54" s="38" t="n">
        <f aca="false">AA16+AA24+AA32+AA40+AA48</f>
        <v>2.7840617268008</v>
      </c>
      <c r="AB54" s="38" t="n">
        <f aca="false">AB16+AB24+AB32+AB40+AB48</f>
        <v>1.85808569217233</v>
      </c>
    </row>
    <row r="55" customFormat="false" ht="15" hidden="false" customHeight="false" outlineLevel="0" collapsed="false">
      <c r="B55" s="3" t="s">
        <v>201</v>
      </c>
      <c r="D55" s="38" t="n">
        <f aca="false">-D54*$C$7</f>
        <v>-1.4931</v>
      </c>
      <c r="E55" s="38" t="n">
        <f aca="false">-E54*$C$7</f>
        <v>-1.5272412225</v>
      </c>
      <c r="F55" s="38" t="n">
        <f aca="false">-F54*$C$7</f>
        <v>-1.55482258385578</v>
      </c>
      <c r="G55" s="38" t="n">
        <f aca="false">-G54*$C$7</f>
        <v>-1.57485001323965</v>
      </c>
      <c r="H55" s="38" t="n">
        <f aca="false">-H54*$C$7</f>
        <v>-1.58633752501651</v>
      </c>
      <c r="I55" s="38" t="n">
        <f aca="false">-I54*$C$7</f>
        <v>-1.58833518580525</v>
      </c>
      <c r="J55" s="38" t="n">
        <f aca="false">-J54*$C$7</f>
        <v>-1.5799619765947</v>
      </c>
      <c r="K55" s="38" t="n">
        <f aca="false">-K54*$C$7</f>
        <v>-1.56044359205472</v>
      </c>
      <c r="L55" s="38" t="n">
        <f aca="false">-L54*$C$7</f>
        <v>-1.52915505978697</v>
      </c>
      <c r="M55" s="38" t="n">
        <f aca="false">-M54*$C$7</f>
        <v>-1.48566782749451</v>
      </c>
      <c r="N55" s="38" t="n">
        <f aca="false">-N54*$C$7</f>
        <v>-1.42980060165092</v>
      </c>
      <c r="O55" s="38" t="n">
        <f aca="false">-O54*$C$7</f>
        <v>-1.36167264840187</v>
      </c>
      <c r="P55" s="38" t="n">
        <f aca="false">-P54*$C$7</f>
        <v>-1.28175738731291</v>
      </c>
      <c r="Q55" s="38" t="n">
        <f aca="false">-Q54*$C$7</f>
        <v>-1.19093282118823</v>
      </c>
      <c r="R55" s="38" t="n">
        <f aca="false">-R54*$C$7</f>
        <v>-1.09052359046988</v>
      </c>
      <c r="S55" s="38" t="n">
        <f aca="false">-S54*$C$7</f>
        <v>-0.982327268583151</v>
      </c>
      <c r="T55" s="38" t="n">
        <f aca="false">-T54*$C$7</f>
        <v>-0.868615183524535</v>
      </c>
      <c r="U55" s="38" t="n">
        <f aca="false">-U54*$C$7</f>
        <v>-0.752096139417001</v>
      </c>
      <c r="V55" s="38" t="n">
        <f aca="false">-V54*$C$7</f>
        <v>-0.635830899166464</v>
      </c>
      <c r="W55" s="38" t="n">
        <f aca="false">-W54*$C$7</f>
        <v>-0.523087528587876</v>
      </c>
      <c r="X55" s="38" t="n">
        <f aca="false">-X54*$C$7</f>
        <v>-0.417134172269585</v>
      </c>
      <c r="Y55" s="38" t="n">
        <f aca="false">-Y54*$C$7</f>
        <v>-0.320977560030912</v>
      </c>
      <c r="Z55" s="38" t="n">
        <f aca="false">-Z54*$C$7</f>
        <v>-0.237072174174397</v>
      </c>
      <c r="AA55" s="38" t="n">
        <f aca="false">-AA54*$C$7</f>
        <v>-0.167043703608048</v>
      </c>
      <c r="AB55" s="38" t="n">
        <f aca="false">-AB54*$C$7</f>
        <v>-0.11148514153034</v>
      </c>
    </row>
    <row r="56" customFormat="false" ht="15" hidden="false" customHeight="false" outlineLevel="0" collapsed="false">
      <c r="B56" s="3" t="s">
        <v>202</v>
      </c>
      <c r="D56" s="38" t="n">
        <f aca="false">D54+D55</f>
        <v>23.3919</v>
      </c>
      <c r="E56" s="38" t="n">
        <f aca="false">E54+E55</f>
        <v>23.9267791525</v>
      </c>
      <c r="F56" s="38" t="n">
        <f aca="false">F54+F55</f>
        <v>24.3588871470738</v>
      </c>
      <c r="G56" s="38" t="n">
        <f aca="false">G54+G55</f>
        <v>24.6726502074211</v>
      </c>
      <c r="H56" s="38" t="n">
        <f aca="false">H54+H55</f>
        <v>24.8526212252587</v>
      </c>
      <c r="I56" s="38" t="n">
        <f aca="false">I54+I55</f>
        <v>24.8839179109489</v>
      </c>
      <c r="J56" s="38" t="n">
        <f aca="false">J54+J55</f>
        <v>24.752737633317</v>
      </c>
      <c r="K56" s="38" t="n">
        <f aca="false">K54+K55</f>
        <v>24.4469496088573</v>
      </c>
      <c r="L56" s="38" t="n">
        <f aca="false">L54+L55</f>
        <v>23.9567626033292</v>
      </c>
      <c r="M56" s="38" t="n">
        <f aca="false">M54+M55</f>
        <v>23.2754626307474</v>
      </c>
      <c r="N56" s="38" t="n">
        <f aca="false">N54+N55</f>
        <v>22.4002094258644</v>
      </c>
      <c r="O56" s="38" t="n">
        <f aca="false">O54+O55</f>
        <v>21.3328714916293</v>
      </c>
      <c r="P56" s="38" t="n">
        <f aca="false">P54+P55</f>
        <v>20.0808657345689</v>
      </c>
      <c r="Q56" s="38" t="n">
        <f aca="false">Q54+Q55</f>
        <v>18.6579475319489</v>
      </c>
      <c r="R56" s="38" t="n">
        <f aca="false">R54+R55</f>
        <v>17.084869584028</v>
      </c>
      <c r="S56" s="38" t="n">
        <f aca="false">S54+S55</f>
        <v>15.3897938744694</v>
      </c>
      <c r="T56" s="38" t="n">
        <f aca="false">T54+T55</f>
        <v>13.6083045418844</v>
      </c>
      <c r="U56" s="38" t="n">
        <f aca="false">U54+U55</f>
        <v>11.782839517533</v>
      </c>
      <c r="V56" s="38" t="n">
        <f aca="false">V54+V55</f>
        <v>9.96135075360793</v>
      </c>
      <c r="W56" s="38" t="n">
        <f aca="false">W54+W55</f>
        <v>8.19503794787673</v>
      </c>
      <c r="X56" s="38" t="n">
        <f aca="false">X54+X55</f>
        <v>6.5351020322235</v>
      </c>
      <c r="Y56" s="38" t="n">
        <f aca="false">Y54+Y55</f>
        <v>5.02864844048429</v>
      </c>
      <c r="Z56" s="38" t="n">
        <f aca="false">Z54+Z55</f>
        <v>3.71413072873222</v>
      </c>
      <c r="AA56" s="38" t="n">
        <f aca="false">AA54+AA55</f>
        <v>2.61701802319275</v>
      </c>
      <c r="AB56" s="38" t="n">
        <f aca="false">AB54+AB55</f>
        <v>1.74660055064199</v>
      </c>
    </row>
    <row r="57" customFormat="false" ht="15" hidden="false" customHeight="false" outlineLevel="0" collapsed="false">
      <c r="B57" s="3" t="s">
        <v>203</v>
      </c>
      <c r="D57" s="38" t="n">
        <f aca="false">-(D17+D25+D33+D41+D49)</f>
        <v>-23.3</v>
      </c>
      <c r="E57" s="38" t="n">
        <f aca="false">-(E17+E25+E33+E41+E49)</f>
        <v>-22.330146</v>
      </c>
      <c r="F57" s="38" t="n">
        <f aca="false">-(F17+F25+F33+F41+F49)</f>
        <v>-21.2904422068752</v>
      </c>
      <c r="G57" s="38" t="n">
        <f aca="false">-(G17+G25+G33+G41+G49)</f>
        <v>-20.1856504864193</v>
      </c>
      <c r="H57" s="38" t="n">
        <f aca="false">-(H17+H25+H33+H41+H49)</f>
        <v>-19.0219096596894</v>
      </c>
      <c r="I57" s="38" t="n">
        <f aca="false">-(I17+I25+I33+I41+I49)</f>
        <v>-17.8067802529206</v>
      </c>
      <c r="J57" s="38" t="n">
        <f aca="false">-(J17+J25+J33+J41+J49)</f>
        <v>-16.5492529400632</v>
      </c>
      <c r="K57" s="38" t="n">
        <f aca="false">-(K17+K25+K33+K41+K49)</f>
        <v>-15.2597130926513</v>
      </c>
      <c r="L57" s="38" t="n">
        <f aca="false">-(L17+L25+L33+L41+L49)</f>
        <v>-13.9498541669163</v>
      </c>
      <c r="M57" s="38" t="n">
        <f aca="false">-(M17+M25+M33+M41+M49)</f>
        <v>-12.6325333753149</v>
      </c>
      <c r="N57" s="38" t="n">
        <f aca="false">-(N17+N25+N33+N41+N49)</f>
        <v>-11.3215642476958</v>
      </c>
      <c r="O57" s="38" t="n">
        <f aca="false">-(O17+O25+O33+O41+O49)</f>
        <v>-10.0314423287057</v>
      </c>
      <c r="P57" s="38" t="n">
        <f aca="false">-(P17+P25+P33+P41+P49)</f>
        <v>-8.77700245209803</v>
      </c>
      <c r="Q57" s="38" t="n">
        <f aca="false">-(Q17+Q25+Q33+Q41+Q49)</f>
        <v>-7.57300890843109</v>
      </c>
      <c r="R57" s="38" t="n">
        <f aca="false">-(R17+R25+R33+R41+R49)</f>
        <v>-6.43368360337257</v>
      </c>
      <c r="S57" s="38" t="n">
        <f aca="false">-(S17+S25+S33+S41+S49)</f>
        <v>-5.3721823232901</v>
      </c>
      <c r="T57" s="38" t="n">
        <f aca="false">-(T17+T25+T33+T41+T49)</f>
        <v>-4.40003589350555</v>
      </c>
      <c r="U57" s="38" t="n">
        <f aca="false">-(U17+U25+U33+U41+U49)</f>
        <v>-3.52658169097006</v>
      </c>
      <c r="V57" s="38" t="n">
        <f aca="false">-(V17+V25+V33+V41+V49)</f>
        <v>-2.75842169614903</v>
      </c>
      <c r="W57" s="38" t="n">
        <f aca="false">-(W17+W25+W33+W41+W49)</f>
        <v>-2.09895533570579</v>
      </c>
      <c r="X57" s="38" t="n">
        <f aca="false">-(X17+X25+X33+X41+X49)</f>
        <v>-1.54804681240238</v>
      </c>
      <c r="Y57" s="38" t="n">
        <f aca="false">-(Y17+Y25+Y33+Y41+Y49)</f>
        <v>-1.10189377841672</v>
      </c>
      <c r="Z57" s="38" t="n">
        <f aca="false">-(Z17+Z25+Z33+Z41+Z49)</f>
        <v>-0.753161727401377</v>
      </c>
      <c r="AA57" s="38" t="n">
        <f aca="false">-(AA17+AA25+AA33+AA41+AA49)</f>
        <v>-0.491430240659042</v>
      </c>
      <c r="AB57" s="38" t="n">
        <f aca="false">-(AB17+AB25+AB33+AB41+AB49)</f>
        <v>-0.303958626072909</v>
      </c>
    </row>
    <row r="58" customFormat="false" ht="15" hidden="false" customHeight="false" outlineLevel="0" collapsed="false">
      <c r="B58" s="3" t="s">
        <v>204</v>
      </c>
      <c r="D58" s="38" t="n">
        <f aca="false">-(Supuestos!$C$12+Supuestos!$C$13*D53)</f>
        <v>-0.975</v>
      </c>
      <c r="E58" s="38" t="n">
        <f aca="false">-(Supuestos!$C$12+Supuestos!$C$13*E53)</f>
        <v>-0.9625575</v>
      </c>
      <c r="F58" s="38" t="n">
        <f aca="false">-(Supuestos!$C$12+Supuestos!$C$13*F53)</f>
        <v>-0.9498304898125</v>
      </c>
      <c r="G58" s="38" t="n">
        <f aca="false">-(Supuestos!$C$12+Supuestos!$C$13*G53)</f>
        <v>-0.936873634947035</v>
      </c>
      <c r="H58" s="38" t="n">
        <f aca="false">-(Supuestos!$C$12+Supuestos!$C$13*H53)</f>
        <v>-0.923749884836705</v>
      </c>
      <c r="I58" s="38" t="n">
        <f aca="false">-(Supuestos!$C$12+Supuestos!$C$13*I53)</f>
        <v>-0.910530405461567</v>
      </c>
      <c r="J58" s="38" t="n">
        <f aca="false">-(Supuestos!$C$12+Supuestos!$C$13*J53)</f>
        <v>-0.89729427891319</v>
      </c>
      <c r="K58" s="38" t="n">
        <f aca="false">-(Supuestos!$C$12+Supuestos!$C$13*K53)</f>
        <v>-0.884127929108234</v>
      </c>
      <c r="L58" s="38" t="n">
        <f aca="false">-(Supuestos!$C$12+Supuestos!$C$13*L53)</f>
        <v>-0.871124232507778</v>
      </c>
      <c r="M58" s="38" t="n">
        <f aca="false">-(Supuestos!$C$12+Supuestos!$C$13*M53)</f>
        <v>-0.85838127367622</v>
      </c>
      <c r="N58" s="38" t="n">
        <f aca="false">-(Supuestos!$C$12+Supuestos!$C$13*N53)</f>
        <v>-0.846000708447099</v>
      </c>
      <c r="O58" s="38" t="n">
        <f aca="false">-(Supuestos!$C$12+Supuestos!$C$13*O53)</f>
        <v>-0.834085703433342</v>
      </c>
      <c r="P58" s="38" t="n">
        <f aca="false">-(Supuestos!$C$12+Supuestos!$C$13*P53)</f>
        <v>-0.822738431363326</v>
      </c>
      <c r="Q58" s="38" t="n">
        <f aca="false">-(Supuestos!$C$12+Supuestos!$C$13*Q53)</f>
        <v>-0.812057119802385</v>
      </c>
      <c r="R58" s="38" t="n">
        <f aca="false">-(Supuestos!$C$12+Supuestos!$C$13*R53)</f>
        <v>-0.802132679625817</v>
      </c>
      <c r="S58" s="38" t="n">
        <f aca="false">-(Supuestos!$C$12+Supuestos!$C$13*S53)</f>
        <v>-0.793044983038568</v>
      </c>
      <c r="T58" s="38" t="n">
        <f aca="false">-(Supuestos!$C$12+Supuestos!$C$13*T53)</f>
        <v>-0.784858922467041</v>
      </c>
      <c r="U58" s="38" t="n">
        <f aca="false">-(Supuestos!$C$12+Supuestos!$C$13*U53)</f>
        <v>-0.777620462604337</v>
      </c>
      <c r="V58" s="38" t="n">
        <f aca="false">-(Supuestos!$C$12+Supuestos!$C$13*V53)</f>
        <v>-0.771352994775862</v>
      </c>
      <c r="W58" s="38" t="n">
        <f aca="false">-(Supuestos!$C$12+Supuestos!$C$13*W53)</f>
        <v>-0.766054403949475</v>
      </c>
      <c r="X58" s="38" t="n">
        <f aca="false">-(Supuestos!$C$12+Supuestos!$C$13*X53)</f>
        <v>-0.761695341211242</v>
      </c>
      <c r="Y58" s="38" t="n">
        <f aca="false">-(Supuestos!$C$12+Supuestos!$C$13*Y53)</f>
        <v>-0.758219223108996</v>
      </c>
      <c r="Z58" s="38" t="n">
        <f aca="false">-(Supuestos!$C$12+Supuestos!$C$13*Z53)</f>
        <v>-0.755544410108738</v>
      </c>
      <c r="AA58" s="38" t="n">
        <f aca="false">-(Supuestos!$C$12+Supuestos!$C$13*AA53)</f>
        <v>-0.753568808657285</v>
      </c>
      <c r="AB58" s="38" t="n">
        <f aca="false">-(Supuestos!$C$12+Supuestos!$C$13*AB53)</f>
        <v>-0.752176777793885</v>
      </c>
    </row>
    <row r="59" customFormat="false" ht="15" hidden="false" customHeight="false" outlineLevel="0" collapsed="false">
      <c r="B59" s="3" t="s">
        <v>205</v>
      </c>
      <c r="D59" s="38" t="n">
        <f aca="false">IF(D$3=Supuestos!$C$15,(D18*Cartera!$D$5+D26*Cartera!$D$6+D34*Cartera!$D$7+D42*Cartera!$D$8+D50*Cartera!$D$9)*Supuestos!$C$14*(1-$C$9),0)</f>
        <v>0</v>
      </c>
      <c r="E59" s="38" t="n">
        <f aca="false">IF(E$3=Supuestos!$C$15,(E18*Cartera!$D$5+E26*Cartera!$D$6+E34*Cartera!$D$7+E42*Cartera!$D$8+E50*Cartera!$D$9)*Supuestos!$C$14*(1-$C$9),0)</f>
        <v>0</v>
      </c>
      <c r="F59" s="38" t="n">
        <f aca="false">IF(F$3=Supuestos!$C$15,(F18*Cartera!$D$5+F26*Cartera!$D$6+F34*Cartera!$D$7+F42*Cartera!$D$8+F50*Cartera!$D$9)*Supuestos!$C$14*(1-$C$9),0)</f>
        <v>0</v>
      </c>
      <c r="G59" s="38" t="n">
        <f aca="false">IF(G$3=Supuestos!$C$15,(G18*Cartera!$D$5+G26*Cartera!$D$6+G34*Cartera!$D$7+G42*Cartera!$D$8+G50*Cartera!$D$9)*Supuestos!$C$14*(1-$C$9),0)</f>
        <v>0</v>
      </c>
      <c r="H59" s="38" t="n">
        <f aca="false">IF(H$3=Supuestos!$C$15,(H18*Cartera!$D$5+H26*Cartera!$D$6+H34*Cartera!$D$7+H42*Cartera!$D$8+H50*Cartera!$D$9)*Supuestos!$C$14*(1-$C$9),0)</f>
        <v>0</v>
      </c>
      <c r="I59" s="38" t="n">
        <f aca="false">IF(I$3=Supuestos!$C$15,(I18*Cartera!$D$5+I26*Cartera!$D$6+I34*Cartera!$D$7+I42*Cartera!$D$8+I50*Cartera!$D$9)*Supuestos!$C$14*(1-$C$9),0)</f>
        <v>0</v>
      </c>
      <c r="J59" s="38" t="n">
        <f aca="false">IF(J$3=Supuestos!$C$15,(J18*Cartera!$D$5+J26*Cartera!$D$6+J34*Cartera!$D$7+J42*Cartera!$D$8+J50*Cartera!$D$9)*Supuestos!$C$14*(1-$C$9),0)</f>
        <v>0</v>
      </c>
      <c r="K59" s="38" t="n">
        <f aca="false">IF(K$3=Supuestos!$C$15,(K18*Cartera!$D$5+K26*Cartera!$D$6+K34*Cartera!$D$7+K42*Cartera!$D$8+K50*Cartera!$D$9)*Supuestos!$C$14*(1-$C$9),0)</f>
        <v>0</v>
      </c>
      <c r="L59" s="38" t="n">
        <f aca="false">IF(L$3=Supuestos!$C$15,(L18*Cartera!$D$5+L26*Cartera!$D$6+L34*Cartera!$D$7+L42*Cartera!$D$8+L50*Cartera!$D$9)*Supuestos!$C$14*(1-$C$9),0)</f>
        <v>0</v>
      </c>
      <c r="M59" s="38" t="n">
        <f aca="false">IF(M$3=Supuestos!$C$15,(M18*Cartera!$D$5+M26*Cartera!$D$6+M34*Cartera!$D$7+M42*Cartera!$D$8+M50*Cartera!$D$9)*Supuestos!$C$14*(1-$C$9),0)</f>
        <v>0</v>
      </c>
      <c r="N59" s="38" t="n">
        <f aca="false">IF(N$3=Supuestos!$C$15,(N18*Cartera!$D$5+N26*Cartera!$D$6+N34*Cartera!$D$7+N42*Cartera!$D$8+N50*Cartera!$D$9)*Supuestos!$C$14*(1-$C$9),0)</f>
        <v>0</v>
      </c>
      <c r="O59" s="38" t="n">
        <f aca="false">IF(O$3=Supuestos!$C$15,(O18*Cartera!$D$5+O26*Cartera!$D$6+O34*Cartera!$D$7+O42*Cartera!$D$8+O50*Cartera!$D$9)*Supuestos!$C$14*(1-$C$9),0)</f>
        <v>0</v>
      </c>
      <c r="P59" s="38" t="n">
        <f aca="false">IF(P$3=Supuestos!$C$15,(P18*Cartera!$D$5+P26*Cartera!$D$6+P34*Cartera!$D$7+P42*Cartera!$D$8+P50*Cartera!$D$9)*Supuestos!$C$14*(1-$C$9),0)</f>
        <v>0</v>
      </c>
      <c r="Q59" s="38" t="n">
        <f aca="false">IF(Q$3=Supuestos!$C$15,(Q18*Cartera!$D$5+Q26*Cartera!$D$6+Q34*Cartera!$D$7+Q42*Cartera!$D$8+Q50*Cartera!$D$9)*Supuestos!$C$14*(1-$C$9),0)</f>
        <v>0</v>
      </c>
      <c r="R59" s="38" t="n">
        <f aca="false">IF(R$3=Supuestos!$C$15,(R18*Cartera!$D$5+R26*Cartera!$D$6+R34*Cartera!$D$7+R42*Cartera!$D$8+R50*Cartera!$D$9)*Supuestos!$C$14*(1-$C$9),0)</f>
        <v>0</v>
      </c>
      <c r="S59" s="38" t="n">
        <f aca="false">IF(S$3=Supuestos!$C$15,(S18*Cartera!$D$5+S26*Cartera!$D$6+S34*Cartera!$D$7+S42*Cartera!$D$8+S50*Cartera!$D$9)*Supuestos!$C$14*(1-$C$9),0)</f>
        <v>0</v>
      </c>
      <c r="T59" s="38" t="n">
        <f aca="false">IF(T$3=Supuestos!$C$15,(T18*Cartera!$D$5+T26*Cartera!$D$6+T34*Cartera!$D$7+T42*Cartera!$D$8+T50*Cartera!$D$9)*Supuestos!$C$14*(1-$C$9),0)</f>
        <v>0</v>
      </c>
      <c r="U59" s="38" t="n">
        <f aca="false">IF(U$3=Supuestos!$C$15,(U18*Cartera!$D$5+U26*Cartera!$D$6+U34*Cartera!$D$7+U42*Cartera!$D$8+U50*Cartera!$D$9)*Supuestos!$C$14*(1-$C$9),0)</f>
        <v>0</v>
      </c>
      <c r="V59" s="38" t="n">
        <f aca="false">IF(V$3=Supuestos!$C$15,(V18*Cartera!$D$5+V26*Cartera!$D$6+V34*Cartera!$D$7+V42*Cartera!$D$8+V50*Cartera!$D$9)*Supuestos!$C$14*(1-$C$9),0)</f>
        <v>0</v>
      </c>
      <c r="W59" s="38" t="n">
        <f aca="false">IF(W$3=Supuestos!$C$15,(W18*Cartera!$D$5+W26*Cartera!$D$6+W34*Cartera!$D$7+W42*Cartera!$D$8+W50*Cartera!$D$9)*Supuestos!$C$14*(1-$C$9),0)</f>
        <v>0</v>
      </c>
      <c r="X59" s="38" t="n">
        <f aca="false">IF(X$3=Supuestos!$C$15,(X18*Cartera!$D$5+X26*Cartera!$D$6+X34*Cartera!$D$7+X42*Cartera!$D$8+X50*Cartera!$D$9)*Supuestos!$C$14*(1-$C$9),0)</f>
        <v>0</v>
      </c>
      <c r="Y59" s="38" t="n">
        <f aca="false">IF(Y$3=Supuestos!$C$15,(Y18*Cartera!$D$5+Y26*Cartera!$D$6+Y34*Cartera!$D$7+Y42*Cartera!$D$8+Y50*Cartera!$D$9)*Supuestos!$C$14*(1-$C$9),0)</f>
        <v>0</v>
      </c>
      <c r="Z59" s="38" t="n">
        <f aca="false">IF(Z$3=Supuestos!$C$15,(Z18*Cartera!$D$5+Z26*Cartera!$D$6+Z34*Cartera!$D$7+Z42*Cartera!$D$8+Z50*Cartera!$D$9)*Supuestos!$C$14*(1-$C$9),0)</f>
        <v>0</v>
      </c>
      <c r="AA59" s="38" t="n">
        <f aca="false">IF(AA$3=Supuestos!$C$15,(AA18*Cartera!$D$5+AA26*Cartera!$D$6+AA34*Cartera!$D$7+AA42*Cartera!$D$8+AA50*Cartera!$D$9)*Supuestos!$C$14*(1-$C$9),0)</f>
        <v>0</v>
      </c>
      <c r="AB59" s="38" t="n">
        <f aca="false">IF(AB$3=Supuestos!$C$15,(AB18*Cartera!$D$5+AB26*Cartera!$D$6+AB34*Cartera!$D$7+AB42*Cartera!$D$8+AB50*Cartera!$D$9)*Supuestos!$C$14*(1-$C$9),0)</f>
        <v>0.249546989559676</v>
      </c>
    </row>
    <row r="60" customFormat="false" ht="15" hidden="false" customHeight="false" outlineLevel="0" collapsed="false">
      <c r="B60" s="2" t="s">
        <v>206</v>
      </c>
      <c r="D60" s="38" t="n">
        <f aca="false">D56+D57+D58+D59</f>
        <v>-0.883100000000001</v>
      </c>
      <c r="E60" s="38" t="n">
        <f aca="false">E56+E57+E58+E59</f>
        <v>0.634075652500004</v>
      </c>
      <c r="F60" s="38" t="n">
        <f aca="false">F56+F57+F58+F59</f>
        <v>2.11861445038615</v>
      </c>
      <c r="G60" s="38" t="n">
        <f aca="false">G56+G57+G58+G59</f>
        <v>3.55012608605482</v>
      </c>
      <c r="H60" s="38" t="n">
        <f aca="false">H56+H57+H58+H59</f>
        <v>4.90696168073254</v>
      </c>
      <c r="I60" s="38" t="n">
        <f aca="false">I56+I57+I58+I59</f>
        <v>6.16660725256673</v>
      </c>
      <c r="J60" s="38" t="n">
        <f aca="false">J56+J57+J58+J59</f>
        <v>7.30619041434064</v>
      </c>
      <c r="K60" s="38" t="n">
        <f aca="false">K56+K57+K58+K59</f>
        <v>8.30310858709771</v>
      </c>
      <c r="L60" s="38" t="n">
        <f aca="false">L56+L57+L58+L59</f>
        <v>9.13578420390509</v>
      </c>
      <c r="M60" s="38" t="n">
        <f aca="false">M56+M57+M58+M59</f>
        <v>9.78454798175625</v>
      </c>
      <c r="N60" s="38" t="n">
        <f aca="false">N56+N57+N58+N59</f>
        <v>10.2326444697215</v>
      </c>
      <c r="O60" s="38" t="n">
        <f aca="false">O56+O57+O58+O59</f>
        <v>10.4673434594902</v>
      </c>
      <c r="P60" s="38" t="n">
        <f aca="false">P56+P57+P58+P59</f>
        <v>10.4811248511076</v>
      </c>
      <c r="Q60" s="38" t="n">
        <f aca="false">Q56+Q57+Q58+Q59</f>
        <v>10.2728815037154</v>
      </c>
      <c r="R60" s="38" t="n">
        <f aca="false">R56+R57+R58+R59</f>
        <v>9.84905330102966</v>
      </c>
      <c r="S60" s="38" t="n">
        <f aca="false">S56+S57+S58+S59</f>
        <v>9.2245665681407</v>
      </c>
      <c r="T60" s="38" t="n">
        <f aca="false">T56+T57+T58+T59</f>
        <v>8.42340972591179</v>
      </c>
      <c r="U60" s="38" t="n">
        <f aca="false">U56+U57+U58+U59</f>
        <v>7.47863736395862</v>
      </c>
      <c r="V60" s="38" t="n">
        <f aca="false">V56+V57+V58+V59</f>
        <v>6.43157606268304</v>
      </c>
      <c r="W60" s="38" t="n">
        <f aca="false">W56+W57+W58+W59</f>
        <v>5.33002820822147</v>
      </c>
      <c r="X60" s="38" t="n">
        <f aca="false">X56+X57+X58+X59</f>
        <v>4.22535987860987</v>
      </c>
      <c r="Y60" s="38" t="n">
        <f aca="false">Y56+Y57+Y58+Y59</f>
        <v>3.16853543895858</v>
      </c>
      <c r="Z60" s="38" t="n">
        <f aca="false">Z56+Z57+Z58+Z59</f>
        <v>2.2054245912221</v>
      </c>
      <c r="AA60" s="38" t="n">
        <f aca="false">AA56+AA57+AA58+AA59</f>
        <v>1.37201897387642</v>
      </c>
      <c r="AB60" s="38" t="n">
        <f aca="false">AB56+AB57+AB58+AB59</f>
        <v>0.940012136334877</v>
      </c>
    </row>
    <row r="62" customFormat="false" ht="15" hidden="false" customHeight="false" outlineLevel="0" collapsed="false">
      <c r="B62" s="2" t="s">
        <v>207</v>
      </c>
    </row>
    <row r="63" customFormat="false" ht="15" hidden="false" customHeight="false" outlineLevel="0" collapsed="false">
      <c r="B63" s="3" t="s">
        <v>208</v>
      </c>
      <c r="D63" s="38" t="n">
        <f aca="false">Supuestos!$C$9</f>
        <v>20</v>
      </c>
      <c r="E63" s="38" t="n">
        <f aca="false">D82</f>
        <v>12.4669</v>
      </c>
      <c r="F63" s="38" t="n">
        <f aca="false">E82</f>
        <v>6.2249826525</v>
      </c>
      <c r="G63" s="38" t="n">
        <f aca="false">F82</f>
        <v>1.28034658246115</v>
      </c>
      <c r="H63" s="38" t="n">
        <f aca="false">G82</f>
        <v>0</v>
      </c>
      <c r="I63" s="38" t="n">
        <f aca="false">H82</f>
        <v>0</v>
      </c>
      <c r="J63" s="38" t="n">
        <f aca="false">I82</f>
        <v>0</v>
      </c>
      <c r="K63" s="38" t="n">
        <f aca="false">J82</f>
        <v>0</v>
      </c>
      <c r="L63" s="38" t="n">
        <f aca="false">K82</f>
        <v>0.382105011481434</v>
      </c>
      <c r="M63" s="38" t="n">
        <f aca="false">L82</f>
        <v>1.60834879011468</v>
      </c>
      <c r="N63" s="38" t="n">
        <f aca="false">M82</f>
        <v>3.5201436599581</v>
      </c>
      <c r="O63" s="38" t="n">
        <f aca="false">N82</f>
        <v>5.93738886386202</v>
      </c>
      <c r="P63" s="38" t="n">
        <f aca="false">O82</f>
        <v>8.66185041365184</v>
      </c>
      <c r="Q63" s="38" t="n">
        <f aca="false">P82</f>
        <v>8.95254250113999</v>
      </c>
      <c r="R63" s="38" t="n">
        <f aca="false">Q82</f>
        <v>7.72446908659971</v>
      </c>
      <c r="S63" s="38" t="n">
        <f aca="false">R82</f>
        <v>6.56235727544002</v>
      </c>
      <c r="T63" s="38" t="n">
        <f aca="false">S82</f>
        <v>5.4796259697559</v>
      </c>
      <c r="U63" s="38" t="n">
        <f aca="false">T82</f>
        <v>4.48803661137566</v>
      </c>
      <c r="V63" s="38" t="n">
        <f aca="false">U82</f>
        <v>3.59711332478946</v>
      </c>
      <c r="W63" s="38" t="n">
        <f aca="false">V82</f>
        <v>2.81359013007201</v>
      </c>
      <c r="X63" s="38" t="n">
        <f aca="false">W82</f>
        <v>1.49400949107673</v>
      </c>
      <c r="Y63" s="38" t="n">
        <f aca="false">X82</f>
        <v>0</v>
      </c>
      <c r="Z63" s="38" t="n">
        <f aca="false">Y82</f>
        <v>0</v>
      </c>
      <c r="AA63" s="38" t="n">
        <f aca="false">Z82</f>
        <v>0</v>
      </c>
      <c r="AB63" s="38" t="n">
        <f aca="false">AA82</f>
        <v>0</v>
      </c>
    </row>
    <row r="64" customFormat="false" ht="15" hidden="false" customHeight="false" outlineLevel="0" collapsed="false">
      <c r="B64" s="3" t="s">
        <v>209</v>
      </c>
      <c r="D64" s="38" t="n">
        <f aca="false">MAX(0,D63)*Supuestos!$C$11</f>
        <v>0.6</v>
      </c>
      <c r="E64" s="38" t="n">
        <f aca="false">MAX(0,E63)*Supuestos!$C$11</f>
        <v>0.374007</v>
      </c>
      <c r="F64" s="38" t="n">
        <f aca="false">MAX(0,F63)*Supuestos!$C$11</f>
        <v>0.186749479575</v>
      </c>
      <c r="G64" s="38" t="n">
        <f aca="false">MAX(0,G63)*Supuestos!$C$11</f>
        <v>0.0384103974738346</v>
      </c>
      <c r="H64" s="38" t="n">
        <f aca="false">MAX(0,H63)*Supuestos!$C$11</f>
        <v>0</v>
      </c>
      <c r="I64" s="38" t="n">
        <f aca="false">MAX(0,I63)*Supuestos!$C$11</f>
        <v>0</v>
      </c>
      <c r="J64" s="38" t="n">
        <f aca="false">MAX(0,J63)*Supuestos!$C$11</f>
        <v>0</v>
      </c>
      <c r="K64" s="38" t="n">
        <f aca="false">MAX(0,K63)*Supuestos!$C$11</f>
        <v>0</v>
      </c>
      <c r="L64" s="38" t="n">
        <f aca="false">MAX(0,L63)*Supuestos!$C$11</f>
        <v>0.011463150344443</v>
      </c>
      <c r="M64" s="38" t="n">
        <f aca="false">MAX(0,M63)*Supuestos!$C$11</f>
        <v>0.0482504637034405</v>
      </c>
      <c r="N64" s="38" t="n">
        <f aca="false">MAX(0,N63)*Supuestos!$C$11</f>
        <v>0.105604309798743</v>
      </c>
      <c r="O64" s="38" t="n">
        <f aca="false">MAX(0,O63)*Supuestos!$C$11</f>
        <v>0.178121665915861</v>
      </c>
      <c r="P64" s="38" t="n">
        <f aca="false">MAX(0,P63)*Supuestos!$C$11</f>
        <v>0.259855512409555</v>
      </c>
      <c r="Q64" s="38" t="n">
        <f aca="false">MAX(0,Q63)*Supuestos!$C$11</f>
        <v>0.2685762750342</v>
      </c>
      <c r="R64" s="38" t="n">
        <f aca="false">MAX(0,R63)*Supuestos!$C$11</f>
        <v>0.231734072597991</v>
      </c>
      <c r="S64" s="38" t="n">
        <f aca="false">MAX(0,S63)*Supuestos!$C$11</f>
        <v>0.196870718263201</v>
      </c>
      <c r="T64" s="38" t="n">
        <f aca="false">MAX(0,T63)*Supuestos!$C$11</f>
        <v>0.164388779092677</v>
      </c>
      <c r="U64" s="38" t="n">
        <f aca="false">MAX(0,U63)*Supuestos!$C$11</f>
        <v>0.13464109834127</v>
      </c>
      <c r="V64" s="38" t="n">
        <f aca="false">MAX(0,V63)*Supuestos!$C$11</f>
        <v>0.107913399743684</v>
      </c>
      <c r="W64" s="38" t="n">
        <f aca="false">MAX(0,W63)*Supuestos!$C$11</f>
        <v>0.0844077039021604</v>
      </c>
      <c r="X64" s="38" t="n">
        <f aca="false">MAX(0,X63)*Supuestos!$C$11</f>
        <v>0.044820284732302</v>
      </c>
      <c r="Y64" s="38" t="n">
        <f aca="false">MAX(0,Y63)*Supuestos!$C$11</f>
        <v>0</v>
      </c>
      <c r="Z64" s="38" t="n">
        <f aca="false">MAX(0,Z63)*Supuestos!$C$11</f>
        <v>0</v>
      </c>
      <c r="AA64" s="38" t="n">
        <f aca="false">MAX(0,AA63)*Supuestos!$C$11</f>
        <v>0</v>
      </c>
      <c r="AB64" s="38" t="n">
        <f aca="false">MAX(0,AB63)*Supuestos!$C$11</f>
        <v>0</v>
      </c>
    </row>
    <row r="65" customFormat="false" ht="15" hidden="false" customHeight="false" outlineLevel="0" collapsed="false">
      <c r="B65" s="3" t="s">
        <v>210</v>
      </c>
      <c r="D65" s="38" t="n">
        <f aca="false">D63+D64+D60</f>
        <v>19.7169</v>
      </c>
      <c r="E65" s="38" t="n">
        <f aca="false">E63+E64+E60</f>
        <v>13.4749826525</v>
      </c>
      <c r="F65" s="38" t="n">
        <f aca="false">F63+F64+F60</f>
        <v>8.53034658246115</v>
      </c>
      <c r="G65" s="38" t="n">
        <f aca="false">G63+G64+G60</f>
        <v>4.8688830659898</v>
      </c>
      <c r="H65" s="38" t="n">
        <f aca="false">H63+H64+H60</f>
        <v>4.90696168073254</v>
      </c>
      <c r="I65" s="38" t="n">
        <f aca="false">I63+I64+I60</f>
        <v>6.16660725256673</v>
      </c>
      <c r="J65" s="38" t="n">
        <f aca="false">J63+J64+J60</f>
        <v>7.30619041434064</v>
      </c>
      <c r="K65" s="38" t="n">
        <f aca="false">K63+K64+K60</f>
        <v>8.30310858709771</v>
      </c>
      <c r="L65" s="38" t="n">
        <f aca="false">L63+L64+L60</f>
        <v>9.52935236573097</v>
      </c>
      <c r="M65" s="38" t="n">
        <f aca="false">M63+M64+M60</f>
        <v>11.4411472355744</v>
      </c>
      <c r="N65" s="38" t="n">
        <f aca="false">N63+N64+N60</f>
        <v>13.8583924394783</v>
      </c>
      <c r="O65" s="38" t="n">
        <f aca="false">O63+O64+O60</f>
        <v>16.5828539892681</v>
      </c>
      <c r="P65" s="38" t="n">
        <f aca="false">P63+P64+P60</f>
        <v>19.402830777169</v>
      </c>
      <c r="Q65" s="38" t="n">
        <f aca="false">Q63+Q64+Q60</f>
        <v>19.4940002798896</v>
      </c>
      <c r="R65" s="38" t="n">
        <f aca="false">R63+R64+R60</f>
        <v>17.8052564602274</v>
      </c>
      <c r="S65" s="38" t="n">
        <f aca="false">S63+S64+S60</f>
        <v>15.9837945618439</v>
      </c>
      <c r="T65" s="38" t="n">
        <f aca="false">T63+T64+T60</f>
        <v>14.0674244747604</v>
      </c>
      <c r="U65" s="38" t="n">
        <f aca="false">U63+U64+U60</f>
        <v>12.1013150736755</v>
      </c>
      <c r="V65" s="38" t="n">
        <f aca="false">V63+V64+V60</f>
        <v>10.1366027872162</v>
      </c>
      <c r="W65" s="38" t="n">
        <f aca="false">W63+W64+W60</f>
        <v>8.22802604219564</v>
      </c>
      <c r="X65" s="38" t="n">
        <f aca="false">X63+X64+X60</f>
        <v>5.76418965441891</v>
      </c>
      <c r="Y65" s="38" t="n">
        <f aca="false">Y63+Y64+Y60</f>
        <v>3.16853543895858</v>
      </c>
      <c r="Z65" s="38" t="n">
        <f aca="false">Z63+Z64+Z60</f>
        <v>2.2054245912221</v>
      </c>
      <c r="AA65" s="38" t="n">
        <f aca="false">AA63+AA64+AA60</f>
        <v>1.37201897387642</v>
      </c>
      <c r="AB65" s="38" t="n">
        <f aca="false">AB63+AB64+AB60</f>
        <v>0.940012136334877</v>
      </c>
    </row>
    <row r="66" customFormat="false" ht="15" hidden="false" customHeight="false" outlineLevel="0" collapsed="false">
      <c r="B66" s="3" t="s">
        <v>211</v>
      </c>
      <c r="D66" s="38" t="n">
        <f aca="false">Supuestos!$C$5</f>
        <v>75</v>
      </c>
      <c r="E66" s="38" t="n">
        <f aca="false">D79</f>
        <v>75</v>
      </c>
      <c r="F66" s="38" t="n">
        <f aca="false">E79</f>
        <v>75</v>
      </c>
      <c r="G66" s="38" t="n">
        <f aca="false">F79</f>
        <v>75</v>
      </c>
      <c r="H66" s="38" t="n">
        <f aca="false">G79</f>
        <v>75.0061169340102</v>
      </c>
      <c r="I66" s="38" t="n">
        <f aca="false">H79</f>
        <v>75.0061169340102</v>
      </c>
      <c r="J66" s="38" t="n">
        <f aca="false">I79</f>
        <v>75.0061169340102</v>
      </c>
      <c r="K66" s="38" t="n">
        <f aca="false">J79</f>
        <v>75.0061169340102</v>
      </c>
      <c r="L66" s="38" t="n">
        <f aca="false">K79</f>
        <v>75.0061169340102</v>
      </c>
      <c r="M66" s="38" t="n">
        <f aca="false">L79</f>
        <v>75.0061169340102</v>
      </c>
      <c r="N66" s="38" t="n">
        <f aca="false">M79</f>
        <v>75.0061169340102</v>
      </c>
      <c r="O66" s="38" t="n">
        <f aca="false">N79</f>
        <v>75.0061169340102</v>
      </c>
      <c r="P66" s="38" t="n">
        <f aca="false">O79</f>
        <v>75.0061169340102</v>
      </c>
      <c r="Q66" s="38" t="n">
        <f aca="false">P79</f>
        <v>72.4768322335975</v>
      </c>
      <c r="R66" s="38" t="n">
        <f aca="false">Q79</f>
        <v>68.463901110397</v>
      </c>
      <c r="S66" s="38" t="n">
        <f aca="false">R79</f>
        <v>64.7167614726911</v>
      </c>
      <c r="T66" s="38" t="n">
        <f aca="false">S79</f>
        <v>61.4647883512336</v>
      </c>
      <c r="U66" s="38" t="n">
        <f aca="false">T79</f>
        <v>58.9262177055847</v>
      </c>
      <c r="V66" s="38" t="n">
        <f aca="false">U79</f>
        <v>57.2978260824673</v>
      </c>
      <c r="W66" s="38" t="n">
        <f aca="false">V79</f>
        <v>56.7447780955891</v>
      </c>
      <c r="X66" s="38" t="n">
        <f aca="false">W79</f>
        <v>56.7447780955891</v>
      </c>
      <c r="Y66" s="38" t="n">
        <f aca="false">X79</f>
        <v>56.7447780955891</v>
      </c>
      <c r="Z66" s="38" t="n">
        <f aca="false">Y79</f>
        <v>57.2646532328438</v>
      </c>
      <c r="AA66" s="38" t="n">
        <f aca="false">Z79</f>
        <v>58.7814311017565</v>
      </c>
      <c r="AB66" s="38" t="n">
        <f aca="false">AA79</f>
        <v>61.2302051494943</v>
      </c>
    </row>
    <row r="67" customFormat="false" ht="15" hidden="false" customHeight="false" outlineLevel="0" collapsed="false">
      <c r="B67" s="3" t="s">
        <v>212</v>
      </c>
      <c r="D67" s="38" t="n">
        <f aca="false">D66*Supuestos!$C$6</f>
        <v>4.875</v>
      </c>
      <c r="E67" s="38" t="n">
        <f aca="false">E66*Supuestos!$C$6</f>
        <v>4.875</v>
      </c>
      <c r="F67" s="38" t="n">
        <f aca="false">F66*Supuestos!$C$6</f>
        <v>4.875</v>
      </c>
      <c r="G67" s="38" t="n">
        <f aca="false">G66*Supuestos!$C$6</f>
        <v>4.875</v>
      </c>
      <c r="H67" s="38" t="n">
        <f aca="false">H66*Supuestos!$C$6</f>
        <v>4.87539760071066</v>
      </c>
      <c r="I67" s="38" t="n">
        <f aca="false">I66*Supuestos!$C$6</f>
        <v>4.87539760071066</v>
      </c>
      <c r="J67" s="38" t="n">
        <f aca="false">J66*Supuestos!$C$6</f>
        <v>4.87539760071066</v>
      </c>
      <c r="K67" s="38" t="n">
        <f aca="false">K66*Supuestos!$C$6</f>
        <v>4.87539760071066</v>
      </c>
      <c r="L67" s="38" t="n">
        <f aca="false">L66*Supuestos!$C$6</f>
        <v>4.87539760071066</v>
      </c>
      <c r="M67" s="38" t="n">
        <f aca="false">M66*Supuestos!$C$6</f>
        <v>4.87539760071066</v>
      </c>
      <c r="N67" s="38" t="n">
        <f aca="false">N66*Supuestos!$C$6</f>
        <v>4.87539760071066</v>
      </c>
      <c r="O67" s="38" t="n">
        <f aca="false">O66*Supuestos!$C$6</f>
        <v>4.87539760071066</v>
      </c>
      <c r="P67" s="38" t="n">
        <f aca="false">P66*Supuestos!$C$6</f>
        <v>4.87539760071066</v>
      </c>
      <c r="Q67" s="38" t="n">
        <f aca="false">Q66*Supuestos!$C$6</f>
        <v>4.71099409518384</v>
      </c>
      <c r="R67" s="38" t="n">
        <f aca="false">R66*Supuestos!$C$6</f>
        <v>4.45015357217581</v>
      </c>
      <c r="S67" s="38" t="n">
        <f aca="false">S66*Supuestos!$C$6</f>
        <v>4.20658949572492</v>
      </c>
      <c r="T67" s="38" t="n">
        <f aca="false">T66*Supuestos!$C$6</f>
        <v>3.99521124283019</v>
      </c>
      <c r="U67" s="38" t="n">
        <f aca="false">U66*Supuestos!$C$6</f>
        <v>3.83020415086301</v>
      </c>
      <c r="V67" s="38" t="n">
        <f aca="false">V66*Supuestos!$C$6</f>
        <v>3.72435869536037</v>
      </c>
      <c r="W67" s="38" t="n">
        <f aca="false">W66*Supuestos!$C$6</f>
        <v>3.68841057621329</v>
      </c>
      <c r="X67" s="38" t="n">
        <f aca="false">X66*Supuestos!$C$6</f>
        <v>3.68841057621329</v>
      </c>
      <c r="Y67" s="38" t="n">
        <f aca="false">Y66*Supuestos!$C$6</f>
        <v>3.68841057621329</v>
      </c>
      <c r="Z67" s="38" t="n">
        <f aca="false">Z66*Supuestos!$C$6</f>
        <v>3.72220246013485</v>
      </c>
      <c r="AA67" s="38" t="n">
        <f aca="false">AA66*Supuestos!$C$6</f>
        <v>3.82079302161418</v>
      </c>
      <c r="AB67" s="38" t="n">
        <f aca="false">AB66*Supuestos!$C$6</f>
        <v>3.97996333471713</v>
      </c>
    </row>
    <row r="68" customFormat="false" ht="15" hidden="false" customHeight="false" outlineLevel="0" collapsed="false">
      <c r="B68" s="3" t="s">
        <v>213</v>
      </c>
      <c r="D68" s="38" t="n">
        <f aca="false">MAX(0,MIN(D65,D67))</f>
        <v>4.875</v>
      </c>
      <c r="E68" s="38" t="n">
        <f aca="false">MAX(0,MIN(E65,E67))</f>
        <v>4.875</v>
      </c>
      <c r="F68" s="38" t="n">
        <f aca="false">MAX(0,MIN(F65,F67))</f>
        <v>4.875</v>
      </c>
      <c r="G68" s="38" t="n">
        <f aca="false">MAX(0,MIN(G65,G67))</f>
        <v>4.8688830659898</v>
      </c>
      <c r="H68" s="38" t="n">
        <f aca="false">MAX(0,MIN(H65,H67))</f>
        <v>4.87539760071066</v>
      </c>
      <c r="I68" s="38" t="n">
        <f aca="false">MAX(0,MIN(I65,I67))</f>
        <v>4.87539760071066</v>
      </c>
      <c r="J68" s="38" t="n">
        <f aca="false">MAX(0,MIN(J65,J67))</f>
        <v>4.87539760071066</v>
      </c>
      <c r="K68" s="38" t="n">
        <f aca="false">MAX(0,MIN(K65,K67))</f>
        <v>4.87539760071066</v>
      </c>
      <c r="L68" s="38" t="n">
        <f aca="false">MAX(0,MIN(L65,L67))</f>
        <v>4.87539760071066</v>
      </c>
      <c r="M68" s="38" t="n">
        <f aca="false">MAX(0,MIN(M65,M67))</f>
        <v>4.87539760071066</v>
      </c>
      <c r="N68" s="38" t="n">
        <f aca="false">MAX(0,MIN(N65,N67))</f>
        <v>4.87539760071066</v>
      </c>
      <c r="O68" s="38" t="n">
        <f aca="false">MAX(0,MIN(O65,O67))</f>
        <v>4.87539760071066</v>
      </c>
      <c r="P68" s="38" t="n">
        <f aca="false">MAX(0,MIN(P65,P67))</f>
        <v>4.87539760071066</v>
      </c>
      <c r="Q68" s="38" t="n">
        <f aca="false">MAX(0,MIN(Q65,Q67))</f>
        <v>4.71099409518384</v>
      </c>
      <c r="R68" s="38" t="n">
        <f aca="false">MAX(0,MIN(R65,R67))</f>
        <v>4.45015357217581</v>
      </c>
      <c r="S68" s="38" t="n">
        <f aca="false">MAX(0,MIN(S65,S67))</f>
        <v>4.20658949572492</v>
      </c>
      <c r="T68" s="38" t="n">
        <f aca="false">MAX(0,MIN(T65,T67))</f>
        <v>3.99521124283019</v>
      </c>
      <c r="U68" s="38" t="n">
        <f aca="false">MAX(0,MIN(U65,U67))</f>
        <v>3.83020415086301</v>
      </c>
      <c r="V68" s="38" t="n">
        <f aca="false">MAX(0,MIN(V65,V67))</f>
        <v>3.72435869536037</v>
      </c>
      <c r="W68" s="38" t="n">
        <f aca="false">MAX(0,MIN(W65,W67))</f>
        <v>3.68841057621329</v>
      </c>
      <c r="X68" s="38" t="n">
        <f aca="false">MAX(0,MIN(X65,X67))</f>
        <v>3.68841057621329</v>
      </c>
      <c r="Y68" s="38" t="n">
        <f aca="false">MAX(0,MIN(Y65,Y67))</f>
        <v>3.16853543895858</v>
      </c>
      <c r="Z68" s="38" t="n">
        <f aca="false">MAX(0,MIN(Z65,Z67))</f>
        <v>2.2054245912221</v>
      </c>
      <c r="AA68" s="38" t="n">
        <f aca="false">MAX(0,MIN(AA65,AA67))</f>
        <v>1.37201897387642</v>
      </c>
      <c r="AB68" s="38" t="n">
        <f aca="false">MAX(0,MIN(AB65,AB67))</f>
        <v>0.940012136334877</v>
      </c>
    </row>
    <row r="69" customFormat="false" ht="15" hidden="false" customHeight="false" outlineLevel="0" collapsed="false">
      <c r="B69" s="3" t="s">
        <v>214</v>
      </c>
      <c r="D69" s="38" t="n">
        <f aca="false">D65-D68</f>
        <v>14.8419</v>
      </c>
      <c r="E69" s="38" t="n">
        <f aca="false">E65-E68</f>
        <v>8.5999826525</v>
      </c>
      <c r="F69" s="38" t="n">
        <f aca="false">F65-F68</f>
        <v>3.65534658246115</v>
      </c>
      <c r="G69" s="38" t="n">
        <f aca="false">G65-G68</f>
        <v>0</v>
      </c>
      <c r="H69" s="38" t="n">
        <f aca="false">H65-H68</f>
        <v>0.0315640800218811</v>
      </c>
      <c r="I69" s="38" t="n">
        <f aca="false">I65-I68</f>
        <v>1.29120965185606</v>
      </c>
      <c r="J69" s="38" t="n">
        <f aca="false">J65-J68</f>
        <v>2.43079281362998</v>
      </c>
      <c r="K69" s="38" t="n">
        <f aca="false">K65-K68</f>
        <v>3.42771098638705</v>
      </c>
      <c r="L69" s="38" t="n">
        <f aca="false">L65-L68</f>
        <v>4.6539547650203</v>
      </c>
      <c r="M69" s="38" t="n">
        <f aca="false">M65-M68</f>
        <v>6.56574963486372</v>
      </c>
      <c r="N69" s="38" t="n">
        <f aca="false">N65-N68</f>
        <v>8.98299483876764</v>
      </c>
      <c r="O69" s="38" t="n">
        <f aca="false">O65-O68</f>
        <v>11.7074563885575</v>
      </c>
      <c r="P69" s="38" t="n">
        <f aca="false">P65-P68</f>
        <v>14.5274331764583</v>
      </c>
      <c r="Q69" s="38" t="n">
        <f aca="false">Q65-Q68</f>
        <v>14.7830061847058</v>
      </c>
      <c r="R69" s="38" t="n">
        <f aca="false">R65-R68</f>
        <v>13.3551028880515</v>
      </c>
      <c r="S69" s="38" t="n">
        <f aca="false">S65-S68</f>
        <v>11.777205066119</v>
      </c>
      <c r="T69" s="38" t="n">
        <f aca="false">T65-T68</f>
        <v>10.0722132319302</v>
      </c>
      <c r="U69" s="38" t="n">
        <f aca="false">U65-U68</f>
        <v>8.27111092281254</v>
      </c>
      <c r="V69" s="38" t="n">
        <f aca="false">V65-V68</f>
        <v>6.41224409185581</v>
      </c>
      <c r="W69" s="38" t="n">
        <f aca="false">W65-W68</f>
        <v>4.53961546598235</v>
      </c>
      <c r="X69" s="38" t="n">
        <f aca="false">X65-X68</f>
        <v>2.07577907820562</v>
      </c>
      <c r="Y69" s="38" t="n">
        <f aca="false">Y65-Y68</f>
        <v>0</v>
      </c>
      <c r="Z69" s="38" t="n">
        <f aca="false">Z65-Z68</f>
        <v>0</v>
      </c>
      <c r="AA69" s="38" t="n">
        <f aca="false">AA65-AA68</f>
        <v>0</v>
      </c>
      <c r="AB69" s="38" t="n">
        <f aca="false">AB65-AB68</f>
        <v>0</v>
      </c>
    </row>
    <row r="70" customFormat="false" ht="15" hidden="false" customHeight="false" outlineLevel="0" collapsed="false">
      <c r="B70" s="3" t="s">
        <v>215</v>
      </c>
      <c r="D70" s="38" t="n">
        <f aca="false">Supuestos!$C$7</f>
        <v>25</v>
      </c>
      <c r="E70" s="38" t="n">
        <f aca="false">D80</f>
        <v>25</v>
      </c>
      <c r="F70" s="38" t="n">
        <f aca="false">E80</f>
        <v>25</v>
      </c>
      <c r="G70" s="38" t="n">
        <f aca="false">F80</f>
        <v>25</v>
      </c>
      <c r="H70" s="38" t="n">
        <f aca="false">G80</f>
        <v>27.375</v>
      </c>
      <c r="I70" s="38" t="n">
        <f aca="false">H80</f>
        <v>29.9440609199781</v>
      </c>
      <c r="J70" s="38" t="n">
        <f aca="false">I80</f>
        <v>31.49753705552</v>
      </c>
      <c r="K70" s="38" t="n">
        <f aca="false">J80</f>
        <v>32.0590102621644</v>
      </c>
      <c r="L70" s="38" t="n">
        <f aca="false">K80</f>
        <v>32.0590102621644</v>
      </c>
      <c r="M70" s="38" t="n">
        <f aca="false">L80</f>
        <v>32.0590102621644</v>
      </c>
      <c r="N70" s="38" t="n">
        <f aca="false">M80</f>
        <v>32.0590102621644</v>
      </c>
      <c r="O70" s="38" t="n">
        <f aca="false">N80</f>
        <v>32.0590102621644</v>
      </c>
      <c r="P70" s="38" t="n">
        <f aca="false">O80</f>
        <v>32.0590102621644</v>
      </c>
      <c r="Q70" s="38" t="n">
        <f aca="false">P80</f>
        <v>32.0590102621644</v>
      </c>
      <c r="R70" s="38" t="n">
        <f aca="false">Q80</f>
        <v>32.0590102621644</v>
      </c>
      <c r="S70" s="38" t="n">
        <f aca="false">R80</f>
        <v>32.0590102621644</v>
      </c>
      <c r="T70" s="38" t="n">
        <f aca="false">S80</f>
        <v>32.0590102621644</v>
      </c>
      <c r="U70" s="38" t="n">
        <f aca="false">T80</f>
        <v>32.0590102621644</v>
      </c>
      <c r="V70" s="38" t="n">
        <f aca="false">U80</f>
        <v>32.0590102621644</v>
      </c>
      <c r="W70" s="38" t="n">
        <f aca="false">V80</f>
        <v>32.0590102621644</v>
      </c>
      <c r="X70" s="38" t="n">
        <f aca="false">W80</f>
        <v>32.0590102621644</v>
      </c>
      <c r="Y70" s="38" t="n">
        <f aca="false">X80</f>
        <v>33.0288371588644</v>
      </c>
      <c r="Z70" s="38" t="n">
        <f aca="false">Y80</f>
        <v>36.1665766889565</v>
      </c>
      <c r="AA70" s="38" t="n">
        <f aca="false">Z80</f>
        <v>39.6024014744074</v>
      </c>
      <c r="AB70" s="38" t="n">
        <f aca="false">AA80</f>
        <v>43.3646296144761</v>
      </c>
    </row>
    <row r="71" customFormat="false" ht="15" hidden="false" customHeight="false" outlineLevel="0" collapsed="false">
      <c r="B71" s="3" t="s">
        <v>216</v>
      </c>
      <c r="D71" s="38" t="n">
        <f aca="false">D70*Supuestos!$C$8</f>
        <v>2.375</v>
      </c>
      <c r="E71" s="38" t="n">
        <f aca="false">E70*Supuestos!$C$8</f>
        <v>2.375</v>
      </c>
      <c r="F71" s="38" t="n">
        <f aca="false">F70*Supuestos!$C$8</f>
        <v>2.375</v>
      </c>
      <c r="G71" s="38" t="n">
        <f aca="false">G70*Supuestos!$C$8</f>
        <v>2.375</v>
      </c>
      <c r="H71" s="38" t="n">
        <f aca="false">H70*Supuestos!$C$8</f>
        <v>2.600625</v>
      </c>
      <c r="I71" s="38" t="n">
        <f aca="false">I70*Supuestos!$C$8</f>
        <v>2.84468578739792</v>
      </c>
      <c r="J71" s="38" t="n">
        <f aca="false">J70*Supuestos!$C$8</f>
        <v>2.9922660202744</v>
      </c>
      <c r="K71" s="38" t="n">
        <f aca="false">K70*Supuestos!$C$8</f>
        <v>3.04560597490562</v>
      </c>
      <c r="L71" s="38" t="n">
        <f aca="false">L70*Supuestos!$C$8</f>
        <v>3.04560597490562</v>
      </c>
      <c r="M71" s="38" t="n">
        <f aca="false">M70*Supuestos!$C$8</f>
        <v>3.04560597490562</v>
      </c>
      <c r="N71" s="38" t="n">
        <f aca="false">N70*Supuestos!$C$8</f>
        <v>3.04560597490562</v>
      </c>
      <c r="O71" s="38" t="n">
        <f aca="false">O70*Supuestos!$C$8</f>
        <v>3.04560597490562</v>
      </c>
      <c r="P71" s="38" t="n">
        <f aca="false">P70*Supuestos!$C$8</f>
        <v>3.04560597490562</v>
      </c>
      <c r="Q71" s="38" t="n">
        <f aca="false">Q70*Supuestos!$C$8</f>
        <v>3.04560597490562</v>
      </c>
      <c r="R71" s="38" t="n">
        <f aca="false">R70*Supuestos!$C$8</f>
        <v>3.04560597490562</v>
      </c>
      <c r="S71" s="38" t="n">
        <f aca="false">S70*Supuestos!$C$8</f>
        <v>3.04560597490562</v>
      </c>
      <c r="T71" s="38" t="n">
        <f aca="false">T70*Supuestos!$C$8</f>
        <v>3.04560597490562</v>
      </c>
      <c r="U71" s="38" t="n">
        <f aca="false">U70*Supuestos!$C$8</f>
        <v>3.04560597490562</v>
      </c>
      <c r="V71" s="38" t="n">
        <f aca="false">V70*Supuestos!$C$8</f>
        <v>3.04560597490562</v>
      </c>
      <c r="W71" s="38" t="n">
        <f aca="false">W70*Supuestos!$C$8</f>
        <v>3.04560597490562</v>
      </c>
      <c r="X71" s="38" t="n">
        <f aca="false">X70*Supuestos!$C$8</f>
        <v>3.04560597490562</v>
      </c>
      <c r="Y71" s="38" t="n">
        <f aca="false">Y70*Supuestos!$C$8</f>
        <v>3.13773953009212</v>
      </c>
      <c r="Z71" s="38" t="n">
        <f aca="false">Z70*Supuestos!$C$8</f>
        <v>3.43582478545087</v>
      </c>
      <c r="AA71" s="38" t="n">
        <f aca="false">AA70*Supuestos!$C$8</f>
        <v>3.7622281400687</v>
      </c>
      <c r="AB71" s="38" t="n">
        <f aca="false">AB70*Supuestos!$C$8</f>
        <v>4.11963981337523</v>
      </c>
    </row>
    <row r="72" customFormat="false" ht="15" hidden="false" customHeight="false" outlineLevel="0" collapsed="false">
      <c r="B72" s="3" t="s">
        <v>217</v>
      </c>
      <c r="D72" s="38" t="n">
        <f aca="false">MAX(0,MIN(D69,D71))</f>
        <v>2.375</v>
      </c>
      <c r="E72" s="38" t="n">
        <f aca="false">MAX(0,MIN(E69,E71))</f>
        <v>2.375</v>
      </c>
      <c r="F72" s="38" t="n">
        <f aca="false">MAX(0,MIN(F69,F71))</f>
        <v>2.375</v>
      </c>
      <c r="G72" s="38" t="n">
        <f aca="false">MAX(0,MIN(G69,G71))</f>
        <v>0</v>
      </c>
      <c r="H72" s="38" t="n">
        <f aca="false">MAX(0,MIN(H69,H71))</f>
        <v>0.0315640800218811</v>
      </c>
      <c r="I72" s="38" t="n">
        <f aca="false">MAX(0,MIN(I69,I71))</f>
        <v>1.29120965185606</v>
      </c>
      <c r="J72" s="38" t="n">
        <f aca="false">MAX(0,MIN(J69,J71))</f>
        <v>2.43079281362998</v>
      </c>
      <c r="K72" s="38" t="n">
        <f aca="false">MAX(0,MIN(K69,K71))</f>
        <v>3.04560597490562</v>
      </c>
      <c r="L72" s="38" t="n">
        <f aca="false">MAX(0,MIN(L69,L71))</f>
        <v>3.04560597490562</v>
      </c>
      <c r="M72" s="38" t="n">
        <f aca="false">MAX(0,MIN(M69,M71))</f>
        <v>3.04560597490562</v>
      </c>
      <c r="N72" s="38" t="n">
        <f aca="false">MAX(0,MIN(N69,N71))</f>
        <v>3.04560597490562</v>
      </c>
      <c r="O72" s="38" t="n">
        <f aca="false">MAX(0,MIN(O69,O71))</f>
        <v>3.04560597490562</v>
      </c>
      <c r="P72" s="38" t="n">
        <f aca="false">MAX(0,MIN(P69,P71))</f>
        <v>3.04560597490562</v>
      </c>
      <c r="Q72" s="38" t="n">
        <f aca="false">MAX(0,MIN(Q69,Q71))</f>
        <v>3.04560597490562</v>
      </c>
      <c r="R72" s="38" t="n">
        <f aca="false">MAX(0,MIN(R69,R71))</f>
        <v>3.04560597490562</v>
      </c>
      <c r="S72" s="38" t="n">
        <f aca="false">MAX(0,MIN(S69,S71))</f>
        <v>3.04560597490562</v>
      </c>
      <c r="T72" s="38" t="n">
        <f aca="false">MAX(0,MIN(T69,T71))</f>
        <v>3.04560597490562</v>
      </c>
      <c r="U72" s="38" t="n">
        <f aca="false">MAX(0,MIN(U69,U71))</f>
        <v>3.04560597490562</v>
      </c>
      <c r="V72" s="38" t="n">
        <f aca="false">MAX(0,MIN(V69,V71))</f>
        <v>3.04560597490562</v>
      </c>
      <c r="W72" s="38" t="n">
        <f aca="false">MAX(0,MIN(W69,W71))</f>
        <v>3.04560597490562</v>
      </c>
      <c r="X72" s="38" t="n">
        <f aca="false">MAX(0,MIN(X69,X71))</f>
        <v>2.07577907820562</v>
      </c>
      <c r="Y72" s="38" t="n">
        <f aca="false">MAX(0,MIN(Y69,Y71))</f>
        <v>0</v>
      </c>
      <c r="Z72" s="38" t="n">
        <f aca="false">MAX(0,MIN(Z69,Z71))</f>
        <v>0</v>
      </c>
      <c r="AA72" s="38" t="n">
        <f aca="false">MAX(0,MIN(AA69,AA71))</f>
        <v>0</v>
      </c>
      <c r="AB72" s="38" t="n">
        <f aca="false">MAX(0,MIN(AB69,AB71))</f>
        <v>0</v>
      </c>
    </row>
    <row r="73" customFormat="false" ht="15" hidden="false" customHeight="false" outlineLevel="0" collapsed="false">
      <c r="B73" s="3" t="s">
        <v>218</v>
      </c>
      <c r="D73" s="38" t="n">
        <f aca="false">D69-D72</f>
        <v>12.4669</v>
      </c>
      <c r="E73" s="38" t="n">
        <f aca="false">E69-E72</f>
        <v>6.2249826525</v>
      </c>
      <c r="F73" s="38" t="n">
        <f aca="false">F69-F72</f>
        <v>1.28034658246115</v>
      </c>
      <c r="G73" s="38" t="n">
        <f aca="false">G69-G72</f>
        <v>0</v>
      </c>
      <c r="H73" s="38" t="n">
        <f aca="false">H69-H72</f>
        <v>0</v>
      </c>
      <c r="I73" s="38" t="n">
        <f aca="false">I69-I72</f>
        <v>0</v>
      </c>
      <c r="J73" s="38" t="n">
        <f aca="false">J69-J72</f>
        <v>0</v>
      </c>
      <c r="K73" s="38" t="n">
        <f aca="false">K69-K72</f>
        <v>0.382105011481434</v>
      </c>
      <c r="L73" s="38" t="n">
        <f aca="false">L69-L72</f>
        <v>1.60834879011468</v>
      </c>
      <c r="M73" s="38" t="n">
        <f aca="false">M69-M72</f>
        <v>3.5201436599581</v>
      </c>
      <c r="N73" s="38" t="n">
        <f aca="false">N69-N72</f>
        <v>5.93738886386202</v>
      </c>
      <c r="O73" s="38" t="n">
        <f aca="false">O69-O72</f>
        <v>8.66185041365184</v>
      </c>
      <c r="P73" s="38" t="n">
        <f aca="false">P69-P72</f>
        <v>11.4818272015527</v>
      </c>
      <c r="Q73" s="38" t="n">
        <f aca="false">Q69-Q72</f>
        <v>11.7374002098002</v>
      </c>
      <c r="R73" s="38" t="n">
        <f aca="false">R69-R72</f>
        <v>10.3094969131459</v>
      </c>
      <c r="S73" s="38" t="n">
        <f aca="false">S69-S72</f>
        <v>8.73159909121338</v>
      </c>
      <c r="T73" s="38" t="n">
        <f aca="false">T69-T72</f>
        <v>7.02660725702456</v>
      </c>
      <c r="U73" s="38" t="n">
        <f aca="false">U69-U72</f>
        <v>5.22550494790692</v>
      </c>
      <c r="V73" s="38" t="n">
        <f aca="false">V69-V72</f>
        <v>3.36663811695019</v>
      </c>
      <c r="W73" s="38" t="n">
        <f aca="false">W69-W72</f>
        <v>1.49400949107673</v>
      </c>
      <c r="X73" s="38" t="n">
        <f aca="false">X69-X72</f>
        <v>0</v>
      </c>
      <c r="Y73" s="38" t="n">
        <f aca="false">Y69-Y72</f>
        <v>0</v>
      </c>
      <c r="Z73" s="38" t="n">
        <f aca="false">Z69-Z72</f>
        <v>0</v>
      </c>
      <c r="AA73" s="38" t="n">
        <f aca="false">AA69-AA72</f>
        <v>0</v>
      </c>
      <c r="AB73" s="38" t="n">
        <f aca="false">AB69-AB72</f>
        <v>0</v>
      </c>
    </row>
    <row r="74" customFormat="false" ht="15" hidden="false" customHeight="false" outlineLevel="0" collapsed="false">
      <c r="B74" s="3" t="s">
        <v>219</v>
      </c>
      <c r="D74" s="38" t="n">
        <f aca="false">IF(D$3=Supuestos!$C$15,0,-D57*(1+$C$8)*Supuestos!$C$10/12)</f>
        <v>23.766</v>
      </c>
      <c r="E74" s="38" t="n">
        <f aca="false">IF(E$3=Supuestos!$C$15,0,-E57*(1+$C$8)*Supuestos!$C$10/12)</f>
        <v>22.77674892</v>
      </c>
      <c r="F74" s="38" t="n">
        <f aca="false">IF(F$3=Supuestos!$C$15,0,-F57*(1+$C$8)*Supuestos!$C$10/12)</f>
        <v>21.7162510510127</v>
      </c>
      <c r="G74" s="38" t="n">
        <f aca="false">IF(G$3=Supuestos!$C$15,0,-G57*(1+$C$8)*Supuestos!$C$10/12)</f>
        <v>20.5893634961477</v>
      </c>
      <c r="H74" s="38" t="n">
        <f aca="false">IF(H$3=Supuestos!$C$15,0,-H57*(1+$C$8)*Supuestos!$C$10/12)</f>
        <v>19.4023478528832</v>
      </c>
      <c r="I74" s="38" t="n">
        <f aca="false">IF(I$3=Supuestos!$C$15,0,-I57*(1+$C$8)*Supuestos!$C$10/12)</f>
        <v>18.162915857979</v>
      </c>
      <c r="J74" s="38" t="n">
        <f aca="false">IF(J$3=Supuestos!$C$15,0,-J57*(1+$C$8)*Supuestos!$C$10/12)</f>
        <v>16.8802379988645</v>
      </c>
      <c r="K74" s="38" t="n">
        <f aca="false">IF(K$3=Supuestos!$C$15,0,-K57*(1+$C$8)*Supuestos!$C$10/12)</f>
        <v>15.5649073545044</v>
      </c>
      <c r="L74" s="38" t="n">
        <f aca="false">IF(L$3=Supuestos!$C$15,0,-L57*(1+$C$8)*Supuestos!$C$10/12)</f>
        <v>14.2288512502547</v>
      </c>
      <c r="M74" s="38" t="n">
        <f aca="false">IF(M$3=Supuestos!$C$15,0,-M57*(1+$C$8)*Supuestos!$C$10/12)</f>
        <v>12.8851840428212</v>
      </c>
      <c r="N74" s="38" t="n">
        <f aca="false">IF(N$3=Supuestos!$C$15,0,-N57*(1+$C$8)*Supuestos!$C$10/12)</f>
        <v>11.5479955326497</v>
      </c>
      <c r="O74" s="38" t="n">
        <f aca="false">IF(O$3=Supuestos!$C$15,0,-O57*(1+$C$8)*Supuestos!$C$10/12)</f>
        <v>10.2320711752798</v>
      </c>
      <c r="P74" s="38" t="n">
        <f aca="false">IF(P$3=Supuestos!$C$15,0,-P57*(1+$C$8)*Supuestos!$C$10/12)</f>
        <v>8.95254250113999</v>
      </c>
      <c r="Q74" s="38" t="n">
        <f aca="false">IF(Q$3=Supuestos!$C$15,0,-Q57*(1+$C$8)*Supuestos!$C$10/12)</f>
        <v>7.72446908659971</v>
      </c>
      <c r="R74" s="38" t="n">
        <f aca="false">IF(R$3=Supuestos!$C$15,0,-R57*(1+$C$8)*Supuestos!$C$10/12)</f>
        <v>6.56235727544002</v>
      </c>
      <c r="S74" s="38" t="n">
        <f aca="false">IF(S$3=Supuestos!$C$15,0,-S57*(1+$C$8)*Supuestos!$C$10/12)</f>
        <v>5.4796259697559</v>
      </c>
      <c r="T74" s="38" t="n">
        <f aca="false">IF(T$3=Supuestos!$C$15,0,-T57*(1+$C$8)*Supuestos!$C$10/12)</f>
        <v>4.48803661137566</v>
      </c>
      <c r="U74" s="38" t="n">
        <f aca="false">IF(U$3=Supuestos!$C$15,0,-U57*(1+$C$8)*Supuestos!$C$10/12)</f>
        <v>3.59711332478946</v>
      </c>
      <c r="V74" s="38" t="n">
        <f aca="false">IF(V$3=Supuestos!$C$15,0,-V57*(1+$C$8)*Supuestos!$C$10/12)</f>
        <v>2.81359013007201</v>
      </c>
      <c r="W74" s="38" t="n">
        <f aca="false">IF(W$3=Supuestos!$C$15,0,-W57*(1+$C$8)*Supuestos!$C$10/12)</f>
        <v>2.14093444241991</v>
      </c>
      <c r="X74" s="38" t="n">
        <f aca="false">IF(X$3=Supuestos!$C$15,0,-X57*(1+$C$8)*Supuestos!$C$10/12)</f>
        <v>1.57900774865043</v>
      </c>
      <c r="Y74" s="38" t="n">
        <f aca="false">IF(Y$3=Supuestos!$C$15,0,-Y57*(1+$C$8)*Supuestos!$C$10/12)</f>
        <v>1.12393165398505</v>
      </c>
      <c r="Z74" s="38" t="n">
        <f aca="false">IF(Z$3=Supuestos!$C$15,0,-Z57*(1+$C$8)*Supuestos!$C$10/12)</f>
        <v>0.768224961949405</v>
      </c>
      <c r="AA74" s="38" t="n">
        <f aca="false">IF(AA$3=Supuestos!$C$15,0,-AA57*(1+$C$8)*Supuestos!$C$10/12)</f>
        <v>0.501258845472223</v>
      </c>
      <c r="AB74" s="38" t="n">
        <f aca="false">IF(AB$3=Supuestos!$C$15,0,-AB57*(1+$C$8)*Supuestos!$C$10/12)</f>
        <v>0</v>
      </c>
    </row>
    <row r="75" customFormat="false" ht="15" hidden="false" customHeight="false" outlineLevel="0" collapsed="false">
      <c r="B75" s="3" t="s">
        <v>220</v>
      </c>
      <c r="D75" s="38" t="n">
        <f aca="false">MAX(0,MIN(D66+D67-D68,D73-D74))</f>
        <v>0</v>
      </c>
      <c r="E75" s="38" t="n">
        <f aca="false">MAX(0,MIN(E66+E67-E68,E73-E74))</f>
        <v>0</v>
      </c>
      <c r="F75" s="38" t="n">
        <f aca="false">MAX(0,MIN(F66+F67-F68,F73-F74))</f>
        <v>0</v>
      </c>
      <c r="G75" s="38" t="n">
        <f aca="false">MAX(0,MIN(G66+G67-G68,G73-G74))</f>
        <v>0</v>
      </c>
      <c r="H75" s="38" t="n">
        <f aca="false">MAX(0,MIN(H66+H67-H68,H73-H74))</f>
        <v>0</v>
      </c>
      <c r="I75" s="38" t="n">
        <f aca="false">MAX(0,MIN(I66+I67-I68,I73-I74))</f>
        <v>0</v>
      </c>
      <c r="J75" s="38" t="n">
        <f aca="false">MAX(0,MIN(J66+J67-J68,J73-J74))</f>
        <v>0</v>
      </c>
      <c r="K75" s="38" t="n">
        <f aca="false">MAX(0,MIN(K66+K67-K68,K73-K74))</f>
        <v>0</v>
      </c>
      <c r="L75" s="38" t="n">
        <f aca="false">MAX(0,MIN(L66+L67-L68,L73-L74))</f>
        <v>0</v>
      </c>
      <c r="M75" s="38" t="n">
        <f aca="false">MAX(0,MIN(M66+M67-M68,M73-M74))</f>
        <v>0</v>
      </c>
      <c r="N75" s="38" t="n">
        <f aca="false">MAX(0,MIN(N66+N67-N68,N73-N74))</f>
        <v>0</v>
      </c>
      <c r="O75" s="38" t="n">
        <f aca="false">MAX(0,MIN(O66+O67-O68,O73-O74))</f>
        <v>0</v>
      </c>
      <c r="P75" s="38" t="n">
        <f aca="false">MAX(0,MIN(P66+P67-P68,P73-P74))</f>
        <v>2.5292847004127</v>
      </c>
      <c r="Q75" s="38" t="n">
        <f aca="false">MAX(0,MIN(Q66+Q67-Q68,Q73-Q74))</f>
        <v>4.01293112320046</v>
      </c>
      <c r="R75" s="38" t="n">
        <f aca="false">MAX(0,MIN(R66+R67-R68,R73-R74))</f>
        <v>3.74713963770591</v>
      </c>
      <c r="S75" s="38" t="n">
        <f aca="false">MAX(0,MIN(S66+S67-S68,S73-S74))</f>
        <v>3.25197312145748</v>
      </c>
      <c r="T75" s="38" t="n">
        <f aca="false">MAX(0,MIN(T66+T67-T68,T73-T74))</f>
        <v>2.5385706456489</v>
      </c>
      <c r="U75" s="38" t="n">
        <f aca="false">MAX(0,MIN(U66+U67-U68,U73-U74))</f>
        <v>1.62839162311746</v>
      </c>
      <c r="V75" s="38" t="n">
        <f aca="false">MAX(0,MIN(V66+V67-V68,V73-V74))</f>
        <v>0.55304798687818</v>
      </c>
      <c r="W75" s="38" t="n">
        <f aca="false">MAX(0,MIN(W66+W67-W68,W73-W74))</f>
        <v>0</v>
      </c>
      <c r="X75" s="38" t="n">
        <f aca="false">MAX(0,MIN(X66+X67-X68,X73-X74))</f>
        <v>0</v>
      </c>
      <c r="Y75" s="38" t="n">
        <f aca="false">MAX(0,MIN(Y66+Y67-Y68,Y73-Y74))</f>
        <v>0</v>
      </c>
      <c r="Z75" s="38" t="n">
        <f aca="false">MAX(0,MIN(Z66+Z67-Z68,Z73-Z74))</f>
        <v>0</v>
      </c>
      <c r="AA75" s="38" t="n">
        <f aca="false">MAX(0,MIN(AA66+AA67-AA68,AA73-AA74))</f>
        <v>0</v>
      </c>
      <c r="AB75" s="38" t="n">
        <f aca="false">MAX(0,MIN(AB66+AB67-AB68,AB73-AB74))</f>
        <v>0</v>
      </c>
    </row>
    <row r="76" customFormat="false" ht="15" hidden="false" customHeight="false" outlineLevel="0" collapsed="false">
      <c r="B76" s="3" t="s">
        <v>221</v>
      </c>
      <c r="D76" s="38" t="n">
        <f aca="false">D73-D75</f>
        <v>12.4669</v>
      </c>
      <c r="E76" s="38" t="n">
        <f aca="false">E73-E75</f>
        <v>6.2249826525</v>
      </c>
      <c r="F76" s="38" t="n">
        <f aca="false">F73-F75</f>
        <v>1.28034658246115</v>
      </c>
      <c r="G76" s="38" t="n">
        <f aca="false">G73-G75</f>
        <v>0</v>
      </c>
      <c r="H76" s="38" t="n">
        <f aca="false">H73-H75</f>
        <v>0</v>
      </c>
      <c r="I76" s="38" t="n">
        <f aca="false">I73-I75</f>
        <v>0</v>
      </c>
      <c r="J76" s="38" t="n">
        <f aca="false">J73-J75</f>
        <v>0</v>
      </c>
      <c r="K76" s="38" t="n">
        <f aca="false">K73-K75</f>
        <v>0.382105011481434</v>
      </c>
      <c r="L76" s="38" t="n">
        <f aca="false">L73-L75</f>
        <v>1.60834879011468</v>
      </c>
      <c r="M76" s="38" t="n">
        <f aca="false">M73-M75</f>
        <v>3.5201436599581</v>
      </c>
      <c r="N76" s="38" t="n">
        <f aca="false">N73-N75</f>
        <v>5.93738886386202</v>
      </c>
      <c r="O76" s="38" t="n">
        <f aca="false">O73-O75</f>
        <v>8.66185041365184</v>
      </c>
      <c r="P76" s="38" t="n">
        <f aca="false">P73-P75</f>
        <v>8.95254250113999</v>
      </c>
      <c r="Q76" s="38" t="n">
        <f aca="false">Q73-Q75</f>
        <v>7.72446908659971</v>
      </c>
      <c r="R76" s="38" t="n">
        <f aca="false">R73-R75</f>
        <v>6.56235727544002</v>
      </c>
      <c r="S76" s="38" t="n">
        <f aca="false">S73-S75</f>
        <v>5.4796259697559</v>
      </c>
      <c r="T76" s="38" t="n">
        <f aca="false">T73-T75</f>
        <v>4.48803661137566</v>
      </c>
      <c r="U76" s="38" t="n">
        <f aca="false">U73-U75</f>
        <v>3.59711332478946</v>
      </c>
      <c r="V76" s="38" t="n">
        <f aca="false">V73-V75</f>
        <v>2.81359013007201</v>
      </c>
      <c r="W76" s="38" t="n">
        <f aca="false">W73-W75</f>
        <v>1.49400949107673</v>
      </c>
      <c r="X76" s="38" t="n">
        <f aca="false">X73-X75</f>
        <v>0</v>
      </c>
      <c r="Y76" s="38" t="n">
        <f aca="false">Y73-Y75</f>
        <v>0</v>
      </c>
      <c r="Z76" s="38" t="n">
        <f aca="false">Z73-Z75</f>
        <v>0</v>
      </c>
      <c r="AA76" s="38" t="n">
        <f aca="false">AA73-AA75</f>
        <v>0</v>
      </c>
      <c r="AB76" s="38" t="n">
        <f aca="false">AB73-AB75</f>
        <v>0</v>
      </c>
    </row>
    <row r="77" customFormat="false" ht="15" hidden="false" customHeight="false" outlineLevel="0" collapsed="false">
      <c r="B77" s="3" t="s">
        <v>222</v>
      </c>
      <c r="D77" s="38" t="n">
        <f aca="false">MAX(0,MIN(D70+D71-D72,D76-D74))</f>
        <v>0</v>
      </c>
      <c r="E77" s="38" t="n">
        <f aca="false">MAX(0,MIN(E70+E71-E72,E76-E74))</f>
        <v>0</v>
      </c>
      <c r="F77" s="38" t="n">
        <f aca="false">MAX(0,MIN(F70+F71-F72,F76-F74))</f>
        <v>0</v>
      </c>
      <c r="G77" s="38" t="n">
        <f aca="false">MAX(0,MIN(G70+G71-G72,G76-G74))</f>
        <v>0</v>
      </c>
      <c r="H77" s="38" t="n">
        <f aca="false">MAX(0,MIN(H70+H71-H72,H76-H74))</f>
        <v>0</v>
      </c>
      <c r="I77" s="38" t="n">
        <f aca="false">MAX(0,MIN(I70+I71-I72,I76-I74))</f>
        <v>0</v>
      </c>
      <c r="J77" s="38" t="n">
        <f aca="false">MAX(0,MIN(J70+J71-J72,J76-J74))</f>
        <v>0</v>
      </c>
      <c r="K77" s="38" t="n">
        <f aca="false">MAX(0,MIN(K70+K71-K72,K76-K74))</f>
        <v>0</v>
      </c>
      <c r="L77" s="38" t="n">
        <f aca="false">MAX(0,MIN(L70+L71-L72,L76-L74))</f>
        <v>0</v>
      </c>
      <c r="M77" s="38" t="n">
        <f aca="false">MAX(0,MIN(M70+M71-M72,M76-M74))</f>
        <v>0</v>
      </c>
      <c r="N77" s="38" t="n">
        <f aca="false">MAX(0,MIN(N70+N71-N72,N76-N74))</f>
        <v>0</v>
      </c>
      <c r="O77" s="38" t="n">
        <f aca="false">MAX(0,MIN(O70+O71-O72,O76-O74))</f>
        <v>0</v>
      </c>
      <c r="P77" s="38" t="n">
        <f aca="false">MAX(0,MIN(P70+P71-P72,P76-P74))</f>
        <v>0</v>
      </c>
      <c r="Q77" s="38" t="n">
        <f aca="false">MAX(0,MIN(Q70+Q71-Q72,Q76-Q74))</f>
        <v>0</v>
      </c>
      <c r="R77" s="38" t="n">
        <f aca="false">MAX(0,MIN(R70+R71-R72,R76-R74))</f>
        <v>0</v>
      </c>
      <c r="S77" s="38" t="n">
        <f aca="false">MAX(0,MIN(S70+S71-S72,S76-S74))</f>
        <v>0</v>
      </c>
      <c r="T77" s="38" t="n">
        <f aca="false">MAX(0,MIN(T70+T71-T72,T76-T74))</f>
        <v>0</v>
      </c>
      <c r="U77" s="38" t="n">
        <f aca="false">MAX(0,MIN(U70+U71-U72,U76-U74))</f>
        <v>0</v>
      </c>
      <c r="V77" s="38" t="n">
        <f aca="false">MAX(0,MIN(V70+V71-V72,V76-V74))</f>
        <v>0</v>
      </c>
      <c r="W77" s="38" t="n">
        <f aca="false">MAX(0,MIN(W70+W71-W72,W76-W74))</f>
        <v>0</v>
      </c>
      <c r="X77" s="38" t="n">
        <f aca="false">MAX(0,MIN(X70+X71-X72,X76-X74))</f>
        <v>0</v>
      </c>
      <c r="Y77" s="38" t="n">
        <f aca="false">MAX(0,MIN(Y70+Y71-Y72,Y76-Y74))</f>
        <v>0</v>
      </c>
      <c r="Z77" s="38" t="n">
        <f aca="false">MAX(0,MIN(Z70+Z71-Z72,Z76-Z74))</f>
        <v>0</v>
      </c>
      <c r="AA77" s="38" t="n">
        <f aca="false">MAX(0,MIN(AA70+AA71-AA72,AA76-AA74))</f>
        <v>0</v>
      </c>
      <c r="AB77" s="38" t="n">
        <f aca="false">MAX(0,MIN(AB70+AB71-AB72,AB76-AB74))</f>
        <v>0</v>
      </c>
    </row>
    <row r="78" customFormat="false" ht="15" hidden="false" customHeight="false" outlineLevel="0" collapsed="false">
      <c r="B78" s="3" t="s">
        <v>223</v>
      </c>
      <c r="D78" s="38" t="n">
        <f aca="false">D76-D77</f>
        <v>12.4669</v>
      </c>
      <c r="E78" s="38" t="n">
        <f aca="false">E76-E77</f>
        <v>6.2249826525</v>
      </c>
      <c r="F78" s="38" t="n">
        <f aca="false">F76-F77</f>
        <v>1.28034658246115</v>
      </c>
      <c r="G78" s="38" t="n">
        <f aca="false">G76-G77</f>
        <v>0</v>
      </c>
      <c r="H78" s="38" t="n">
        <f aca="false">H76-H77</f>
        <v>0</v>
      </c>
      <c r="I78" s="38" t="n">
        <f aca="false">I76-I77</f>
        <v>0</v>
      </c>
      <c r="J78" s="38" t="n">
        <f aca="false">J76-J77</f>
        <v>0</v>
      </c>
      <c r="K78" s="38" t="n">
        <f aca="false">K76-K77</f>
        <v>0.382105011481434</v>
      </c>
      <c r="L78" s="38" t="n">
        <f aca="false">L76-L77</f>
        <v>1.60834879011468</v>
      </c>
      <c r="M78" s="38" t="n">
        <f aca="false">M76-M77</f>
        <v>3.5201436599581</v>
      </c>
      <c r="N78" s="38" t="n">
        <f aca="false">N76-N77</f>
        <v>5.93738886386202</v>
      </c>
      <c r="O78" s="38" t="n">
        <f aca="false">O76-O77</f>
        <v>8.66185041365184</v>
      </c>
      <c r="P78" s="38" t="n">
        <f aca="false">P76-P77</f>
        <v>8.95254250113999</v>
      </c>
      <c r="Q78" s="38" t="n">
        <f aca="false">Q76-Q77</f>
        <v>7.72446908659971</v>
      </c>
      <c r="R78" s="38" t="n">
        <f aca="false">R76-R77</f>
        <v>6.56235727544002</v>
      </c>
      <c r="S78" s="38" t="n">
        <f aca="false">S76-S77</f>
        <v>5.4796259697559</v>
      </c>
      <c r="T78" s="38" t="n">
        <f aca="false">T76-T77</f>
        <v>4.48803661137566</v>
      </c>
      <c r="U78" s="38" t="n">
        <f aca="false">U76-U77</f>
        <v>3.59711332478946</v>
      </c>
      <c r="V78" s="38" t="n">
        <f aca="false">V76-V77</f>
        <v>2.81359013007201</v>
      </c>
      <c r="W78" s="38" t="n">
        <f aca="false">W76-W77</f>
        <v>1.49400949107673</v>
      </c>
      <c r="X78" s="38" t="n">
        <f aca="false">X76-X77</f>
        <v>0</v>
      </c>
      <c r="Y78" s="38" t="n">
        <f aca="false">Y76-Y77</f>
        <v>0</v>
      </c>
      <c r="Z78" s="38" t="n">
        <f aca="false">Z76-Z77</f>
        <v>0</v>
      </c>
      <c r="AA78" s="38" t="n">
        <f aca="false">AA76-AA77</f>
        <v>0</v>
      </c>
      <c r="AB78" s="38" t="n">
        <f aca="false">AB76-AB77</f>
        <v>0</v>
      </c>
    </row>
    <row r="79" customFormat="false" ht="15" hidden="false" customHeight="false" outlineLevel="0" collapsed="false">
      <c r="B79" s="3" t="s">
        <v>224</v>
      </c>
      <c r="D79" s="38" t="n">
        <f aca="false">D66+D67-D68-D75</f>
        <v>75</v>
      </c>
      <c r="E79" s="38" t="n">
        <f aca="false">E66+E67-E68-E75</f>
        <v>75</v>
      </c>
      <c r="F79" s="38" t="n">
        <f aca="false">F66+F67-F68-F75</f>
        <v>75</v>
      </c>
      <c r="G79" s="38" t="n">
        <f aca="false">G66+G67-G68-G75</f>
        <v>75.0061169340102</v>
      </c>
      <c r="H79" s="38" t="n">
        <f aca="false">H66+H67-H68-H75</f>
        <v>75.0061169340102</v>
      </c>
      <c r="I79" s="38" t="n">
        <f aca="false">I66+I67-I68-I75</f>
        <v>75.0061169340102</v>
      </c>
      <c r="J79" s="38" t="n">
        <f aca="false">J66+J67-J68-J75</f>
        <v>75.0061169340102</v>
      </c>
      <c r="K79" s="38" t="n">
        <f aca="false">K66+K67-K68-K75</f>
        <v>75.0061169340102</v>
      </c>
      <c r="L79" s="38" t="n">
        <f aca="false">L66+L67-L68-L75</f>
        <v>75.0061169340102</v>
      </c>
      <c r="M79" s="38" t="n">
        <f aca="false">M66+M67-M68-M75</f>
        <v>75.0061169340102</v>
      </c>
      <c r="N79" s="38" t="n">
        <f aca="false">N66+N67-N68-N75</f>
        <v>75.0061169340102</v>
      </c>
      <c r="O79" s="38" t="n">
        <f aca="false">O66+O67-O68-O75</f>
        <v>75.0061169340102</v>
      </c>
      <c r="P79" s="38" t="n">
        <f aca="false">P66+P67-P68-P75</f>
        <v>72.4768322335975</v>
      </c>
      <c r="Q79" s="38" t="n">
        <f aca="false">Q66+Q67-Q68-Q75</f>
        <v>68.463901110397</v>
      </c>
      <c r="R79" s="38" t="n">
        <f aca="false">R66+R67-R68-R75</f>
        <v>64.7167614726911</v>
      </c>
      <c r="S79" s="38" t="n">
        <f aca="false">S66+S67-S68-S75</f>
        <v>61.4647883512336</v>
      </c>
      <c r="T79" s="38" t="n">
        <f aca="false">T66+T67-T68-T75</f>
        <v>58.9262177055847</v>
      </c>
      <c r="U79" s="38" t="n">
        <f aca="false">U66+U67-U68-U75</f>
        <v>57.2978260824673</v>
      </c>
      <c r="V79" s="38" t="n">
        <f aca="false">V66+V67-V68-V75</f>
        <v>56.7447780955891</v>
      </c>
      <c r="W79" s="38" t="n">
        <f aca="false">W66+W67-W68-W75</f>
        <v>56.7447780955891</v>
      </c>
      <c r="X79" s="38" t="n">
        <f aca="false">X66+X67-X68-X75</f>
        <v>56.7447780955891</v>
      </c>
      <c r="Y79" s="38" t="n">
        <f aca="false">Y66+Y67-Y68-Y75</f>
        <v>57.2646532328438</v>
      </c>
      <c r="Z79" s="38" t="n">
        <f aca="false">Z66+Z67-Z68-Z75</f>
        <v>58.7814311017565</v>
      </c>
      <c r="AA79" s="38" t="n">
        <f aca="false">AA66+AA67-AA68-AA75</f>
        <v>61.2302051494943</v>
      </c>
      <c r="AB79" s="38" t="n">
        <f aca="false">AB66+AB67-AB68-AB75</f>
        <v>64.2701563478766</v>
      </c>
    </row>
    <row r="80" customFormat="false" ht="15" hidden="false" customHeight="false" outlineLevel="0" collapsed="false">
      <c r="B80" s="3" t="s">
        <v>225</v>
      </c>
      <c r="D80" s="38" t="n">
        <f aca="false">D70+D71-D72-D77</f>
        <v>25</v>
      </c>
      <c r="E80" s="38" t="n">
        <f aca="false">E70+E71-E72-E77</f>
        <v>25</v>
      </c>
      <c r="F80" s="38" t="n">
        <f aca="false">F70+F71-F72-F77</f>
        <v>25</v>
      </c>
      <c r="G80" s="38" t="n">
        <f aca="false">G70+G71-G72-G77</f>
        <v>27.375</v>
      </c>
      <c r="H80" s="38" t="n">
        <f aca="false">H70+H71-H72-H77</f>
        <v>29.9440609199781</v>
      </c>
      <c r="I80" s="38" t="n">
        <f aca="false">I70+I71-I72-I77</f>
        <v>31.49753705552</v>
      </c>
      <c r="J80" s="38" t="n">
        <f aca="false">J70+J71-J72-J77</f>
        <v>32.0590102621644</v>
      </c>
      <c r="K80" s="38" t="n">
        <f aca="false">K70+K71-K72-K77</f>
        <v>32.0590102621644</v>
      </c>
      <c r="L80" s="38" t="n">
        <f aca="false">L70+L71-L72-L77</f>
        <v>32.0590102621644</v>
      </c>
      <c r="M80" s="38" t="n">
        <f aca="false">M70+M71-M72-M77</f>
        <v>32.0590102621644</v>
      </c>
      <c r="N80" s="38" t="n">
        <f aca="false">N70+N71-N72-N77</f>
        <v>32.0590102621644</v>
      </c>
      <c r="O80" s="38" t="n">
        <f aca="false">O70+O71-O72-O77</f>
        <v>32.0590102621644</v>
      </c>
      <c r="P80" s="38" t="n">
        <f aca="false">P70+P71-P72-P77</f>
        <v>32.0590102621644</v>
      </c>
      <c r="Q80" s="38" t="n">
        <f aca="false">Q70+Q71-Q72-Q77</f>
        <v>32.0590102621644</v>
      </c>
      <c r="R80" s="38" t="n">
        <f aca="false">R70+R71-R72-R77</f>
        <v>32.0590102621644</v>
      </c>
      <c r="S80" s="38" t="n">
        <f aca="false">S70+S71-S72-S77</f>
        <v>32.0590102621644</v>
      </c>
      <c r="T80" s="38" t="n">
        <f aca="false">T70+T71-T72-T77</f>
        <v>32.0590102621644</v>
      </c>
      <c r="U80" s="38" t="n">
        <f aca="false">U70+U71-U72-U77</f>
        <v>32.0590102621644</v>
      </c>
      <c r="V80" s="38" t="n">
        <f aca="false">V70+V71-V72-V77</f>
        <v>32.0590102621644</v>
      </c>
      <c r="W80" s="38" t="n">
        <f aca="false">W70+W71-W72-W77</f>
        <v>32.0590102621644</v>
      </c>
      <c r="X80" s="38" t="n">
        <f aca="false">X70+X71-X72-X77</f>
        <v>33.0288371588644</v>
      </c>
      <c r="Y80" s="38" t="n">
        <f aca="false">Y70+Y71-Y72-Y77</f>
        <v>36.1665766889565</v>
      </c>
      <c r="Z80" s="38" t="n">
        <f aca="false">Z70+Z71-Z72-Z77</f>
        <v>39.6024014744074</v>
      </c>
      <c r="AA80" s="38" t="n">
        <f aca="false">AA70+AA71-AA72-AA77</f>
        <v>43.3646296144761</v>
      </c>
      <c r="AB80" s="38" t="n">
        <f aca="false">AB70+AB71-AB72-AB77</f>
        <v>47.4842694278513</v>
      </c>
    </row>
    <row r="81" customFormat="false" ht="15" hidden="false" customHeight="false" outlineLevel="0" collapsed="false">
      <c r="B81" s="3" t="s">
        <v>226</v>
      </c>
      <c r="D81" s="38" t="n">
        <f aca="false">IF(D79+D80&lt;0.000001,MAX(0,D78-D74),0)</f>
        <v>0</v>
      </c>
      <c r="E81" s="38" t="n">
        <f aca="false">IF(E79+E80&lt;0.000001,MAX(0,E78-E74),0)</f>
        <v>0</v>
      </c>
      <c r="F81" s="38" t="n">
        <f aca="false">IF(F79+F80&lt;0.000001,MAX(0,F78-F74),0)</f>
        <v>0</v>
      </c>
      <c r="G81" s="38" t="n">
        <f aca="false">IF(G79+G80&lt;0.000001,MAX(0,G78-G74),0)</f>
        <v>0</v>
      </c>
      <c r="H81" s="38" t="n">
        <f aca="false">IF(H79+H80&lt;0.000001,MAX(0,H78-H74),0)</f>
        <v>0</v>
      </c>
      <c r="I81" s="38" t="n">
        <f aca="false">IF(I79+I80&lt;0.000001,MAX(0,I78-I74),0)</f>
        <v>0</v>
      </c>
      <c r="J81" s="38" t="n">
        <f aca="false">IF(J79+J80&lt;0.000001,MAX(0,J78-J74),0)</f>
        <v>0</v>
      </c>
      <c r="K81" s="38" t="n">
        <f aca="false">IF(K79+K80&lt;0.000001,MAX(0,K78-K74),0)</f>
        <v>0</v>
      </c>
      <c r="L81" s="38" t="n">
        <f aca="false">IF(L79+L80&lt;0.000001,MAX(0,L78-L74),0)</f>
        <v>0</v>
      </c>
      <c r="M81" s="38" t="n">
        <f aca="false">IF(M79+M80&lt;0.000001,MAX(0,M78-M74),0)</f>
        <v>0</v>
      </c>
      <c r="N81" s="38" t="n">
        <f aca="false">IF(N79+N80&lt;0.000001,MAX(0,N78-N74),0)</f>
        <v>0</v>
      </c>
      <c r="O81" s="38" t="n">
        <f aca="false">IF(O79+O80&lt;0.000001,MAX(0,O78-O74),0)</f>
        <v>0</v>
      </c>
      <c r="P81" s="38" t="n">
        <f aca="false">IF(P79+P80&lt;0.000001,MAX(0,P78-P74),0)</f>
        <v>0</v>
      </c>
      <c r="Q81" s="38" t="n">
        <f aca="false">IF(Q79+Q80&lt;0.000001,MAX(0,Q78-Q74),0)</f>
        <v>0</v>
      </c>
      <c r="R81" s="38" t="n">
        <f aca="false">IF(R79+R80&lt;0.000001,MAX(0,R78-R74),0)</f>
        <v>0</v>
      </c>
      <c r="S81" s="38" t="n">
        <f aca="false">IF(S79+S80&lt;0.000001,MAX(0,S78-S74),0)</f>
        <v>0</v>
      </c>
      <c r="T81" s="38" t="n">
        <f aca="false">IF(T79+T80&lt;0.000001,MAX(0,T78-T74),0)</f>
        <v>0</v>
      </c>
      <c r="U81" s="38" t="n">
        <f aca="false">IF(U79+U80&lt;0.000001,MAX(0,U78-U74),0)</f>
        <v>0</v>
      </c>
      <c r="V81" s="38" t="n">
        <f aca="false">IF(V79+V80&lt;0.000001,MAX(0,V78-V74),0)</f>
        <v>0</v>
      </c>
      <c r="W81" s="38" t="n">
        <f aca="false">IF(W79+W80&lt;0.000001,MAX(0,W78-W74),0)</f>
        <v>0</v>
      </c>
      <c r="X81" s="38" t="n">
        <f aca="false">IF(X79+X80&lt;0.000001,MAX(0,X78-X74),0)</f>
        <v>0</v>
      </c>
      <c r="Y81" s="38" t="n">
        <f aca="false">IF(Y79+Y80&lt;0.000001,MAX(0,Y78-Y74),0)</f>
        <v>0</v>
      </c>
      <c r="Z81" s="38" t="n">
        <f aca="false">IF(Z79+Z80&lt;0.000001,MAX(0,Z78-Z74),0)</f>
        <v>0</v>
      </c>
      <c r="AA81" s="38" t="n">
        <f aca="false">IF(AA79+AA80&lt;0.000001,MAX(0,AA78-AA74),0)</f>
        <v>0</v>
      </c>
      <c r="AB81" s="38" t="n">
        <f aca="false">IF(AB79+AB80&lt;0.000001,MAX(0,AB78-AB74),0)</f>
        <v>0</v>
      </c>
    </row>
    <row r="82" customFormat="false" ht="15" hidden="false" customHeight="false" outlineLevel="0" collapsed="false">
      <c r="B82" s="2" t="s">
        <v>227</v>
      </c>
      <c r="D82" s="38" t="n">
        <f aca="false">D78-D81</f>
        <v>12.4669</v>
      </c>
      <c r="E82" s="38" t="n">
        <f aca="false">E78-E81</f>
        <v>6.2249826525</v>
      </c>
      <c r="F82" s="38" t="n">
        <f aca="false">F78-F81</f>
        <v>1.28034658246115</v>
      </c>
      <c r="G82" s="38" t="n">
        <f aca="false">G78-G81</f>
        <v>0</v>
      </c>
      <c r="H82" s="38" t="n">
        <f aca="false">H78-H81</f>
        <v>0</v>
      </c>
      <c r="I82" s="38" t="n">
        <f aca="false">I78-I81</f>
        <v>0</v>
      </c>
      <c r="J82" s="38" t="n">
        <f aca="false">J78-J81</f>
        <v>0</v>
      </c>
      <c r="K82" s="38" t="n">
        <f aca="false">K78-K81</f>
        <v>0.382105011481434</v>
      </c>
      <c r="L82" s="38" t="n">
        <f aca="false">L78-L81</f>
        <v>1.60834879011468</v>
      </c>
      <c r="M82" s="38" t="n">
        <f aca="false">M78-M81</f>
        <v>3.5201436599581</v>
      </c>
      <c r="N82" s="38" t="n">
        <f aca="false">N78-N81</f>
        <v>5.93738886386202</v>
      </c>
      <c r="O82" s="38" t="n">
        <f aca="false">O78-O81</f>
        <v>8.66185041365184</v>
      </c>
      <c r="P82" s="38" t="n">
        <f aca="false">P78-P81</f>
        <v>8.95254250113999</v>
      </c>
      <c r="Q82" s="38" t="n">
        <f aca="false">Q78-Q81</f>
        <v>7.72446908659971</v>
      </c>
      <c r="R82" s="38" t="n">
        <f aca="false">R78-R81</f>
        <v>6.56235727544002</v>
      </c>
      <c r="S82" s="38" t="n">
        <f aca="false">S78-S81</f>
        <v>5.4796259697559</v>
      </c>
      <c r="T82" s="38" t="n">
        <f aca="false">T78-T81</f>
        <v>4.48803661137566</v>
      </c>
      <c r="U82" s="38" t="n">
        <f aca="false">U78-U81</f>
        <v>3.59711332478946</v>
      </c>
      <c r="V82" s="38" t="n">
        <f aca="false">V78-V81</f>
        <v>2.81359013007201</v>
      </c>
      <c r="W82" s="38" t="n">
        <f aca="false">W78-W81</f>
        <v>1.49400949107673</v>
      </c>
      <c r="X82" s="38" t="n">
        <f aca="false">X78-X81</f>
        <v>0</v>
      </c>
      <c r="Y82" s="38" t="n">
        <f aca="false">Y78-Y81</f>
        <v>0</v>
      </c>
      <c r="Z82" s="38" t="n">
        <f aca="false">Z78-Z81</f>
        <v>0</v>
      </c>
      <c r="AA82" s="38" t="n">
        <f aca="false">AA78-AA81</f>
        <v>0</v>
      </c>
      <c r="AB82" s="38" t="n">
        <f aca="false">AB78-AB81</f>
        <v>0</v>
      </c>
    </row>
    <row r="83" customFormat="false" ht="15" hidden="false" customHeight="false" outlineLevel="0" collapsed="false">
      <c r="B83" s="3" t="s">
        <v>228</v>
      </c>
      <c r="D83" s="10" t="n">
        <f aca="false">IF(AND(D65&lt;0,D66+D70&gt;0.000001),1,0)</f>
        <v>0</v>
      </c>
      <c r="E83" s="10" t="n">
        <f aca="false">IF(AND(E65&lt;0,E66+E70&gt;0.000001),1,0)</f>
        <v>0</v>
      </c>
      <c r="F83" s="10" t="n">
        <f aca="false">IF(AND(F65&lt;0,F66+F70&gt;0.000001),1,0)</f>
        <v>0</v>
      </c>
      <c r="G83" s="10" t="n">
        <f aca="false">IF(AND(G65&lt;0,G66+G70&gt;0.000001),1,0)</f>
        <v>0</v>
      </c>
      <c r="H83" s="10" t="n">
        <f aca="false">IF(AND(H65&lt;0,H66+H70&gt;0.000001),1,0)</f>
        <v>0</v>
      </c>
      <c r="I83" s="10" t="n">
        <f aca="false">IF(AND(I65&lt;0,I66+I70&gt;0.000001),1,0)</f>
        <v>0</v>
      </c>
      <c r="J83" s="10" t="n">
        <f aca="false">IF(AND(J65&lt;0,J66+J70&gt;0.000001),1,0)</f>
        <v>0</v>
      </c>
      <c r="K83" s="10" t="n">
        <f aca="false">IF(AND(K65&lt;0,K66+K70&gt;0.000001),1,0)</f>
        <v>0</v>
      </c>
      <c r="L83" s="10" t="n">
        <f aca="false">IF(AND(L65&lt;0,L66+L70&gt;0.000001),1,0)</f>
        <v>0</v>
      </c>
      <c r="M83" s="10" t="n">
        <f aca="false">IF(AND(M65&lt;0,M66+M70&gt;0.000001),1,0)</f>
        <v>0</v>
      </c>
      <c r="N83" s="10" t="n">
        <f aca="false">IF(AND(N65&lt;0,N66+N70&gt;0.000001),1,0)</f>
        <v>0</v>
      </c>
      <c r="O83" s="10" t="n">
        <f aca="false">IF(AND(O65&lt;0,O66+O70&gt;0.000001),1,0)</f>
        <v>0</v>
      </c>
      <c r="P83" s="10" t="n">
        <f aca="false">IF(AND(P65&lt;0,P66+P70&gt;0.000001),1,0)</f>
        <v>0</v>
      </c>
      <c r="Q83" s="10" t="n">
        <f aca="false">IF(AND(Q65&lt;0,Q66+Q70&gt;0.000001),1,0)</f>
        <v>0</v>
      </c>
      <c r="R83" s="10" t="n">
        <f aca="false">IF(AND(R65&lt;0,R66+R70&gt;0.000001),1,0)</f>
        <v>0</v>
      </c>
      <c r="S83" s="10" t="n">
        <f aca="false">IF(AND(S65&lt;0,S66+S70&gt;0.000001),1,0)</f>
        <v>0</v>
      </c>
      <c r="T83" s="10" t="n">
        <f aca="false">IF(AND(T65&lt;0,T66+T70&gt;0.000001),1,0)</f>
        <v>0</v>
      </c>
      <c r="U83" s="10" t="n">
        <f aca="false">IF(AND(U65&lt;0,U66+U70&gt;0.000001),1,0)</f>
        <v>0</v>
      </c>
      <c r="V83" s="10" t="n">
        <f aca="false">IF(AND(V65&lt;0,V66+V70&gt;0.000001),1,0)</f>
        <v>0</v>
      </c>
      <c r="W83" s="10" t="n">
        <f aca="false">IF(AND(W65&lt;0,W66+W70&gt;0.000001),1,0)</f>
        <v>0</v>
      </c>
      <c r="X83" s="10" t="n">
        <f aca="false">IF(AND(X65&lt;0,X66+X70&gt;0.000001),1,0)</f>
        <v>0</v>
      </c>
      <c r="Y83" s="10" t="n">
        <f aca="false">IF(AND(Y65&lt;0,Y66+Y70&gt;0.000001),1,0)</f>
        <v>0</v>
      </c>
      <c r="Z83" s="10" t="n">
        <f aca="false">IF(AND(Z65&lt;0,Z66+Z70&gt;0.000001),1,0)</f>
        <v>0</v>
      </c>
      <c r="AA83" s="10" t="n">
        <f aca="false">IF(AND(AA65&lt;0,AA66+AA70&gt;0.000001),1,0)</f>
        <v>0</v>
      </c>
      <c r="AB83" s="10" t="n">
        <f aca="false">IF(AND(AB65&lt;0,AB66+AB70&gt;0.000001),1,0)</f>
        <v>0</v>
      </c>
    </row>
    <row r="85" customFormat="false" ht="15" hidden="false" customHeight="false" outlineLevel="0" collapsed="false">
      <c r="A85" s="2" t="s">
        <v>229</v>
      </c>
    </row>
    <row r="86" customFormat="false" ht="15" hidden="false" customHeight="false" outlineLevel="0" collapsed="false">
      <c r="B86" s="3" t="s">
        <v>230</v>
      </c>
      <c r="C86" s="31" t="n">
        <f aca="false">MIN(1,AB79/Supuestos!C5)</f>
        <v>0.856935417971687</v>
      </c>
    </row>
    <row r="87" customFormat="false" ht="15" hidden="false" customHeight="false" outlineLevel="0" collapsed="false">
      <c r="B87" s="3" t="s">
        <v>231</v>
      </c>
      <c r="C87" s="31" t="n">
        <f aca="false">MIN(1,AB80/Supuestos!C7)</f>
        <v>1</v>
      </c>
    </row>
    <row r="88" customFormat="false" ht="15" hidden="false" customHeight="false" outlineLevel="0" collapsed="false">
      <c r="B88" s="3" t="s">
        <v>232</v>
      </c>
      <c r="C88" s="38" t="n">
        <f aca="false">SUM(D67:AB67)-SUM(D68:AB68)</f>
        <v>7.53149518629766</v>
      </c>
    </row>
    <row r="89" customFormat="false" ht="15" hidden="false" customHeight="false" outlineLevel="0" collapsed="false">
      <c r="B89" s="3" t="s">
        <v>233</v>
      </c>
      <c r="C89" s="38" t="n">
        <f aca="false">MIN(IF(D66+D70&gt;0.000001,D65,1000000000),IF(E66+E70&gt;0.000001,E65,1000000000),IF(F66+F70&gt;0.000001,F65,1000000000),IF(G66+G70&gt;0.000001,G65,1000000000),IF(H66+H70&gt;0.000001,H65,1000000000),IF(I66+I70&gt;0.000001,I65,1000000000),IF(J66+J70&gt;0.000001,J65,1000000000),IF(K66+K70&gt;0.000001,K65,1000000000),IF(L66+L70&gt;0.000001,L65,1000000000),IF(M66+M70&gt;0.000001,M65,1000000000),IF(N66+N70&gt;0.000001,N65,1000000000),IF(O66+O70&gt;0.000001,O65,1000000000),IF(P66+P70&gt;0.000001,P65,1000000000),IF(Q66+Q70&gt;0.000001,Q65,1000000000),IF(R66+R70&gt;0.000001,R65,1000000000),IF(S66+S70&gt;0.000001,S65,1000000000),IF(T66+T70&gt;0.000001,T65,1000000000),IF(U66+U70&gt;0.000001,U65,1000000000),IF(V66+V70&gt;0.000001,V65,1000000000),IF(W66+W70&gt;0.000001,W65,1000000000),IF(X66+X70&gt;0.000001,X65,1000000000),IF(Y66+Y70&gt;0.000001,Y65,1000000000),IF(Z66+Z70&gt;0.000001,Z65,1000000000),IF(AA66+AA70&gt;0.000001,AA65,1000000000),IF(AB66+AB70&gt;0.000001,AB65,1000000000))</f>
        <v>0.940012136334877</v>
      </c>
    </row>
    <row r="90" customFormat="false" ht="15" hidden="false" customHeight="false" outlineLevel="0" collapsed="false">
      <c r="B90" s="3" t="s">
        <v>234</v>
      </c>
      <c r="C90" s="10" t="n">
        <f aca="false">SUM(D83:AB83)</f>
        <v>0</v>
      </c>
    </row>
    <row r="91" customFormat="false" ht="15" hidden="false" customHeight="false" outlineLevel="0" collapsed="false">
      <c r="B91" s="3" t="s">
        <v>235</v>
      </c>
      <c r="C91" s="33" t="n">
        <f aca="false">IFERROR(SUMPRODUCT(D75:AB75,D3:AB3)/SUM(D75:AB75),0)</f>
        <v>15.3480019051081</v>
      </c>
    </row>
    <row r="92" customFormat="false" ht="15" hidden="false" customHeight="false" outlineLevel="0" collapsed="false">
      <c r="B92" s="3" t="s">
        <v>236</v>
      </c>
      <c r="C92" s="33" t="n">
        <f aca="false">IFERROR(SUMPRODUCT(D77:AB77,D3:AB3)/SUM(D77:AB77),0)</f>
        <v>0</v>
      </c>
    </row>
    <row r="93" customFormat="false" ht="15" hidden="false" customHeight="false" outlineLevel="0" collapsed="false">
      <c r="B93" s="3" t="s">
        <v>237</v>
      </c>
      <c r="C93" s="33" t="n">
        <f aca="false">(C18*Cartera!D5+C26*Cartera!D6+C34*Cartera!D7+C42*Cartera!D8+C50*Cartera!D9)/Cartera!D10</f>
        <v>9.33052593154856</v>
      </c>
    </row>
    <row r="94" customFormat="false" ht="15" hidden="false" customHeight="false" outlineLevel="0" collapsed="false">
      <c r="B94" s="3" t="s">
        <v>238</v>
      </c>
      <c r="C94" s="10" t="n">
        <f aca="false">IF(AND(C86&lt;=Supuestos!C20+0.000001,C88&lt;0.000001),1,0)</f>
        <v>0</v>
      </c>
    </row>
    <row r="95" customFormat="false" ht="15" hidden="false" customHeight="false" outlineLevel="0" collapsed="false">
      <c r="B95" s="3" t="s">
        <v>239</v>
      </c>
      <c r="C95" s="10" t="n">
        <f aca="false">IF(C87&lt;=Supuestos!C20+0.000001,1,0)</f>
        <v>0</v>
      </c>
    </row>
    <row r="96" customFormat="false" ht="15" hidden="false" customHeight="false" outlineLevel="0" collapsed="false">
      <c r="B96" s="3" t="s">
        <v>240</v>
      </c>
      <c r="C96" s="38" t="n">
        <f aca="false">SUM(D81:AB81)+MAX(0,AB82)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28" min="4" style="0" width="10"/>
  </cols>
  <sheetData>
    <row r="1" customFormat="false" ht="17.35" hidden="false" customHeight="false" outlineLevel="0" collapsed="false">
      <c r="A1" s="1" t="s">
        <v>241</v>
      </c>
    </row>
    <row r="2" customFormat="false" ht="15" hidden="false" customHeight="false" outlineLevel="0" collapsed="false">
      <c r="A2" s="3" t="s">
        <v>21</v>
      </c>
      <c r="C2" s="2" t="s">
        <v>33</v>
      </c>
    </row>
    <row r="3" customFormat="false" ht="15" hidden="false" customHeight="false" outlineLevel="0" collapsed="false">
      <c r="A3" s="2" t="s">
        <v>185</v>
      </c>
      <c r="D3" s="35" t="n">
        <v>1</v>
      </c>
      <c r="E3" s="35" t="n">
        <v>2</v>
      </c>
      <c r="F3" s="35" t="n">
        <v>3</v>
      </c>
      <c r="G3" s="35" t="n">
        <v>4</v>
      </c>
      <c r="H3" s="35" t="n">
        <v>5</v>
      </c>
      <c r="I3" s="35" t="n">
        <v>6</v>
      </c>
      <c r="J3" s="35" t="n">
        <v>7</v>
      </c>
      <c r="K3" s="35" t="n">
        <v>8</v>
      </c>
      <c r="L3" s="35" t="n">
        <v>9</v>
      </c>
      <c r="M3" s="35" t="n">
        <v>10</v>
      </c>
      <c r="N3" s="35" t="n">
        <v>11</v>
      </c>
      <c r="O3" s="35" t="n">
        <v>12</v>
      </c>
      <c r="P3" s="35" t="n">
        <v>13</v>
      </c>
      <c r="Q3" s="35" t="n">
        <v>14</v>
      </c>
      <c r="R3" s="35" t="n">
        <v>15</v>
      </c>
      <c r="S3" s="35" t="n">
        <v>16</v>
      </c>
      <c r="T3" s="35" t="n">
        <v>17</v>
      </c>
      <c r="U3" s="35" t="n">
        <v>18</v>
      </c>
      <c r="V3" s="35" t="n">
        <v>19</v>
      </c>
      <c r="W3" s="35" t="n">
        <v>20</v>
      </c>
      <c r="X3" s="35" t="n">
        <v>21</v>
      </c>
      <c r="Y3" s="35" t="n">
        <v>22</v>
      </c>
      <c r="Z3" s="35" t="n">
        <v>23</v>
      </c>
      <c r="AA3" s="35" t="n">
        <v>24</v>
      </c>
      <c r="AB3" s="35" t="n">
        <v>25</v>
      </c>
    </row>
    <row r="5" customFormat="false" ht="15" hidden="false" customHeight="false" outlineLevel="0" collapsed="false">
      <c r="A5" s="3" t="s">
        <v>186</v>
      </c>
      <c r="C5" s="5" t="n">
        <f aca="false">Supuestos!C25</f>
        <v>0.76</v>
      </c>
    </row>
    <row r="6" customFormat="false" ht="15" hidden="false" customHeight="false" outlineLevel="0" collapsed="false">
      <c r="A6" s="3" t="s">
        <v>187</v>
      </c>
      <c r="C6" s="5" t="n">
        <f aca="false">Supuestos!D25</f>
        <v>0.04</v>
      </c>
    </row>
    <row r="7" customFormat="false" ht="15" hidden="false" customHeight="false" outlineLevel="0" collapsed="false">
      <c r="A7" s="3" t="s">
        <v>188</v>
      </c>
      <c r="C7" s="12" t="n">
        <f aca="false">Supuestos!E25</f>
        <v>0.045</v>
      </c>
    </row>
    <row r="8" customFormat="false" ht="15" hidden="false" customHeight="false" outlineLevel="0" collapsed="false">
      <c r="A8" s="3" t="s">
        <v>189</v>
      </c>
      <c r="C8" s="7" t="n">
        <f aca="false">Supuestos!F25</f>
        <v>0.015</v>
      </c>
    </row>
    <row r="9" customFormat="false" ht="15" hidden="false" customHeight="false" outlineLevel="0" collapsed="false">
      <c r="A9" s="3" t="s">
        <v>104</v>
      </c>
      <c r="C9" s="12" t="n">
        <f aca="false">Supuestos!G25</f>
        <v>0.4</v>
      </c>
    </row>
    <row r="10" customFormat="false" ht="15" hidden="false" customHeight="false" outlineLevel="0" collapsed="false">
      <c r="A10" s="2" t="s">
        <v>190</v>
      </c>
      <c r="C10" s="36" t="n">
        <f aca="false">MAX(0,C5-IF(Cartera!C10&lt;Supuestos!C16,C6,0))</f>
        <v>0.76</v>
      </c>
    </row>
    <row r="12" customFormat="false" ht="15" hidden="false" customHeight="false" outlineLevel="0" collapsed="false">
      <c r="A12" s="37" t="str">
        <f aca="false">Cartera!A5&amp;" – "&amp;Cartera!B5</f>
        <v>C1 – Edad 75–79, salud estándar</v>
      </c>
    </row>
    <row r="13" customFormat="false" ht="15" hidden="false" customHeight="false" outlineLevel="0" collapsed="false">
      <c r="B13" s="3" t="s">
        <v>191</v>
      </c>
      <c r="D13" s="34" t="n">
        <f aca="false">MIN(1,Cartera!$F$5*(1+Cartera!$G$5)^(D$3-1)*$C$10)</f>
        <v>0.0342</v>
      </c>
      <c r="E13" s="34" t="n">
        <f aca="false">MIN(1,Cartera!$F$5*(1+Cartera!$G$5)^(E$3-1)*$C$10)</f>
        <v>0.037962</v>
      </c>
      <c r="F13" s="34" t="n">
        <f aca="false">MIN(1,Cartera!$F$5*(1+Cartera!$G$5)^(F$3-1)*$C$10)</f>
        <v>0.04213782</v>
      </c>
      <c r="G13" s="34" t="n">
        <f aca="false">MIN(1,Cartera!$F$5*(1+Cartera!$G$5)^(G$3-1)*$C$10)</f>
        <v>0.0467729802</v>
      </c>
      <c r="H13" s="34" t="n">
        <f aca="false">MIN(1,Cartera!$F$5*(1+Cartera!$G$5)^(H$3-1)*$C$10)</f>
        <v>0.051918008022</v>
      </c>
      <c r="I13" s="34" t="n">
        <f aca="false">MIN(1,Cartera!$F$5*(1+Cartera!$G$5)^(I$3-1)*$C$10)</f>
        <v>0.05762898890442</v>
      </c>
      <c r="J13" s="34" t="n">
        <f aca="false">MIN(1,Cartera!$F$5*(1+Cartera!$G$5)^(J$3-1)*$C$10)</f>
        <v>0.0639681776839062</v>
      </c>
      <c r="K13" s="34" t="n">
        <f aca="false">MIN(1,Cartera!$F$5*(1+Cartera!$G$5)^(K$3-1)*$C$10)</f>
        <v>0.0710046772291359</v>
      </c>
      <c r="L13" s="34" t="n">
        <f aca="false">MIN(1,Cartera!$F$5*(1+Cartera!$G$5)^(L$3-1)*$C$10)</f>
        <v>0.0788151917243409</v>
      </c>
      <c r="M13" s="34" t="n">
        <f aca="false">MIN(1,Cartera!$F$5*(1+Cartera!$G$5)^(M$3-1)*$C$10)</f>
        <v>0.0874848628140184</v>
      </c>
      <c r="N13" s="34" t="n">
        <f aca="false">MIN(1,Cartera!$F$5*(1+Cartera!$G$5)^(N$3-1)*$C$10)</f>
        <v>0.0971081977235604</v>
      </c>
      <c r="O13" s="34" t="n">
        <f aca="false">MIN(1,Cartera!$F$5*(1+Cartera!$G$5)^(O$3-1)*$C$10)</f>
        <v>0.107790099473152</v>
      </c>
      <c r="P13" s="34" t="n">
        <f aca="false">MIN(1,Cartera!$F$5*(1+Cartera!$G$5)^(P$3-1)*$C$10)</f>
        <v>0.119647010415199</v>
      </c>
      <c r="Q13" s="34" t="n">
        <f aca="false">MIN(1,Cartera!$F$5*(1+Cartera!$G$5)^(Q$3-1)*$C$10)</f>
        <v>0.132808181560871</v>
      </c>
      <c r="R13" s="34" t="n">
        <f aca="false">MIN(1,Cartera!$F$5*(1+Cartera!$G$5)^(R$3-1)*$C$10)</f>
        <v>0.147417081532566</v>
      </c>
      <c r="S13" s="34" t="n">
        <f aca="false">MIN(1,Cartera!$F$5*(1+Cartera!$G$5)^(S$3-1)*$C$10)</f>
        <v>0.163632960501149</v>
      </c>
      <c r="T13" s="34" t="n">
        <f aca="false">MIN(1,Cartera!$F$5*(1+Cartera!$G$5)^(T$3-1)*$C$10)</f>
        <v>0.181632586156275</v>
      </c>
      <c r="U13" s="34" t="n">
        <f aca="false">MIN(1,Cartera!$F$5*(1+Cartera!$G$5)^(U$3-1)*$C$10)</f>
        <v>0.201612170633466</v>
      </c>
      <c r="V13" s="34" t="n">
        <f aca="false">MIN(1,Cartera!$F$5*(1+Cartera!$G$5)^(V$3-1)*$C$10)</f>
        <v>0.223789509403147</v>
      </c>
      <c r="W13" s="34" t="n">
        <f aca="false">MIN(1,Cartera!$F$5*(1+Cartera!$G$5)^(W$3-1)*$C$10)</f>
        <v>0.248406355437493</v>
      </c>
      <c r="X13" s="34" t="n">
        <f aca="false">MIN(1,Cartera!$F$5*(1+Cartera!$G$5)^(X$3-1)*$C$10)</f>
        <v>0.275731054535617</v>
      </c>
      <c r="Y13" s="34" t="n">
        <f aca="false">MIN(1,Cartera!$F$5*(1+Cartera!$G$5)^(Y$3-1)*$C$10)</f>
        <v>0.306061470534535</v>
      </c>
      <c r="Z13" s="34" t="n">
        <f aca="false">MIN(1,Cartera!$F$5*(1+Cartera!$G$5)^(Z$3-1)*$C$10)</f>
        <v>0.339728232293334</v>
      </c>
      <c r="AA13" s="34" t="n">
        <f aca="false">MIN(1,Cartera!$F$5*(1+Cartera!$G$5)^(AA$3-1)*$C$10)</f>
        <v>0.377098337845601</v>
      </c>
      <c r="AB13" s="34" t="n">
        <f aca="false">MIN(1,Cartera!$F$5*(1+Cartera!$G$5)^(AB$3-1)*$C$10)</f>
        <v>0.418579155008617</v>
      </c>
    </row>
    <row r="14" customFormat="false" ht="15" hidden="false" customHeight="false" outlineLevel="0" collapsed="false">
      <c r="B14" s="3" t="s">
        <v>192</v>
      </c>
      <c r="C14" s="3" t="s">
        <v>193</v>
      </c>
      <c r="D14" s="34" t="n">
        <f aca="false">1</f>
        <v>1</v>
      </c>
      <c r="E14" s="34" t="n">
        <f aca="false">D18</f>
        <v>0.9658</v>
      </c>
      <c r="F14" s="34" t="n">
        <f aca="false">E18</f>
        <v>0.9291363004</v>
      </c>
      <c r="G14" s="34" t="n">
        <f aca="false">F18</f>
        <v>0.889984522218279</v>
      </c>
      <c r="H14" s="34" t="n">
        <f aca="false">G18</f>
        <v>0.848357293782257</v>
      </c>
      <c r="I14" s="34" t="n">
        <f aca="false">H18</f>
        <v>0.804312272998147</v>
      </c>
      <c r="J14" s="34" t="n">
        <f aca="false">I18</f>
        <v>0.757960569941848</v>
      </c>
      <c r="K14" s="34" t="n">
        <f aca="false">J18</f>
        <v>0.709475213526413</v>
      </c>
      <c r="L14" s="34" t="n">
        <f aca="false">K18</f>
        <v>0.659099154987898</v>
      </c>
      <c r="M14" s="34" t="n">
        <f aca="false">L18</f>
        <v>0.607152128722176</v>
      </c>
      <c r="N14" s="34" t="n">
        <f aca="false">M18</f>
        <v>0.554035508033677</v>
      </c>
      <c r="O14" s="34" t="n">
        <f aca="false">N18</f>
        <v>0.50023411837367</v>
      </c>
      <c r="P14" s="34" t="n">
        <f aca="false">O18</f>
        <v>0.446313832994307</v>
      </c>
      <c r="Q14" s="34" t="n">
        <f aca="false">P18</f>
        <v>0.39291371716959</v>
      </c>
      <c r="R14" s="34" t="n">
        <f aca="false">Q18</f>
        <v>0.340731560881974</v>
      </c>
      <c r="S14" s="34" t="n">
        <f aca="false">R18</f>
        <v>0.290501908590718</v>
      </c>
      <c r="T14" s="34" t="n">
        <f aca="false">S18</f>
        <v>0.242966221256785</v>
      </c>
      <c r="U14" s="34" t="n">
        <f aca="false">T18</f>
        <v>0.198835638141297</v>
      </c>
      <c r="V14" s="34" t="n">
        <f aca="false">U18</f>
        <v>0.15874795353634</v>
      </c>
      <c r="W14" s="34" t="n">
        <f aca="false">V18</f>
        <v>0.123221826895689</v>
      </c>
      <c r="X14" s="34" t="n">
        <f aca="false">W18</f>
        <v>0.0926127419661811</v>
      </c>
      <c r="Y14" s="34" t="n">
        <f aca="false">X18</f>
        <v>0.067076532960411</v>
      </c>
      <c r="Z14" s="34" t="n">
        <f aca="false">Y18</f>
        <v>0.0465469906441894</v>
      </c>
      <c r="AA14" s="34" t="n">
        <f aca="false">Z18</f>
        <v>0.0307336637940646</v>
      </c>
      <c r="AB14" s="34" t="n">
        <f aca="false">AA18</f>
        <v>0.0191440502614173</v>
      </c>
    </row>
    <row r="15" customFormat="false" ht="15" hidden="false" customHeight="false" outlineLevel="0" collapsed="false">
      <c r="B15" s="3" t="s">
        <v>194</v>
      </c>
      <c r="D15" s="34" t="n">
        <f aca="false">D14*D13</f>
        <v>0.0342</v>
      </c>
      <c r="E15" s="34" t="n">
        <f aca="false">E14*E13</f>
        <v>0.0366636996</v>
      </c>
      <c r="F15" s="34" t="n">
        <f aca="false">F14*F13</f>
        <v>0.0391517781817211</v>
      </c>
      <c r="G15" s="34" t="n">
        <f aca="false">G14*G13</f>
        <v>0.041627228436022</v>
      </c>
      <c r="H15" s="34" t="n">
        <f aca="false">H14*H13</f>
        <v>0.0440450207841094</v>
      </c>
      <c r="I15" s="34" t="n">
        <f aca="false">I14*I13</f>
        <v>0.0463517030562991</v>
      </c>
      <c r="J15" s="34" t="n">
        <f aca="false">J14*J13</f>
        <v>0.048485356415435</v>
      </c>
      <c r="K15" s="34" t="n">
        <f aca="false">K14*K13</f>
        <v>0.0503760585385153</v>
      </c>
      <c r="L15" s="34" t="n">
        <f aca="false">L14*L13</f>
        <v>0.0519470262657222</v>
      </c>
      <c r="M15" s="34" t="n">
        <f aca="false">M14*M13</f>
        <v>0.0531166206884988</v>
      </c>
      <c r="N15" s="34" t="n">
        <f aca="false">N14*N13</f>
        <v>0.0538013896600076</v>
      </c>
      <c r="O15" s="34" t="n">
        <f aca="false">O14*O13</f>
        <v>0.0539202853793624</v>
      </c>
      <c r="P15" s="34" t="n">
        <f aca="false">P14*P13</f>
        <v>0.0534001158247172</v>
      </c>
      <c r="Q15" s="34" t="n">
        <f aca="false">Q14*Q13</f>
        <v>0.0521821562876155</v>
      </c>
      <c r="R15" s="34" t="n">
        <f aca="false">R14*R13</f>
        <v>0.0502296522912567</v>
      </c>
      <c r="S15" s="34" t="n">
        <f aca="false">S14*S13</f>
        <v>0.0475356873339333</v>
      </c>
      <c r="T15" s="34" t="n">
        <f aca="false">T14*T13</f>
        <v>0.0441305831154875</v>
      </c>
      <c r="U15" s="34" t="n">
        <f aca="false">U14*U13</f>
        <v>0.0400876846049572</v>
      </c>
      <c r="V15" s="34" t="n">
        <f aca="false">V14*V13</f>
        <v>0.035526126640651</v>
      </c>
      <c r="W15" s="34" t="n">
        <f aca="false">W14*W13</f>
        <v>0.0306090849295077</v>
      </c>
      <c r="X15" s="34" t="n">
        <f aca="false">X14*X13</f>
        <v>0.0255362090057701</v>
      </c>
      <c r="Y15" s="34" t="n">
        <f aca="false">Y14*Y13</f>
        <v>0.0205295423162216</v>
      </c>
      <c r="Z15" s="34" t="n">
        <f aca="false">Z14*Z13</f>
        <v>0.0158133268501248</v>
      </c>
      <c r="AA15" s="34" t="n">
        <f aca="false">AA14*AA13</f>
        <v>0.0115896135326473</v>
      </c>
      <c r="AB15" s="34" t="n">
        <f aca="false">AB14*AB13</f>
        <v>0.00801330038186655</v>
      </c>
    </row>
    <row r="16" customFormat="false" ht="15" hidden="false" customHeight="false" outlineLevel="0" collapsed="false">
      <c r="B16" s="3" t="s">
        <v>195</v>
      </c>
      <c r="D16" s="38" t="n">
        <f aca="false">D15*Cartera!$D$5</f>
        <v>3.078</v>
      </c>
      <c r="E16" s="38" t="n">
        <f aca="false">E15*Cartera!$D$5</f>
        <v>3.299732964</v>
      </c>
      <c r="F16" s="38" t="n">
        <f aca="false">F15*Cartera!$D$5</f>
        <v>3.5236600363549</v>
      </c>
      <c r="G16" s="38" t="n">
        <f aca="false">G15*Cartera!$D$5</f>
        <v>3.74645055924198</v>
      </c>
      <c r="H16" s="38" t="n">
        <f aca="false">H15*Cartera!$D$5</f>
        <v>3.96405187056985</v>
      </c>
      <c r="I16" s="38" t="n">
        <f aca="false">I15*Cartera!$D$5</f>
        <v>4.17165327506692</v>
      </c>
      <c r="J16" s="38" t="n">
        <f aca="false">J15*Cartera!$D$5</f>
        <v>4.36368207738915</v>
      </c>
      <c r="K16" s="38" t="n">
        <f aca="false">K15*Cartera!$D$5</f>
        <v>4.53384526846638</v>
      </c>
      <c r="L16" s="38" t="n">
        <f aca="false">L15*Cartera!$D$5</f>
        <v>4.675232363915</v>
      </c>
      <c r="M16" s="38" t="n">
        <f aca="false">M15*Cartera!$D$5</f>
        <v>4.78049586196489</v>
      </c>
      <c r="N16" s="38" t="n">
        <f aca="false">N15*Cartera!$D$5</f>
        <v>4.84212506940068</v>
      </c>
      <c r="O16" s="38" t="n">
        <f aca="false">O15*Cartera!$D$5</f>
        <v>4.85282568414261</v>
      </c>
      <c r="P16" s="38" t="n">
        <f aca="false">P15*Cartera!$D$5</f>
        <v>4.80601042422455</v>
      </c>
      <c r="Q16" s="38" t="n">
        <f aca="false">Q15*Cartera!$D$5</f>
        <v>4.6963940658854</v>
      </c>
      <c r="R16" s="38" t="n">
        <f aca="false">R15*Cartera!$D$5</f>
        <v>4.5206687062131</v>
      </c>
      <c r="S16" s="38" t="n">
        <f aca="false">S15*Cartera!$D$5</f>
        <v>4.27821186005399</v>
      </c>
      <c r="T16" s="38" t="n">
        <f aca="false">T15*Cartera!$D$5</f>
        <v>3.97175248039388</v>
      </c>
      <c r="U16" s="38" t="n">
        <f aca="false">U15*Cartera!$D$5</f>
        <v>3.60789161444615</v>
      </c>
      <c r="V16" s="38" t="n">
        <f aca="false">V15*Cartera!$D$5</f>
        <v>3.19735139765859</v>
      </c>
      <c r="W16" s="38" t="n">
        <f aca="false">W15*Cartera!$D$5</f>
        <v>2.75481764365569</v>
      </c>
      <c r="X16" s="38" t="n">
        <f aca="false">X15*Cartera!$D$5</f>
        <v>2.29825881051931</v>
      </c>
      <c r="Y16" s="38" t="n">
        <f aca="false">Y15*Cartera!$D$5</f>
        <v>1.84765880845994</v>
      </c>
      <c r="Z16" s="38" t="n">
        <f aca="false">Z15*Cartera!$D$5</f>
        <v>1.42319941651123</v>
      </c>
      <c r="AA16" s="38" t="n">
        <f aca="false">AA15*Cartera!$D$5</f>
        <v>1.04306521793825</v>
      </c>
      <c r="AB16" s="38" t="n">
        <f aca="false">AB15*Cartera!$D$5</f>
        <v>0.721197034367989</v>
      </c>
    </row>
    <row r="17" customFormat="false" ht="15" hidden="false" customHeight="false" outlineLevel="0" collapsed="false">
      <c r="B17" s="3" t="s">
        <v>196</v>
      </c>
      <c r="D17" s="38" t="n">
        <f aca="false">D14*Cartera!$D$5*Cartera!$H$5*(1+$C$8)^(D$3-1)</f>
        <v>3.6</v>
      </c>
      <c r="E17" s="38" t="n">
        <f aca="false">E14*Cartera!$D$5*Cartera!$H$5*(1+$C$8)^(E$3-1)</f>
        <v>3.5290332</v>
      </c>
      <c r="F17" s="38" t="n">
        <f aca="false">F14*Cartera!$D$5*Cartera!$H$5*(1+$C$8)^(F$3-1)</f>
        <v>3.44599000228652</v>
      </c>
      <c r="G17" s="38" t="n">
        <f aca="false">G14*Cartera!$D$5*Cartera!$H$5*(1+$C$8)^(G$3-1)</f>
        <v>3.3502952482861</v>
      </c>
      <c r="H17" s="38" t="n">
        <f aca="false">H14*Cartera!$D$5*Cartera!$H$5*(1+$C$8)^(H$3-1)</f>
        <v>3.24149583429847</v>
      </c>
      <c r="I17" s="38" t="n">
        <f aca="false">I14*Cartera!$D$5*Cartera!$H$5*(1+$C$8)^(I$3-1)</f>
        <v>3.11930188498363</v>
      </c>
      <c r="J17" s="38" t="n">
        <f aca="false">J14*Cartera!$D$5*Cartera!$H$5*(1+$C$8)^(J$3-1)</f>
        <v>2.98363276633334</v>
      </c>
      <c r="K17" s="38" t="n">
        <f aca="false">K14*Cartera!$D$5*Cartera!$H$5*(1+$C$8)^(K$3-1)</f>
        <v>2.8346668436239</v>
      </c>
      <c r="L17" s="38" t="n">
        <f aca="false">L14*Cartera!$D$5*Cartera!$H$5*(1+$C$8)^(L$3-1)</f>
        <v>2.67289312293035</v>
      </c>
      <c r="M17" s="38" t="n">
        <f aca="false">M14*Cartera!$D$5*Cartera!$H$5*(1+$C$8)^(M$3-1)</f>
        <v>2.49916196707274</v>
      </c>
      <c r="N17" s="38" t="n">
        <f aca="false">N14*Cartera!$D$5*Cartera!$H$5*(1+$C$8)^(N$3-1)</f>
        <v>2.31473097211187</v>
      </c>
      <c r="O17" s="38" t="n">
        <f aca="false">O14*Cartera!$D$5*Cartera!$H$5*(1+$C$8)^(O$3-1)</f>
        <v>2.12130089348311</v>
      </c>
      <c r="P17" s="38" t="n">
        <f aca="false">P14*Cartera!$D$5*Cartera!$H$5*(1+$C$8)^(P$3-1)</f>
        <v>1.92103534404951</v>
      </c>
      <c r="Q17" s="38" t="n">
        <f aca="false">Q14*Cartera!$D$5*Cartera!$H$5*(1+$C$8)^(Q$3-1)</f>
        <v>1.71655704635553</v>
      </c>
      <c r="R17" s="38" t="n">
        <f aca="false">R14*Cartera!$D$5*Cartera!$H$5*(1+$C$8)^(R$3-1)</f>
        <v>1.51091298988081</v>
      </c>
      <c r="S17" s="38" t="n">
        <f aca="false">S14*Cartera!$D$5*Cartera!$H$5*(1+$C$8)^(S$3-1)</f>
        <v>1.30750128555988</v>
      </c>
      <c r="T17" s="38" t="n">
        <f aca="false">T14*Cartera!$D$5*Cartera!$H$5*(1+$C$8)^(T$3-1)</f>
        <v>1.10995424403483</v>
      </c>
      <c r="U17" s="38" t="n">
        <f aca="false">U14*Cartera!$D$5*Cartera!$H$5*(1+$C$8)^(U$3-1)</f>
        <v>0.921975639938285</v>
      </c>
      <c r="V17" s="38" t="n">
        <f aca="false">V14*Cartera!$D$5*Cartera!$H$5*(1+$C$8)^(V$3-1)</f>
        <v>0.747135541847636</v>
      </c>
      <c r="W17" s="38" t="n">
        <f aca="false">W14*Cartera!$D$5*Cartera!$H$5*(1+$C$8)^(W$3-1)</f>
        <v>0.588633462162097</v>
      </c>
      <c r="X17" s="38" t="n">
        <f aca="false">X14*Cartera!$D$5*Cartera!$H$5*(1+$C$8)^(X$3-1)</f>
        <v>0.449049366674925</v>
      </c>
      <c r="Y17" s="38" t="n">
        <f aca="false">Y14*Cartera!$D$5*Cartera!$H$5*(1+$C$8)^(Y$3-1)</f>
        <v>0.330110998932044</v>
      </c>
      <c r="Z17" s="38" t="n">
        <f aca="false">Z14*Cartera!$D$5*Cartera!$H$5*(1+$C$8)^(Z$3-1)</f>
        <v>0.232512892276667</v>
      </c>
      <c r="AA17" s="38" t="n">
        <f aca="false">AA14*Cartera!$D$5*Cartera!$H$5*(1+$C$8)^(AA$3-1)</f>
        <v>0.155824523874076</v>
      </c>
      <c r="AB17" s="38" t="n">
        <f aca="false">AB14*Cartera!$D$5*Cartera!$H$5*(1+$C$8)^(AB$3-1)</f>
        <v>0.0985193052494637</v>
      </c>
    </row>
    <row r="18" customFormat="false" ht="15" hidden="false" customHeight="false" outlineLevel="0" collapsed="false">
      <c r="B18" s="3" t="s">
        <v>197</v>
      </c>
      <c r="C18" s="33" t="n">
        <f aca="false">SUM(D18:AB18)+0.5</f>
        <v>11.1870244719569</v>
      </c>
      <c r="D18" s="34" t="n">
        <f aca="false">D14-D15</f>
        <v>0.9658</v>
      </c>
      <c r="E18" s="34" t="n">
        <f aca="false">E14-E15</f>
        <v>0.9291363004</v>
      </c>
      <c r="F18" s="34" t="n">
        <f aca="false">F14-F15</f>
        <v>0.889984522218279</v>
      </c>
      <c r="G18" s="34" t="n">
        <f aca="false">G14-G15</f>
        <v>0.848357293782257</v>
      </c>
      <c r="H18" s="34" t="n">
        <f aca="false">H14-H15</f>
        <v>0.804312272998147</v>
      </c>
      <c r="I18" s="34" t="n">
        <f aca="false">I14-I15</f>
        <v>0.757960569941848</v>
      </c>
      <c r="J18" s="34" t="n">
        <f aca="false">J14-J15</f>
        <v>0.709475213526413</v>
      </c>
      <c r="K18" s="34" t="n">
        <f aca="false">K14-K15</f>
        <v>0.659099154987898</v>
      </c>
      <c r="L18" s="34" t="n">
        <f aca="false">L14-L15</f>
        <v>0.607152128722176</v>
      </c>
      <c r="M18" s="34" t="n">
        <f aca="false">M14-M15</f>
        <v>0.554035508033677</v>
      </c>
      <c r="N18" s="34" t="n">
        <f aca="false">N14-N15</f>
        <v>0.50023411837367</v>
      </c>
      <c r="O18" s="34" t="n">
        <f aca="false">O14-O15</f>
        <v>0.446313832994307</v>
      </c>
      <c r="P18" s="34" t="n">
        <f aca="false">P14-P15</f>
        <v>0.39291371716959</v>
      </c>
      <c r="Q18" s="34" t="n">
        <f aca="false">Q14-Q15</f>
        <v>0.340731560881974</v>
      </c>
      <c r="R18" s="34" t="n">
        <f aca="false">R14-R15</f>
        <v>0.290501908590718</v>
      </c>
      <c r="S18" s="34" t="n">
        <f aca="false">S14-S15</f>
        <v>0.242966221256785</v>
      </c>
      <c r="T18" s="34" t="n">
        <f aca="false">T14-T15</f>
        <v>0.198835638141297</v>
      </c>
      <c r="U18" s="34" t="n">
        <f aca="false">U14-U15</f>
        <v>0.15874795353634</v>
      </c>
      <c r="V18" s="34" t="n">
        <f aca="false">V14-V15</f>
        <v>0.123221826895689</v>
      </c>
      <c r="W18" s="34" t="n">
        <f aca="false">W14-W15</f>
        <v>0.0926127419661811</v>
      </c>
      <c r="X18" s="34" t="n">
        <f aca="false">X14-X15</f>
        <v>0.067076532960411</v>
      </c>
      <c r="Y18" s="34" t="n">
        <f aca="false">Y14-Y15</f>
        <v>0.0465469906441894</v>
      </c>
      <c r="Z18" s="34" t="n">
        <f aca="false">Z14-Z15</f>
        <v>0.0307336637940646</v>
      </c>
      <c r="AA18" s="34" t="n">
        <f aca="false">AA14-AA15</f>
        <v>0.0191440502614173</v>
      </c>
      <c r="AB18" s="34" t="n">
        <f aca="false">AB14-AB15</f>
        <v>0.0111307498795508</v>
      </c>
    </row>
    <row r="20" customFormat="false" ht="15" hidden="false" customHeight="false" outlineLevel="0" collapsed="false">
      <c r="A20" s="37" t="str">
        <f aca="false">Cartera!A6&amp;" – "&amp;Cartera!B6</f>
        <v>C2 – Edad 80–84, deterioro moderado</v>
      </c>
    </row>
    <row r="21" customFormat="false" ht="15" hidden="false" customHeight="false" outlineLevel="0" collapsed="false">
      <c r="B21" s="3" t="s">
        <v>191</v>
      </c>
      <c r="D21" s="34" t="n">
        <f aca="false">MIN(1,Cartera!$F$6*(1+Cartera!$G$6)^(D$3-1)*$C$10)</f>
        <v>0.0494</v>
      </c>
      <c r="E21" s="34" t="n">
        <f aca="false">MIN(1,Cartera!$F$6*(1+Cartera!$G$6)^(E$3-1)*$C$10)</f>
        <v>0.05434</v>
      </c>
      <c r="F21" s="34" t="n">
        <f aca="false">MIN(1,Cartera!$F$6*(1+Cartera!$G$6)^(F$3-1)*$C$10)</f>
        <v>0.059774</v>
      </c>
      <c r="G21" s="34" t="n">
        <f aca="false">MIN(1,Cartera!$F$6*(1+Cartera!$G$6)^(G$3-1)*$C$10)</f>
        <v>0.0657514</v>
      </c>
      <c r="H21" s="34" t="n">
        <f aca="false">MIN(1,Cartera!$F$6*(1+Cartera!$G$6)^(H$3-1)*$C$10)</f>
        <v>0.07232654</v>
      </c>
      <c r="I21" s="34" t="n">
        <f aca="false">MIN(1,Cartera!$F$6*(1+Cartera!$G$6)^(I$3-1)*$C$10)</f>
        <v>0.079559194</v>
      </c>
      <c r="J21" s="34" t="n">
        <f aca="false">MIN(1,Cartera!$F$6*(1+Cartera!$G$6)^(J$3-1)*$C$10)</f>
        <v>0.0875151134000001</v>
      </c>
      <c r="K21" s="34" t="n">
        <f aca="false">MIN(1,Cartera!$F$6*(1+Cartera!$G$6)^(K$3-1)*$C$10)</f>
        <v>0.0962666247400001</v>
      </c>
      <c r="L21" s="34" t="n">
        <f aca="false">MIN(1,Cartera!$F$6*(1+Cartera!$G$6)^(L$3-1)*$C$10)</f>
        <v>0.105893287214</v>
      </c>
      <c r="M21" s="34" t="n">
        <f aca="false">MIN(1,Cartera!$F$6*(1+Cartera!$G$6)^(M$3-1)*$C$10)</f>
        <v>0.1164826159354</v>
      </c>
      <c r="N21" s="34" t="n">
        <f aca="false">MIN(1,Cartera!$F$6*(1+Cartera!$G$6)^(N$3-1)*$C$10)</f>
        <v>0.12813087752894</v>
      </c>
      <c r="O21" s="34" t="n">
        <f aca="false">MIN(1,Cartera!$F$6*(1+Cartera!$G$6)^(O$3-1)*$C$10)</f>
        <v>0.140943965281834</v>
      </c>
      <c r="P21" s="34" t="n">
        <f aca="false">MIN(1,Cartera!$F$6*(1+Cartera!$G$6)^(P$3-1)*$C$10)</f>
        <v>0.155038361810018</v>
      </c>
      <c r="Q21" s="34" t="n">
        <f aca="false">MIN(1,Cartera!$F$6*(1+Cartera!$G$6)^(Q$3-1)*$C$10)</f>
        <v>0.170542197991019</v>
      </c>
      <c r="R21" s="34" t="n">
        <f aca="false">MIN(1,Cartera!$F$6*(1+Cartera!$G$6)^(R$3-1)*$C$10)</f>
        <v>0.187596417790121</v>
      </c>
      <c r="S21" s="34" t="n">
        <f aca="false">MIN(1,Cartera!$F$6*(1+Cartera!$G$6)^(S$3-1)*$C$10)</f>
        <v>0.206356059569133</v>
      </c>
      <c r="T21" s="34" t="n">
        <f aca="false">MIN(1,Cartera!$F$6*(1+Cartera!$G$6)^(T$3-1)*$C$10)</f>
        <v>0.226991665526047</v>
      </c>
      <c r="U21" s="34" t="n">
        <f aca="false">MIN(1,Cartera!$F$6*(1+Cartera!$G$6)^(U$3-1)*$C$10)</f>
        <v>0.249690832078652</v>
      </c>
      <c r="V21" s="34" t="n">
        <f aca="false">MIN(1,Cartera!$F$6*(1+Cartera!$G$6)^(V$3-1)*$C$10)</f>
        <v>0.274659915286517</v>
      </c>
      <c r="W21" s="34" t="n">
        <f aca="false">MIN(1,Cartera!$F$6*(1+Cartera!$G$6)^(W$3-1)*$C$10)</f>
        <v>0.302125906815168</v>
      </c>
      <c r="X21" s="34" t="n">
        <f aca="false">MIN(1,Cartera!$F$6*(1+Cartera!$G$6)^(X$3-1)*$C$10)</f>
        <v>0.332338497496685</v>
      </c>
      <c r="Y21" s="34" t="n">
        <f aca="false">MIN(1,Cartera!$F$6*(1+Cartera!$G$6)^(Y$3-1)*$C$10)</f>
        <v>0.365572347246354</v>
      </c>
      <c r="Z21" s="34" t="n">
        <f aca="false">MIN(1,Cartera!$F$6*(1+Cartera!$G$6)^(Z$3-1)*$C$10)</f>
        <v>0.402129581970989</v>
      </c>
      <c r="AA21" s="34" t="n">
        <f aca="false">MIN(1,Cartera!$F$6*(1+Cartera!$G$6)^(AA$3-1)*$C$10)</f>
        <v>0.442342540168088</v>
      </c>
      <c r="AB21" s="34" t="n">
        <f aca="false">MIN(1,Cartera!$F$6*(1+Cartera!$G$6)^(AB$3-1)*$C$10)</f>
        <v>0.486576794184897</v>
      </c>
    </row>
    <row r="22" customFormat="false" ht="15" hidden="false" customHeight="false" outlineLevel="0" collapsed="false">
      <c r="B22" s="3" t="s">
        <v>192</v>
      </c>
      <c r="C22" s="3" t="s">
        <v>193</v>
      </c>
      <c r="D22" s="34" t="n">
        <f aca="false">1</f>
        <v>1</v>
      </c>
      <c r="E22" s="34" t="n">
        <f aca="false">D26</f>
        <v>0.9506</v>
      </c>
      <c r="F22" s="34" t="n">
        <f aca="false">E26</f>
        <v>0.898944396</v>
      </c>
      <c r="G22" s="34" t="n">
        <f aca="false">F26</f>
        <v>0.845210893673496</v>
      </c>
      <c r="H22" s="34" t="n">
        <f aca="false">G26</f>
        <v>0.789637094119213</v>
      </c>
      <c r="I22" s="34" t="n">
        <f aca="false">H26</f>
        <v>0.732525375245915</v>
      </c>
      <c r="J22" s="34" t="n">
        <f aca="false">I26</f>
        <v>0.674246246806803</v>
      </c>
      <c r="K22" s="34" t="n">
        <f aca="false">J26</f>
        <v>0.615239510057981</v>
      </c>
      <c r="L22" s="34" t="n">
        <f aca="false">K26</f>
        <v>0.556012479018008</v>
      </c>
      <c r="M22" s="34" t="n">
        <f aca="false">L26</f>
        <v>0.497134489882786</v>
      </c>
      <c r="N22" s="34" t="n">
        <f aca="false">M26</f>
        <v>0.439226964029528</v>
      </c>
      <c r="O22" s="34" t="n">
        <f aca="false">N26</f>
        <v>0.382948427694053</v>
      </c>
      <c r="P22" s="34" t="n">
        <f aca="false">O26</f>
        <v>0.328974157796409</v>
      </c>
      <c r="Q22" s="34" t="n">
        <f aca="false">P26</f>
        <v>0.277970543293824</v>
      </c>
      <c r="R22" s="34" t="n">
        <f aca="false">Q26</f>
        <v>0.230564835863737</v>
      </c>
      <c r="S22" s="34" t="n">
        <f aca="false">R26</f>
        <v>0.187311698587333</v>
      </c>
      <c r="T22" s="34" t="n">
        <f aca="false">S26</f>
        <v>0.14865879455565</v>
      </c>
      <c r="U22" s="34" t="n">
        <f aca="false">T26</f>
        <v>0.114914487184368</v>
      </c>
      <c r="V22" s="34" t="n">
        <f aca="false">U26</f>
        <v>0.0862213932614118</v>
      </c>
      <c r="W22" s="34" t="n">
        <f aca="false">V26</f>
        <v>0.062539832692347</v>
      </c>
      <c r="X22" s="34" t="n">
        <f aca="false">W26</f>
        <v>0.0436449290281027</v>
      </c>
      <c r="Y22" s="34" t="n">
        <f aca="false">X26</f>
        <v>0.0291400388915536</v>
      </c>
      <c r="Z22" s="34" t="n">
        <f aca="false">Y26</f>
        <v>0.0184872464751183</v>
      </c>
      <c r="AA22" s="34" t="n">
        <f aca="false">Z26</f>
        <v>0.0110529777782843</v>
      </c>
      <c r="AB22" s="34" t="n">
        <f aca="false">AA26</f>
        <v>0.00616377551141662</v>
      </c>
    </row>
    <row r="23" customFormat="false" ht="15" hidden="false" customHeight="false" outlineLevel="0" collapsed="false">
      <c r="B23" s="3" t="s">
        <v>194</v>
      </c>
      <c r="D23" s="34" t="n">
        <f aca="false">D22*D21</f>
        <v>0.0494</v>
      </c>
      <c r="E23" s="34" t="n">
        <f aca="false">E22*E21</f>
        <v>0.051655604</v>
      </c>
      <c r="F23" s="34" t="n">
        <f aca="false">F22*F21</f>
        <v>0.053733502326504</v>
      </c>
      <c r="G23" s="34" t="n">
        <f aca="false">G22*G21</f>
        <v>0.0555737995542835</v>
      </c>
      <c r="H23" s="34" t="n">
        <f aca="false">H22*H21</f>
        <v>0.057111718873297</v>
      </c>
      <c r="I23" s="34" t="n">
        <f aca="false">I22*I21</f>
        <v>0.0582791284391126</v>
      </c>
      <c r="J23" s="34" t="n">
        <f aca="false">J22*J21</f>
        <v>0.0590067367488218</v>
      </c>
      <c r="K23" s="34" t="n">
        <f aca="false">K22*K21</f>
        <v>0.0592270310399732</v>
      </c>
      <c r="L23" s="34" t="n">
        <f aca="false">L22*L21</f>
        <v>0.0588779891352221</v>
      </c>
      <c r="M23" s="34" t="n">
        <f aca="false">M22*M21</f>
        <v>0.0579075258532576</v>
      </c>
      <c r="N23" s="34" t="n">
        <f aca="false">N22*N21</f>
        <v>0.0562785363354757</v>
      </c>
      <c r="O23" s="34" t="n">
        <f aca="false">O22*O21</f>
        <v>0.0539742698976435</v>
      </c>
      <c r="P23" s="34" t="n">
        <f aca="false">P22*P21</f>
        <v>0.0510036145025855</v>
      </c>
      <c r="Q23" s="34" t="n">
        <f aca="false">Q22*Q21</f>
        <v>0.0474057074300865</v>
      </c>
      <c r="R23" s="34" t="n">
        <f aca="false">R22*R21</f>
        <v>0.0432531372764044</v>
      </c>
      <c r="S23" s="34" t="n">
        <f aca="false">S22*S21</f>
        <v>0.0386529040316832</v>
      </c>
      <c r="T23" s="34" t="n">
        <f aca="false">T22*T21</f>
        <v>0.0337443073712813</v>
      </c>
      <c r="U23" s="34" t="n">
        <f aca="false">U22*U21</f>
        <v>0.0286930939229564</v>
      </c>
      <c r="V23" s="34" t="n">
        <f aca="false">V22*V21</f>
        <v>0.0236815605690648</v>
      </c>
      <c r="W23" s="34" t="n">
        <f aca="false">W22*W21</f>
        <v>0.0188949036642442</v>
      </c>
      <c r="X23" s="34" t="n">
        <f aca="false">X22*X21</f>
        <v>0.0145048901365491</v>
      </c>
      <c r="Y23" s="34" t="n">
        <f aca="false">Y22*Y21</f>
        <v>0.0106527924164353</v>
      </c>
      <c r="Z23" s="34" t="n">
        <f aca="false">Z22*Z21</f>
        <v>0.00743426869683397</v>
      </c>
      <c r="AA23" s="34" t="n">
        <f aca="false">AA22*AA21</f>
        <v>0.00488920226686773</v>
      </c>
      <c r="AB23" s="34" t="n">
        <f aca="false">AB22*AB21</f>
        <v>0.00299915012842047</v>
      </c>
    </row>
    <row r="24" customFormat="false" ht="15" hidden="false" customHeight="false" outlineLevel="0" collapsed="false">
      <c r="B24" s="3" t="s">
        <v>195</v>
      </c>
      <c r="D24" s="38" t="n">
        <f aca="false">D23*Cartera!$D$6</f>
        <v>5.928</v>
      </c>
      <c r="E24" s="38" t="n">
        <f aca="false">E23*Cartera!$D$6</f>
        <v>6.19867248</v>
      </c>
      <c r="F24" s="38" t="n">
        <f aca="false">F23*Cartera!$D$6</f>
        <v>6.44802027918048</v>
      </c>
      <c r="G24" s="38" t="n">
        <f aca="false">G23*Cartera!$D$6</f>
        <v>6.66885594651402</v>
      </c>
      <c r="H24" s="38" t="n">
        <f aca="false">H23*Cartera!$D$6</f>
        <v>6.85340626479564</v>
      </c>
      <c r="I24" s="38" t="n">
        <f aca="false">I23*Cartera!$D$6</f>
        <v>6.99349541269351</v>
      </c>
      <c r="J24" s="38" t="n">
        <f aca="false">J23*Cartera!$D$6</f>
        <v>7.08080840985861</v>
      </c>
      <c r="K24" s="38" t="n">
        <f aca="false">K23*Cartera!$D$6</f>
        <v>7.10724372479678</v>
      </c>
      <c r="L24" s="38" t="n">
        <f aca="false">L23*Cartera!$D$6</f>
        <v>7.06535869622665</v>
      </c>
      <c r="M24" s="38" t="n">
        <f aca="false">M23*Cartera!$D$6</f>
        <v>6.94890310239091</v>
      </c>
      <c r="N24" s="38" t="n">
        <f aca="false">N23*Cartera!$D$6</f>
        <v>6.75342436025708</v>
      </c>
      <c r="O24" s="38" t="n">
        <f aca="false">O23*Cartera!$D$6</f>
        <v>6.47691238771722</v>
      </c>
      <c r="P24" s="38" t="n">
        <f aca="false">P23*Cartera!$D$6</f>
        <v>6.12043374031026</v>
      </c>
      <c r="Q24" s="38" t="n">
        <f aca="false">Q23*Cartera!$D$6</f>
        <v>5.68868489161038</v>
      </c>
      <c r="R24" s="38" t="n">
        <f aca="false">R23*Cartera!$D$6</f>
        <v>5.19037647316852</v>
      </c>
      <c r="S24" s="38" t="n">
        <f aca="false">S23*Cartera!$D$6</f>
        <v>4.63834848380198</v>
      </c>
      <c r="T24" s="38" t="n">
        <f aca="false">T23*Cartera!$D$6</f>
        <v>4.04931688455376</v>
      </c>
      <c r="U24" s="38" t="n">
        <f aca="false">U23*Cartera!$D$6</f>
        <v>3.44317127075477</v>
      </c>
      <c r="V24" s="38" t="n">
        <f aca="false">V23*Cartera!$D$6</f>
        <v>2.84178726828778</v>
      </c>
      <c r="W24" s="38" t="n">
        <f aca="false">W23*Cartera!$D$6</f>
        <v>2.26738843970931</v>
      </c>
      <c r="X24" s="38" t="n">
        <f aca="false">X23*Cartera!$D$6</f>
        <v>1.74058681638589</v>
      </c>
      <c r="Y24" s="38" t="n">
        <f aca="false">Y23*Cartera!$D$6</f>
        <v>1.27833508997223</v>
      </c>
      <c r="Z24" s="38" t="n">
        <f aca="false">Z23*Cartera!$D$6</f>
        <v>0.892112243620077</v>
      </c>
      <c r="AA24" s="38" t="n">
        <f aca="false">AA23*Cartera!$D$6</f>
        <v>0.586704272024128</v>
      </c>
      <c r="AB24" s="38" t="n">
        <f aca="false">AB23*Cartera!$D$6</f>
        <v>0.359898015410457</v>
      </c>
    </row>
    <row r="25" customFormat="false" ht="15" hidden="false" customHeight="false" outlineLevel="0" collapsed="false">
      <c r="B25" s="3" t="s">
        <v>196</v>
      </c>
      <c r="D25" s="38" t="n">
        <f aca="false">D22*Cartera!$D$6*Cartera!$H$6*(1+$C$8)^(D$3-1)</f>
        <v>6</v>
      </c>
      <c r="E25" s="38" t="n">
        <f aca="false">E22*Cartera!$D$6*Cartera!$H$6*(1+$C$8)^(E$3-1)</f>
        <v>5.789154</v>
      </c>
      <c r="F25" s="38" t="n">
        <f aca="false">F22*Cartera!$D$6*Cartera!$H$6*(1+$C$8)^(F$3-1)</f>
        <v>5.5566899422146</v>
      </c>
      <c r="G25" s="38" t="n">
        <f aca="false">G22*Cartera!$D$6*Cartera!$H$6*(1+$C$8)^(G$3-1)</f>
        <v>5.30291252297279</v>
      </c>
      <c r="H25" s="38" t="n">
        <f aca="false">H22*Cartera!$D$6*Cartera!$H$6*(1+$C$8)^(H$3-1)</f>
        <v>5.02855217951745</v>
      </c>
      <c r="I25" s="38" t="n">
        <f aca="false">I22*Cartera!$D$6*Cartera!$H$6*(1+$C$8)^(I$3-1)</f>
        <v>4.73482721515094</v>
      </c>
      <c r="J25" s="38" t="n">
        <f aca="false">J22*Cartera!$D$6*Cartera!$H$6*(1+$C$8)^(J$3-1)</f>
        <v>4.42350010085703</v>
      </c>
      <c r="K25" s="38" t="n">
        <f aca="false">K22*Cartera!$D$6*Cartera!$H$6*(1+$C$8)^(K$3-1)</f>
        <v>4.0969226427242</v>
      </c>
      <c r="L25" s="38" t="n">
        <f aca="false">L22*Cartera!$D$6*Cartera!$H$6*(1+$C$8)^(L$3-1)</f>
        <v>3.75806361400958</v>
      </c>
      <c r="M25" s="38" t="n">
        <f aca="false">M22*Cartera!$D$6*Cartera!$H$6*(1+$C$8)^(M$3-1)</f>
        <v>3.41051155292823</v>
      </c>
      <c r="N25" s="38" t="n">
        <f aca="false">N22*Cartera!$D$6*Cartera!$H$6*(1+$C$8)^(N$3-1)</f>
        <v>3.05844493924872</v>
      </c>
      <c r="O25" s="38" t="n">
        <f aca="false">O22*Cartera!$D$6*Cartera!$H$6*(1+$C$8)^(O$3-1)</f>
        <v>2.70656216088847</v>
      </c>
      <c r="P25" s="38" t="n">
        <f aca="false">P22*Cartera!$D$6*Cartera!$H$6*(1+$C$8)^(P$3-1)</f>
        <v>2.35996488601584</v>
      </c>
      <c r="Q25" s="38" t="n">
        <f aca="false">Q22*Cartera!$D$6*Cartera!$H$6*(1+$C$8)^(Q$3-1)</f>
        <v>2.02399099310116</v>
      </c>
      <c r="R25" s="38" t="n">
        <f aca="false">R22*Cartera!$D$6*Cartera!$H$6*(1+$C$8)^(R$3-1)</f>
        <v>1.70399734723002</v>
      </c>
      <c r="S25" s="38" t="n">
        <f aca="false">S22*Cartera!$D$6*Cartera!$H$6*(1+$C$8)^(S$3-1)</f>
        <v>1.40509855220029</v>
      </c>
      <c r="T25" s="38" t="n">
        <f aca="false">T22*Cartera!$D$6*Cartera!$H$6*(1+$C$8)^(T$3-1)</f>
        <v>1.13187517093687</v>
      </c>
      <c r="U25" s="38" t="n">
        <f aca="false">U22*Cartera!$D$6*Cartera!$H$6*(1+$C$8)^(U$3-1)</f>
        <v>0.888073174829106</v>
      </c>
      <c r="V25" s="38" t="n">
        <f aca="false">V22*Cartera!$D$6*Cartera!$H$6*(1+$C$8)^(V$3-1)</f>
        <v>0.676324386532186</v>
      </c>
      <c r="W25" s="38" t="n">
        <f aca="false">W22*Cartera!$D$6*Cartera!$H$6*(1+$C$8)^(W$3-1)</f>
        <v>0.497923665638366</v>
      </c>
      <c r="X25" s="38" t="n">
        <f aca="false">X22*Cartera!$D$6*Cartera!$H$6*(1+$C$8)^(X$3-1)</f>
        <v>0.352700347032132</v>
      </c>
      <c r="Y25" s="38" t="n">
        <f aca="false">Y22*Cartera!$D$6*Cartera!$H$6*(1+$C$8)^(Y$3-1)</f>
        <v>0.239016710287407</v>
      </c>
      <c r="Z25" s="38" t="n">
        <f aca="false">Z22*Cartera!$D$6*Cartera!$H$6*(1+$C$8)^(Z$3-1)</f>
        <v>0.153913392633686</v>
      </c>
      <c r="AA25" s="38" t="n">
        <f aca="false">AA22*Cartera!$D$6*Cartera!$H$6*(1+$C$8)^(AA$3-1)</f>
        <v>0.0934005683600776</v>
      </c>
      <c r="AB25" s="38" t="n">
        <f aca="false">AB22*Cartera!$D$6*Cartera!$H$6*(1+$C$8)^(AB$3-1)</f>
        <v>0.0528668065540158</v>
      </c>
    </row>
    <row r="26" customFormat="false" ht="15" hidden="false" customHeight="false" outlineLevel="0" collapsed="false">
      <c r="B26" s="3" t="s">
        <v>197</v>
      </c>
      <c r="C26" s="33" t="n">
        <f aca="false">SUM(D26:AB26)+0.5</f>
        <v>9.43053521283033</v>
      </c>
      <c r="D26" s="34" t="n">
        <f aca="false">D22-D23</f>
        <v>0.9506</v>
      </c>
      <c r="E26" s="34" t="n">
        <f aca="false">E22-E23</f>
        <v>0.898944396</v>
      </c>
      <c r="F26" s="34" t="n">
        <f aca="false">F22-F23</f>
        <v>0.845210893673496</v>
      </c>
      <c r="G26" s="34" t="n">
        <f aca="false">G22-G23</f>
        <v>0.789637094119213</v>
      </c>
      <c r="H26" s="34" t="n">
        <f aca="false">H22-H23</f>
        <v>0.732525375245915</v>
      </c>
      <c r="I26" s="34" t="n">
        <f aca="false">I22-I23</f>
        <v>0.674246246806803</v>
      </c>
      <c r="J26" s="34" t="n">
        <f aca="false">J22-J23</f>
        <v>0.615239510057981</v>
      </c>
      <c r="K26" s="34" t="n">
        <f aca="false">K22-K23</f>
        <v>0.556012479018008</v>
      </c>
      <c r="L26" s="34" t="n">
        <f aca="false">L22-L23</f>
        <v>0.497134489882786</v>
      </c>
      <c r="M26" s="34" t="n">
        <f aca="false">M22-M23</f>
        <v>0.439226964029528</v>
      </c>
      <c r="N26" s="34" t="n">
        <f aca="false">N22-N23</f>
        <v>0.382948427694053</v>
      </c>
      <c r="O26" s="34" t="n">
        <f aca="false">O22-O23</f>
        <v>0.328974157796409</v>
      </c>
      <c r="P26" s="34" t="n">
        <f aca="false">P22-P23</f>
        <v>0.277970543293824</v>
      </c>
      <c r="Q26" s="34" t="n">
        <f aca="false">Q22-Q23</f>
        <v>0.230564835863737</v>
      </c>
      <c r="R26" s="34" t="n">
        <f aca="false">R22-R23</f>
        <v>0.187311698587333</v>
      </c>
      <c r="S26" s="34" t="n">
        <f aca="false">S22-S23</f>
        <v>0.14865879455565</v>
      </c>
      <c r="T26" s="34" t="n">
        <f aca="false">T22-T23</f>
        <v>0.114914487184368</v>
      </c>
      <c r="U26" s="34" t="n">
        <f aca="false">U22-U23</f>
        <v>0.0862213932614118</v>
      </c>
      <c r="V26" s="34" t="n">
        <f aca="false">V22-V23</f>
        <v>0.062539832692347</v>
      </c>
      <c r="W26" s="34" t="n">
        <f aca="false">W22-W23</f>
        <v>0.0436449290281027</v>
      </c>
      <c r="X26" s="34" t="n">
        <f aca="false">X22-X23</f>
        <v>0.0291400388915536</v>
      </c>
      <c r="Y26" s="34" t="n">
        <f aca="false">Y22-Y23</f>
        <v>0.0184872464751183</v>
      </c>
      <c r="Z26" s="34" t="n">
        <f aca="false">Z22-Z23</f>
        <v>0.0110529777782843</v>
      </c>
      <c r="AA26" s="34" t="n">
        <f aca="false">AA22-AA23</f>
        <v>0.00616377551141662</v>
      </c>
      <c r="AB26" s="34" t="n">
        <f aca="false">AB22-AB23</f>
        <v>0.00316462538299615</v>
      </c>
    </row>
    <row r="28" customFormat="false" ht="15" hidden="false" customHeight="false" outlineLevel="0" collapsed="false">
      <c r="A28" s="37" t="str">
        <f aca="false">Cartera!A7&amp;" – "&amp;Cartera!B7</f>
        <v>C3 – Edad 85–89, deterioro significativo</v>
      </c>
    </row>
    <row r="29" customFormat="false" ht="15" hidden="false" customHeight="false" outlineLevel="0" collapsed="false">
      <c r="B29" s="3" t="s">
        <v>191</v>
      </c>
      <c r="D29" s="34" t="n">
        <f aca="false">MIN(1,Cartera!$F$7*(1+Cartera!$G$7)^(D$3-1)*$C$10)</f>
        <v>0.0722</v>
      </c>
      <c r="E29" s="34" t="n">
        <f aca="false">MIN(1,Cartera!$F$7*(1+Cartera!$G$7)^(E$3-1)*$C$10)</f>
        <v>0.078698</v>
      </c>
      <c r="F29" s="34" t="n">
        <f aca="false">MIN(1,Cartera!$F$7*(1+Cartera!$G$7)^(F$3-1)*$C$10)</f>
        <v>0.08578082</v>
      </c>
      <c r="G29" s="34" t="n">
        <f aca="false">MIN(1,Cartera!$F$7*(1+Cartera!$G$7)^(G$3-1)*$C$10)</f>
        <v>0.0935010938</v>
      </c>
      <c r="H29" s="34" t="n">
        <f aca="false">MIN(1,Cartera!$F$7*(1+Cartera!$G$7)^(H$3-1)*$C$10)</f>
        <v>0.101916192242</v>
      </c>
      <c r="I29" s="34" t="n">
        <f aca="false">MIN(1,Cartera!$F$7*(1+Cartera!$G$7)^(I$3-1)*$C$10)</f>
        <v>0.11108864954378</v>
      </c>
      <c r="J29" s="34" t="n">
        <f aca="false">MIN(1,Cartera!$F$7*(1+Cartera!$G$7)^(J$3-1)*$C$10)</f>
        <v>0.12108662800272</v>
      </c>
      <c r="K29" s="34" t="n">
        <f aca="false">MIN(1,Cartera!$F$7*(1+Cartera!$G$7)^(K$3-1)*$C$10)</f>
        <v>0.131984424522965</v>
      </c>
      <c r="L29" s="34" t="n">
        <f aca="false">MIN(1,Cartera!$F$7*(1+Cartera!$G$7)^(L$3-1)*$C$10)</f>
        <v>0.143863022730032</v>
      </c>
      <c r="M29" s="34" t="n">
        <f aca="false">MIN(1,Cartera!$F$7*(1+Cartera!$G$7)^(M$3-1)*$C$10)</f>
        <v>0.156810694775735</v>
      </c>
      <c r="N29" s="34" t="n">
        <f aca="false">MIN(1,Cartera!$F$7*(1+Cartera!$G$7)^(N$3-1)*$C$10)</f>
        <v>0.170923657305551</v>
      </c>
      <c r="O29" s="34" t="n">
        <f aca="false">MIN(1,Cartera!$F$7*(1+Cartera!$G$7)^(O$3-1)*$C$10)</f>
        <v>0.186306786463051</v>
      </c>
      <c r="P29" s="34" t="n">
        <f aca="false">MIN(1,Cartera!$F$7*(1+Cartera!$G$7)^(P$3-1)*$C$10)</f>
        <v>0.203074397244725</v>
      </c>
      <c r="Q29" s="34" t="n">
        <f aca="false">MIN(1,Cartera!$F$7*(1+Cartera!$G$7)^(Q$3-1)*$C$10)</f>
        <v>0.22135109299675</v>
      </c>
      <c r="R29" s="34" t="n">
        <f aca="false">MIN(1,Cartera!$F$7*(1+Cartera!$G$7)^(R$3-1)*$C$10)</f>
        <v>0.241272691366458</v>
      </c>
      <c r="S29" s="34" t="n">
        <f aca="false">MIN(1,Cartera!$F$7*(1+Cartera!$G$7)^(S$3-1)*$C$10)</f>
        <v>0.262987233589439</v>
      </c>
      <c r="T29" s="34" t="n">
        <f aca="false">MIN(1,Cartera!$F$7*(1+Cartera!$G$7)^(T$3-1)*$C$10)</f>
        <v>0.286656084612489</v>
      </c>
      <c r="U29" s="34" t="n">
        <f aca="false">MIN(1,Cartera!$F$7*(1+Cartera!$G$7)^(U$3-1)*$C$10)</f>
        <v>0.312455132227613</v>
      </c>
      <c r="V29" s="34" t="n">
        <f aca="false">MIN(1,Cartera!$F$7*(1+Cartera!$G$7)^(V$3-1)*$C$10)</f>
        <v>0.340576094128098</v>
      </c>
      <c r="W29" s="34" t="n">
        <f aca="false">MIN(1,Cartera!$F$7*(1+Cartera!$G$7)^(W$3-1)*$C$10)</f>
        <v>0.371227942599627</v>
      </c>
      <c r="X29" s="34" t="n">
        <f aca="false">MIN(1,Cartera!$F$7*(1+Cartera!$G$7)^(X$3-1)*$C$10)</f>
        <v>0.404638457433593</v>
      </c>
      <c r="Y29" s="34" t="n">
        <f aca="false">MIN(1,Cartera!$F$7*(1+Cartera!$G$7)^(Y$3-1)*$C$10)</f>
        <v>0.441055918602617</v>
      </c>
      <c r="Z29" s="34" t="n">
        <f aca="false">MIN(1,Cartera!$F$7*(1+Cartera!$G$7)^(Z$3-1)*$C$10)</f>
        <v>0.480750951276852</v>
      </c>
      <c r="AA29" s="34" t="n">
        <f aca="false">MIN(1,Cartera!$F$7*(1+Cartera!$G$7)^(AA$3-1)*$C$10)</f>
        <v>0.524018536891769</v>
      </c>
      <c r="AB29" s="34" t="n">
        <f aca="false">MIN(1,Cartera!$F$7*(1+Cartera!$G$7)^(AB$3-1)*$C$10)</f>
        <v>0.571180205212028</v>
      </c>
    </row>
    <row r="30" customFormat="false" ht="15" hidden="false" customHeight="false" outlineLevel="0" collapsed="false">
      <c r="B30" s="3" t="s">
        <v>192</v>
      </c>
      <c r="C30" s="3" t="s">
        <v>193</v>
      </c>
      <c r="D30" s="34" t="n">
        <f aca="false">1</f>
        <v>1</v>
      </c>
      <c r="E30" s="34" t="n">
        <f aca="false">D34</f>
        <v>0.9278</v>
      </c>
      <c r="F30" s="34" t="n">
        <f aca="false">E34</f>
        <v>0.8547839956</v>
      </c>
      <c r="G30" s="34" t="n">
        <f aca="false">F34</f>
        <v>0.781459923534556</v>
      </c>
      <c r="H30" s="34" t="n">
        <f aca="false">G34</f>
        <v>0.70839256592321</v>
      </c>
      <c r="I30" s="34" t="n">
        <f aca="false">H34</f>
        <v>0.636195892991777</v>
      </c>
      <c r="J30" s="34" t="n">
        <f aca="false">I34</f>
        <v>0.565521750394021</v>
      </c>
      <c r="K30" s="34" t="n">
        <f aca="false">J34</f>
        <v>0.497044628576613</v>
      </c>
      <c r="L30" s="34" t="n">
        <f aca="false">K34</f>
        <v>0.431442479311698</v>
      </c>
      <c r="M30" s="34" t="n">
        <f aca="false">L34</f>
        <v>0.369373860103778</v>
      </c>
      <c r="N30" s="34" t="n">
        <f aca="false">M34</f>
        <v>0.311452088468909</v>
      </c>
      <c r="O30" s="34" t="n">
        <f aca="false">N34</f>
        <v>0.258217558432351</v>
      </c>
      <c r="P30" s="34" t="n">
        <f aca="false">O34</f>
        <v>0.210109874912485</v>
      </c>
      <c r="Q30" s="34" t="n">
        <f aca="false">P34</f>
        <v>0.167441938709467</v>
      </c>
      <c r="R30" s="34" t="n">
        <f aca="false">Q34</f>
        <v>0.130378482562632</v>
      </c>
      <c r="S30" s="34" t="n">
        <f aca="false">R34</f>
        <v>0.0989217151784709</v>
      </c>
      <c r="T30" s="34" t="n">
        <f aca="false">S34</f>
        <v>0.0729065669617624</v>
      </c>
      <c r="U30" s="34" t="n">
        <f aca="false">T34</f>
        <v>0.0520074559339654</v>
      </c>
      <c r="V30" s="34" t="n">
        <f aca="false">U34</f>
        <v>0.0357574594132965</v>
      </c>
      <c r="W30" s="34" t="n">
        <f aca="false">V34</f>
        <v>0.023579323550372</v>
      </c>
      <c r="X30" s="34" t="n">
        <f aca="false">W34</f>
        <v>0.0148260197808765</v>
      </c>
      <c r="Y30" s="34" t="n">
        <f aca="false">X34</f>
        <v>0.00882684200686267</v>
      </c>
      <c r="Z30" s="34" t="n">
        <f aca="false">Y34</f>
        <v>0.00493371109716569</v>
      </c>
      <c r="AA30" s="34" t="n">
        <f aca="false">Z34</f>
        <v>0.00256182479387812</v>
      </c>
      <c r="AB30" s="34" t="n">
        <f aca="false">AA34</f>
        <v>0.00121938111361705</v>
      </c>
    </row>
    <row r="31" customFormat="false" ht="15" hidden="false" customHeight="false" outlineLevel="0" collapsed="false">
      <c r="B31" s="3" t="s">
        <v>194</v>
      </c>
      <c r="D31" s="34" t="n">
        <f aca="false">D30*D29</f>
        <v>0.0722</v>
      </c>
      <c r="E31" s="34" t="n">
        <f aca="false">E30*E29</f>
        <v>0.0730160044</v>
      </c>
      <c r="F31" s="34" t="n">
        <f aca="false">F30*F29</f>
        <v>0.0733240720654444</v>
      </c>
      <c r="G31" s="34" t="n">
        <f aca="false">G30*G29</f>
        <v>0.0730673576113453</v>
      </c>
      <c r="H31" s="34" t="n">
        <f aca="false">H30*H29</f>
        <v>0.0721966729314336</v>
      </c>
      <c r="I31" s="34" t="n">
        <f aca="false">I30*I29</f>
        <v>0.0706741425977557</v>
      </c>
      <c r="J31" s="34" t="n">
        <f aca="false">J30*J29</f>
        <v>0.0684771218174081</v>
      </c>
      <c r="K31" s="34" t="n">
        <f aca="false">K30*K29</f>
        <v>0.0656021492649152</v>
      </c>
      <c r="L31" s="34" t="n">
        <f aca="false">L30*L29</f>
        <v>0.0620686192079201</v>
      </c>
      <c r="M31" s="34" t="n">
        <f aca="false">M30*M29</f>
        <v>0.0579217716348685</v>
      </c>
      <c r="N31" s="34" t="n">
        <f aca="false">N30*N29</f>
        <v>0.053234530036558</v>
      </c>
      <c r="O31" s="34" t="n">
        <f aca="false">O30*O29</f>
        <v>0.0481076835198664</v>
      </c>
      <c r="P31" s="34" t="n">
        <f aca="false">P30*P29</f>
        <v>0.0426679362030175</v>
      </c>
      <c r="Q31" s="34" t="n">
        <f aca="false">Q30*Q29</f>
        <v>0.0370634561468355</v>
      </c>
      <c r="R31" s="34" t="n">
        <f aca="false">R30*R29</f>
        <v>0.031456767384161</v>
      </c>
      <c r="S31" s="34" t="n">
        <f aca="false">S30*S29</f>
        <v>0.0260151482167085</v>
      </c>
      <c r="T31" s="34" t="n">
        <f aca="false">T30*T29</f>
        <v>0.020899111027797</v>
      </c>
      <c r="U31" s="34" t="n">
        <f aca="false">U30*U29</f>
        <v>0.0162499965206689</v>
      </c>
      <c r="V31" s="34" t="n">
        <f aca="false">V30*V29</f>
        <v>0.0121781358629245</v>
      </c>
      <c r="W31" s="34" t="n">
        <f aca="false">W30*W29</f>
        <v>0.00875330376949552</v>
      </c>
      <c r="X31" s="34" t="n">
        <f aca="false">X30*X29</f>
        <v>0.00599917777401379</v>
      </c>
      <c r="Y31" s="34" t="n">
        <f aca="false">Y30*Y29</f>
        <v>0.00389313090969698</v>
      </c>
      <c r="Z31" s="34" t="n">
        <f aca="false">Z30*Z29</f>
        <v>0.00237188630328757</v>
      </c>
      <c r="AA31" s="34" t="n">
        <f aca="false">AA30*AA29</f>
        <v>0.00134244368026107</v>
      </c>
      <c r="AB31" s="34" t="n">
        <f aca="false">AB30*AB29</f>
        <v>0.000696486354707458</v>
      </c>
    </row>
    <row r="32" customFormat="false" ht="15" hidden="false" customHeight="false" outlineLevel="0" collapsed="false">
      <c r="B32" s="3" t="s">
        <v>195</v>
      </c>
      <c r="D32" s="38" t="n">
        <f aca="false">D31*Cartera!$D$7</f>
        <v>7.22</v>
      </c>
      <c r="E32" s="38" t="n">
        <f aca="false">E31*Cartera!$D$7</f>
        <v>7.30160044</v>
      </c>
      <c r="F32" s="38" t="n">
        <f aca="false">F31*Cartera!$D$7</f>
        <v>7.33240720654444</v>
      </c>
      <c r="G32" s="38" t="n">
        <f aca="false">G31*Cartera!$D$7</f>
        <v>7.30673576113453</v>
      </c>
      <c r="H32" s="38" t="n">
        <f aca="false">H31*Cartera!$D$7</f>
        <v>7.21966729314336</v>
      </c>
      <c r="I32" s="38" t="n">
        <f aca="false">I31*Cartera!$D$7</f>
        <v>7.06741425977557</v>
      </c>
      <c r="J32" s="38" t="n">
        <f aca="false">J31*Cartera!$D$7</f>
        <v>6.8477121817408</v>
      </c>
      <c r="K32" s="38" t="n">
        <f aca="false">K31*Cartera!$D$7</f>
        <v>6.56021492649152</v>
      </c>
      <c r="L32" s="38" t="n">
        <f aca="false">L31*Cartera!$D$7</f>
        <v>6.20686192079201</v>
      </c>
      <c r="M32" s="38" t="n">
        <f aca="false">M31*Cartera!$D$7</f>
        <v>5.79217716348685</v>
      </c>
      <c r="N32" s="38" t="n">
        <f aca="false">N31*Cartera!$D$7</f>
        <v>5.3234530036558</v>
      </c>
      <c r="O32" s="38" t="n">
        <f aca="false">O31*Cartera!$D$7</f>
        <v>4.81076835198664</v>
      </c>
      <c r="P32" s="38" t="n">
        <f aca="false">P31*Cartera!$D$7</f>
        <v>4.26679362030175</v>
      </c>
      <c r="Q32" s="38" t="n">
        <f aca="false">Q31*Cartera!$D$7</f>
        <v>3.70634561468355</v>
      </c>
      <c r="R32" s="38" t="n">
        <f aca="false">R31*Cartera!$D$7</f>
        <v>3.1456767384161</v>
      </c>
      <c r="S32" s="38" t="n">
        <f aca="false">S31*Cartera!$D$7</f>
        <v>2.60151482167085</v>
      </c>
      <c r="T32" s="38" t="n">
        <f aca="false">T31*Cartera!$D$7</f>
        <v>2.0899111027797</v>
      </c>
      <c r="U32" s="38" t="n">
        <f aca="false">U31*Cartera!$D$7</f>
        <v>1.62499965206689</v>
      </c>
      <c r="V32" s="38" t="n">
        <f aca="false">V31*Cartera!$D$7</f>
        <v>1.21781358629245</v>
      </c>
      <c r="W32" s="38" t="n">
        <f aca="false">W31*Cartera!$D$7</f>
        <v>0.875330376949552</v>
      </c>
      <c r="X32" s="38" t="n">
        <f aca="false">X31*Cartera!$D$7</f>
        <v>0.599917777401379</v>
      </c>
      <c r="Y32" s="38" t="n">
        <f aca="false">Y31*Cartera!$D$7</f>
        <v>0.389313090969698</v>
      </c>
      <c r="Z32" s="38" t="n">
        <f aca="false">Z31*Cartera!$D$7</f>
        <v>0.237188630328757</v>
      </c>
      <c r="AA32" s="38" t="n">
        <f aca="false">AA31*Cartera!$D$7</f>
        <v>0.134244368026107</v>
      </c>
      <c r="AB32" s="38" t="n">
        <f aca="false">AB31*Cartera!$D$7</f>
        <v>0.0696486354707458</v>
      </c>
    </row>
    <row r="33" customFormat="false" ht="15" hidden="false" customHeight="false" outlineLevel="0" collapsed="false">
      <c r="B33" s="3" t="s">
        <v>196</v>
      </c>
      <c r="D33" s="38" t="n">
        <f aca="false">D30*Cartera!$D$7*Cartera!$H$7*(1+$C$8)^(D$3-1)</f>
        <v>6</v>
      </c>
      <c r="E33" s="38" t="n">
        <f aca="false">E30*Cartera!$D$7*Cartera!$H$7*(1+$C$8)^(E$3-1)</f>
        <v>5.650302</v>
      </c>
      <c r="F33" s="38" t="n">
        <f aca="false">F30*Cartera!$D$7*Cartera!$H$7*(1+$C$8)^(F$3-1)</f>
        <v>5.28371905120206</v>
      </c>
      <c r="G33" s="38" t="n">
        <f aca="false">G30*Cartera!$D$7*Cartera!$H$7*(1+$C$8)^(G$3-1)</f>
        <v>4.90293445781543</v>
      </c>
      <c r="H33" s="38" t="n">
        <f aca="false">H30*Cartera!$D$7*Cartera!$H$7*(1+$C$8)^(H$3-1)</f>
        <v>4.51117229402768</v>
      </c>
      <c r="I33" s="38" t="n">
        <f aca="false">I30*Cartera!$D$7*Cartera!$H$7*(1+$C$8)^(I$3-1)</f>
        <v>4.11218195314186</v>
      </c>
      <c r="J33" s="38" t="n">
        <f aca="false">J30*Cartera!$D$7*Cartera!$H$7*(1+$C$8)^(J$3-1)</f>
        <v>3.71019569148836</v>
      </c>
      <c r="K33" s="38" t="n">
        <f aca="false">K30*Cartera!$D$7*Cartera!$H$7*(1+$C$8)^(K$3-1)</f>
        <v>3.30985471506545</v>
      </c>
      <c r="L33" s="38" t="n">
        <f aca="false">L30*Cartera!$D$7*Cartera!$H$7*(1+$C$8)^(L$3-1)</f>
        <v>2.91610052692156</v>
      </c>
      <c r="M33" s="38" t="n">
        <f aca="false">M30*Cartera!$D$7*Cartera!$H$7*(1+$C$8)^(M$3-1)</f>
        <v>2.53403021289199</v>
      </c>
      <c r="N33" s="38" t="n">
        <f aca="false">N30*Cartera!$D$7*Cartera!$H$7*(1+$C$8)^(N$3-1)</f>
        <v>2.16871718224508</v>
      </c>
      <c r="O33" s="38" t="n">
        <f aca="false">O30*Cartera!$D$7*Cartera!$H$7*(1+$C$8)^(O$3-1)</f>
        <v>1.82500259144128</v>
      </c>
      <c r="P33" s="38" t="n">
        <f aca="false">P30*Cartera!$D$7*Cartera!$H$7*(1+$C$8)^(P$3-1)</f>
        <v>1.50726710669326</v>
      </c>
      <c r="Q33" s="38" t="n">
        <f aca="false">Q30*Cartera!$D$7*Cartera!$H$7*(1+$C$8)^(Q$3-1)</f>
        <v>1.21919744372745</v>
      </c>
      <c r="R33" s="38" t="n">
        <f aca="false">R30*Cartera!$D$7*Cartera!$H$7*(1+$C$8)^(R$3-1)</f>
        <v>0.963566658334225</v>
      </c>
      <c r="S33" s="38" t="n">
        <f aca="false">S30*Cartera!$D$7*Cartera!$H$7*(1+$C$8)^(S$3-1)</f>
        <v>0.742050602427447</v>
      </c>
      <c r="T33" s="38" t="n">
        <f aca="false">T30*Cartera!$D$7*Cartera!$H$7*(1+$C$8)^(T$3-1)</f>
        <v>0.555104278821351</v>
      </c>
      <c r="U33" s="38" t="n">
        <f aca="false">U30*Cartera!$D$7*Cartera!$H$7*(1+$C$8)^(U$3-1)</f>
        <v>0.401919963598325</v>
      </c>
      <c r="V33" s="38" t="n">
        <f aca="false">V30*Cartera!$D$7*Cartera!$H$7*(1+$C$8)^(V$3-1)</f>
        <v>0.280483078350702</v>
      </c>
      <c r="W33" s="38" t="n">
        <f aca="false">W30*Cartera!$D$7*Cartera!$H$7*(1+$C$8)^(W$3-1)</f>
        <v>0.18773160576285</v>
      </c>
      <c r="X33" s="38" t="n">
        <f aca="false">X30*Cartera!$D$7*Cartera!$H$7*(1+$C$8)^(X$3-1)</f>
        <v>0.119810993814501</v>
      </c>
      <c r="Y33" s="38" t="n">
        <f aca="false">Y30*Cartera!$D$7*Cartera!$H$7*(1+$C$8)^(Y$3-1)</f>
        <v>0.0724008209652231</v>
      </c>
      <c r="Z33" s="38" t="n">
        <f aca="false">Z30*Cartera!$D$7*Cartera!$H$7*(1+$C$8)^(Z$3-1)</f>
        <v>0.0410750305223253</v>
      </c>
      <c r="AA33" s="38" t="n">
        <f aca="false">AA30*Cartera!$D$7*Cartera!$H$7*(1+$C$8)^(AA$3-1)</f>
        <v>0.0216480930828666</v>
      </c>
      <c r="AB33" s="38" t="n">
        <f aca="false">AB30*Cartera!$D$7*Cartera!$H$7*(1+$C$8)^(AB$3-1)</f>
        <v>0.0104586523843723</v>
      </c>
    </row>
    <row r="34" customFormat="false" ht="15" hidden="false" customHeight="false" outlineLevel="0" collapsed="false">
      <c r="B34" s="3" t="s">
        <v>197</v>
      </c>
      <c r="C34" s="33" t="n">
        <f aca="false">SUM(D34:AB34)+0.5</f>
        <v>7.66567823411067</v>
      </c>
      <c r="D34" s="34" t="n">
        <f aca="false">D30-D31</f>
        <v>0.9278</v>
      </c>
      <c r="E34" s="34" t="n">
        <f aca="false">E30-E31</f>
        <v>0.8547839956</v>
      </c>
      <c r="F34" s="34" t="n">
        <f aca="false">F30-F31</f>
        <v>0.781459923534556</v>
      </c>
      <c r="G34" s="34" t="n">
        <f aca="false">G30-G31</f>
        <v>0.70839256592321</v>
      </c>
      <c r="H34" s="34" t="n">
        <f aca="false">H30-H31</f>
        <v>0.636195892991777</v>
      </c>
      <c r="I34" s="34" t="n">
        <f aca="false">I30-I31</f>
        <v>0.565521750394021</v>
      </c>
      <c r="J34" s="34" t="n">
        <f aca="false">J30-J31</f>
        <v>0.497044628576613</v>
      </c>
      <c r="K34" s="34" t="n">
        <f aca="false">K30-K31</f>
        <v>0.431442479311698</v>
      </c>
      <c r="L34" s="34" t="n">
        <f aca="false">L30-L31</f>
        <v>0.369373860103778</v>
      </c>
      <c r="M34" s="34" t="n">
        <f aca="false">M30-M31</f>
        <v>0.311452088468909</v>
      </c>
      <c r="N34" s="34" t="n">
        <f aca="false">N30-N31</f>
        <v>0.258217558432351</v>
      </c>
      <c r="O34" s="34" t="n">
        <f aca="false">O30-O31</f>
        <v>0.210109874912485</v>
      </c>
      <c r="P34" s="34" t="n">
        <f aca="false">P30-P31</f>
        <v>0.167441938709467</v>
      </c>
      <c r="Q34" s="34" t="n">
        <f aca="false">Q30-Q31</f>
        <v>0.130378482562632</v>
      </c>
      <c r="R34" s="34" t="n">
        <f aca="false">R30-R31</f>
        <v>0.0989217151784709</v>
      </c>
      <c r="S34" s="34" t="n">
        <f aca="false">S30-S31</f>
        <v>0.0729065669617624</v>
      </c>
      <c r="T34" s="34" t="n">
        <f aca="false">T30-T31</f>
        <v>0.0520074559339654</v>
      </c>
      <c r="U34" s="34" t="n">
        <f aca="false">U30-U31</f>
        <v>0.0357574594132965</v>
      </c>
      <c r="V34" s="34" t="n">
        <f aca="false">V30-V31</f>
        <v>0.023579323550372</v>
      </c>
      <c r="W34" s="34" t="n">
        <f aca="false">W30-W31</f>
        <v>0.0148260197808765</v>
      </c>
      <c r="X34" s="34" t="n">
        <f aca="false">X30-X31</f>
        <v>0.00882684200686267</v>
      </c>
      <c r="Y34" s="34" t="n">
        <f aca="false">Y30-Y31</f>
        <v>0.00493371109716569</v>
      </c>
      <c r="Z34" s="34" t="n">
        <f aca="false">Z30-Z31</f>
        <v>0.00256182479387812</v>
      </c>
      <c r="AA34" s="34" t="n">
        <f aca="false">AA30-AA31</f>
        <v>0.00121938111361705</v>
      </c>
      <c r="AB34" s="34" t="n">
        <f aca="false">AB30-AB31</f>
        <v>0.000522894758909592</v>
      </c>
    </row>
    <row r="36" customFormat="false" ht="15" hidden="false" customHeight="false" outlineLevel="0" collapsed="false">
      <c r="A36" s="37" t="str">
        <f aca="false">Cartera!A8&amp;" – "&amp;Cartera!B8</f>
        <v>C4 – Edad 90+, deterioro severo</v>
      </c>
    </row>
    <row r="37" customFormat="false" ht="15" hidden="false" customHeight="false" outlineLevel="0" collapsed="false">
      <c r="B37" s="3" t="s">
        <v>191</v>
      </c>
      <c r="D37" s="34" t="n">
        <f aca="false">MIN(1,Cartera!$F$8*(1+Cartera!$G$8)^(D$3-1)*$C$10)</f>
        <v>0.1064</v>
      </c>
      <c r="E37" s="34" t="n">
        <f aca="false">MIN(1,Cartera!$F$8*(1+Cartera!$G$8)^(E$3-1)*$C$10)</f>
        <v>0.114912</v>
      </c>
      <c r="F37" s="34" t="n">
        <f aca="false">MIN(1,Cartera!$F$8*(1+Cartera!$G$8)^(F$3-1)*$C$10)</f>
        <v>0.12410496</v>
      </c>
      <c r="G37" s="34" t="n">
        <f aca="false">MIN(1,Cartera!$F$8*(1+Cartera!$G$8)^(G$3-1)*$C$10)</f>
        <v>0.1340333568</v>
      </c>
      <c r="H37" s="34" t="n">
        <f aca="false">MIN(1,Cartera!$F$8*(1+Cartera!$G$8)^(H$3-1)*$C$10)</f>
        <v>0.144756025344</v>
      </c>
      <c r="I37" s="34" t="n">
        <f aca="false">MIN(1,Cartera!$F$8*(1+Cartera!$G$8)^(I$3-1)*$C$10)</f>
        <v>0.15633650737152</v>
      </c>
      <c r="J37" s="34" t="n">
        <f aca="false">MIN(1,Cartera!$F$8*(1+Cartera!$G$8)^(J$3-1)*$C$10)</f>
        <v>0.168843427961242</v>
      </c>
      <c r="K37" s="34" t="n">
        <f aca="false">MIN(1,Cartera!$F$8*(1+Cartera!$G$8)^(K$3-1)*$C$10)</f>
        <v>0.182350902198141</v>
      </c>
      <c r="L37" s="34" t="n">
        <f aca="false">MIN(1,Cartera!$F$8*(1+Cartera!$G$8)^(L$3-1)*$C$10)</f>
        <v>0.196938974373992</v>
      </c>
      <c r="M37" s="34" t="n">
        <f aca="false">MIN(1,Cartera!$F$8*(1+Cartera!$G$8)^(M$3-1)*$C$10)</f>
        <v>0.212694092323912</v>
      </c>
      <c r="N37" s="34" t="n">
        <f aca="false">MIN(1,Cartera!$F$8*(1+Cartera!$G$8)^(N$3-1)*$C$10)</f>
        <v>0.229709619709825</v>
      </c>
      <c r="O37" s="34" t="n">
        <f aca="false">MIN(1,Cartera!$F$8*(1+Cartera!$G$8)^(O$3-1)*$C$10)</f>
        <v>0.248086389286611</v>
      </c>
      <c r="P37" s="34" t="n">
        <f aca="false">MIN(1,Cartera!$F$8*(1+Cartera!$G$8)^(P$3-1)*$C$10)</f>
        <v>0.26793330042954</v>
      </c>
      <c r="Q37" s="34" t="n">
        <f aca="false">MIN(1,Cartera!$F$8*(1+Cartera!$G$8)^(Q$3-1)*$C$10)</f>
        <v>0.289367964463903</v>
      </c>
      <c r="R37" s="34" t="n">
        <f aca="false">MIN(1,Cartera!$F$8*(1+Cartera!$G$8)^(R$3-1)*$C$10)</f>
        <v>0.312517401621015</v>
      </c>
      <c r="S37" s="34" t="n">
        <f aca="false">MIN(1,Cartera!$F$8*(1+Cartera!$G$8)^(S$3-1)*$C$10)</f>
        <v>0.337518793750696</v>
      </c>
      <c r="T37" s="34" t="n">
        <f aca="false">MIN(1,Cartera!$F$8*(1+Cartera!$G$8)^(T$3-1)*$C$10)</f>
        <v>0.364520297250752</v>
      </c>
      <c r="U37" s="34" t="n">
        <f aca="false">MIN(1,Cartera!$F$8*(1+Cartera!$G$8)^(U$3-1)*$C$10)</f>
        <v>0.393681921030812</v>
      </c>
      <c r="V37" s="34" t="n">
        <f aca="false">MIN(1,Cartera!$F$8*(1+Cartera!$G$8)^(V$3-1)*$C$10)</f>
        <v>0.425176474713277</v>
      </c>
      <c r="W37" s="34" t="n">
        <f aca="false">MIN(1,Cartera!$F$8*(1+Cartera!$G$8)^(W$3-1)*$C$10)</f>
        <v>0.459190592690339</v>
      </c>
      <c r="X37" s="34" t="n">
        <f aca="false">MIN(1,Cartera!$F$8*(1+Cartera!$G$8)^(X$3-1)*$C$10)</f>
        <v>0.495925840105566</v>
      </c>
      <c r="Y37" s="34" t="n">
        <f aca="false">MIN(1,Cartera!$F$8*(1+Cartera!$G$8)^(Y$3-1)*$C$10)</f>
        <v>0.535599907314012</v>
      </c>
      <c r="Z37" s="34" t="n">
        <f aca="false">MIN(1,Cartera!$F$8*(1+Cartera!$G$8)^(Z$3-1)*$C$10)</f>
        <v>0.578447899899133</v>
      </c>
      <c r="AA37" s="34" t="n">
        <f aca="false">MIN(1,Cartera!$F$8*(1+Cartera!$G$8)^(AA$3-1)*$C$10)</f>
        <v>0.624723731891063</v>
      </c>
      <c r="AB37" s="34" t="n">
        <f aca="false">MIN(1,Cartera!$F$8*(1+Cartera!$G$8)^(AB$3-1)*$C$10)</f>
        <v>0.674701630442349</v>
      </c>
    </row>
    <row r="38" customFormat="false" ht="15" hidden="false" customHeight="false" outlineLevel="0" collapsed="false">
      <c r="B38" s="3" t="s">
        <v>192</v>
      </c>
      <c r="C38" s="3" t="s">
        <v>193</v>
      </c>
      <c r="D38" s="34" t="n">
        <f aca="false">1</f>
        <v>1</v>
      </c>
      <c r="E38" s="34" t="n">
        <f aca="false">D42</f>
        <v>0.8936</v>
      </c>
      <c r="F38" s="34" t="n">
        <f aca="false">E42</f>
        <v>0.7909146368</v>
      </c>
      <c r="G38" s="34" t="n">
        <f aca="false">F42</f>
        <v>0.692758207436521</v>
      </c>
      <c r="H38" s="34" t="n">
        <f aca="false">G42</f>
        <v>0.599905499443054</v>
      </c>
      <c r="I38" s="34" t="n">
        <f aca="false">H42</f>
        <v>0.51306556376167</v>
      </c>
      <c r="J38" s="34" t="n">
        <f aca="false">I42</f>
        <v>0.432854685470571</v>
      </c>
      <c r="K38" s="34" t="n">
        <f aca="false">J42</f>
        <v>0.359770016566634</v>
      </c>
      <c r="L38" s="34" t="n">
        <f aca="false">K42</f>
        <v>0.294165629461868</v>
      </c>
      <c r="M38" s="34" t="n">
        <f aca="false">L42</f>
        <v>0.236232952099568</v>
      </c>
      <c r="N38" s="34" t="n">
        <f aca="false">M42</f>
        <v>0.185987598775752</v>
      </c>
      <c r="O38" s="34" t="n">
        <f aca="false">N42</f>
        <v>0.143264458190231</v>
      </c>
      <c r="P38" s="34" t="n">
        <f aca="false">O42</f>
        <v>0.107722496044714</v>
      </c>
      <c r="Q38" s="34" t="n">
        <f aca="false">P42</f>
        <v>0.0788600521489457</v>
      </c>
      <c r="R38" s="34" t="n">
        <f aca="false">Q42</f>
        <v>0.0560404793810881</v>
      </c>
      <c r="S38" s="34" t="n">
        <f aca="false">R42</f>
        <v>0.0385268543793144</v>
      </c>
      <c r="T38" s="34" t="n">
        <f aca="false">S42</f>
        <v>0.0255233169621995</v>
      </c>
      <c r="U38" s="34" t="n">
        <f aca="false">T42</f>
        <v>0.0162195498763133</v>
      </c>
      <c r="V38" s="34" t="n">
        <f aca="false">U42</f>
        <v>0.00983420632275124</v>
      </c>
      <c r="W38" s="34" t="n">
        <f aca="false">V42</f>
        <v>0.00565293314684085</v>
      </c>
      <c r="X38" s="34" t="n">
        <f aca="false">W42</f>
        <v>0.00305715942470413</v>
      </c>
      <c r="Y38" s="34" t="n">
        <f aca="false">X42</f>
        <v>0.00154103506867109</v>
      </c>
      <c r="Z38" s="34" t="n">
        <f aca="false">Y42</f>
        <v>0.00071565682872321</v>
      </c>
      <c r="AA38" s="34" t="n">
        <f aca="false">Z42</f>
        <v>0.000301686639099796</v>
      </c>
      <c r="AB38" s="34" t="n">
        <f aca="false">AA42</f>
        <v>0.000113215836059699</v>
      </c>
    </row>
    <row r="39" customFormat="false" ht="15" hidden="false" customHeight="false" outlineLevel="0" collapsed="false">
      <c r="B39" s="3" t="s">
        <v>194</v>
      </c>
      <c r="D39" s="34" t="n">
        <f aca="false">D38*D37</f>
        <v>0.1064</v>
      </c>
      <c r="E39" s="34" t="n">
        <f aca="false">E38*E37</f>
        <v>0.1026853632</v>
      </c>
      <c r="F39" s="34" t="n">
        <f aca="false">F38*F37</f>
        <v>0.0981564293634785</v>
      </c>
      <c r="G39" s="34" t="n">
        <f aca="false">G38*G37</f>
        <v>0.0928527079934677</v>
      </c>
      <c r="H39" s="34" t="n">
        <f aca="false">H38*H37</f>
        <v>0.0868399356813837</v>
      </c>
      <c r="I39" s="34" t="n">
        <f aca="false">I38*I37</f>
        <v>0.0802108782910994</v>
      </c>
      <c r="J39" s="34" t="n">
        <f aca="false">J38*J37</f>
        <v>0.0730846689039362</v>
      </c>
      <c r="K39" s="34" t="n">
        <f aca="false">K38*K37</f>
        <v>0.0656043871047659</v>
      </c>
      <c r="L39" s="34" t="n">
        <f aca="false">L38*L37</f>
        <v>0.0579326773623002</v>
      </c>
      <c r="M39" s="34" t="n">
        <f aca="false">M38*M37</f>
        <v>0.0502453533238158</v>
      </c>
      <c r="N39" s="34" t="n">
        <f aca="false">N38*N37</f>
        <v>0.0427231405855215</v>
      </c>
      <c r="O39" s="34" t="n">
        <f aca="false">O38*O37</f>
        <v>0.035541962145517</v>
      </c>
      <c r="P39" s="34" t="n">
        <f aca="false">P38*P37</f>
        <v>0.0288624438957682</v>
      </c>
      <c r="Q39" s="34" t="n">
        <f aca="false">Q38*Q37</f>
        <v>0.0228195727678576</v>
      </c>
      <c r="R39" s="34" t="n">
        <f aca="false">R38*R37</f>
        <v>0.0175136250017737</v>
      </c>
      <c r="S39" s="34" t="n">
        <f aca="false">S38*S37</f>
        <v>0.0130035374171149</v>
      </c>
      <c r="T39" s="34" t="n">
        <f aca="false">T38*T37</f>
        <v>0.0093037670858861</v>
      </c>
      <c r="U39" s="34" t="n">
        <f aca="false">U38*U37</f>
        <v>0.00638534355356211</v>
      </c>
      <c r="V39" s="34" t="n">
        <f aca="false">V38*V37</f>
        <v>0.00418127317591039</v>
      </c>
      <c r="W39" s="34" t="n">
        <f aca="false">W38*W37</f>
        <v>0.00259577372213671</v>
      </c>
      <c r="X39" s="34" t="n">
        <f aca="false">X38*X37</f>
        <v>0.00151612435603305</v>
      </c>
      <c r="Y39" s="34" t="n">
        <f aca="false">Y38*Y37</f>
        <v>0.000825378239947876</v>
      </c>
      <c r="Z39" s="34" t="n">
        <f aca="false">Z38*Z37</f>
        <v>0.000413970189623414</v>
      </c>
      <c r="AA39" s="34" t="n">
        <f aca="false">AA38*AA37</f>
        <v>0.000188470803040097</v>
      </c>
      <c r="AB39" s="34" t="n">
        <f aca="false">AB38*AB37</f>
        <v>7.63869091813726E-005</v>
      </c>
    </row>
    <row r="40" customFormat="false" ht="15" hidden="false" customHeight="false" outlineLevel="0" collapsed="false">
      <c r="B40" s="3" t="s">
        <v>195</v>
      </c>
      <c r="D40" s="38" t="n">
        <f aca="false">D39*Cartera!$D$8</f>
        <v>8.512</v>
      </c>
      <c r="E40" s="38" t="n">
        <f aca="false">E39*Cartera!$D$8</f>
        <v>8.214829056</v>
      </c>
      <c r="F40" s="38" t="n">
        <f aca="false">F39*Cartera!$D$8</f>
        <v>7.85251434907828</v>
      </c>
      <c r="G40" s="38" t="n">
        <f aca="false">G39*Cartera!$D$8</f>
        <v>7.42821663947742</v>
      </c>
      <c r="H40" s="38" t="n">
        <f aca="false">H39*Cartera!$D$8</f>
        <v>6.9471948545107</v>
      </c>
      <c r="I40" s="38" t="n">
        <f aca="false">I39*Cartera!$D$8</f>
        <v>6.41687026328795</v>
      </c>
      <c r="J40" s="38" t="n">
        <f aca="false">J39*Cartera!$D$8</f>
        <v>5.8467735123149</v>
      </c>
      <c r="K40" s="38" t="n">
        <f aca="false">K39*Cartera!$D$8</f>
        <v>5.24835096838127</v>
      </c>
      <c r="L40" s="38" t="n">
        <f aca="false">L39*Cartera!$D$8</f>
        <v>4.63461418898402</v>
      </c>
      <c r="M40" s="38" t="n">
        <f aca="false">M39*Cartera!$D$8</f>
        <v>4.01962826590526</v>
      </c>
      <c r="N40" s="38" t="n">
        <f aca="false">N39*Cartera!$D$8</f>
        <v>3.41785124684172</v>
      </c>
      <c r="O40" s="38" t="n">
        <f aca="false">O39*Cartera!$D$8</f>
        <v>2.84335697164136</v>
      </c>
      <c r="P40" s="38" t="n">
        <f aca="false">P39*Cartera!$D$8</f>
        <v>2.30899551166146</v>
      </c>
      <c r="Q40" s="38" t="n">
        <f aca="false">Q39*Cartera!$D$8</f>
        <v>1.82556582142861</v>
      </c>
      <c r="R40" s="38" t="n">
        <f aca="false">R39*Cartera!$D$8</f>
        <v>1.4010900001419</v>
      </c>
      <c r="S40" s="38" t="n">
        <f aca="false">S39*Cartera!$D$8</f>
        <v>1.04028299336919</v>
      </c>
      <c r="T40" s="38" t="n">
        <f aca="false">T39*Cartera!$D$8</f>
        <v>0.744301366870888</v>
      </c>
      <c r="U40" s="38" t="n">
        <f aca="false">U39*Cartera!$D$8</f>
        <v>0.510827484284969</v>
      </c>
      <c r="V40" s="38" t="n">
        <f aca="false">V39*Cartera!$D$8</f>
        <v>0.334501854072831</v>
      </c>
      <c r="W40" s="38" t="n">
        <f aca="false">W39*Cartera!$D$8</f>
        <v>0.207661897770937</v>
      </c>
      <c r="X40" s="38" t="n">
        <f aca="false">X39*Cartera!$D$8</f>
        <v>0.121289948482644</v>
      </c>
      <c r="Y40" s="38" t="n">
        <f aca="false">Y39*Cartera!$D$8</f>
        <v>0.06603025919583</v>
      </c>
      <c r="Z40" s="38" t="n">
        <f aca="false">Z39*Cartera!$D$8</f>
        <v>0.0331176151698732</v>
      </c>
      <c r="AA40" s="38" t="n">
        <f aca="false">AA39*Cartera!$D$8</f>
        <v>0.0150776642432078</v>
      </c>
      <c r="AB40" s="38" t="n">
        <f aca="false">AB39*Cartera!$D$8</f>
        <v>0.00611095273450981</v>
      </c>
    </row>
    <row r="41" customFormat="false" ht="15" hidden="false" customHeight="false" outlineLevel="0" collapsed="false">
      <c r="B41" s="3" t="s">
        <v>196</v>
      </c>
      <c r="D41" s="38" t="n">
        <f aca="false">D38*Cartera!$D$8*Cartera!$H$8*(1+$C$8)^(D$3-1)</f>
        <v>5.6</v>
      </c>
      <c r="E41" s="38" t="n">
        <f aca="false">E38*Cartera!$D$8*Cartera!$H$8*(1+$C$8)^(E$3-1)</f>
        <v>5.0792224</v>
      </c>
      <c r="F41" s="38" t="n">
        <f aca="false">F38*Cartera!$D$8*Cartera!$H$8*(1+$C$8)^(F$3-1)</f>
        <v>4.56299217750477</v>
      </c>
      <c r="G41" s="38" t="n">
        <f aca="false">G38*Cartera!$D$8*Cartera!$H$8*(1+$C$8)^(G$3-1)</f>
        <v>4.05665274907275</v>
      </c>
      <c r="H41" s="38" t="n">
        <f aca="false">H38*Cartera!$D$8*Cartera!$H$8*(1+$C$8)^(H$3-1)</f>
        <v>3.56561985319872</v>
      </c>
      <c r="I41" s="38" t="n">
        <f aca="false">I38*Cartera!$D$8*Cartera!$H$8*(1+$C$8)^(I$3-1)</f>
        <v>3.09521701879245</v>
      </c>
      <c r="J41" s="38" t="n">
        <f aca="false">J38*Cartera!$D$8*Cartera!$H$8*(1+$C$8)^(J$3-1)</f>
        <v>2.65049142452531</v>
      </c>
      <c r="K41" s="38" t="n">
        <f aca="false">K38*Cartera!$D$8*Cartera!$H$8*(1+$C$8)^(K$3-1)</f>
        <v>2.23601796712598</v>
      </c>
      <c r="L41" s="38" t="n">
        <f aca="false">L38*Cartera!$D$8*Cartera!$H$8*(1+$C$8)^(L$3-1)</f>
        <v>1.85570224459165</v>
      </c>
      <c r="M41" s="38" t="n">
        <f aca="false">M38*Cartera!$D$8*Cartera!$H$8*(1+$C$8)^(M$3-1)</f>
        <v>1.51259578001522</v>
      </c>
      <c r="N41" s="38" t="n">
        <f aca="false">N38*Cartera!$D$8*Cartera!$H$8*(1+$C$8)^(N$3-1)</f>
        <v>1.20873872743489</v>
      </c>
      <c r="O41" s="38" t="n">
        <f aca="false">O38*Cartera!$D$8*Cartera!$H$8*(1+$C$8)^(O$3-1)</f>
        <v>0.94504601123769</v>
      </c>
      <c r="P41" s="38" t="n">
        <f aca="false">P38*Cartera!$D$8*Cartera!$H$8*(1+$C$8)^(P$3-1)</f>
        <v>0.721251852979018</v>
      </c>
      <c r="Q41" s="38" t="n">
        <f aca="false">Q38*Cartera!$D$8*Cartera!$H$8*(1+$C$8)^(Q$3-1)</f>
        <v>0.53592453052297</v>
      </c>
      <c r="R41" s="38" t="n">
        <f aca="false">R38*Cartera!$D$8*Cartera!$H$8*(1+$C$8)^(R$3-1)</f>
        <v>0.386557817119554</v>
      </c>
      <c r="S41" s="38" t="n">
        <f aca="false">S38*Cartera!$D$8*Cartera!$H$8*(1+$C$8)^(S$3-1)</f>
        <v>0.269738049125116</v>
      </c>
      <c r="T41" s="38" t="n">
        <f aca="false">T38*Cartera!$D$8*Cartera!$H$8*(1+$C$8)^(T$3-1)</f>
        <v>0.181376833978077</v>
      </c>
      <c r="U41" s="38" t="n">
        <f aca="false">U38*Cartera!$D$8*Cartera!$H$8*(1+$C$8)^(U$3-1)</f>
        <v>0.116990215990118</v>
      </c>
      <c r="V41" s="38" t="n">
        <f aca="false">V38*Cartera!$D$8*Cartera!$H$8*(1+$C$8)^(V$3-1)</f>
        <v>0.0719972822625783</v>
      </c>
      <c r="W41" s="38" t="n">
        <f aca="false">W38*Cartera!$D$8*Cartera!$H$8*(1+$C$8)^(W$3-1)</f>
        <v>0.0420065175752571</v>
      </c>
      <c r="X41" s="38" t="n">
        <f aca="false">X38*Cartera!$D$8*Cartera!$H$8*(1+$C$8)^(X$3-1)</f>
        <v>0.0230582826711129</v>
      </c>
      <c r="Y41" s="38" t="n">
        <f aca="false">Y38*Cartera!$D$8*Cartera!$H$8*(1+$C$8)^(Y$3-1)</f>
        <v>0.0117974307330403</v>
      </c>
      <c r="Z41" s="38" t="n">
        <f aca="false">Z38*Cartera!$D$8*Cartera!$H$8*(1+$C$8)^(Z$3-1)</f>
        <v>0.00556090884476867</v>
      </c>
      <c r="AA41" s="38" t="n">
        <f aca="false">AA38*Cartera!$D$8*Cartera!$H$8*(1+$C$8)^(AA$3-1)</f>
        <v>0.00237937599401144</v>
      </c>
      <c r="AB41" s="38" t="n">
        <f aca="false">AB38*Cartera!$D$8*Cartera!$H$8*(1+$C$8)^(AB$3-1)</f>
        <v>0.000906317193612515</v>
      </c>
    </row>
    <row r="42" customFormat="false" ht="15" hidden="false" customHeight="false" outlineLevel="0" collapsed="false">
      <c r="B42" s="3" t="s">
        <v>197</v>
      </c>
      <c r="C42" s="33" t="n">
        <f aca="false">SUM(D42:AB42)+0.5</f>
        <v>5.98666471899217</v>
      </c>
      <c r="D42" s="34" t="n">
        <f aca="false">D38-D39</f>
        <v>0.8936</v>
      </c>
      <c r="E42" s="34" t="n">
        <f aca="false">E38-E39</f>
        <v>0.7909146368</v>
      </c>
      <c r="F42" s="34" t="n">
        <f aca="false">F38-F39</f>
        <v>0.692758207436521</v>
      </c>
      <c r="G42" s="34" t="n">
        <f aca="false">G38-G39</f>
        <v>0.599905499443054</v>
      </c>
      <c r="H42" s="34" t="n">
        <f aca="false">H38-H39</f>
        <v>0.51306556376167</v>
      </c>
      <c r="I42" s="34" t="n">
        <f aca="false">I38-I39</f>
        <v>0.432854685470571</v>
      </c>
      <c r="J42" s="34" t="n">
        <f aca="false">J38-J39</f>
        <v>0.359770016566634</v>
      </c>
      <c r="K42" s="34" t="n">
        <f aca="false">K38-K39</f>
        <v>0.294165629461868</v>
      </c>
      <c r="L42" s="34" t="n">
        <f aca="false">L38-L39</f>
        <v>0.236232952099568</v>
      </c>
      <c r="M42" s="34" t="n">
        <f aca="false">M38-M39</f>
        <v>0.185987598775752</v>
      </c>
      <c r="N42" s="34" t="n">
        <f aca="false">N38-N39</f>
        <v>0.143264458190231</v>
      </c>
      <c r="O42" s="34" t="n">
        <f aca="false">O38-O39</f>
        <v>0.107722496044714</v>
      </c>
      <c r="P42" s="34" t="n">
        <f aca="false">P38-P39</f>
        <v>0.0788600521489457</v>
      </c>
      <c r="Q42" s="34" t="n">
        <f aca="false">Q38-Q39</f>
        <v>0.0560404793810881</v>
      </c>
      <c r="R42" s="34" t="n">
        <f aca="false">R38-R39</f>
        <v>0.0385268543793144</v>
      </c>
      <c r="S42" s="34" t="n">
        <f aca="false">S38-S39</f>
        <v>0.0255233169621995</v>
      </c>
      <c r="T42" s="34" t="n">
        <f aca="false">T38-T39</f>
        <v>0.0162195498763133</v>
      </c>
      <c r="U42" s="34" t="n">
        <f aca="false">U38-U39</f>
        <v>0.00983420632275124</v>
      </c>
      <c r="V42" s="34" t="n">
        <f aca="false">V38-V39</f>
        <v>0.00565293314684085</v>
      </c>
      <c r="W42" s="34" t="n">
        <f aca="false">W38-W39</f>
        <v>0.00305715942470413</v>
      </c>
      <c r="X42" s="34" t="n">
        <f aca="false">X38-X39</f>
        <v>0.00154103506867109</v>
      </c>
      <c r="Y42" s="34" t="n">
        <f aca="false">Y38-Y39</f>
        <v>0.00071565682872321</v>
      </c>
      <c r="Z42" s="34" t="n">
        <f aca="false">Z38-Z39</f>
        <v>0.000301686639099796</v>
      </c>
      <c r="AA42" s="34" t="n">
        <f aca="false">AA38-AA39</f>
        <v>0.000113215836059699</v>
      </c>
      <c r="AB42" s="34" t="n">
        <f aca="false">AB38-AB39</f>
        <v>3.68289268783264E-005</v>
      </c>
    </row>
    <row r="44" customFormat="false" ht="15" hidden="false" customHeight="false" outlineLevel="0" collapsed="false">
      <c r="A44" s="37" t="str">
        <f aca="false">Cartera!A9&amp;" – "&amp;Cartera!B9</f>
        <v>C5 – Edad 70–74, enfermedad crónica</v>
      </c>
    </row>
    <row r="45" customFormat="false" ht="15" hidden="false" customHeight="false" outlineLevel="0" collapsed="false">
      <c r="B45" s="3" t="s">
        <v>191</v>
      </c>
      <c r="D45" s="34" t="n">
        <f aca="false">MIN(1,Cartera!$F$9*(1+Cartera!$G$9)^(D$3-1)*$C$10)</f>
        <v>0.038</v>
      </c>
      <c r="E45" s="34" t="n">
        <f aca="false">MIN(1,Cartera!$F$9*(1+Cartera!$G$9)^(E$3-1)*$C$10)</f>
        <v>0.04256</v>
      </c>
      <c r="F45" s="34" t="n">
        <f aca="false">MIN(1,Cartera!$F$9*(1+Cartera!$G$9)^(F$3-1)*$C$10)</f>
        <v>0.0476672</v>
      </c>
      <c r="G45" s="34" t="n">
        <f aca="false">MIN(1,Cartera!$F$9*(1+Cartera!$G$9)^(G$3-1)*$C$10)</f>
        <v>0.053387264</v>
      </c>
      <c r="H45" s="34" t="n">
        <f aca="false">MIN(1,Cartera!$F$9*(1+Cartera!$G$9)^(H$3-1)*$C$10)</f>
        <v>0.05979373568</v>
      </c>
      <c r="I45" s="34" t="n">
        <f aca="false">MIN(1,Cartera!$F$9*(1+Cartera!$G$9)^(I$3-1)*$C$10)</f>
        <v>0.0669689839616</v>
      </c>
      <c r="J45" s="34" t="n">
        <f aca="false">MIN(1,Cartera!$F$9*(1+Cartera!$G$9)^(J$3-1)*$C$10)</f>
        <v>0.0750052620369921</v>
      </c>
      <c r="K45" s="34" t="n">
        <f aca="false">MIN(1,Cartera!$F$9*(1+Cartera!$G$9)^(K$3-1)*$C$10)</f>
        <v>0.0840058934814311</v>
      </c>
      <c r="L45" s="34" t="n">
        <f aca="false">MIN(1,Cartera!$F$9*(1+Cartera!$G$9)^(L$3-1)*$C$10)</f>
        <v>0.0940866006992028</v>
      </c>
      <c r="M45" s="34" t="n">
        <f aca="false">MIN(1,Cartera!$F$9*(1+Cartera!$G$9)^(M$3-1)*$C$10)</f>
        <v>0.105376992783107</v>
      </c>
      <c r="N45" s="34" t="n">
        <f aca="false">MIN(1,Cartera!$F$9*(1+Cartera!$G$9)^(N$3-1)*$C$10)</f>
        <v>0.11802223191708</v>
      </c>
      <c r="O45" s="34" t="n">
        <f aca="false">MIN(1,Cartera!$F$9*(1+Cartera!$G$9)^(O$3-1)*$C$10)</f>
        <v>0.13218489974713</v>
      </c>
      <c r="P45" s="34" t="n">
        <f aca="false">MIN(1,Cartera!$F$9*(1+Cartera!$G$9)^(P$3-1)*$C$10)</f>
        <v>0.148047087716785</v>
      </c>
      <c r="Q45" s="34" t="n">
        <f aca="false">MIN(1,Cartera!$F$9*(1+Cartera!$G$9)^(Q$3-1)*$C$10)</f>
        <v>0.1658127382428</v>
      </c>
      <c r="R45" s="34" t="n">
        <f aca="false">MIN(1,Cartera!$F$9*(1+Cartera!$G$9)^(R$3-1)*$C$10)</f>
        <v>0.185710266831935</v>
      </c>
      <c r="S45" s="34" t="n">
        <f aca="false">MIN(1,Cartera!$F$9*(1+Cartera!$G$9)^(S$3-1)*$C$10)</f>
        <v>0.207995498851768</v>
      </c>
      <c r="T45" s="34" t="n">
        <f aca="false">MIN(1,Cartera!$F$9*(1+Cartera!$G$9)^(T$3-1)*$C$10)</f>
        <v>0.23295495871398</v>
      </c>
      <c r="U45" s="34" t="n">
        <f aca="false">MIN(1,Cartera!$F$9*(1+Cartera!$G$9)^(U$3-1)*$C$10)</f>
        <v>0.260909553759658</v>
      </c>
      <c r="V45" s="34" t="n">
        <f aca="false">MIN(1,Cartera!$F$9*(1+Cartera!$G$9)^(V$3-1)*$C$10)</f>
        <v>0.292218700210816</v>
      </c>
      <c r="W45" s="34" t="n">
        <f aca="false">MIN(1,Cartera!$F$9*(1+Cartera!$G$9)^(W$3-1)*$C$10)</f>
        <v>0.327284944236114</v>
      </c>
      <c r="X45" s="34" t="n">
        <f aca="false">MIN(1,Cartera!$F$9*(1+Cartera!$G$9)^(X$3-1)*$C$10)</f>
        <v>0.366559137544448</v>
      </c>
      <c r="Y45" s="34" t="n">
        <f aca="false">MIN(1,Cartera!$F$9*(1+Cartera!$G$9)^(Y$3-1)*$C$10)</f>
        <v>0.410546234049782</v>
      </c>
      <c r="Z45" s="34" t="n">
        <f aca="false">MIN(1,Cartera!$F$9*(1+Cartera!$G$9)^(Z$3-1)*$C$10)</f>
        <v>0.459811782135756</v>
      </c>
      <c r="AA45" s="34" t="n">
        <f aca="false">MIN(1,Cartera!$F$9*(1+Cartera!$G$9)^(AA$3-1)*$C$10)</f>
        <v>0.514989195992047</v>
      </c>
      <c r="AB45" s="34" t="n">
        <f aca="false">MIN(1,Cartera!$F$9*(1+Cartera!$G$9)^(AB$3-1)*$C$10)</f>
        <v>0.576787899511092</v>
      </c>
    </row>
    <row r="46" customFormat="false" ht="15" hidden="false" customHeight="false" outlineLevel="0" collapsed="false">
      <c r="B46" s="3" t="s">
        <v>192</v>
      </c>
      <c r="C46" s="3" t="s">
        <v>193</v>
      </c>
      <c r="D46" s="34" t="n">
        <f aca="false">1</f>
        <v>1</v>
      </c>
      <c r="E46" s="34" t="n">
        <f aca="false">D50</f>
        <v>0.962</v>
      </c>
      <c r="F46" s="34" t="n">
        <f aca="false">E50</f>
        <v>0.92105728</v>
      </c>
      <c r="G46" s="34" t="n">
        <f aca="false">F50</f>
        <v>0.877153058422784</v>
      </c>
      <c r="H46" s="34" t="n">
        <f aca="false">G50</f>
        <v>0.830324256524359</v>
      </c>
      <c r="I46" s="34" t="n">
        <f aca="false">H50</f>
        <v>0.780676067401049</v>
      </c>
      <c r="J46" s="34" t="n">
        <f aca="false">I50</f>
        <v>0.728394984364064</v>
      </c>
      <c r="K46" s="34" t="n">
        <f aca="false">J50</f>
        <v>0.673761527695406</v>
      </c>
      <c r="L46" s="34" t="n">
        <f aca="false">K50</f>
        <v>0.61716158856794</v>
      </c>
      <c r="M46" s="34" t="n">
        <f aca="false">L50</f>
        <v>0.559094952617462</v>
      </c>
      <c r="N46" s="34" t="n">
        <f aca="false">M50</f>
        <v>0.50017920783042</v>
      </c>
      <c r="O46" s="34" t="n">
        <f aca="false">N50</f>
        <v>0.441146941363757</v>
      </c>
      <c r="P46" s="34" t="n">
        <f aca="false">O50</f>
        <v>0.382833977145836</v>
      </c>
      <c r="Q46" s="34" t="n">
        <f aca="false">P50</f>
        <v>0.326156521750361</v>
      </c>
      <c r="R46" s="34" t="n">
        <f aca="false">Q50</f>
        <v>0.272075615783186</v>
      </c>
      <c r="S46" s="34" t="n">
        <f aca="false">R50</f>
        <v>0.221548380577627</v>
      </c>
      <c r="T46" s="34" t="n">
        <f aca="false">S50</f>
        <v>0.175467314639582</v>
      </c>
      <c r="U46" s="34" t="n">
        <f aca="false">T50</f>
        <v>0.134591333602066</v>
      </c>
      <c r="V46" s="34" t="n">
        <f aca="false">U50</f>
        <v>0.0994751688120335</v>
      </c>
      <c r="W46" s="34" t="n">
        <f aca="false">V50</f>
        <v>0.0704066642785295</v>
      </c>
      <c r="X46" s="34" t="n">
        <f aca="false">W50</f>
        <v>0.0473636230862802</v>
      </c>
      <c r="Y46" s="34" t="n">
        <f aca="false">X50</f>
        <v>0.030002054256793</v>
      </c>
      <c r="Z46" s="34" t="n">
        <f aca="false">Y50</f>
        <v>0.0176848238679094</v>
      </c>
      <c r="AA46" s="34" t="n">
        <f aca="false">Z50</f>
        <v>0.00955313348844902</v>
      </c>
      <c r="AB46" s="34" t="n">
        <f aca="false">AA50</f>
        <v>0.00463337295402796</v>
      </c>
    </row>
    <row r="47" customFormat="false" ht="15" hidden="false" customHeight="false" outlineLevel="0" collapsed="false">
      <c r="B47" s="3" t="s">
        <v>194</v>
      </c>
      <c r="D47" s="34" t="n">
        <f aca="false">D46*D45</f>
        <v>0.038</v>
      </c>
      <c r="E47" s="34" t="n">
        <f aca="false">E46*E45</f>
        <v>0.04094272</v>
      </c>
      <c r="F47" s="34" t="n">
        <f aca="false">F46*F45</f>
        <v>0.043904221577216</v>
      </c>
      <c r="G47" s="34" t="n">
        <f aca="false">G46*G45</f>
        <v>0.0468288018984246</v>
      </c>
      <c r="H47" s="34" t="n">
        <f aca="false">H46*H45</f>
        <v>0.0496481891233101</v>
      </c>
      <c r="I47" s="34" t="n">
        <f aca="false">I46*I45</f>
        <v>0.0522810830369859</v>
      </c>
      <c r="J47" s="34" t="n">
        <f aca="false">J46*J45</f>
        <v>0.0546334566686573</v>
      </c>
      <c r="K47" s="34" t="n">
        <f aca="false">K46*K45</f>
        <v>0.0565999391274666</v>
      </c>
      <c r="L47" s="34" t="n">
        <f aca="false">L46*L45</f>
        <v>0.0580666359504774</v>
      </c>
      <c r="M47" s="34" t="n">
        <f aca="false">M46*M45</f>
        <v>0.058915744787042</v>
      </c>
      <c r="N47" s="34" t="n">
        <f aca="false">N46*N45</f>
        <v>0.0590322664666632</v>
      </c>
      <c r="O47" s="34" t="n">
        <f aca="false">O46*O45</f>
        <v>0.0583129642179211</v>
      </c>
      <c r="P47" s="34" t="n">
        <f aca="false">P46*P45</f>
        <v>0.0566774553954753</v>
      </c>
      <c r="Q47" s="34" t="n">
        <f aca="false">Q46*Q45</f>
        <v>0.0540809059671745</v>
      </c>
      <c r="R47" s="34" t="n">
        <f aca="false">R46*R45</f>
        <v>0.0505272352055586</v>
      </c>
      <c r="S47" s="34" t="n">
        <f aca="false">S46*S45</f>
        <v>0.0460810659380449</v>
      </c>
      <c r="T47" s="34" t="n">
        <f aca="false">T46*T45</f>
        <v>0.0408759810375169</v>
      </c>
      <c r="U47" s="34" t="n">
        <f aca="false">U46*U45</f>
        <v>0.0351161647900321</v>
      </c>
      <c r="V47" s="34" t="n">
        <f aca="false">V46*V45</f>
        <v>0.029068504533504</v>
      </c>
      <c r="W47" s="34" t="n">
        <f aca="false">W46*W45</f>
        <v>0.0230430411922494</v>
      </c>
      <c r="X47" s="34" t="n">
        <f aca="false">X46*X45</f>
        <v>0.0173615688294872</v>
      </c>
      <c r="Y47" s="34" t="n">
        <f aca="false">Y46*Y45</f>
        <v>0.0123172303888836</v>
      </c>
      <c r="Z47" s="34" t="n">
        <f aca="false">Z46*Z45</f>
        <v>0.00813169037946037</v>
      </c>
      <c r="AA47" s="34" t="n">
        <f aca="false">AA46*AA45</f>
        <v>0.00491976053442106</v>
      </c>
      <c r="AB47" s="34" t="n">
        <f aca="false">AB46*AB45</f>
        <v>0.00267247345380529</v>
      </c>
    </row>
    <row r="48" customFormat="false" ht="15" hidden="false" customHeight="false" outlineLevel="0" collapsed="false">
      <c r="B48" s="3" t="s">
        <v>195</v>
      </c>
      <c r="D48" s="38" t="n">
        <f aca="false">D47*Cartera!$D$9</f>
        <v>2.28</v>
      </c>
      <c r="E48" s="38" t="n">
        <f aca="false">E47*Cartera!$D$9</f>
        <v>2.4565632</v>
      </c>
      <c r="F48" s="38" t="n">
        <f aca="false">F47*Cartera!$D$9</f>
        <v>2.63425329463296</v>
      </c>
      <c r="G48" s="38" t="n">
        <f aca="false">G47*Cartera!$D$9</f>
        <v>2.80972811390548</v>
      </c>
      <c r="H48" s="38" t="n">
        <f aca="false">H47*Cartera!$D$9</f>
        <v>2.97889134739861</v>
      </c>
      <c r="I48" s="38" t="n">
        <f aca="false">I47*Cartera!$D$9</f>
        <v>3.13686498221915</v>
      </c>
      <c r="J48" s="38" t="n">
        <f aca="false">J47*Cartera!$D$9</f>
        <v>3.27800740011944</v>
      </c>
      <c r="K48" s="38" t="n">
        <f aca="false">K47*Cartera!$D$9</f>
        <v>3.395996347648</v>
      </c>
      <c r="L48" s="38" t="n">
        <f aca="false">L47*Cartera!$D$9</f>
        <v>3.48399815702865</v>
      </c>
      <c r="M48" s="38" t="n">
        <f aca="false">M47*Cartera!$D$9</f>
        <v>3.53494468722252</v>
      </c>
      <c r="N48" s="38" t="n">
        <f aca="false">N47*Cartera!$D$9</f>
        <v>3.54193598799979</v>
      </c>
      <c r="O48" s="38" t="n">
        <f aca="false">O47*Cartera!$D$9</f>
        <v>3.49877785307527</v>
      </c>
      <c r="P48" s="38" t="n">
        <f aca="false">P47*Cartera!$D$9</f>
        <v>3.40064732372852</v>
      </c>
      <c r="Q48" s="38" t="n">
        <f aca="false">Q47*Cartera!$D$9</f>
        <v>3.24485435803047</v>
      </c>
      <c r="R48" s="38" t="n">
        <f aca="false">R47*Cartera!$D$9</f>
        <v>3.03163411233352</v>
      </c>
      <c r="S48" s="38" t="n">
        <f aca="false">S47*Cartera!$D$9</f>
        <v>2.76486395628269</v>
      </c>
      <c r="T48" s="38" t="n">
        <f aca="false">T47*Cartera!$D$9</f>
        <v>2.45255886225101</v>
      </c>
      <c r="U48" s="38" t="n">
        <f aca="false">U47*Cartera!$D$9</f>
        <v>2.10696988740193</v>
      </c>
      <c r="V48" s="38" t="n">
        <f aca="false">V47*Cartera!$D$9</f>
        <v>1.74411027201024</v>
      </c>
      <c r="W48" s="38" t="n">
        <f aca="false">W47*Cartera!$D$9</f>
        <v>1.38258247153496</v>
      </c>
      <c r="X48" s="38" t="n">
        <f aca="false">X47*Cartera!$D$9</f>
        <v>1.04169412976923</v>
      </c>
      <c r="Y48" s="38" t="n">
        <f aca="false">Y47*Cartera!$D$9</f>
        <v>0.739033823333015</v>
      </c>
      <c r="Z48" s="38" t="n">
        <f aca="false">Z47*Cartera!$D$9</f>
        <v>0.487901422767622</v>
      </c>
      <c r="AA48" s="38" t="n">
        <f aca="false">AA47*Cartera!$D$9</f>
        <v>0.295185632065264</v>
      </c>
      <c r="AB48" s="38" t="n">
        <f aca="false">AB47*Cartera!$D$9</f>
        <v>0.160348407228318</v>
      </c>
    </row>
    <row r="49" customFormat="false" ht="15" hidden="false" customHeight="false" outlineLevel="0" collapsed="false">
      <c r="B49" s="3" t="s">
        <v>196</v>
      </c>
      <c r="D49" s="38" t="n">
        <f aca="false">D46*Cartera!$D$9*Cartera!$H$9*(1+$C$8)^(D$3-1)</f>
        <v>2.1</v>
      </c>
      <c r="E49" s="38" t="n">
        <f aca="false">E46*Cartera!$D$9*Cartera!$H$9*(1+$C$8)^(E$3-1)</f>
        <v>2.050503</v>
      </c>
      <c r="F49" s="38" t="n">
        <f aca="false">F46*Cartera!$D$9*Cartera!$H$9*(1+$C$8)^(F$3-1)</f>
        <v>1.9926820962048</v>
      </c>
      <c r="G49" s="38" t="n">
        <f aca="false">G46*Cartera!$D$9*Cartera!$H$9*(1+$C$8)^(G$3-1)</f>
        <v>1.92616196799141</v>
      </c>
      <c r="H49" s="38" t="n">
        <f aca="false">H46*Cartera!$D$9*Cartera!$H$9*(1+$C$8)^(H$3-1)</f>
        <v>1.85067939225699</v>
      </c>
      <c r="I49" s="38" t="n">
        <f aca="false">I46*Cartera!$D$9*Cartera!$H$9*(1+$C$8)^(I$3-1)</f>
        <v>1.76612066321567</v>
      </c>
      <c r="J49" s="38" t="n">
        <f aca="false">J46*Cartera!$D$9*Cartera!$H$9*(1+$C$8)^(J$3-1)</f>
        <v>1.67256303719923</v>
      </c>
      <c r="K49" s="38" t="n">
        <f aca="false">K46*Cartera!$D$9*Cartera!$H$9*(1+$C$8)^(K$3-1)</f>
        <v>1.57031868844552</v>
      </c>
      <c r="L49" s="38" t="n">
        <f aca="false">L46*Cartera!$D$9*Cartera!$H$9*(1+$C$8)^(L$3-1)</f>
        <v>1.45997870393165</v>
      </c>
      <c r="M49" s="38" t="n">
        <f aca="false">M46*Cartera!$D$9*Cartera!$H$9*(1+$C$8)^(M$3-1)</f>
        <v>1.34245348464427</v>
      </c>
      <c r="N49" s="38" t="n">
        <f aca="false">N46*Cartera!$D$9*Cartera!$H$9*(1+$C$8)^(N$3-1)</f>
        <v>1.21900462008348</v>
      </c>
      <c r="O49" s="38" t="n">
        <f aca="false">O46*Cartera!$D$9*Cartera!$H$9*(1+$C$8)^(O$3-1)</f>
        <v>1.09126199871555</v>
      </c>
      <c r="P49" s="38" t="n">
        <f aca="false">P46*Cartera!$D$9*Cartera!$H$9*(1+$C$8)^(P$3-1)</f>
        <v>0.961218845429747</v>
      </c>
      <c r="Q49" s="38" t="n">
        <f aca="false">Q46*Cartera!$D$9*Cartera!$H$9*(1+$C$8)^(Q$3-1)</f>
        <v>0.831196892625963</v>
      </c>
      <c r="R49" s="38" t="n">
        <f aca="false">R46*Cartera!$D$9*Cartera!$H$9*(1+$C$8)^(R$3-1)</f>
        <v>0.703774467738357</v>
      </c>
      <c r="S49" s="38" t="n">
        <f aca="false">S46*Cartera!$D$9*Cartera!$H$9*(1+$C$8)^(S$3-1)</f>
        <v>0.581672468398341</v>
      </c>
      <c r="T49" s="38" t="n">
        <f aca="false">T46*Cartera!$D$9*Cartera!$H$9*(1+$C$8)^(T$3-1)</f>
        <v>0.467597521362971</v>
      </c>
      <c r="U49" s="38" t="n">
        <f aca="false">U46*Cartera!$D$9*Cartera!$H$9*(1+$C$8)^(U$3-1)</f>
        <v>0.364048385480287</v>
      </c>
      <c r="V49" s="38" t="n">
        <f aca="false">V46*Cartera!$D$9*Cartera!$H$9*(1+$C$8)^(V$3-1)</f>
        <v>0.273100653932867</v>
      </c>
      <c r="W49" s="38" t="n">
        <f aca="false">W46*Cartera!$D$9*Cartera!$H$9*(1+$C$8)^(W$3-1)</f>
        <v>0.196194968851089</v>
      </c>
      <c r="X49" s="38" t="n">
        <f aca="false">X46*Cartera!$D$9*Cartera!$H$9*(1+$C$8)^(X$3-1)</f>
        <v>0.133963059052423</v>
      </c>
      <c r="Y49" s="38" t="n">
        <f aca="false">Y46*Cartera!$D$9*Cartera!$H$9*(1+$C$8)^(Y$3-1)</f>
        <v>0.086130540798301</v>
      </c>
      <c r="Z49" s="38" t="n">
        <f aca="false">Z46*Cartera!$D$9*Cartera!$H$9*(1+$C$8)^(Z$3-1)</f>
        <v>0.0515315212114407</v>
      </c>
      <c r="AA49" s="38" t="n">
        <f aca="false">AA46*Cartera!$D$9*Cartera!$H$9*(1+$C$8)^(AA$3-1)</f>
        <v>0.0282542714161473</v>
      </c>
      <c r="AB49" s="38" t="n">
        <f aca="false">AB46*Cartera!$D$9*Cartera!$H$9*(1+$C$8)^(AB$3-1)</f>
        <v>0.0139091812996476</v>
      </c>
    </row>
    <row r="50" customFormat="false" ht="15" hidden="false" customHeight="false" outlineLevel="0" collapsed="false">
      <c r="B50" s="3" t="s">
        <v>197</v>
      </c>
      <c r="C50" s="33" t="n">
        <f aca="false">SUM(D50:AB50)+0.5</f>
        <v>10.1847027485301</v>
      </c>
      <c r="D50" s="34" t="n">
        <f aca="false">D46-D47</f>
        <v>0.962</v>
      </c>
      <c r="E50" s="34" t="n">
        <f aca="false">E46-E47</f>
        <v>0.92105728</v>
      </c>
      <c r="F50" s="34" t="n">
        <f aca="false">F46-F47</f>
        <v>0.877153058422784</v>
      </c>
      <c r="G50" s="34" t="n">
        <f aca="false">G46-G47</f>
        <v>0.830324256524359</v>
      </c>
      <c r="H50" s="34" t="n">
        <f aca="false">H46-H47</f>
        <v>0.780676067401049</v>
      </c>
      <c r="I50" s="34" t="n">
        <f aca="false">I46-I47</f>
        <v>0.728394984364064</v>
      </c>
      <c r="J50" s="34" t="n">
        <f aca="false">J46-J47</f>
        <v>0.673761527695406</v>
      </c>
      <c r="K50" s="34" t="n">
        <f aca="false">K46-K47</f>
        <v>0.61716158856794</v>
      </c>
      <c r="L50" s="34" t="n">
        <f aca="false">L46-L47</f>
        <v>0.559094952617462</v>
      </c>
      <c r="M50" s="34" t="n">
        <f aca="false">M46-M47</f>
        <v>0.50017920783042</v>
      </c>
      <c r="N50" s="34" t="n">
        <f aca="false">N46-N47</f>
        <v>0.441146941363757</v>
      </c>
      <c r="O50" s="34" t="n">
        <f aca="false">O46-O47</f>
        <v>0.382833977145836</v>
      </c>
      <c r="P50" s="34" t="n">
        <f aca="false">P46-P47</f>
        <v>0.326156521750361</v>
      </c>
      <c r="Q50" s="34" t="n">
        <f aca="false">Q46-Q47</f>
        <v>0.272075615783186</v>
      </c>
      <c r="R50" s="34" t="n">
        <f aca="false">R46-R47</f>
        <v>0.221548380577627</v>
      </c>
      <c r="S50" s="34" t="n">
        <f aca="false">S46-S47</f>
        <v>0.175467314639582</v>
      </c>
      <c r="T50" s="34" t="n">
        <f aca="false">T46-T47</f>
        <v>0.134591333602066</v>
      </c>
      <c r="U50" s="34" t="n">
        <f aca="false">U46-U47</f>
        <v>0.0994751688120335</v>
      </c>
      <c r="V50" s="34" t="n">
        <f aca="false">V46-V47</f>
        <v>0.0704066642785295</v>
      </c>
      <c r="W50" s="34" t="n">
        <f aca="false">W46-W47</f>
        <v>0.0473636230862802</v>
      </c>
      <c r="X50" s="34" t="n">
        <f aca="false">X46-X47</f>
        <v>0.030002054256793</v>
      </c>
      <c r="Y50" s="34" t="n">
        <f aca="false">Y46-Y47</f>
        <v>0.0176848238679094</v>
      </c>
      <c r="Z50" s="34" t="n">
        <f aca="false">Z46-Z47</f>
        <v>0.00955313348844902</v>
      </c>
      <c r="AA50" s="34" t="n">
        <f aca="false">AA46-AA47</f>
        <v>0.00463337295402796</v>
      </c>
      <c r="AB50" s="34" t="n">
        <f aca="false">AB46-AB47</f>
        <v>0.00196089950022267</v>
      </c>
    </row>
    <row r="52" customFormat="false" ht="15" hidden="false" customHeight="false" outlineLevel="0" collapsed="false">
      <c r="A52" s="2" t="s">
        <v>198</v>
      </c>
    </row>
    <row r="53" customFormat="false" ht="15" hidden="false" customHeight="false" outlineLevel="0" collapsed="false">
      <c r="B53" s="3" t="s">
        <v>199</v>
      </c>
      <c r="D53" s="38" t="n">
        <f aca="false">D14*Cartera!$D$5+D22*Cartera!$D$6+D30*Cartera!$D$7+D38*Cartera!$D$8+D46*Cartera!$D$9</f>
        <v>450</v>
      </c>
      <c r="E53" s="38" t="n">
        <f aca="false">E14*Cartera!$D$5+E22*Cartera!$D$6+E30*Cartera!$D$7+E38*Cartera!$D$8+E46*Cartera!$D$9</f>
        <v>422.982</v>
      </c>
      <c r="F53" s="38" t="n">
        <f aca="false">F14*Cartera!$D$5+F22*Cartera!$D$6+F30*Cartera!$D$7+F38*Cartera!$D$8+F46*Cartera!$D$9</f>
        <v>395.51060186</v>
      </c>
      <c r="G53" s="38" t="n">
        <f aca="false">G14*Cartera!$D$5+G22*Cartera!$D$6+G30*Cartera!$D$7+G38*Cartera!$D$8+G46*Cartera!$D$9</f>
        <v>367.719746694209</v>
      </c>
      <c r="H53" s="38" t="n">
        <f aca="false">H14*Cartera!$D$5+H22*Cartera!$D$6+H30*Cartera!$D$7+H38*Cartera!$D$8+H46*Cartera!$D$9</f>
        <v>339.759759673936</v>
      </c>
      <c r="I53" s="38" t="n">
        <f aca="false">I14*Cartera!$D$5+I22*Cartera!$D$6+I30*Cartera!$D$7+I38*Cartera!$D$8+I46*Cartera!$D$9</f>
        <v>311.796548043517</v>
      </c>
      <c r="J53" s="38" t="n">
        <f aca="false">J14*Cartera!$D$5+J22*Cartera!$D$6+J30*Cartera!$D$7+J38*Cartera!$D$8+J46*Cartera!$D$9</f>
        <v>284.010249850474</v>
      </c>
      <c r="K53" s="38" t="n">
        <f aca="false">K14*Cartera!$D$5+K22*Cartera!$D$6+K30*Cartera!$D$7+K38*Cartera!$D$8+K46*Cartera!$D$9</f>
        <v>256.593266269051</v>
      </c>
      <c r="L53" s="38" t="n">
        <f aca="false">L14*Cartera!$D$5+L22*Cartera!$D$6+L30*Cartera!$D$7+L38*Cartera!$D$8+L46*Cartera!$D$9</f>
        <v>229.747615033267</v>
      </c>
      <c r="M53" s="38" t="n">
        <f aca="false">M14*Cartera!$D$5+M22*Cartera!$D$6+M30*Cartera!$D$7+M38*Cartera!$D$8+M46*Cartera!$D$9</f>
        <v>203.681549706321</v>
      </c>
      <c r="N53" s="38" t="n">
        <f aca="false">N14*Cartera!$D$5+N22*Cartera!$D$6+N30*Cartera!$D$7+N38*Cartera!$D$8+N46*Cartera!$D$9</f>
        <v>178.605400625351</v>
      </c>
      <c r="O53" s="38" t="n">
        <f aca="false">O14*Cartera!$D$5+O22*Cartera!$D$6+O30*Cartera!$D$7+O38*Cartera!$D$8+O46*Cartera!$D$9</f>
        <v>154.726610957196</v>
      </c>
      <c r="P53" s="38" t="n">
        <f aca="false">P14*Cartera!$D$5+P22*Cartera!$D$6+P30*Cartera!$D$7+P38*Cartera!$D$8+P46*Cartera!$D$9</f>
        <v>132.243969708633</v>
      </c>
      <c r="Q53" s="38" t="n">
        <f aca="false">Q14*Cartera!$D$5+Q22*Cartera!$D$6+Q30*Cartera!$D$7+Q38*Cartera!$D$8+Q46*Cartera!$D$9</f>
        <v>111.341089088406</v>
      </c>
      <c r="R53" s="38" t="n">
        <f aca="false">R14*Cartera!$D$5+R22*Cartera!$D$6+R30*Cartera!$D$7+R38*Cartera!$D$8+R46*Cartera!$D$9</f>
        <v>92.1792443367675</v>
      </c>
      <c r="S53" s="38" t="n">
        <f aca="false">S14*Cartera!$D$5+S22*Cartera!$D$6+S30*Cartera!$D$7+S38*Cartera!$D$8+S46*Cartera!$D$9</f>
        <v>74.8897983064944</v>
      </c>
      <c r="T53" s="38" t="n">
        <f aca="false">T14*Cartera!$D$5+T22*Cartera!$D$6+T30*Cartera!$D$7+T38*Cartera!$D$8+T46*Cartera!$D$9</f>
        <v>59.5665761913157</v>
      </c>
      <c r="U53" s="38" t="n">
        <f aca="false">U14*Cartera!$D$5+U22*Cartera!$D$6+U30*Cartera!$D$7+U38*Cartera!$D$8+U46*Cartera!$D$9</f>
        <v>46.2587354944665</v>
      </c>
      <c r="V53" s="38" t="n">
        <f aca="false">V14*Cartera!$D$5+V22*Cartera!$D$6+V30*Cartera!$D$7+V38*Cartera!$D$8+V46*Cartera!$D$9</f>
        <v>34.9648755855118</v>
      </c>
      <c r="W53" s="38" t="n">
        <f aca="false">W14*Cartera!$D$5+W22*Cartera!$D$6+W30*Cartera!$D$7+W38*Cartera!$D$8+W46*Cartera!$D$9</f>
        <v>25.6293112071899</v>
      </c>
      <c r="X53" s="38" t="n">
        <f aca="false">X14*Cartera!$D$5+X22*Cartera!$D$6+X30*Cartera!$D$7+X38*Cartera!$D$8+X46*Cartera!$D$9</f>
        <v>18.1415303775694</v>
      </c>
      <c r="Y53" s="38" t="n">
        <f aca="false">Y14*Cartera!$D$5+Y22*Cartera!$D$6+Y30*Cartera!$D$7+Y38*Cartera!$D$8+Y46*Cartera!$D$9</f>
        <v>12.339782895011</v>
      </c>
      <c r="Z53" s="38" t="n">
        <f aca="false">Z14*Cartera!$D$5+Z22*Cartera!$D$6+Z30*Cartera!$D$7+Z38*Cartera!$D$8+Z46*Cartera!$D$9</f>
        <v>8.01941182308023</v>
      </c>
      <c r="AA53" s="38" t="n">
        <f aca="false">AA14*Cartera!$D$5+AA22*Cartera!$D$6+AA30*Cartera!$D$7+AA38*Cartera!$D$8+AA46*Cartera!$D$9</f>
        <v>4.94589249468267</v>
      </c>
      <c r="AB53" s="38" t="n">
        <f aca="false">AB14*Cartera!$D$5+AB22*Cartera!$D$6+AB30*Cartera!$D$7+AB38*Cartera!$D$8+AB46*Cartera!$D$9</f>
        <v>2.87161534038571</v>
      </c>
    </row>
    <row r="54" customFormat="false" ht="15" hidden="false" customHeight="false" outlineLevel="0" collapsed="false">
      <c r="B54" s="3" t="s">
        <v>200</v>
      </c>
      <c r="D54" s="38" t="n">
        <f aca="false">D16+D24+D32+D40+D48</f>
        <v>27.018</v>
      </c>
      <c r="E54" s="38" t="n">
        <f aca="false">E16+E24+E32+E40+E48</f>
        <v>27.47139814</v>
      </c>
      <c r="F54" s="38" t="n">
        <f aca="false">F16+F24+F32+F40+F48</f>
        <v>27.7908551657911</v>
      </c>
      <c r="G54" s="38" t="n">
        <f aca="false">G16+G24+G32+G40+G48</f>
        <v>27.9599870202734</v>
      </c>
      <c r="H54" s="38" t="n">
        <f aca="false">H16+H24+H32+H40+H48</f>
        <v>27.9632116304181</v>
      </c>
      <c r="I54" s="38" t="n">
        <f aca="false">I16+I24+I32+I40+I48</f>
        <v>27.7862981930431</v>
      </c>
      <c r="J54" s="38" t="n">
        <f aca="false">J16+J24+J32+J40+J48</f>
        <v>27.4169835814229</v>
      </c>
      <c r="K54" s="38" t="n">
        <f aca="false">K16+K24+K32+K40+K48</f>
        <v>26.8456512357839</v>
      </c>
      <c r="L54" s="38" t="n">
        <f aca="false">L16+L24+L32+L40+L48</f>
        <v>26.0660653269463</v>
      </c>
      <c r="M54" s="38" t="n">
        <f aca="false">M16+M24+M32+M40+M48</f>
        <v>25.0761490809704</v>
      </c>
      <c r="N54" s="38" t="n">
        <f aca="false">N16+N24+N32+N40+N48</f>
        <v>23.8787896681551</v>
      </c>
      <c r="O54" s="38" t="n">
        <f aca="false">O16+O24+O32+O40+O48</f>
        <v>22.4826412485631</v>
      </c>
      <c r="P54" s="38" t="n">
        <f aca="false">P16+P24+P32+P40+P48</f>
        <v>20.9028806202265</v>
      </c>
      <c r="Q54" s="38" t="n">
        <f aca="false">Q16+Q24+Q32+Q40+Q48</f>
        <v>19.1618447516384</v>
      </c>
      <c r="R54" s="38" t="n">
        <f aca="false">R16+R24+R32+R40+R48</f>
        <v>17.2894460302731</v>
      </c>
      <c r="S54" s="38" t="n">
        <f aca="false">S16+S24+S32+S40+S48</f>
        <v>15.3232221151787</v>
      </c>
      <c r="T54" s="38" t="n">
        <f aca="false">T16+T24+T32+T40+T48</f>
        <v>13.3078406968492</v>
      </c>
      <c r="U54" s="38" t="n">
        <f aca="false">U16+U24+U32+U40+U48</f>
        <v>11.2938599089547</v>
      </c>
      <c r="V54" s="38" t="n">
        <f aca="false">V16+V24+V32+V40+V48</f>
        <v>9.33556437832189</v>
      </c>
      <c r="W54" s="38" t="n">
        <f aca="false">W16+W24+W32+W40+W48</f>
        <v>7.48778082962045</v>
      </c>
      <c r="X54" s="38" t="n">
        <f aca="false">X16+X24+X32+X40+X48</f>
        <v>5.80174748255846</v>
      </c>
      <c r="Y54" s="38" t="n">
        <f aca="false">Y16+Y24+Y32+Y40+Y48</f>
        <v>4.32037107193072</v>
      </c>
      <c r="Z54" s="38" t="n">
        <f aca="false">Z16+Z24+Z32+Z40+Z48</f>
        <v>3.07351932839756</v>
      </c>
      <c r="AA54" s="38" t="n">
        <f aca="false">AA16+AA24+AA32+AA40+AA48</f>
        <v>2.07427715429696</v>
      </c>
      <c r="AB54" s="38" t="n">
        <f aca="false">AB16+AB24+AB32+AB40+AB48</f>
        <v>1.31720304521202</v>
      </c>
    </row>
    <row r="55" customFormat="false" ht="15" hidden="false" customHeight="false" outlineLevel="0" collapsed="false">
      <c r="B55" s="3" t="s">
        <v>201</v>
      </c>
      <c r="D55" s="38" t="n">
        <f aca="false">-D54*$C$7</f>
        <v>-1.21581</v>
      </c>
      <c r="E55" s="38" t="n">
        <f aca="false">-E54*$C$7</f>
        <v>-1.2362129163</v>
      </c>
      <c r="F55" s="38" t="n">
        <f aca="false">-F54*$C$7</f>
        <v>-1.2505884824606</v>
      </c>
      <c r="G55" s="38" t="n">
        <f aca="false">-G54*$C$7</f>
        <v>-1.2581994159123</v>
      </c>
      <c r="H55" s="38" t="n">
        <f aca="false">-H54*$C$7</f>
        <v>-1.25834452336882</v>
      </c>
      <c r="I55" s="38" t="n">
        <f aca="false">-I54*$C$7</f>
        <v>-1.25038341868694</v>
      </c>
      <c r="J55" s="38" t="n">
        <f aca="false">-J54*$C$7</f>
        <v>-1.23376426116403</v>
      </c>
      <c r="K55" s="38" t="n">
        <f aca="false">-K54*$C$7</f>
        <v>-1.20805430561028</v>
      </c>
      <c r="L55" s="38" t="n">
        <f aca="false">-L54*$C$7</f>
        <v>-1.17297293971258</v>
      </c>
      <c r="M55" s="38" t="n">
        <f aca="false">-M54*$C$7</f>
        <v>-1.12842670864367</v>
      </c>
      <c r="N55" s="38" t="n">
        <f aca="false">-N54*$C$7</f>
        <v>-1.07454553506698</v>
      </c>
      <c r="O55" s="38" t="n">
        <f aca="false">-O54*$C$7</f>
        <v>-1.01171885618534</v>
      </c>
      <c r="P55" s="38" t="n">
        <f aca="false">-P54*$C$7</f>
        <v>-0.940629627910194</v>
      </c>
      <c r="Q55" s="38" t="n">
        <f aca="false">-Q54*$C$7</f>
        <v>-0.862283013823728</v>
      </c>
      <c r="R55" s="38" t="n">
        <f aca="false">-R54*$C$7</f>
        <v>-0.778025071362291</v>
      </c>
      <c r="S55" s="38" t="n">
        <f aca="false">-S54*$C$7</f>
        <v>-0.689544995183042</v>
      </c>
      <c r="T55" s="38" t="n">
        <f aca="false">-T54*$C$7</f>
        <v>-0.598852831358216</v>
      </c>
      <c r="U55" s="38" t="n">
        <f aca="false">-U54*$C$7</f>
        <v>-0.508223695902962</v>
      </c>
      <c r="V55" s="38" t="n">
        <f aca="false">-V54*$C$7</f>
        <v>-0.420100397024485</v>
      </c>
      <c r="W55" s="38" t="n">
        <f aca="false">-W54*$C$7</f>
        <v>-0.33695013733292</v>
      </c>
      <c r="X55" s="38" t="n">
        <f aca="false">-X54*$C$7</f>
        <v>-0.261078636715131</v>
      </c>
      <c r="Y55" s="38" t="n">
        <f aca="false">-Y54*$C$7</f>
        <v>-0.194416698236882</v>
      </c>
      <c r="Z55" s="38" t="n">
        <f aca="false">-Z54*$C$7</f>
        <v>-0.13830836977789</v>
      </c>
      <c r="AA55" s="38" t="n">
        <f aca="false">-AA54*$C$7</f>
        <v>-0.0933424719433632</v>
      </c>
      <c r="AB55" s="38" t="n">
        <f aca="false">-AB54*$C$7</f>
        <v>-0.0592741370345408</v>
      </c>
    </row>
    <row r="56" customFormat="false" ht="15" hidden="false" customHeight="false" outlineLevel="0" collapsed="false">
      <c r="B56" s="3" t="s">
        <v>202</v>
      </c>
      <c r="D56" s="38" t="n">
        <f aca="false">D54+D55</f>
        <v>25.80219</v>
      </c>
      <c r="E56" s="38" t="n">
        <f aca="false">E54+E55</f>
        <v>26.2351852237</v>
      </c>
      <c r="F56" s="38" t="n">
        <f aca="false">F54+F55</f>
        <v>26.5402666833305</v>
      </c>
      <c r="G56" s="38" t="n">
        <f aca="false">G54+G55</f>
        <v>26.7017876043611</v>
      </c>
      <c r="H56" s="38" t="n">
        <f aca="false">H54+H55</f>
        <v>26.7048671070493</v>
      </c>
      <c r="I56" s="38" t="n">
        <f aca="false">I54+I55</f>
        <v>26.5359147743562</v>
      </c>
      <c r="J56" s="38" t="n">
        <f aca="false">J54+J55</f>
        <v>26.1832193202589</v>
      </c>
      <c r="K56" s="38" t="n">
        <f aca="false">K54+K55</f>
        <v>25.6375969301737</v>
      </c>
      <c r="L56" s="38" t="n">
        <f aca="false">L54+L55</f>
        <v>24.8930923872337</v>
      </c>
      <c r="M56" s="38" t="n">
        <f aca="false">M54+M55</f>
        <v>23.9477223723268</v>
      </c>
      <c r="N56" s="38" t="n">
        <f aca="false">N54+N55</f>
        <v>22.8042441330881</v>
      </c>
      <c r="O56" s="38" t="n">
        <f aca="false">O54+O55</f>
        <v>21.4709223923778</v>
      </c>
      <c r="P56" s="38" t="n">
        <f aca="false">P54+P55</f>
        <v>19.9622509923163</v>
      </c>
      <c r="Q56" s="38" t="n">
        <f aca="false">Q54+Q55</f>
        <v>18.2995617378147</v>
      </c>
      <c r="R56" s="38" t="n">
        <f aca="false">R54+R55</f>
        <v>16.5114209589108</v>
      </c>
      <c r="S56" s="38" t="n">
        <f aca="false">S54+S55</f>
        <v>14.6336771199957</v>
      </c>
      <c r="T56" s="38" t="n">
        <f aca="false">T54+T55</f>
        <v>12.708987865491</v>
      </c>
      <c r="U56" s="38" t="n">
        <f aca="false">U54+U55</f>
        <v>10.7856362130517</v>
      </c>
      <c r="V56" s="38" t="n">
        <f aca="false">V54+V55</f>
        <v>8.9154639812974</v>
      </c>
      <c r="W56" s="38" t="n">
        <f aca="false">W54+W55</f>
        <v>7.15083069228753</v>
      </c>
      <c r="X56" s="38" t="n">
        <f aca="false">X54+X55</f>
        <v>5.54066884584333</v>
      </c>
      <c r="Y56" s="38" t="n">
        <f aca="false">Y54+Y55</f>
        <v>4.12595437369384</v>
      </c>
      <c r="Z56" s="38" t="n">
        <f aca="false">Z54+Z55</f>
        <v>2.93521095861967</v>
      </c>
      <c r="AA56" s="38" t="n">
        <f aca="false">AA54+AA55</f>
        <v>1.9809346823536</v>
      </c>
      <c r="AB56" s="38" t="n">
        <f aca="false">AB54+AB55</f>
        <v>1.25792890817748</v>
      </c>
    </row>
    <row r="57" customFormat="false" ht="15" hidden="false" customHeight="false" outlineLevel="0" collapsed="false">
      <c r="B57" s="3" t="s">
        <v>203</v>
      </c>
      <c r="D57" s="38" t="n">
        <f aca="false">-(D17+D25+D33+D41+D49)</f>
        <v>-23.3</v>
      </c>
      <c r="E57" s="38" t="n">
        <f aca="false">-(E17+E25+E33+E41+E49)</f>
        <v>-22.0982146</v>
      </c>
      <c r="F57" s="38" t="n">
        <f aca="false">-(F17+F25+F33+F41+F49)</f>
        <v>-20.8420732694127</v>
      </c>
      <c r="G57" s="38" t="n">
        <f aca="false">-(G17+G25+G33+G41+G49)</f>
        <v>-19.5389569461385</v>
      </c>
      <c r="H57" s="38" t="n">
        <f aca="false">-(H17+H25+H33+H41+H49)</f>
        <v>-18.1975195532993</v>
      </c>
      <c r="I57" s="38" t="n">
        <f aca="false">-(I17+I25+I33+I41+I49)</f>
        <v>-16.8276487352846</v>
      </c>
      <c r="J57" s="38" t="n">
        <f aca="false">-(J17+J25+J33+J41+J49)</f>
        <v>-15.4403830204033</v>
      </c>
      <c r="K57" s="38" t="n">
        <f aca="false">-(K17+K25+K33+K41+K49)</f>
        <v>-14.0477808569851</v>
      </c>
      <c r="L57" s="38" t="n">
        <f aca="false">-(L17+L25+L33+L41+L49)</f>
        <v>-12.6627382123848</v>
      </c>
      <c r="M57" s="38" t="n">
        <f aca="false">-(M17+M25+M33+M41+M49)</f>
        <v>-11.2987529975525</v>
      </c>
      <c r="N57" s="38" t="n">
        <f aca="false">-(N17+N25+N33+N41+N49)</f>
        <v>-9.96963644112404</v>
      </c>
      <c r="O57" s="38" t="n">
        <f aca="false">-(O17+O25+O33+O41+O49)</f>
        <v>-8.6891736557661</v>
      </c>
      <c r="P57" s="38" t="n">
        <f aca="false">-(P17+P25+P33+P41+P49)</f>
        <v>-7.47073803516738</v>
      </c>
      <c r="Q57" s="38" t="n">
        <f aca="false">-(Q17+Q25+Q33+Q41+Q49)</f>
        <v>-6.32686690633308</v>
      </c>
      <c r="R57" s="38" t="n">
        <f aca="false">-(R17+R25+R33+R41+R49)</f>
        <v>-5.26880928030297</v>
      </c>
      <c r="S57" s="38" t="n">
        <f aca="false">-(S17+S25+S33+S41+S49)</f>
        <v>-4.30606095771107</v>
      </c>
      <c r="T57" s="38" t="n">
        <f aca="false">-(T17+T25+T33+T41+T49)</f>
        <v>-3.4459080491341</v>
      </c>
      <c r="U57" s="38" t="n">
        <f aca="false">-(U17+U25+U33+U41+U49)</f>
        <v>-2.69300737983612</v>
      </c>
      <c r="V57" s="38" t="n">
        <f aca="false">-(V17+V25+V33+V41+V49)</f>
        <v>-2.04904094292597</v>
      </c>
      <c r="W57" s="38" t="n">
        <f aca="false">-(W17+W25+W33+W41+W49)</f>
        <v>-1.51249021998966</v>
      </c>
      <c r="X57" s="38" t="n">
        <f aca="false">-(X17+X25+X33+X41+X49)</f>
        <v>-1.07858204924509</v>
      </c>
      <c r="Y57" s="38" t="n">
        <f aca="false">-(Y17+Y25+Y33+Y41+Y49)</f>
        <v>-0.739456501716015</v>
      </c>
      <c r="Z57" s="38" t="n">
        <f aca="false">-(Z17+Z25+Z33+Z41+Z49)</f>
        <v>-0.484593745488888</v>
      </c>
      <c r="AA57" s="38" t="n">
        <f aca="false">-(AA17+AA25+AA33+AA41+AA49)</f>
        <v>-0.301506832727179</v>
      </c>
      <c r="AB57" s="38" t="n">
        <f aca="false">-(AB17+AB25+AB33+AB41+AB49)</f>
        <v>-0.176660262681112</v>
      </c>
    </row>
    <row r="58" customFormat="false" ht="15" hidden="false" customHeight="false" outlineLevel="0" collapsed="false">
      <c r="B58" s="3" t="s">
        <v>204</v>
      </c>
      <c r="D58" s="38" t="n">
        <f aca="false">-(Supuestos!$C$12+Supuestos!$C$13*D53)</f>
        <v>-0.975</v>
      </c>
      <c r="E58" s="38" t="n">
        <f aca="false">-(Supuestos!$C$12+Supuestos!$C$13*E53)</f>
        <v>-0.961491</v>
      </c>
      <c r="F58" s="38" t="n">
        <f aca="false">-(Supuestos!$C$12+Supuestos!$C$13*F53)</f>
        <v>-0.94775530093</v>
      </c>
      <c r="G58" s="38" t="n">
        <f aca="false">-(Supuestos!$C$12+Supuestos!$C$13*G53)</f>
        <v>-0.933859873347104</v>
      </c>
      <c r="H58" s="38" t="n">
        <f aca="false">-(Supuestos!$C$12+Supuestos!$C$13*H53)</f>
        <v>-0.919879879836968</v>
      </c>
      <c r="I58" s="38" t="n">
        <f aca="false">-(Supuestos!$C$12+Supuestos!$C$13*I53)</f>
        <v>-0.905898274021759</v>
      </c>
      <c r="J58" s="38" t="n">
        <f aca="false">-(Supuestos!$C$12+Supuestos!$C$13*J53)</f>
        <v>-0.892005124925237</v>
      </c>
      <c r="K58" s="38" t="n">
        <f aca="false">-(Supuestos!$C$12+Supuestos!$C$13*K53)</f>
        <v>-0.878296633134526</v>
      </c>
      <c r="L58" s="38" t="n">
        <f aca="false">-(Supuestos!$C$12+Supuestos!$C$13*L53)</f>
        <v>-0.864873807516634</v>
      </c>
      <c r="M58" s="38" t="n">
        <f aca="false">-(Supuestos!$C$12+Supuestos!$C$13*M53)</f>
        <v>-0.851840774853161</v>
      </c>
      <c r="N58" s="38" t="n">
        <f aca="false">-(Supuestos!$C$12+Supuestos!$C$13*N53)</f>
        <v>-0.839302700312675</v>
      </c>
      <c r="O58" s="38" t="n">
        <f aca="false">-(Supuestos!$C$12+Supuestos!$C$13*O53)</f>
        <v>-0.827363305478598</v>
      </c>
      <c r="P58" s="38" t="n">
        <f aca="false">-(Supuestos!$C$12+Supuestos!$C$13*P53)</f>
        <v>-0.816121984854316</v>
      </c>
      <c r="Q58" s="38" t="n">
        <f aca="false">-(Supuestos!$C$12+Supuestos!$C$13*Q53)</f>
        <v>-0.805670544544203</v>
      </c>
      <c r="R58" s="38" t="n">
        <f aca="false">-(Supuestos!$C$12+Supuestos!$C$13*R53)</f>
        <v>-0.796089622168384</v>
      </c>
      <c r="S58" s="38" t="n">
        <f aca="false">-(Supuestos!$C$12+Supuestos!$C$13*S53)</f>
        <v>-0.787444899153247</v>
      </c>
      <c r="T58" s="38" t="n">
        <f aca="false">-(Supuestos!$C$12+Supuestos!$C$13*T53)</f>
        <v>-0.779783288095658</v>
      </c>
      <c r="U58" s="38" t="n">
        <f aca="false">-(Supuestos!$C$12+Supuestos!$C$13*U53)</f>
        <v>-0.773129367747233</v>
      </c>
      <c r="V58" s="38" t="n">
        <f aca="false">-(Supuestos!$C$12+Supuestos!$C$13*V53)</f>
        <v>-0.767482437792756</v>
      </c>
      <c r="W58" s="38" t="n">
        <f aca="false">-(Supuestos!$C$12+Supuestos!$C$13*W53)</f>
        <v>-0.762814655603595</v>
      </c>
      <c r="X58" s="38" t="n">
        <f aca="false">-(Supuestos!$C$12+Supuestos!$C$13*X53)</f>
        <v>-0.759070765188785</v>
      </c>
      <c r="Y58" s="38" t="n">
        <f aca="false">-(Supuestos!$C$12+Supuestos!$C$13*Y53)</f>
        <v>-0.756169891447506</v>
      </c>
      <c r="Z58" s="38" t="n">
        <f aca="false">-(Supuestos!$C$12+Supuestos!$C$13*Z53)</f>
        <v>-0.75400970591154</v>
      </c>
      <c r="AA58" s="38" t="n">
        <f aca="false">-(Supuestos!$C$12+Supuestos!$C$13*AA53)</f>
        <v>-0.752472946247341</v>
      </c>
      <c r="AB58" s="38" t="n">
        <f aca="false">-(Supuestos!$C$12+Supuestos!$C$13*AB53)</f>
        <v>-0.751435807670193</v>
      </c>
    </row>
    <row r="59" customFormat="false" ht="15" hidden="false" customHeight="false" outlineLevel="0" collapsed="false">
      <c r="B59" s="3" t="s">
        <v>205</v>
      </c>
      <c r="D59" s="38" t="n">
        <f aca="false">IF(D$3=Supuestos!$C$15,(D18*Cartera!$D$5+D26*Cartera!$D$6+D34*Cartera!$D$7+D42*Cartera!$D$8+D50*Cartera!$D$9)*Supuestos!$C$14*(1-$C$9),0)</f>
        <v>0</v>
      </c>
      <c r="E59" s="38" t="n">
        <f aca="false">IF(E$3=Supuestos!$C$15,(E18*Cartera!$D$5+E26*Cartera!$D$6+E34*Cartera!$D$7+E42*Cartera!$D$8+E50*Cartera!$D$9)*Supuestos!$C$14*(1-$C$9),0)</f>
        <v>0</v>
      </c>
      <c r="F59" s="38" t="n">
        <f aca="false">IF(F$3=Supuestos!$C$15,(F18*Cartera!$D$5+F26*Cartera!$D$6+F34*Cartera!$D$7+F42*Cartera!$D$8+F50*Cartera!$D$9)*Supuestos!$C$14*(1-$C$9),0)</f>
        <v>0</v>
      </c>
      <c r="G59" s="38" t="n">
        <f aca="false">IF(G$3=Supuestos!$C$15,(G18*Cartera!$D$5+G26*Cartera!$D$6+G34*Cartera!$D$7+G42*Cartera!$D$8+G50*Cartera!$D$9)*Supuestos!$C$14*(1-$C$9),0)</f>
        <v>0</v>
      </c>
      <c r="H59" s="38" t="n">
        <f aca="false">IF(H$3=Supuestos!$C$15,(H18*Cartera!$D$5+H26*Cartera!$D$6+H34*Cartera!$D$7+H42*Cartera!$D$8+H50*Cartera!$D$9)*Supuestos!$C$14*(1-$C$9),0)</f>
        <v>0</v>
      </c>
      <c r="I59" s="38" t="n">
        <f aca="false">IF(I$3=Supuestos!$C$15,(I18*Cartera!$D$5+I26*Cartera!$D$6+I34*Cartera!$D$7+I42*Cartera!$D$8+I50*Cartera!$D$9)*Supuestos!$C$14*(1-$C$9),0)</f>
        <v>0</v>
      </c>
      <c r="J59" s="38" t="n">
        <f aca="false">IF(J$3=Supuestos!$C$15,(J18*Cartera!$D$5+J26*Cartera!$D$6+J34*Cartera!$D$7+J42*Cartera!$D$8+J50*Cartera!$D$9)*Supuestos!$C$14*(1-$C$9),0)</f>
        <v>0</v>
      </c>
      <c r="K59" s="38" t="n">
        <f aca="false">IF(K$3=Supuestos!$C$15,(K18*Cartera!$D$5+K26*Cartera!$D$6+K34*Cartera!$D$7+K42*Cartera!$D$8+K50*Cartera!$D$9)*Supuestos!$C$14*(1-$C$9),0)</f>
        <v>0</v>
      </c>
      <c r="L59" s="38" t="n">
        <f aca="false">IF(L$3=Supuestos!$C$15,(L18*Cartera!$D$5+L26*Cartera!$D$6+L34*Cartera!$D$7+L42*Cartera!$D$8+L50*Cartera!$D$9)*Supuestos!$C$14*(1-$C$9),0)</f>
        <v>0</v>
      </c>
      <c r="M59" s="38" t="n">
        <f aca="false">IF(M$3=Supuestos!$C$15,(M18*Cartera!$D$5+M26*Cartera!$D$6+M34*Cartera!$D$7+M42*Cartera!$D$8+M50*Cartera!$D$9)*Supuestos!$C$14*(1-$C$9),0)</f>
        <v>0</v>
      </c>
      <c r="N59" s="38" t="n">
        <f aca="false">IF(N$3=Supuestos!$C$15,(N18*Cartera!$D$5+N26*Cartera!$D$6+N34*Cartera!$D$7+N42*Cartera!$D$8+N50*Cartera!$D$9)*Supuestos!$C$14*(1-$C$9),0)</f>
        <v>0</v>
      </c>
      <c r="O59" s="38" t="n">
        <f aca="false">IF(O$3=Supuestos!$C$15,(O18*Cartera!$D$5+O26*Cartera!$D$6+O34*Cartera!$D$7+O42*Cartera!$D$8+O50*Cartera!$D$9)*Supuestos!$C$14*(1-$C$9),0)</f>
        <v>0</v>
      </c>
      <c r="P59" s="38" t="n">
        <f aca="false">IF(P$3=Supuestos!$C$15,(P18*Cartera!$D$5+P26*Cartera!$D$6+P34*Cartera!$D$7+P42*Cartera!$D$8+P50*Cartera!$D$9)*Supuestos!$C$14*(1-$C$9),0)</f>
        <v>0</v>
      </c>
      <c r="Q59" s="38" t="n">
        <f aca="false">IF(Q$3=Supuestos!$C$15,(Q18*Cartera!$D$5+Q26*Cartera!$D$6+Q34*Cartera!$D$7+Q42*Cartera!$D$8+Q50*Cartera!$D$9)*Supuestos!$C$14*(1-$C$9),0)</f>
        <v>0</v>
      </c>
      <c r="R59" s="38" t="n">
        <f aca="false">IF(R$3=Supuestos!$C$15,(R18*Cartera!$D$5+R26*Cartera!$D$6+R34*Cartera!$D$7+R42*Cartera!$D$8+R50*Cartera!$D$9)*Supuestos!$C$14*(1-$C$9),0)</f>
        <v>0</v>
      </c>
      <c r="S59" s="38" t="n">
        <f aca="false">IF(S$3=Supuestos!$C$15,(S18*Cartera!$D$5+S26*Cartera!$D$6+S34*Cartera!$D$7+S42*Cartera!$D$8+S50*Cartera!$D$9)*Supuestos!$C$14*(1-$C$9),0)</f>
        <v>0</v>
      </c>
      <c r="T59" s="38" t="n">
        <f aca="false">IF(T$3=Supuestos!$C$15,(T18*Cartera!$D$5+T26*Cartera!$D$6+T34*Cartera!$D$7+T42*Cartera!$D$8+T50*Cartera!$D$9)*Supuestos!$C$14*(1-$C$9),0)</f>
        <v>0</v>
      </c>
      <c r="U59" s="38" t="n">
        <f aca="false">IF(U$3=Supuestos!$C$15,(U18*Cartera!$D$5+U26*Cartera!$D$6+U34*Cartera!$D$7+U42*Cartera!$D$8+U50*Cartera!$D$9)*Supuestos!$C$14*(1-$C$9),0)</f>
        <v>0</v>
      </c>
      <c r="V59" s="38" t="n">
        <f aca="false">IF(V$3=Supuestos!$C$15,(V18*Cartera!$D$5+V26*Cartera!$D$6+V34*Cartera!$D$7+V42*Cartera!$D$8+V50*Cartera!$D$9)*Supuestos!$C$14*(1-$C$9),0)</f>
        <v>0</v>
      </c>
      <c r="W59" s="38" t="n">
        <f aca="false">IF(W$3=Supuestos!$C$15,(W18*Cartera!$D$5+W26*Cartera!$D$6+W34*Cartera!$D$7+W42*Cartera!$D$8+W50*Cartera!$D$9)*Supuestos!$C$14*(1-$C$9),0)</f>
        <v>0</v>
      </c>
      <c r="X59" s="38" t="n">
        <f aca="false">IF(X$3=Supuestos!$C$15,(X18*Cartera!$D$5+X26*Cartera!$D$6+X34*Cartera!$D$7+X42*Cartera!$D$8+X50*Cartera!$D$9)*Supuestos!$C$14*(1-$C$9),0)</f>
        <v>0</v>
      </c>
      <c r="Y59" s="38" t="n">
        <f aca="false">IF(Y$3=Supuestos!$C$15,(Y18*Cartera!$D$5+Y26*Cartera!$D$6+Y34*Cartera!$D$7+Y42*Cartera!$D$8+Y50*Cartera!$D$9)*Supuestos!$C$14*(1-$C$9),0)</f>
        <v>0</v>
      </c>
      <c r="Z59" s="38" t="n">
        <f aca="false">IF(Z$3=Supuestos!$C$15,(Z18*Cartera!$D$5+Z26*Cartera!$D$6+Z34*Cartera!$D$7+Z42*Cartera!$D$8+Z50*Cartera!$D$9)*Supuestos!$C$14*(1-$C$9),0)</f>
        <v>0</v>
      </c>
      <c r="AA59" s="38" t="n">
        <f aca="false">IF(AA$3=Supuestos!$C$15,(AA18*Cartera!$D$5+AA26*Cartera!$D$6+AA34*Cartera!$D$7+AA42*Cartera!$D$8+AA50*Cartera!$D$9)*Supuestos!$C$14*(1-$C$9),0)</f>
        <v>0</v>
      </c>
      <c r="AB59" s="38" t="n">
        <f aca="false">IF(AB$3=Supuestos!$C$15,(AB18*Cartera!$D$5+AB26*Cartera!$D$6+AB34*Cartera!$D$7+AB42*Cartera!$D$8+AB50*Cartera!$D$9)*Supuestos!$C$14*(1-$C$9),0)</f>
        <v>0.186529475420843</v>
      </c>
    </row>
    <row r="60" customFormat="false" ht="15" hidden="false" customHeight="false" outlineLevel="0" collapsed="false">
      <c r="B60" s="2" t="s">
        <v>206</v>
      </c>
      <c r="D60" s="38" t="n">
        <f aca="false">D56+D57+D58+D59</f>
        <v>1.52719</v>
      </c>
      <c r="E60" s="38" t="n">
        <f aca="false">E56+E57+E58+E59</f>
        <v>3.1754796237</v>
      </c>
      <c r="F60" s="38" t="n">
        <f aca="false">F56+F57+F58+F59</f>
        <v>4.75043811298772</v>
      </c>
      <c r="G60" s="38" t="n">
        <f aca="false">G56+G57+G58+G59</f>
        <v>6.22897078487553</v>
      </c>
      <c r="H60" s="38" t="n">
        <f aca="false">H56+H57+H58+H59</f>
        <v>7.58746767391307</v>
      </c>
      <c r="I60" s="38" t="n">
        <f aca="false">I56+I57+I58+I59</f>
        <v>8.80236776504985</v>
      </c>
      <c r="J60" s="38" t="n">
        <f aca="false">J56+J57+J58+J59</f>
        <v>9.85083117493037</v>
      </c>
      <c r="K60" s="38" t="n">
        <f aca="false">K56+K57+K58+K59</f>
        <v>10.7115194400541</v>
      </c>
      <c r="L60" s="38" t="n">
        <f aca="false">L56+L57+L58+L59</f>
        <v>11.3654803673323</v>
      </c>
      <c r="M60" s="38" t="n">
        <f aca="false">M56+M57+M58+M59</f>
        <v>11.7971285999211</v>
      </c>
      <c r="N60" s="38" t="n">
        <f aca="false">N56+N57+N58+N59</f>
        <v>11.9953049916514</v>
      </c>
      <c r="O60" s="38" t="n">
        <f aca="false">O56+O57+O58+O59</f>
        <v>11.9543854311331</v>
      </c>
      <c r="P60" s="38" t="n">
        <f aca="false">P56+P57+P58+P59</f>
        <v>11.6753909722946</v>
      </c>
      <c r="Q60" s="38" t="n">
        <f aca="false">Q56+Q57+Q58+Q59</f>
        <v>11.1670242869374</v>
      </c>
      <c r="R60" s="38" t="n">
        <f aca="false">R56+R57+R58+R59</f>
        <v>10.4465220564395</v>
      </c>
      <c r="S60" s="38" t="n">
        <f aca="false">S56+S57+S58+S59</f>
        <v>9.54017126313136</v>
      </c>
      <c r="T60" s="38" t="n">
        <f aca="false">T56+T57+T58+T59</f>
        <v>8.48329652826127</v>
      </c>
      <c r="U60" s="38" t="n">
        <f aca="false">U56+U57+U58+U59</f>
        <v>7.31949946546839</v>
      </c>
      <c r="V60" s="38" t="n">
        <f aca="false">V56+V57+V58+V59</f>
        <v>6.09894060057868</v>
      </c>
      <c r="W60" s="38" t="n">
        <f aca="false">W56+W57+W58+W59</f>
        <v>4.87552581669428</v>
      </c>
      <c r="X60" s="38" t="n">
        <f aca="false">X56+X57+X58+X59</f>
        <v>3.70301603140945</v>
      </c>
      <c r="Y60" s="38" t="n">
        <f aca="false">Y56+Y57+Y58+Y59</f>
        <v>2.63032798053032</v>
      </c>
      <c r="Z60" s="38" t="n">
        <f aca="false">Z56+Z57+Z58+Z59</f>
        <v>1.69660750721924</v>
      </c>
      <c r="AA60" s="38" t="n">
        <f aca="false">AA56+AA57+AA58+AA59</f>
        <v>0.926954903379076</v>
      </c>
      <c r="AB60" s="38" t="n">
        <f aca="false">AB56+AB57+AB58+AB59</f>
        <v>0.516362313247016</v>
      </c>
    </row>
    <row r="62" customFormat="false" ht="15" hidden="false" customHeight="false" outlineLevel="0" collapsed="false">
      <c r="B62" s="2" t="s">
        <v>207</v>
      </c>
    </row>
    <row r="63" customFormat="false" ht="15" hidden="false" customHeight="false" outlineLevel="0" collapsed="false">
      <c r="B63" s="3" t="s">
        <v>208</v>
      </c>
      <c r="D63" s="38" t="n">
        <f aca="false">Supuestos!$C$9</f>
        <v>20</v>
      </c>
      <c r="E63" s="38" t="n">
        <f aca="false">D82</f>
        <v>14.87719</v>
      </c>
      <c r="F63" s="38" t="n">
        <f aca="false">E82</f>
        <v>11.2489853237</v>
      </c>
      <c r="G63" s="38" t="n">
        <f aca="false">F82</f>
        <v>9.08689299639872</v>
      </c>
      <c r="H63" s="38" t="n">
        <f aca="false">G82</f>
        <v>8.33847057116621</v>
      </c>
      <c r="I63" s="38" t="n">
        <f aca="false">H82</f>
        <v>8.92609236221426</v>
      </c>
      <c r="J63" s="38" t="n">
        <f aca="false">I82</f>
        <v>10.7462428981305</v>
      </c>
      <c r="K63" s="38" t="n">
        <f aca="false">J82</f>
        <v>13.6694613600048</v>
      </c>
      <c r="L63" s="38" t="n">
        <f aca="false">K82</f>
        <v>14.2584975698398</v>
      </c>
      <c r="M63" s="38" t="n">
        <f aca="false">L82</f>
        <v>12.8526792855706</v>
      </c>
      <c r="N63" s="38" t="n">
        <f aca="false">M82</f>
        <v>11.4682342925157</v>
      </c>
      <c r="O63" s="38" t="n">
        <f aca="false">N82</f>
        <v>10.1191809877409</v>
      </c>
      <c r="P63" s="38" t="n">
        <f aca="false">O82</f>
        <v>8.81951126060259</v>
      </c>
      <c r="Q63" s="38" t="n">
        <f aca="false">P82</f>
        <v>7.58279910569489</v>
      </c>
      <c r="R63" s="38" t="n">
        <f aca="false">Q82</f>
        <v>6.42176990992807</v>
      </c>
      <c r="S63" s="38" t="n">
        <f aca="false">R82</f>
        <v>5.34784141950751</v>
      </c>
      <c r="T63" s="38" t="n">
        <f aca="false">S82</f>
        <v>4.37065187207674</v>
      </c>
      <c r="U63" s="38" t="n">
        <f aca="false">T82</f>
        <v>3.49759666987111</v>
      </c>
      <c r="V63" s="38" t="n">
        <f aca="false">U82</f>
        <v>2.73340249053366</v>
      </c>
      <c r="W63" s="38" t="n">
        <f aca="false">V82</f>
        <v>2.07977655706986</v>
      </c>
      <c r="X63" s="38" t="n">
        <f aca="false">W82</f>
        <v>1.5351775732895</v>
      </c>
      <c r="Y63" s="38" t="n">
        <f aca="false">X82</f>
        <v>1.09476077998377</v>
      </c>
      <c r="Z63" s="38" t="n">
        <f aca="false">Y82</f>
        <v>0.750548349241755</v>
      </c>
      <c r="AA63" s="38" t="n">
        <f aca="false">Z82</f>
        <v>0.491862651671221</v>
      </c>
      <c r="AB63" s="38" t="n">
        <f aca="false">AA82</f>
        <v>0.123776024750145</v>
      </c>
    </row>
    <row r="64" customFormat="false" ht="15" hidden="false" customHeight="false" outlineLevel="0" collapsed="false">
      <c r="B64" s="3" t="s">
        <v>209</v>
      </c>
      <c r="D64" s="38" t="n">
        <f aca="false">MAX(0,D63)*Supuestos!$C$11</f>
        <v>0.6</v>
      </c>
      <c r="E64" s="38" t="n">
        <f aca="false">MAX(0,E63)*Supuestos!$C$11</f>
        <v>0.4463157</v>
      </c>
      <c r="F64" s="38" t="n">
        <f aca="false">MAX(0,F63)*Supuestos!$C$11</f>
        <v>0.337469559711</v>
      </c>
      <c r="G64" s="38" t="n">
        <f aca="false">MAX(0,G63)*Supuestos!$C$11</f>
        <v>0.272606789891962</v>
      </c>
      <c r="H64" s="38" t="n">
        <f aca="false">MAX(0,H63)*Supuestos!$C$11</f>
        <v>0.250154117134986</v>
      </c>
      <c r="I64" s="38" t="n">
        <f aca="false">MAX(0,I63)*Supuestos!$C$11</f>
        <v>0.267782770866428</v>
      </c>
      <c r="J64" s="38" t="n">
        <f aca="false">MAX(0,J63)*Supuestos!$C$11</f>
        <v>0.322387286943916</v>
      </c>
      <c r="K64" s="38" t="n">
        <f aca="false">MAX(0,K63)*Supuestos!$C$11</f>
        <v>0.410083840800145</v>
      </c>
      <c r="L64" s="38" t="n">
        <f aca="false">MAX(0,L63)*Supuestos!$C$11</f>
        <v>0.427754927095195</v>
      </c>
      <c r="M64" s="38" t="n">
        <f aca="false">MAX(0,M63)*Supuestos!$C$11</f>
        <v>0.385580378567117</v>
      </c>
      <c r="N64" s="38" t="n">
        <f aca="false">MAX(0,N63)*Supuestos!$C$11</f>
        <v>0.344047028775472</v>
      </c>
      <c r="O64" s="38" t="n">
        <f aca="false">MAX(0,O63)*Supuestos!$C$11</f>
        <v>0.303575429632227</v>
      </c>
      <c r="P64" s="38" t="n">
        <f aca="false">MAX(0,P63)*Supuestos!$C$11</f>
        <v>0.264585337818078</v>
      </c>
      <c r="Q64" s="38" t="n">
        <f aca="false">MAX(0,Q63)*Supuestos!$C$11</f>
        <v>0.227483973170847</v>
      </c>
      <c r="R64" s="38" t="n">
        <f aca="false">MAX(0,R63)*Supuestos!$C$11</f>
        <v>0.192653097297842</v>
      </c>
      <c r="S64" s="38" t="n">
        <f aca="false">MAX(0,S63)*Supuestos!$C$11</f>
        <v>0.160435242585225</v>
      </c>
      <c r="T64" s="38" t="n">
        <f aca="false">MAX(0,T63)*Supuestos!$C$11</f>
        <v>0.131119556162302</v>
      </c>
      <c r="U64" s="38" t="n">
        <f aca="false">MAX(0,U63)*Supuestos!$C$11</f>
        <v>0.104927900096133</v>
      </c>
      <c r="V64" s="38" t="n">
        <f aca="false">MAX(0,V63)*Supuestos!$C$11</f>
        <v>0.0820020747160098</v>
      </c>
      <c r="W64" s="38" t="n">
        <f aca="false">MAX(0,W63)*Supuestos!$C$11</f>
        <v>0.0623932967120958</v>
      </c>
      <c r="X64" s="38" t="n">
        <f aca="false">MAX(0,X63)*Supuestos!$C$11</f>
        <v>0.0460553271986851</v>
      </c>
      <c r="Y64" s="38" t="n">
        <f aca="false">MAX(0,Y63)*Supuestos!$C$11</f>
        <v>0.0328428233995131</v>
      </c>
      <c r="Z64" s="38" t="n">
        <f aca="false">MAX(0,Z63)*Supuestos!$C$11</f>
        <v>0.0225164504772527</v>
      </c>
      <c r="AA64" s="38" t="n">
        <f aca="false">MAX(0,AA63)*Supuestos!$C$11</f>
        <v>0.0147558795501366</v>
      </c>
      <c r="AB64" s="38" t="n">
        <f aca="false">MAX(0,AB63)*Supuestos!$C$11</f>
        <v>0.00371328074250435</v>
      </c>
    </row>
    <row r="65" customFormat="false" ht="15" hidden="false" customHeight="false" outlineLevel="0" collapsed="false">
      <c r="B65" s="3" t="s">
        <v>210</v>
      </c>
      <c r="D65" s="38" t="n">
        <f aca="false">D63+D64+D60</f>
        <v>22.12719</v>
      </c>
      <c r="E65" s="38" t="n">
        <f aca="false">E63+E64+E60</f>
        <v>18.4989853237</v>
      </c>
      <c r="F65" s="38" t="n">
        <f aca="false">F63+F64+F60</f>
        <v>16.3368929963987</v>
      </c>
      <c r="G65" s="38" t="n">
        <f aca="false">G63+G64+G60</f>
        <v>15.5884705711662</v>
      </c>
      <c r="H65" s="38" t="n">
        <f aca="false">H63+H64+H60</f>
        <v>16.1760923622143</v>
      </c>
      <c r="I65" s="38" t="n">
        <f aca="false">I63+I64+I60</f>
        <v>17.9962428981305</v>
      </c>
      <c r="J65" s="38" t="n">
        <f aca="false">J63+J64+J60</f>
        <v>20.9194613600048</v>
      </c>
      <c r="K65" s="38" t="n">
        <f aca="false">K63+K64+K60</f>
        <v>24.791064640859</v>
      </c>
      <c r="L65" s="38" t="n">
        <f aca="false">L63+L64+L60</f>
        <v>26.0517328642673</v>
      </c>
      <c r="M65" s="38" t="n">
        <f aca="false">M63+M64+M60</f>
        <v>25.0353882640588</v>
      </c>
      <c r="N65" s="38" t="n">
        <f aca="false">N63+N64+N60</f>
        <v>23.8075863129426</v>
      </c>
      <c r="O65" s="38" t="n">
        <f aca="false">O63+O64+O60</f>
        <v>22.3771418485062</v>
      </c>
      <c r="P65" s="38" t="n">
        <f aca="false">P63+P64+P60</f>
        <v>20.7594875707153</v>
      </c>
      <c r="Q65" s="38" t="n">
        <f aca="false">Q63+Q64+Q60</f>
        <v>18.9773073658031</v>
      </c>
      <c r="R65" s="38" t="n">
        <f aca="false">R63+R64+R60</f>
        <v>17.0609450636654</v>
      </c>
      <c r="S65" s="38" t="n">
        <f aca="false">S63+S64+S60</f>
        <v>15.0484479252241</v>
      </c>
      <c r="T65" s="38" t="n">
        <f aca="false">T63+T64+T60</f>
        <v>12.9850679565003</v>
      </c>
      <c r="U65" s="38" t="n">
        <f aca="false">U63+U64+U60</f>
        <v>10.9220240354356</v>
      </c>
      <c r="V65" s="38" t="n">
        <f aca="false">V63+V64+V60</f>
        <v>8.91434516582835</v>
      </c>
      <c r="W65" s="38" t="n">
        <f aca="false">W63+W64+W60</f>
        <v>7.01769567047623</v>
      </c>
      <c r="X65" s="38" t="n">
        <f aca="false">X63+X64+X60</f>
        <v>5.28424893189764</v>
      </c>
      <c r="Y65" s="38" t="n">
        <f aca="false">Y63+Y64+Y60</f>
        <v>3.7579315839136</v>
      </c>
      <c r="Z65" s="38" t="n">
        <f aca="false">Z63+Z64+Z60</f>
        <v>2.46967230693825</v>
      </c>
      <c r="AA65" s="38" t="n">
        <f aca="false">AA63+AA64+AA60</f>
        <v>1.43357343460043</v>
      </c>
      <c r="AB65" s="38" t="n">
        <f aca="false">AB63+AB64+AB60</f>
        <v>0.643851618739666</v>
      </c>
    </row>
    <row r="66" customFormat="false" ht="15" hidden="false" customHeight="false" outlineLevel="0" collapsed="false">
      <c r="B66" s="3" t="s">
        <v>211</v>
      </c>
      <c r="D66" s="38" t="n">
        <f aca="false">Supuestos!$C$5</f>
        <v>75</v>
      </c>
      <c r="E66" s="38" t="n">
        <f aca="false">D79</f>
        <v>75</v>
      </c>
      <c r="F66" s="38" t="n">
        <f aca="false">E79</f>
        <v>75</v>
      </c>
      <c r="G66" s="38" t="n">
        <f aca="false">F79</f>
        <v>75</v>
      </c>
      <c r="H66" s="38" t="n">
        <f aca="false">G79</f>
        <v>75</v>
      </c>
      <c r="I66" s="38" t="n">
        <f aca="false">H79</f>
        <v>75</v>
      </c>
      <c r="J66" s="38" t="n">
        <f aca="false">I79</f>
        <v>75</v>
      </c>
      <c r="K66" s="38" t="n">
        <f aca="false">J79</f>
        <v>75</v>
      </c>
      <c r="L66" s="38" t="n">
        <f aca="false">K79</f>
        <v>71.7174329289808</v>
      </c>
      <c r="M66" s="38" t="n">
        <f aca="false">L79</f>
        <v>65.5550124906678</v>
      </c>
      <c r="N66" s="38" t="n">
        <f aca="false">M79</f>
        <v>58.6239343310181</v>
      </c>
      <c r="O66" s="38" t="n">
        <f aca="false">N79</f>
        <v>51.1210847373326</v>
      </c>
      <c r="P66" s="38" t="n">
        <f aca="false">O79</f>
        <v>43.2613246573556</v>
      </c>
      <c r="Q66" s="38" t="n">
        <f aca="false">P79</f>
        <v>35.2716222950633</v>
      </c>
      <c r="R66" s="38" t="n">
        <f aca="false">Q79</f>
        <v>27.3837402883673</v>
      </c>
      <c r="S66" s="38" t="n">
        <f aca="false">R79</f>
        <v>19.8255797629533</v>
      </c>
      <c r="T66" s="38" t="n">
        <f aca="false">S79</f>
        <v>12.8114463943979</v>
      </c>
      <c r="U66" s="38" t="n">
        <f aca="false">T79</f>
        <v>6.53171912340459</v>
      </c>
      <c r="V66" s="38" t="n">
        <f aca="false">U79</f>
        <v>1.14265932152391</v>
      </c>
      <c r="W66" s="38" t="n">
        <f aca="false">V79</f>
        <v>0</v>
      </c>
      <c r="X66" s="38" t="n">
        <f aca="false">W79</f>
        <v>0</v>
      </c>
      <c r="Y66" s="38" t="n">
        <f aca="false">X79</f>
        <v>0</v>
      </c>
      <c r="Z66" s="38" t="n">
        <f aca="false">Y79</f>
        <v>0</v>
      </c>
      <c r="AA66" s="38" t="n">
        <f aca="false">Z79</f>
        <v>0</v>
      </c>
      <c r="AB66" s="38" t="n">
        <f aca="false">AA79</f>
        <v>0</v>
      </c>
    </row>
    <row r="67" customFormat="false" ht="15" hidden="false" customHeight="false" outlineLevel="0" collapsed="false">
      <c r="B67" s="3" t="s">
        <v>212</v>
      </c>
      <c r="D67" s="38" t="n">
        <f aca="false">D66*Supuestos!$C$6</f>
        <v>4.875</v>
      </c>
      <c r="E67" s="38" t="n">
        <f aca="false">E66*Supuestos!$C$6</f>
        <v>4.875</v>
      </c>
      <c r="F67" s="38" t="n">
        <f aca="false">F66*Supuestos!$C$6</f>
        <v>4.875</v>
      </c>
      <c r="G67" s="38" t="n">
        <f aca="false">G66*Supuestos!$C$6</f>
        <v>4.875</v>
      </c>
      <c r="H67" s="38" t="n">
        <f aca="false">H66*Supuestos!$C$6</f>
        <v>4.875</v>
      </c>
      <c r="I67" s="38" t="n">
        <f aca="false">I66*Supuestos!$C$6</f>
        <v>4.875</v>
      </c>
      <c r="J67" s="38" t="n">
        <f aca="false">J66*Supuestos!$C$6</f>
        <v>4.875</v>
      </c>
      <c r="K67" s="38" t="n">
        <f aca="false">K66*Supuestos!$C$6</f>
        <v>4.875</v>
      </c>
      <c r="L67" s="38" t="n">
        <f aca="false">L66*Supuestos!$C$6</f>
        <v>4.66163314038375</v>
      </c>
      <c r="M67" s="38" t="n">
        <f aca="false">M66*Supuestos!$C$6</f>
        <v>4.2610758118934</v>
      </c>
      <c r="N67" s="38" t="n">
        <f aca="false">N66*Supuestos!$C$6</f>
        <v>3.81055573151618</v>
      </c>
      <c r="O67" s="38" t="n">
        <f aca="false">O66*Supuestos!$C$6</f>
        <v>3.32287050792662</v>
      </c>
      <c r="P67" s="38" t="n">
        <f aca="false">P66*Supuestos!$C$6</f>
        <v>2.81198610272811</v>
      </c>
      <c r="Q67" s="38" t="n">
        <f aca="false">Q66*Supuestos!$C$6</f>
        <v>2.29265544917911</v>
      </c>
      <c r="R67" s="38" t="n">
        <f aca="false">R66*Supuestos!$C$6</f>
        <v>1.77994311874388</v>
      </c>
      <c r="S67" s="38" t="n">
        <f aca="false">S66*Supuestos!$C$6</f>
        <v>1.28866268459197</v>
      </c>
      <c r="T67" s="38" t="n">
        <f aca="false">T66*Supuestos!$C$6</f>
        <v>0.832744015635865</v>
      </c>
      <c r="U67" s="38" t="n">
        <f aca="false">U66*Supuestos!$C$6</f>
        <v>0.424561743021298</v>
      </c>
      <c r="V67" s="38" t="n">
        <f aca="false">V66*Supuestos!$C$6</f>
        <v>0.0742728558990544</v>
      </c>
      <c r="W67" s="38" t="n">
        <f aca="false">W66*Supuestos!$C$6</f>
        <v>0</v>
      </c>
      <c r="X67" s="38" t="n">
        <f aca="false">X66*Supuestos!$C$6</f>
        <v>0</v>
      </c>
      <c r="Y67" s="38" t="n">
        <f aca="false">Y66*Supuestos!$C$6</f>
        <v>0</v>
      </c>
      <c r="Z67" s="38" t="n">
        <f aca="false">Z66*Supuestos!$C$6</f>
        <v>0</v>
      </c>
      <c r="AA67" s="38" t="n">
        <f aca="false">AA66*Supuestos!$C$6</f>
        <v>0</v>
      </c>
      <c r="AB67" s="38" t="n">
        <f aca="false">AB66*Supuestos!$C$6</f>
        <v>0</v>
      </c>
    </row>
    <row r="68" customFormat="false" ht="15" hidden="false" customHeight="false" outlineLevel="0" collapsed="false">
      <c r="B68" s="3" t="s">
        <v>213</v>
      </c>
      <c r="D68" s="38" t="n">
        <f aca="false">MAX(0,MIN(D65,D67))</f>
        <v>4.875</v>
      </c>
      <c r="E68" s="38" t="n">
        <f aca="false">MAX(0,MIN(E65,E67))</f>
        <v>4.875</v>
      </c>
      <c r="F68" s="38" t="n">
        <f aca="false">MAX(0,MIN(F65,F67))</f>
        <v>4.875</v>
      </c>
      <c r="G68" s="38" t="n">
        <f aca="false">MAX(0,MIN(G65,G67))</f>
        <v>4.875</v>
      </c>
      <c r="H68" s="38" t="n">
        <f aca="false">MAX(0,MIN(H65,H67))</f>
        <v>4.875</v>
      </c>
      <c r="I68" s="38" t="n">
        <f aca="false">MAX(0,MIN(I65,I67))</f>
        <v>4.875</v>
      </c>
      <c r="J68" s="38" t="n">
        <f aca="false">MAX(0,MIN(J65,J67))</f>
        <v>4.875</v>
      </c>
      <c r="K68" s="38" t="n">
        <f aca="false">MAX(0,MIN(K65,K67))</f>
        <v>4.875</v>
      </c>
      <c r="L68" s="38" t="n">
        <f aca="false">MAX(0,MIN(L65,L67))</f>
        <v>4.66163314038375</v>
      </c>
      <c r="M68" s="38" t="n">
        <f aca="false">MAX(0,MIN(M65,M67))</f>
        <v>4.2610758118934</v>
      </c>
      <c r="N68" s="38" t="n">
        <f aca="false">MAX(0,MIN(N65,N67))</f>
        <v>3.81055573151618</v>
      </c>
      <c r="O68" s="38" t="n">
        <f aca="false">MAX(0,MIN(O65,O67))</f>
        <v>3.32287050792662</v>
      </c>
      <c r="P68" s="38" t="n">
        <f aca="false">MAX(0,MIN(P65,P67))</f>
        <v>2.81198610272811</v>
      </c>
      <c r="Q68" s="38" t="n">
        <f aca="false">MAX(0,MIN(Q65,Q67))</f>
        <v>2.29265544917911</v>
      </c>
      <c r="R68" s="38" t="n">
        <f aca="false">MAX(0,MIN(R65,R67))</f>
        <v>1.77994311874388</v>
      </c>
      <c r="S68" s="38" t="n">
        <f aca="false">MAX(0,MIN(S65,S67))</f>
        <v>1.28866268459197</v>
      </c>
      <c r="T68" s="38" t="n">
        <f aca="false">MAX(0,MIN(T65,T67))</f>
        <v>0.832744015635865</v>
      </c>
      <c r="U68" s="38" t="n">
        <f aca="false">MAX(0,MIN(U65,U67))</f>
        <v>0.424561743021298</v>
      </c>
      <c r="V68" s="38" t="n">
        <f aca="false">MAX(0,MIN(V65,V67))</f>
        <v>0.0742728558990544</v>
      </c>
      <c r="W68" s="38" t="n">
        <f aca="false">MAX(0,MIN(W65,W67))</f>
        <v>0</v>
      </c>
      <c r="X68" s="38" t="n">
        <f aca="false">MAX(0,MIN(X65,X67))</f>
        <v>0</v>
      </c>
      <c r="Y68" s="38" t="n">
        <f aca="false">MAX(0,MIN(Y65,Y67))</f>
        <v>0</v>
      </c>
      <c r="Z68" s="38" t="n">
        <f aca="false">MAX(0,MIN(Z65,Z67))</f>
        <v>0</v>
      </c>
      <c r="AA68" s="38" t="n">
        <f aca="false">MAX(0,MIN(AA65,AA67))</f>
        <v>0</v>
      </c>
      <c r="AB68" s="38" t="n">
        <f aca="false">MAX(0,MIN(AB65,AB67))</f>
        <v>0</v>
      </c>
    </row>
    <row r="69" customFormat="false" ht="15" hidden="false" customHeight="false" outlineLevel="0" collapsed="false">
      <c r="B69" s="3" t="s">
        <v>214</v>
      </c>
      <c r="D69" s="38" t="n">
        <f aca="false">D65-D68</f>
        <v>17.25219</v>
      </c>
      <c r="E69" s="38" t="n">
        <f aca="false">E65-E68</f>
        <v>13.6239853237</v>
      </c>
      <c r="F69" s="38" t="n">
        <f aca="false">F65-F68</f>
        <v>11.4618929963987</v>
      </c>
      <c r="G69" s="38" t="n">
        <f aca="false">G65-G68</f>
        <v>10.7134705711662</v>
      </c>
      <c r="H69" s="38" t="n">
        <f aca="false">H65-H68</f>
        <v>11.3010923622143</v>
      </c>
      <c r="I69" s="38" t="n">
        <f aca="false">I65-I68</f>
        <v>13.1212428981305</v>
      </c>
      <c r="J69" s="38" t="n">
        <f aca="false">J65-J68</f>
        <v>16.0444613600048</v>
      </c>
      <c r="K69" s="38" t="n">
        <f aca="false">K65-K68</f>
        <v>19.916064640859</v>
      </c>
      <c r="L69" s="38" t="n">
        <f aca="false">L65-L68</f>
        <v>21.3900997238836</v>
      </c>
      <c r="M69" s="38" t="n">
        <f aca="false">M65-M68</f>
        <v>20.7743124521654</v>
      </c>
      <c r="N69" s="38" t="n">
        <f aca="false">N65-N68</f>
        <v>19.9970305814264</v>
      </c>
      <c r="O69" s="38" t="n">
        <f aca="false">O65-O68</f>
        <v>19.0542713405796</v>
      </c>
      <c r="P69" s="38" t="n">
        <f aca="false">P65-P68</f>
        <v>17.9475014679872</v>
      </c>
      <c r="Q69" s="38" t="n">
        <f aca="false">Q65-Q68</f>
        <v>16.684651916624</v>
      </c>
      <c r="R69" s="38" t="n">
        <f aca="false">R65-R68</f>
        <v>15.2810019449215</v>
      </c>
      <c r="S69" s="38" t="n">
        <f aca="false">S65-S68</f>
        <v>13.7597852406321</v>
      </c>
      <c r="T69" s="38" t="n">
        <f aca="false">T65-T68</f>
        <v>12.1523239408644</v>
      </c>
      <c r="U69" s="38" t="n">
        <f aca="false">U65-U68</f>
        <v>10.4974622924143</v>
      </c>
      <c r="V69" s="38" t="n">
        <f aca="false">V65-V68</f>
        <v>8.84007230992929</v>
      </c>
      <c r="W69" s="38" t="n">
        <f aca="false">W65-W68</f>
        <v>7.01769567047623</v>
      </c>
      <c r="X69" s="38" t="n">
        <f aca="false">X65-X68</f>
        <v>5.28424893189764</v>
      </c>
      <c r="Y69" s="38" t="n">
        <f aca="false">Y65-Y68</f>
        <v>3.7579315839136</v>
      </c>
      <c r="Z69" s="38" t="n">
        <f aca="false">Z65-Z68</f>
        <v>2.46967230693825</v>
      </c>
      <c r="AA69" s="38" t="n">
        <f aca="false">AA65-AA68</f>
        <v>1.43357343460043</v>
      </c>
      <c r="AB69" s="38" t="n">
        <f aca="false">AB65-AB68</f>
        <v>0.643851618739666</v>
      </c>
    </row>
    <row r="70" customFormat="false" ht="15" hidden="false" customHeight="false" outlineLevel="0" collapsed="false">
      <c r="B70" s="3" t="s">
        <v>215</v>
      </c>
      <c r="D70" s="38" t="n">
        <f aca="false">Supuestos!$C$7</f>
        <v>25</v>
      </c>
      <c r="E70" s="38" t="n">
        <f aca="false">D80</f>
        <v>25</v>
      </c>
      <c r="F70" s="38" t="n">
        <f aca="false">E80</f>
        <v>25</v>
      </c>
      <c r="G70" s="38" t="n">
        <f aca="false">F80</f>
        <v>25</v>
      </c>
      <c r="H70" s="38" t="n">
        <f aca="false">G80</f>
        <v>25</v>
      </c>
      <c r="I70" s="38" t="n">
        <f aca="false">H80</f>
        <v>25</v>
      </c>
      <c r="J70" s="38" t="n">
        <f aca="false">I80</f>
        <v>25</v>
      </c>
      <c r="K70" s="38" t="n">
        <f aca="false">J80</f>
        <v>25</v>
      </c>
      <c r="L70" s="38" t="n">
        <f aca="false">K80</f>
        <v>25</v>
      </c>
      <c r="M70" s="38" t="n">
        <f aca="false">L80</f>
        <v>25</v>
      </c>
      <c r="N70" s="38" t="n">
        <f aca="false">M80</f>
        <v>25</v>
      </c>
      <c r="O70" s="38" t="n">
        <f aca="false">N80</f>
        <v>25</v>
      </c>
      <c r="P70" s="38" t="n">
        <f aca="false">O80</f>
        <v>25</v>
      </c>
      <c r="Q70" s="38" t="n">
        <f aca="false">P80</f>
        <v>25</v>
      </c>
      <c r="R70" s="38" t="n">
        <f aca="false">Q80</f>
        <v>25</v>
      </c>
      <c r="S70" s="38" t="n">
        <f aca="false">R80</f>
        <v>25</v>
      </c>
      <c r="T70" s="38" t="n">
        <f aca="false">S80</f>
        <v>25</v>
      </c>
      <c r="U70" s="38" t="n">
        <f aca="false">T80</f>
        <v>25</v>
      </c>
      <c r="V70" s="38" t="n">
        <f aca="false">U80</f>
        <v>25</v>
      </c>
      <c r="W70" s="38" t="n">
        <f aca="false">V80</f>
        <v>21.7573635686645</v>
      </c>
      <c r="X70" s="38" t="n">
        <f aca="false">W80</f>
        <v>18.3417950105009</v>
      </c>
      <c r="Y70" s="38" t="n">
        <f aca="false">X80</f>
        <v>15.8947773845846</v>
      </c>
      <c r="Z70" s="38" t="n">
        <f aca="false">Y80</f>
        <v>14.3973980014483</v>
      </c>
      <c r="AA70" s="38" t="n">
        <f aca="false">Z80</f>
        <v>13.7873411563188</v>
      </c>
      <c r="AB70" s="38" t="n">
        <f aca="false">AA80</f>
        <v>13.7873411563188</v>
      </c>
    </row>
    <row r="71" customFormat="false" ht="15" hidden="false" customHeight="false" outlineLevel="0" collapsed="false">
      <c r="B71" s="3" t="s">
        <v>216</v>
      </c>
      <c r="D71" s="38" t="n">
        <f aca="false">D70*Supuestos!$C$8</f>
        <v>2.375</v>
      </c>
      <c r="E71" s="38" t="n">
        <f aca="false">E70*Supuestos!$C$8</f>
        <v>2.375</v>
      </c>
      <c r="F71" s="38" t="n">
        <f aca="false">F70*Supuestos!$C$8</f>
        <v>2.375</v>
      </c>
      <c r="G71" s="38" t="n">
        <f aca="false">G70*Supuestos!$C$8</f>
        <v>2.375</v>
      </c>
      <c r="H71" s="38" t="n">
        <f aca="false">H70*Supuestos!$C$8</f>
        <v>2.375</v>
      </c>
      <c r="I71" s="38" t="n">
        <f aca="false">I70*Supuestos!$C$8</f>
        <v>2.375</v>
      </c>
      <c r="J71" s="38" t="n">
        <f aca="false">J70*Supuestos!$C$8</f>
        <v>2.375</v>
      </c>
      <c r="K71" s="38" t="n">
        <f aca="false">K70*Supuestos!$C$8</f>
        <v>2.375</v>
      </c>
      <c r="L71" s="38" t="n">
        <f aca="false">L70*Supuestos!$C$8</f>
        <v>2.375</v>
      </c>
      <c r="M71" s="38" t="n">
        <f aca="false">M70*Supuestos!$C$8</f>
        <v>2.375</v>
      </c>
      <c r="N71" s="38" t="n">
        <f aca="false">N70*Supuestos!$C$8</f>
        <v>2.375</v>
      </c>
      <c r="O71" s="38" t="n">
        <f aca="false">O70*Supuestos!$C$8</f>
        <v>2.375</v>
      </c>
      <c r="P71" s="38" t="n">
        <f aca="false">P70*Supuestos!$C$8</f>
        <v>2.375</v>
      </c>
      <c r="Q71" s="38" t="n">
        <f aca="false">Q70*Supuestos!$C$8</f>
        <v>2.375</v>
      </c>
      <c r="R71" s="38" t="n">
        <f aca="false">R70*Supuestos!$C$8</f>
        <v>2.375</v>
      </c>
      <c r="S71" s="38" t="n">
        <f aca="false">S70*Supuestos!$C$8</f>
        <v>2.375</v>
      </c>
      <c r="T71" s="38" t="n">
        <f aca="false">T70*Supuestos!$C$8</f>
        <v>2.375</v>
      </c>
      <c r="U71" s="38" t="n">
        <f aca="false">U70*Supuestos!$C$8</f>
        <v>2.375</v>
      </c>
      <c r="V71" s="38" t="n">
        <f aca="false">V70*Supuestos!$C$8</f>
        <v>2.375</v>
      </c>
      <c r="W71" s="38" t="n">
        <f aca="false">W70*Supuestos!$C$8</f>
        <v>2.06694953902313</v>
      </c>
      <c r="X71" s="38" t="n">
        <f aca="false">X70*Supuestos!$C$8</f>
        <v>1.74247052599758</v>
      </c>
      <c r="Y71" s="38" t="n">
        <f aca="false">Y70*Supuestos!$C$8</f>
        <v>1.51000385153554</v>
      </c>
      <c r="Z71" s="38" t="n">
        <f aca="false">Z70*Supuestos!$C$8</f>
        <v>1.36775281013759</v>
      </c>
      <c r="AA71" s="38" t="n">
        <f aca="false">AA70*Supuestos!$C$8</f>
        <v>1.30979740985029</v>
      </c>
      <c r="AB71" s="38" t="n">
        <f aca="false">AB70*Supuestos!$C$8</f>
        <v>1.30979740985029</v>
      </c>
    </row>
    <row r="72" customFormat="false" ht="15" hidden="false" customHeight="false" outlineLevel="0" collapsed="false">
      <c r="B72" s="3" t="s">
        <v>217</v>
      </c>
      <c r="D72" s="38" t="n">
        <f aca="false">MAX(0,MIN(D69,D71))</f>
        <v>2.375</v>
      </c>
      <c r="E72" s="38" t="n">
        <f aca="false">MAX(0,MIN(E69,E71))</f>
        <v>2.375</v>
      </c>
      <c r="F72" s="38" t="n">
        <f aca="false">MAX(0,MIN(F69,F71))</f>
        <v>2.375</v>
      </c>
      <c r="G72" s="38" t="n">
        <f aca="false">MAX(0,MIN(G69,G71))</f>
        <v>2.375</v>
      </c>
      <c r="H72" s="38" t="n">
        <f aca="false">MAX(0,MIN(H69,H71))</f>
        <v>2.375</v>
      </c>
      <c r="I72" s="38" t="n">
        <f aca="false">MAX(0,MIN(I69,I71))</f>
        <v>2.375</v>
      </c>
      <c r="J72" s="38" t="n">
        <f aca="false">MAX(0,MIN(J69,J71))</f>
        <v>2.375</v>
      </c>
      <c r="K72" s="38" t="n">
        <f aca="false">MAX(0,MIN(K69,K71))</f>
        <v>2.375</v>
      </c>
      <c r="L72" s="38" t="n">
        <f aca="false">MAX(0,MIN(L69,L71))</f>
        <v>2.375</v>
      </c>
      <c r="M72" s="38" t="n">
        <f aca="false">MAX(0,MIN(M69,M71))</f>
        <v>2.375</v>
      </c>
      <c r="N72" s="38" t="n">
        <f aca="false">MAX(0,MIN(N69,N71))</f>
        <v>2.375</v>
      </c>
      <c r="O72" s="38" t="n">
        <f aca="false">MAX(0,MIN(O69,O71))</f>
        <v>2.375</v>
      </c>
      <c r="P72" s="38" t="n">
        <f aca="false">MAX(0,MIN(P69,P71))</f>
        <v>2.375</v>
      </c>
      <c r="Q72" s="38" t="n">
        <f aca="false">MAX(0,MIN(Q69,Q71))</f>
        <v>2.375</v>
      </c>
      <c r="R72" s="38" t="n">
        <f aca="false">MAX(0,MIN(R69,R71))</f>
        <v>2.375</v>
      </c>
      <c r="S72" s="38" t="n">
        <f aca="false">MAX(0,MIN(S69,S71))</f>
        <v>2.375</v>
      </c>
      <c r="T72" s="38" t="n">
        <f aca="false">MAX(0,MIN(T69,T71))</f>
        <v>2.375</v>
      </c>
      <c r="U72" s="38" t="n">
        <f aca="false">MAX(0,MIN(U69,U71))</f>
        <v>2.375</v>
      </c>
      <c r="V72" s="38" t="n">
        <f aca="false">MAX(0,MIN(V69,V71))</f>
        <v>2.375</v>
      </c>
      <c r="W72" s="38" t="n">
        <f aca="false">MAX(0,MIN(W69,W71))</f>
        <v>2.06694953902313</v>
      </c>
      <c r="X72" s="38" t="n">
        <f aca="false">MAX(0,MIN(X69,X71))</f>
        <v>1.74247052599758</v>
      </c>
      <c r="Y72" s="38" t="n">
        <f aca="false">MAX(0,MIN(Y69,Y71))</f>
        <v>1.51000385153554</v>
      </c>
      <c r="Z72" s="38" t="n">
        <f aca="false">MAX(0,MIN(Z69,Z71))</f>
        <v>1.36775281013759</v>
      </c>
      <c r="AA72" s="38" t="n">
        <f aca="false">MAX(0,MIN(AA69,AA71))</f>
        <v>1.30979740985029</v>
      </c>
      <c r="AB72" s="38" t="n">
        <f aca="false">MAX(0,MIN(AB69,AB71))</f>
        <v>0.643851618739666</v>
      </c>
    </row>
    <row r="73" customFormat="false" ht="15" hidden="false" customHeight="false" outlineLevel="0" collapsed="false">
      <c r="B73" s="3" t="s">
        <v>218</v>
      </c>
      <c r="D73" s="38" t="n">
        <f aca="false">D69-D72</f>
        <v>14.87719</v>
      </c>
      <c r="E73" s="38" t="n">
        <f aca="false">E69-E72</f>
        <v>11.2489853237</v>
      </c>
      <c r="F73" s="38" t="n">
        <f aca="false">F69-F72</f>
        <v>9.08689299639872</v>
      </c>
      <c r="G73" s="38" t="n">
        <f aca="false">G69-G72</f>
        <v>8.33847057116621</v>
      </c>
      <c r="H73" s="38" t="n">
        <f aca="false">H69-H72</f>
        <v>8.92609236221426</v>
      </c>
      <c r="I73" s="38" t="n">
        <f aca="false">I69-I72</f>
        <v>10.7462428981305</v>
      </c>
      <c r="J73" s="38" t="n">
        <f aca="false">J69-J72</f>
        <v>13.6694613600048</v>
      </c>
      <c r="K73" s="38" t="n">
        <f aca="false">K69-K72</f>
        <v>17.541064640859</v>
      </c>
      <c r="L73" s="38" t="n">
        <f aca="false">L69-L72</f>
        <v>19.0150997238836</v>
      </c>
      <c r="M73" s="38" t="n">
        <f aca="false">M69-M72</f>
        <v>18.3993124521654</v>
      </c>
      <c r="N73" s="38" t="n">
        <f aca="false">N69-N72</f>
        <v>17.6220305814264</v>
      </c>
      <c r="O73" s="38" t="n">
        <f aca="false">O69-O72</f>
        <v>16.6792713405796</v>
      </c>
      <c r="P73" s="38" t="n">
        <f aca="false">P69-P72</f>
        <v>15.5725014679872</v>
      </c>
      <c r="Q73" s="38" t="n">
        <f aca="false">Q69-Q72</f>
        <v>14.309651916624</v>
      </c>
      <c r="R73" s="38" t="n">
        <f aca="false">R69-R72</f>
        <v>12.9060019449215</v>
      </c>
      <c r="S73" s="38" t="n">
        <f aca="false">S69-S72</f>
        <v>11.3847852406321</v>
      </c>
      <c r="T73" s="38" t="n">
        <f aca="false">T69-T72</f>
        <v>9.77732394086444</v>
      </c>
      <c r="U73" s="38" t="n">
        <f aca="false">U69-U72</f>
        <v>8.12246229241433</v>
      </c>
      <c r="V73" s="38" t="n">
        <f aca="false">V69-V72</f>
        <v>6.46507230992929</v>
      </c>
      <c r="W73" s="38" t="n">
        <f aca="false">W69-W72</f>
        <v>4.95074613145311</v>
      </c>
      <c r="X73" s="38" t="n">
        <f aca="false">X69-X72</f>
        <v>3.54177840590005</v>
      </c>
      <c r="Y73" s="38" t="n">
        <f aca="false">Y69-Y72</f>
        <v>2.24792773237807</v>
      </c>
      <c r="Z73" s="38" t="n">
        <f aca="false">Z69-Z72</f>
        <v>1.10191949680067</v>
      </c>
      <c r="AA73" s="38" t="n">
        <f aca="false">AA69-AA72</f>
        <v>0.123776024750145</v>
      </c>
      <c r="AB73" s="38" t="n">
        <f aca="false">AB69-AB72</f>
        <v>0</v>
      </c>
    </row>
    <row r="74" customFormat="false" ht="15" hidden="false" customHeight="false" outlineLevel="0" collapsed="false">
      <c r="B74" s="3" t="s">
        <v>219</v>
      </c>
      <c r="D74" s="38" t="n">
        <f aca="false">IF(D$3=Supuestos!$C$15,0,-D57*(1+$C$8)*Supuestos!$C$10/12)</f>
        <v>23.6495</v>
      </c>
      <c r="E74" s="38" t="n">
        <f aca="false">IF(E$3=Supuestos!$C$15,0,-E57*(1+$C$8)*Supuestos!$C$10/12)</f>
        <v>22.429687819</v>
      </c>
      <c r="F74" s="38" t="n">
        <f aca="false">IF(F$3=Supuestos!$C$15,0,-F57*(1+$C$8)*Supuestos!$C$10/12)</f>
        <v>21.1547043684539</v>
      </c>
      <c r="G74" s="38" t="n">
        <f aca="false">IF(G$3=Supuestos!$C$15,0,-G57*(1+$C$8)*Supuestos!$C$10/12)</f>
        <v>19.8320413003306</v>
      </c>
      <c r="H74" s="38" t="n">
        <f aca="false">IF(H$3=Supuestos!$C$15,0,-H57*(1+$C$8)*Supuestos!$C$10/12)</f>
        <v>18.4704823465988</v>
      </c>
      <c r="I74" s="38" t="n">
        <f aca="false">IF(I$3=Supuestos!$C$15,0,-I57*(1+$C$8)*Supuestos!$C$10/12)</f>
        <v>17.0800634663138</v>
      </c>
      <c r="J74" s="38" t="n">
        <f aca="false">IF(J$3=Supuestos!$C$15,0,-J57*(1+$C$8)*Supuestos!$C$10/12)</f>
        <v>15.6719887657093</v>
      </c>
      <c r="K74" s="38" t="n">
        <f aca="false">IF(K$3=Supuestos!$C$15,0,-K57*(1+$C$8)*Supuestos!$C$10/12)</f>
        <v>14.2584975698398</v>
      </c>
      <c r="L74" s="38" t="n">
        <f aca="false">IF(L$3=Supuestos!$C$15,0,-L57*(1+$C$8)*Supuestos!$C$10/12)</f>
        <v>12.8526792855706</v>
      </c>
      <c r="M74" s="38" t="n">
        <f aca="false">IF(M$3=Supuestos!$C$15,0,-M57*(1+$C$8)*Supuestos!$C$10/12)</f>
        <v>11.4682342925157</v>
      </c>
      <c r="N74" s="38" t="n">
        <f aca="false">IF(N$3=Supuestos!$C$15,0,-N57*(1+$C$8)*Supuestos!$C$10/12)</f>
        <v>10.1191809877409</v>
      </c>
      <c r="O74" s="38" t="n">
        <f aca="false">IF(O$3=Supuestos!$C$15,0,-O57*(1+$C$8)*Supuestos!$C$10/12)</f>
        <v>8.81951126060259</v>
      </c>
      <c r="P74" s="38" t="n">
        <f aca="false">IF(P$3=Supuestos!$C$15,0,-P57*(1+$C$8)*Supuestos!$C$10/12)</f>
        <v>7.58279910569489</v>
      </c>
      <c r="Q74" s="38" t="n">
        <f aca="false">IF(Q$3=Supuestos!$C$15,0,-Q57*(1+$C$8)*Supuestos!$C$10/12)</f>
        <v>6.42176990992807</v>
      </c>
      <c r="R74" s="38" t="n">
        <f aca="false">IF(R$3=Supuestos!$C$15,0,-R57*(1+$C$8)*Supuestos!$C$10/12)</f>
        <v>5.34784141950751</v>
      </c>
      <c r="S74" s="38" t="n">
        <f aca="false">IF(S$3=Supuestos!$C$15,0,-S57*(1+$C$8)*Supuestos!$C$10/12)</f>
        <v>4.37065187207674</v>
      </c>
      <c r="T74" s="38" t="n">
        <f aca="false">IF(T$3=Supuestos!$C$15,0,-T57*(1+$C$8)*Supuestos!$C$10/12)</f>
        <v>3.49759666987111</v>
      </c>
      <c r="U74" s="38" t="n">
        <f aca="false">IF(U$3=Supuestos!$C$15,0,-U57*(1+$C$8)*Supuestos!$C$10/12)</f>
        <v>2.73340249053366</v>
      </c>
      <c r="V74" s="38" t="n">
        <f aca="false">IF(V$3=Supuestos!$C$15,0,-V57*(1+$C$8)*Supuestos!$C$10/12)</f>
        <v>2.07977655706986</v>
      </c>
      <c r="W74" s="38" t="n">
        <f aca="false">IF(W$3=Supuestos!$C$15,0,-W57*(1+$C$8)*Supuestos!$C$10/12)</f>
        <v>1.5351775732895</v>
      </c>
      <c r="X74" s="38" t="n">
        <f aca="false">IF(X$3=Supuestos!$C$15,0,-X57*(1+$C$8)*Supuestos!$C$10/12)</f>
        <v>1.09476077998377</v>
      </c>
      <c r="Y74" s="38" t="n">
        <f aca="false">IF(Y$3=Supuestos!$C$15,0,-Y57*(1+$C$8)*Supuestos!$C$10/12)</f>
        <v>0.750548349241755</v>
      </c>
      <c r="Z74" s="38" t="n">
        <f aca="false">IF(Z$3=Supuestos!$C$15,0,-Z57*(1+$C$8)*Supuestos!$C$10/12)</f>
        <v>0.491862651671221</v>
      </c>
      <c r="AA74" s="38" t="n">
        <f aca="false">IF(AA$3=Supuestos!$C$15,0,-AA57*(1+$C$8)*Supuestos!$C$10/12)</f>
        <v>0.306029435218087</v>
      </c>
      <c r="AB74" s="38" t="n">
        <f aca="false">IF(AB$3=Supuestos!$C$15,0,-AB57*(1+$C$8)*Supuestos!$C$10/12)</f>
        <v>0</v>
      </c>
    </row>
    <row r="75" customFormat="false" ht="15" hidden="false" customHeight="false" outlineLevel="0" collapsed="false">
      <c r="B75" s="3" t="s">
        <v>220</v>
      </c>
      <c r="D75" s="38" t="n">
        <f aca="false">MAX(0,MIN(D66+D67-D68,D73-D74))</f>
        <v>0</v>
      </c>
      <c r="E75" s="38" t="n">
        <f aca="false">MAX(0,MIN(E66+E67-E68,E73-E74))</f>
        <v>0</v>
      </c>
      <c r="F75" s="38" t="n">
        <f aca="false">MAX(0,MIN(F66+F67-F68,F73-F74))</f>
        <v>0</v>
      </c>
      <c r="G75" s="38" t="n">
        <f aca="false">MAX(0,MIN(G66+G67-G68,G73-G74))</f>
        <v>0</v>
      </c>
      <c r="H75" s="38" t="n">
        <f aca="false">MAX(0,MIN(H66+H67-H68,H73-H74))</f>
        <v>0</v>
      </c>
      <c r="I75" s="38" t="n">
        <f aca="false">MAX(0,MIN(I66+I67-I68,I73-I74))</f>
        <v>0</v>
      </c>
      <c r="J75" s="38" t="n">
        <f aca="false">MAX(0,MIN(J66+J67-J68,J73-J74))</f>
        <v>0</v>
      </c>
      <c r="K75" s="38" t="n">
        <f aca="false">MAX(0,MIN(K66+K67-K68,K73-K74))</f>
        <v>3.28256707101922</v>
      </c>
      <c r="L75" s="38" t="n">
        <f aca="false">MAX(0,MIN(L66+L67-L68,L73-L74))</f>
        <v>6.16242043831303</v>
      </c>
      <c r="M75" s="38" t="n">
        <f aca="false">MAX(0,MIN(M66+M67-M68,M73-M74))</f>
        <v>6.93107815964966</v>
      </c>
      <c r="N75" s="38" t="n">
        <f aca="false">MAX(0,MIN(N66+N67-N68,N73-N74))</f>
        <v>7.50284959368553</v>
      </c>
      <c r="O75" s="38" t="n">
        <f aca="false">MAX(0,MIN(O66+O67-O68,O73-O74))</f>
        <v>7.85976007997697</v>
      </c>
      <c r="P75" s="38" t="n">
        <f aca="false">MAX(0,MIN(P66+P67-P68,P73-P74))</f>
        <v>7.9897023622923</v>
      </c>
      <c r="Q75" s="38" t="n">
        <f aca="false">MAX(0,MIN(Q66+Q67-Q68,Q73-Q74))</f>
        <v>7.88788200669595</v>
      </c>
      <c r="R75" s="38" t="n">
        <f aca="false">MAX(0,MIN(R66+R67-R68,R73-R74))</f>
        <v>7.55816052541402</v>
      </c>
      <c r="S75" s="38" t="n">
        <f aca="false">MAX(0,MIN(S66+S67-S68,S73-S74))</f>
        <v>7.01413336855539</v>
      </c>
      <c r="T75" s="38" t="n">
        <f aca="false">MAX(0,MIN(T66+T67-T68,T73-T74))</f>
        <v>6.27972727099333</v>
      </c>
      <c r="U75" s="38" t="n">
        <f aca="false">MAX(0,MIN(U66+U67-U68,U73-U74))</f>
        <v>5.38905980188067</v>
      </c>
      <c r="V75" s="38" t="n">
        <f aca="false">MAX(0,MIN(V66+V67-V68,V73-V74))</f>
        <v>1.14265932152391</v>
      </c>
      <c r="W75" s="38" t="n">
        <f aca="false">MAX(0,MIN(W66+W67-W68,W73-W74))</f>
        <v>0</v>
      </c>
      <c r="X75" s="38" t="n">
        <f aca="false">MAX(0,MIN(X66+X67-X68,X73-X74))</f>
        <v>0</v>
      </c>
      <c r="Y75" s="38" t="n">
        <f aca="false">MAX(0,MIN(Y66+Y67-Y68,Y73-Y74))</f>
        <v>0</v>
      </c>
      <c r="Z75" s="38" t="n">
        <f aca="false">MAX(0,MIN(Z66+Z67-Z68,Z73-Z74))</f>
        <v>0</v>
      </c>
      <c r="AA75" s="38" t="n">
        <f aca="false">MAX(0,MIN(AA66+AA67-AA68,AA73-AA74))</f>
        <v>0</v>
      </c>
      <c r="AB75" s="38" t="n">
        <f aca="false">MAX(0,MIN(AB66+AB67-AB68,AB73-AB74))</f>
        <v>0</v>
      </c>
    </row>
    <row r="76" customFormat="false" ht="15" hidden="false" customHeight="false" outlineLevel="0" collapsed="false">
      <c r="B76" s="3" t="s">
        <v>221</v>
      </c>
      <c r="D76" s="38" t="n">
        <f aca="false">D73-D75</f>
        <v>14.87719</v>
      </c>
      <c r="E76" s="38" t="n">
        <f aca="false">E73-E75</f>
        <v>11.2489853237</v>
      </c>
      <c r="F76" s="38" t="n">
        <f aca="false">F73-F75</f>
        <v>9.08689299639872</v>
      </c>
      <c r="G76" s="38" t="n">
        <f aca="false">G73-G75</f>
        <v>8.33847057116621</v>
      </c>
      <c r="H76" s="38" t="n">
        <f aca="false">H73-H75</f>
        <v>8.92609236221426</v>
      </c>
      <c r="I76" s="38" t="n">
        <f aca="false">I73-I75</f>
        <v>10.7462428981305</v>
      </c>
      <c r="J76" s="38" t="n">
        <f aca="false">J73-J75</f>
        <v>13.6694613600048</v>
      </c>
      <c r="K76" s="38" t="n">
        <f aca="false">K73-K75</f>
        <v>14.2584975698398</v>
      </c>
      <c r="L76" s="38" t="n">
        <f aca="false">L73-L75</f>
        <v>12.8526792855706</v>
      </c>
      <c r="M76" s="38" t="n">
        <f aca="false">M73-M75</f>
        <v>11.4682342925157</v>
      </c>
      <c r="N76" s="38" t="n">
        <f aca="false">N73-N75</f>
        <v>10.1191809877409</v>
      </c>
      <c r="O76" s="38" t="n">
        <f aca="false">O73-O75</f>
        <v>8.81951126060259</v>
      </c>
      <c r="P76" s="38" t="n">
        <f aca="false">P73-P75</f>
        <v>7.58279910569489</v>
      </c>
      <c r="Q76" s="38" t="n">
        <f aca="false">Q73-Q75</f>
        <v>6.42176990992807</v>
      </c>
      <c r="R76" s="38" t="n">
        <f aca="false">R73-R75</f>
        <v>5.34784141950751</v>
      </c>
      <c r="S76" s="38" t="n">
        <f aca="false">S73-S75</f>
        <v>4.37065187207674</v>
      </c>
      <c r="T76" s="38" t="n">
        <f aca="false">T73-T75</f>
        <v>3.49759666987111</v>
      </c>
      <c r="U76" s="38" t="n">
        <f aca="false">U73-U75</f>
        <v>2.73340249053366</v>
      </c>
      <c r="V76" s="38" t="n">
        <f aca="false">V73-V75</f>
        <v>5.32241298840538</v>
      </c>
      <c r="W76" s="38" t="n">
        <f aca="false">W73-W75</f>
        <v>4.95074613145311</v>
      </c>
      <c r="X76" s="38" t="n">
        <f aca="false">X73-X75</f>
        <v>3.54177840590005</v>
      </c>
      <c r="Y76" s="38" t="n">
        <f aca="false">Y73-Y75</f>
        <v>2.24792773237807</v>
      </c>
      <c r="Z76" s="38" t="n">
        <f aca="false">Z73-Z75</f>
        <v>1.10191949680067</v>
      </c>
      <c r="AA76" s="38" t="n">
        <f aca="false">AA73-AA75</f>
        <v>0.123776024750145</v>
      </c>
      <c r="AB76" s="38" t="n">
        <f aca="false">AB73-AB75</f>
        <v>0</v>
      </c>
    </row>
    <row r="77" customFormat="false" ht="15" hidden="false" customHeight="false" outlineLevel="0" collapsed="false">
      <c r="B77" s="3" t="s">
        <v>222</v>
      </c>
      <c r="D77" s="38" t="n">
        <f aca="false">MAX(0,MIN(D70+D71-D72,D76-D74))</f>
        <v>0</v>
      </c>
      <c r="E77" s="38" t="n">
        <f aca="false">MAX(0,MIN(E70+E71-E72,E76-E74))</f>
        <v>0</v>
      </c>
      <c r="F77" s="38" t="n">
        <f aca="false">MAX(0,MIN(F70+F71-F72,F76-F74))</f>
        <v>0</v>
      </c>
      <c r="G77" s="38" t="n">
        <f aca="false">MAX(0,MIN(G70+G71-G72,G76-G74))</f>
        <v>0</v>
      </c>
      <c r="H77" s="38" t="n">
        <f aca="false">MAX(0,MIN(H70+H71-H72,H76-H74))</f>
        <v>0</v>
      </c>
      <c r="I77" s="38" t="n">
        <f aca="false">MAX(0,MIN(I70+I71-I72,I76-I74))</f>
        <v>0</v>
      </c>
      <c r="J77" s="38" t="n">
        <f aca="false">MAX(0,MIN(J70+J71-J72,J76-J74))</f>
        <v>0</v>
      </c>
      <c r="K77" s="38" t="n">
        <f aca="false">MAX(0,MIN(K70+K71-K72,K76-K74))</f>
        <v>0</v>
      </c>
      <c r="L77" s="38" t="n">
        <f aca="false">MAX(0,MIN(L70+L71-L72,L76-L74))</f>
        <v>0</v>
      </c>
      <c r="M77" s="38" t="n">
        <f aca="false">MAX(0,MIN(M70+M71-M72,M76-M74))</f>
        <v>0</v>
      </c>
      <c r="N77" s="38" t="n">
        <f aca="false">MAX(0,MIN(N70+N71-N72,N76-N74))</f>
        <v>0</v>
      </c>
      <c r="O77" s="38" t="n">
        <f aca="false">MAX(0,MIN(O70+O71-O72,O76-O74))</f>
        <v>0</v>
      </c>
      <c r="P77" s="38" t="n">
        <f aca="false">MAX(0,MIN(P70+P71-P72,P76-P74))</f>
        <v>0</v>
      </c>
      <c r="Q77" s="38" t="n">
        <f aca="false">MAX(0,MIN(Q70+Q71-Q72,Q76-Q74))</f>
        <v>0</v>
      </c>
      <c r="R77" s="38" t="n">
        <f aca="false">MAX(0,MIN(R70+R71-R72,R76-R74))</f>
        <v>0</v>
      </c>
      <c r="S77" s="38" t="n">
        <f aca="false">MAX(0,MIN(S70+S71-S72,S76-S74))</f>
        <v>0</v>
      </c>
      <c r="T77" s="38" t="n">
        <f aca="false">MAX(0,MIN(T70+T71-T72,T76-T74))</f>
        <v>0</v>
      </c>
      <c r="U77" s="38" t="n">
        <f aca="false">MAX(0,MIN(U70+U71-U72,U76-U74))</f>
        <v>0</v>
      </c>
      <c r="V77" s="38" t="n">
        <f aca="false">MAX(0,MIN(V70+V71-V72,V76-V74))</f>
        <v>3.24263643133552</v>
      </c>
      <c r="W77" s="38" t="n">
        <f aca="false">MAX(0,MIN(W70+W71-W72,W76-W74))</f>
        <v>3.4155685581636</v>
      </c>
      <c r="X77" s="38" t="n">
        <f aca="false">MAX(0,MIN(X70+X71-X72,X76-X74))</f>
        <v>2.44701762591628</v>
      </c>
      <c r="Y77" s="38" t="n">
        <f aca="false">MAX(0,MIN(Y70+Y71-Y72,Y76-Y74))</f>
        <v>1.49737938313631</v>
      </c>
      <c r="Z77" s="38" t="n">
        <f aca="false">MAX(0,MIN(Z70+Z71-Z72,Z76-Z74))</f>
        <v>0.610056845129444</v>
      </c>
      <c r="AA77" s="38" t="n">
        <f aca="false">MAX(0,MIN(AA70+AA71-AA72,AA76-AA74))</f>
        <v>0</v>
      </c>
      <c r="AB77" s="38" t="n">
        <f aca="false">MAX(0,MIN(AB70+AB71-AB72,AB76-AB74))</f>
        <v>0</v>
      </c>
    </row>
    <row r="78" customFormat="false" ht="15" hidden="false" customHeight="false" outlineLevel="0" collapsed="false">
      <c r="B78" s="3" t="s">
        <v>223</v>
      </c>
      <c r="D78" s="38" t="n">
        <f aca="false">D76-D77</f>
        <v>14.87719</v>
      </c>
      <c r="E78" s="38" t="n">
        <f aca="false">E76-E77</f>
        <v>11.2489853237</v>
      </c>
      <c r="F78" s="38" t="n">
        <f aca="false">F76-F77</f>
        <v>9.08689299639872</v>
      </c>
      <c r="G78" s="38" t="n">
        <f aca="false">G76-G77</f>
        <v>8.33847057116621</v>
      </c>
      <c r="H78" s="38" t="n">
        <f aca="false">H76-H77</f>
        <v>8.92609236221426</v>
      </c>
      <c r="I78" s="38" t="n">
        <f aca="false">I76-I77</f>
        <v>10.7462428981305</v>
      </c>
      <c r="J78" s="38" t="n">
        <f aca="false">J76-J77</f>
        <v>13.6694613600048</v>
      </c>
      <c r="K78" s="38" t="n">
        <f aca="false">K76-K77</f>
        <v>14.2584975698398</v>
      </c>
      <c r="L78" s="38" t="n">
        <f aca="false">L76-L77</f>
        <v>12.8526792855706</v>
      </c>
      <c r="M78" s="38" t="n">
        <f aca="false">M76-M77</f>
        <v>11.4682342925157</v>
      </c>
      <c r="N78" s="38" t="n">
        <f aca="false">N76-N77</f>
        <v>10.1191809877409</v>
      </c>
      <c r="O78" s="38" t="n">
        <f aca="false">O76-O77</f>
        <v>8.81951126060259</v>
      </c>
      <c r="P78" s="38" t="n">
        <f aca="false">P76-P77</f>
        <v>7.58279910569489</v>
      </c>
      <c r="Q78" s="38" t="n">
        <f aca="false">Q76-Q77</f>
        <v>6.42176990992807</v>
      </c>
      <c r="R78" s="38" t="n">
        <f aca="false">R76-R77</f>
        <v>5.34784141950751</v>
      </c>
      <c r="S78" s="38" t="n">
        <f aca="false">S76-S77</f>
        <v>4.37065187207674</v>
      </c>
      <c r="T78" s="38" t="n">
        <f aca="false">T76-T77</f>
        <v>3.49759666987111</v>
      </c>
      <c r="U78" s="38" t="n">
        <f aca="false">U76-U77</f>
        <v>2.73340249053366</v>
      </c>
      <c r="V78" s="38" t="n">
        <f aca="false">V76-V77</f>
        <v>2.07977655706986</v>
      </c>
      <c r="W78" s="38" t="n">
        <f aca="false">W76-W77</f>
        <v>1.5351775732895</v>
      </c>
      <c r="X78" s="38" t="n">
        <f aca="false">X76-X77</f>
        <v>1.09476077998377</v>
      </c>
      <c r="Y78" s="38" t="n">
        <f aca="false">Y76-Y77</f>
        <v>0.750548349241755</v>
      </c>
      <c r="Z78" s="38" t="n">
        <f aca="false">Z76-Z77</f>
        <v>0.491862651671221</v>
      </c>
      <c r="AA78" s="38" t="n">
        <f aca="false">AA76-AA77</f>
        <v>0.123776024750145</v>
      </c>
      <c r="AB78" s="38" t="n">
        <f aca="false">AB76-AB77</f>
        <v>0</v>
      </c>
    </row>
    <row r="79" customFormat="false" ht="15" hidden="false" customHeight="false" outlineLevel="0" collapsed="false">
      <c r="B79" s="3" t="s">
        <v>224</v>
      </c>
      <c r="D79" s="38" t="n">
        <f aca="false">D66+D67-D68-D75</f>
        <v>75</v>
      </c>
      <c r="E79" s="38" t="n">
        <f aca="false">E66+E67-E68-E75</f>
        <v>75</v>
      </c>
      <c r="F79" s="38" t="n">
        <f aca="false">F66+F67-F68-F75</f>
        <v>75</v>
      </c>
      <c r="G79" s="38" t="n">
        <f aca="false">G66+G67-G68-G75</f>
        <v>75</v>
      </c>
      <c r="H79" s="38" t="n">
        <f aca="false">H66+H67-H68-H75</f>
        <v>75</v>
      </c>
      <c r="I79" s="38" t="n">
        <f aca="false">I66+I67-I68-I75</f>
        <v>75</v>
      </c>
      <c r="J79" s="38" t="n">
        <f aca="false">J66+J67-J68-J75</f>
        <v>75</v>
      </c>
      <c r="K79" s="38" t="n">
        <f aca="false">K66+K67-K68-K75</f>
        <v>71.7174329289808</v>
      </c>
      <c r="L79" s="38" t="n">
        <f aca="false">L66+L67-L68-L75</f>
        <v>65.5550124906678</v>
      </c>
      <c r="M79" s="38" t="n">
        <f aca="false">M66+M67-M68-M75</f>
        <v>58.6239343310181</v>
      </c>
      <c r="N79" s="38" t="n">
        <f aca="false">N66+N67-N68-N75</f>
        <v>51.1210847373326</v>
      </c>
      <c r="O79" s="38" t="n">
        <f aca="false">O66+O67-O68-O75</f>
        <v>43.2613246573556</v>
      </c>
      <c r="P79" s="38" t="n">
        <f aca="false">P66+P67-P68-P75</f>
        <v>35.2716222950633</v>
      </c>
      <c r="Q79" s="38" t="n">
        <f aca="false">Q66+Q67-Q68-Q75</f>
        <v>27.3837402883673</v>
      </c>
      <c r="R79" s="38" t="n">
        <f aca="false">R66+R67-R68-R75</f>
        <v>19.8255797629533</v>
      </c>
      <c r="S79" s="38" t="n">
        <f aca="false">S66+S67-S68-S75</f>
        <v>12.8114463943979</v>
      </c>
      <c r="T79" s="38" t="n">
        <f aca="false">T66+T67-T68-T75</f>
        <v>6.53171912340459</v>
      </c>
      <c r="U79" s="38" t="n">
        <f aca="false">U66+U67-U68-U75</f>
        <v>1.14265932152391</v>
      </c>
      <c r="V79" s="38" t="n">
        <f aca="false">V66+V67-V68-V75</f>
        <v>0</v>
      </c>
      <c r="W79" s="38" t="n">
        <f aca="false">W66+W67-W68-W75</f>
        <v>0</v>
      </c>
      <c r="X79" s="38" t="n">
        <f aca="false">X66+X67-X68-X75</f>
        <v>0</v>
      </c>
      <c r="Y79" s="38" t="n">
        <f aca="false">Y66+Y67-Y68-Y75</f>
        <v>0</v>
      </c>
      <c r="Z79" s="38" t="n">
        <f aca="false">Z66+Z67-Z68-Z75</f>
        <v>0</v>
      </c>
      <c r="AA79" s="38" t="n">
        <f aca="false">AA66+AA67-AA68-AA75</f>
        <v>0</v>
      </c>
      <c r="AB79" s="38" t="n">
        <f aca="false">AB66+AB67-AB68-AB75</f>
        <v>0</v>
      </c>
    </row>
    <row r="80" customFormat="false" ht="15" hidden="false" customHeight="false" outlineLevel="0" collapsed="false">
      <c r="B80" s="3" t="s">
        <v>225</v>
      </c>
      <c r="D80" s="38" t="n">
        <f aca="false">D70+D71-D72-D77</f>
        <v>25</v>
      </c>
      <c r="E80" s="38" t="n">
        <f aca="false">E70+E71-E72-E77</f>
        <v>25</v>
      </c>
      <c r="F80" s="38" t="n">
        <f aca="false">F70+F71-F72-F77</f>
        <v>25</v>
      </c>
      <c r="G80" s="38" t="n">
        <f aca="false">G70+G71-G72-G77</f>
        <v>25</v>
      </c>
      <c r="H80" s="38" t="n">
        <f aca="false">H70+H71-H72-H77</f>
        <v>25</v>
      </c>
      <c r="I80" s="38" t="n">
        <f aca="false">I70+I71-I72-I77</f>
        <v>25</v>
      </c>
      <c r="J80" s="38" t="n">
        <f aca="false">J70+J71-J72-J77</f>
        <v>25</v>
      </c>
      <c r="K80" s="38" t="n">
        <f aca="false">K70+K71-K72-K77</f>
        <v>25</v>
      </c>
      <c r="L80" s="38" t="n">
        <f aca="false">L70+L71-L72-L77</f>
        <v>25</v>
      </c>
      <c r="M80" s="38" t="n">
        <f aca="false">M70+M71-M72-M77</f>
        <v>25</v>
      </c>
      <c r="N80" s="38" t="n">
        <f aca="false">N70+N71-N72-N77</f>
        <v>25</v>
      </c>
      <c r="O80" s="38" t="n">
        <f aca="false">O70+O71-O72-O77</f>
        <v>25</v>
      </c>
      <c r="P80" s="38" t="n">
        <f aca="false">P70+P71-P72-P77</f>
        <v>25</v>
      </c>
      <c r="Q80" s="38" t="n">
        <f aca="false">Q70+Q71-Q72-Q77</f>
        <v>25</v>
      </c>
      <c r="R80" s="38" t="n">
        <f aca="false">R70+R71-R72-R77</f>
        <v>25</v>
      </c>
      <c r="S80" s="38" t="n">
        <f aca="false">S70+S71-S72-S77</f>
        <v>25</v>
      </c>
      <c r="T80" s="38" t="n">
        <f aca="false">T70+T71-T72-T77</f>
        <v>25</v>
      </c>
      <c r="U80" s="38" t="n">
        <f aca="false">U70+U71-U72-U77</f>
        <v>25</v>
      </c>
      <c r="V80" s="38" t="n">
        <f aca="false">V70+V71-V72-V77</f>
        <v>21.7573635686645</v>
      </c>
      <c r="W80" s="38" t="n">
        <f aca="false">W70+W71-W72-W77</f>
        <v>18.3417950105009</v>
      </c>
      <c r="X80" s="38" t="n">
        <f aca="false">X70+X71-X72-X77</f>
        <v>15.8947773845846</v>
      </c>
      <c r="Y80" s="38" t="n">
        <f aca="false">Y70+Y71-Y72-Y77</f>
        <v>14.3973980014483</v>
      </c>
      <c r="Z80" s="38" t="n">
        <f aca="false">Z70+Z71-Z72-Z77</f>
        <v>13.7873411563188</v>
      </c>
      <c r="AA80" s="38" t="n">
        <f aca="false">AA70+AA71-AA72-AA77</f>
        <v>13.7873411563188</v>
      </c>
      <c r="AB80" s="38" t="n">
        <f aca="false">AB70+AB71-AB72-AB77</f>
        <v>14.4532869474295</v>
      </c>
    </row>
    <row r="81" customFormat="false" ht="15" hidden="false" customHeight="false" outlineLevel="0" collapsed="false">
      <c r="B81" s="3" t="s">
        <v>226</v>
      </c>
      <c r="D81" s="38" t="n">
        <f aca="false">IF(D79+D80&lt;0.000001,MAX(0,D78-D74),0)</f>
        <v>0</v>
      </c>
      <c r="E81" s="38" t="n">
        <f aca="false">IF(E79+E80&lt;0.000001,MAX(0,E78-E74),0)</f>
        <v>0</v>
      </c>
      <c r="F81" s="38" t="n">
        <f aca="false">IF(F79+F80&lt;0.000001,MAX(0,F78-F74),0)</f>
        <v>0</v>
      </c>
      <c r="G81" s="38" t="n">
        <f aca="false">IF(G79+G80&lt;0.000001,MAX(0,G78-G74),0)</f>
        <v>0</v>
      </c>
      <c r="H81" s="38" t="n">
        <f aca="false">IF(H79+H80&lt;0.000001,MAX(0,H78-H74),0)</f>
        <v>0</v>
      </c>
      <c r="I81" s="38" t="n">
        <f aca="false">IF(I79+I80&lt;0.000001,MAX(0,I78-I74),0)</f>
        <v>0</v>
      </c>
      <c r="J81" s="38" t="n">
        <f aca="false">IF(J79+J80&lt;0.000001,MAX(0,J78-J74),0)</f>
        <v>0</v>
      </c>
      <c r="K81" s="38" t="n">
        <f aca="false">IF(K79+K80&lt;0.000001,MAX(0,K78-K74),0)</f>
        <v>0</v>
      </c>
      <c r="L81" s="38" t="n">
        <f aca="false">IF(L79+L80&lt;0.000001,MAX(0,L78-L74),0)</f>
        <v>0</v>
      </c>
      <c r="M81" s="38" t="n">
        <f aca="false">IF(M79+M80&lt;0.000001,MAX(0,M78-M74),0)</f>
        <v>0</v>
      </c>
      <c r="N81" s="38" t="n">
        <f aca="false">IF(N79+N80&lt;0.000001,MAX(0,N78-N74),0)</f>
        <v>0</v>
      </c>
      <c r="O81" s="38" t="n">
        <f aca="false">IF(O79+O80&lt;0.000001,MAX(0,O78-O74),0)</f>
        <v>0</v>
      </c>
      <c r="P81" s="38" t="n">
        <f aca="false">IF(P79+P80&lt;0.000001,MAX(0,P78-P74),0)</f>
        <v>0</v>
      </c>
      <c r="Q81" s="38" t="n">
        <f aca="false">IF(Q79+Q80&lt;0.000001,MAX(0,Q78-Q74),0)</f>
        <v>0</v>
      </c>
      <c r="R81" s="38" t="n">
        <f aca="false">IF(R79+R80&lt;0.000001,MAX(0,R78-R74),0)</f>
        <v>0</v>
      </c>
      <c r="S81" s="38" t="n">
        <f aca="false">IF(S79+S80&lt;0.000001,MAX(0,S78-S74),0)</f>
        <v>0</v>
      </c>
      <c r="T81" s="38" t="n">
        <f aca="false">IF(T79+T80&lt;0.000001,MAX(0,T78-T74),0)</f>
        <v>0</v>
      </c>
      <c r="U81" s="38" t="n">
        <f aca="false">IF(U79+U80&lt;0.000001,MAX(0,U78-U74),0)</f>
        <v>0</v>
      </c>
      <c r="V81" s="38" t="n">
        <f aca="false">IF(V79+V80&lt;0.000001,MAX(0,V78-V74),0)</f>
        <v>0</v>
      </c>
      <c r="W81" s="38" t="n">
        <f aca="false">IF(W79+W80&lt;0.000001,MAX(0,W78-W74),0)</f>
        <v>0</v>
      </c>
      <c r="X81" s="38" t="n">
        <f aca="false">IF(X79+X80&lt;0.000001,MAX(0,X78-X74),0)</f>
        <v>0</v>
      </c>
      <c r="Y81" s="38" t="n">
        <f aca="false">IF(Y79+Y80&lt;0.000001,MAX(0,Y78-Y74),0)</f>
        <v>0</v>
      </c>
      <c r="Z81" s="38" t="n">
        <f aca="false">IF(Z79+Z80&lt;0.000001,MAX(0,Z78-Z74),0)</f>
        <v>0</v>
      </c>
      <c r="AA81" s="38" t="n">
        <f aca="false">IF(AA79+AA80&lt;0.000001,MAX(0,AA78-AA74),0)</f>
        <v>0</v>
      </c>
      <c r="AB81" s="38" t="n">
        <f aca="false">IF(AB79+AB80&lt;0.000001,MAX(0,AB78-AB74),0)</f>
        <v>0</v>
      </c>
    </row>
    <row r="82" customFormat="false" ht="15" hidden="false" customHeight="false" outlineLevel="0" collapsed="false">
      <c r="B82" s="2" t="s">
        <v>227</v>
      </c>
      <c r="D82" s="38" t="n">
        <f aca="false">D78-D81</f>
        <v>14.87719</v>
      </c>
      <c r="E82" s="38" t="n">
        <f aca="false">E78-E81</f>
        <v>11.2489853237</v>
      </c>
      <c r="F82" s="38" t="n">
        <f aca="false">F78-F81</f>
        <v>9.08689299639872</v>
      </c>
      <c r="G82" s="38" t="n">
        <f aca="false">G78-G81</f>
        <v>8.33847057116621</v>
      </c>
      <c r="H82" s="38" t="n">
        <f aca="false">H78-H81</f>
        <v>8.92609236221426</v>
      </c>
      <c r="I82" s="38" t="n">
        <f aca="false">I78-I81</f>
        <v>10.7462428981305</v>
      </c>
      <c r="J82" s="38" t="n">
        <f aca="false">J78-J81</f>
        <v>13.6694613600048</v>
      </c>
      <c r="K82" s="38" t="n">
        <f aca="false">K78-K81</f>
        <v>14.2584975698398</v>
      </c>
      <c r="L82" s="38" t="n">
        <f aca="false">L78-L81</f>
        <v>12.8526792855706</v>
      </c>
      <c r="M82" s="38" t="n">
        <f aca="false">M78-M81</f>
        <v>11.4682342925157</v>
      </c>
      <c r="N82" s="38" t="n">
        <f aca="false">N78-N81</f>
        <v>10.1191809877409</v>
      </c>
      <c r="O82" s="38" t="n">
        <f aca="false">O78-O81</f>
        <v>8.81951126060259</v>
      </c>
      <c r="P82" s="38" t="n">
        <f aca="false">P78-P81</f>
        <v>7.58279910569489</v>
      </c>
      <c r="Q82" s="38" t="n">
        <f aca="false">Q78-Q81</f>
        <v>6.42176990992807</v>
      </c>
      <c r="R82" s="38" t="n">
        <f aca="false">R78-R81</f>
        <v>5.34784141950751</v>
      </c>
      <c r="S82" s="38" t="n">
        <f aca="false">S78-S81</f>
        <v>4.37065187207674</v>
      </c>
      <c r="T82" s="38" t="n">
        <f aca="false">T78-T81</f>
        <v>3.49759666987111</v>
      </c>
      <c r="U82" s="38" t="n">
        <f aca="false">U78-U81</f>
        <v>2.73340249053366</v>
      </c>
      <c r="V82" s="38" t="n">
        <f aca="false">V78-V81</f>
        <v>2.07977655706986</v>
      </c>
      <c r="W82" s="38" t="n">
        <f aca="false">W78-W81</f>
        <v>1.5351775732895</v>
      </c>
      <c r="X82" s="38" t="n">
        <f aca="false">X78-X81</f>
        <v>1.09476077998377</v>
      </c>
      <c r="Y82" s="38" t="n">
        <f aca="false">Y78-Y81</f>
        <v>0.750548349241755</v>
      </c>
      <c r="Z82" s="38" t="n">
        <f aca="false">Z78-Z81</f>
        <v>0.491862651671221</v>
      </c>
      <c r="AA82" s="38" t="n">
        <f aca="false">AA78-AA81</f>
        <v>0.123776024750145</v>
      </c>
      <c r="AB82" s="38" t="n">
        <f aca="false">AB78-AB81</f>
        <v>0</v>
      </c>
    </row>
    <row r="83" customFormat="false" ht="15" hidden="false" customHeight="false" outlineLevel="0" collapsed="false">
      <c r="B83" s="3" t="s">
        <v>228</v>
      </c>
      <c r="D83" s="10" t="n">
        <f aca="false">IF(AND(D65&lt;0,D66+D70&gt;0.000001),1,0)</f>
        <v>0</v>
      </c>
      <c r="E83" s="10" t="n">
        <f aca="false">IF(AND(E65&lt;0,E66+E70&gt;0.000001),1,0)</f>
        <v>0</v>
      </c>
      <c r="F83" s="10" t="n">
        <f aca="false">IF(AND(F65&lt;0,F66+F70&gt;0.000001),1,0)</f>
        <v>0</v>
      </c>
      <c r="G83" s="10" t="n">
        <f aca="false">IF(AND(G65&lt;0,G66+G70&gt;0.000001),1,0)</f>
        <v>0</v>
      </c>
      <c r="H83" s="10" t="n">
        <f aca="false">IF(AND(H65&lt;0,H66+H70&gt;0.000001),1,0)</f>
        <v>0</v>
      </c>
      <c r="I83" s="10" t="n">
        <f aca="false">IF(AND(I65&lt;0,I66+I70&gt;0.000001),1,0)</f>
        <v>0</v>
      </c>
      <c r="J83" s="10" t="n">
        <f aca="false">IF(AND(J65&lt;0,J66+J70&gt;0.000001),1,0)</f>
        <v>0</v>
      </c>
      <c r="K83" s="10" t="n">
        <f aca="false">IF(AND(K65&lt;0,K66+K70&gt;0.000001),1,0)</f>
        <v>0</v>
      </c>
      <c r="L83" s="10" t="n">
        <f aca="false">IF(AND(L65&lt;0,L66+L70&gt;0.000001),1,0)</f>
        <v>0</v>
      </c>
      <c r="M83" s="10" t="n">
        <f aca="false">IF(AND(M65&lt;0,M66+M70&gt;0.000001),1,0)</f>
        <v>0</v>
      </c>
      <c r="N83" s="10" t="n">
        <f aca="false">IF(AND(N65&lt;0,N66+N70&gt;0.000001),1,0)</f>
        <v>0</v>
      </c>
      <c r="O83" s="10" t="n">
        <f aca="false">IF(AND(O65&lt;0,O66+O70&gt;0.000001),1,0)</f>
        <v>0</v>
      </c>
      <c r="P83" s="10" t="n">
        <f aca="false">IF(AND(P65&lt;0,P66+P70&gt;0.000001),1,0)</f>
        <v>0</v>
      </c>
      <c r="Q83" s="10" t="n">
        <f aca="false">IF(AND(Q65&lt;0,Q66+Q70&gt;0.000001),1,0)</f>
        <v>0</v>
      </c>
      <c r="R83" s="10" t="n">
        <f aca="false">IF(AND(R65&lt;0,R66+R70&gt;0.000001),1,0)</f>
        <v>0</v>
      </c>
      <c r="S83" s="10" t="n">
        <f aca="false">IF(AND(S65&lt;0,S66+S70&gt;0.000001),1,0)</f>
        <v>0</v>
      </c>
      <c r="T83" s="10" t="n">
        <f aca="false">IF(AND(T65&lt;0,T66+T70&gt;0.000001),1,0)</f>
        <v>0</v>
      </c>
      <c r="U83" s="10" t="n">
        <f aca="false">IF(AND(U65&lt;0,U66+U70&gt;0.000001),1,0)</f>
        <v>0</v>
      </c>
      <c r="V83" s="10" t="n">
        <f aca="false">IF(AND(V65&lt;0,V66+V70&gt;0.000001),1,0)</f>
        <v>0</v>
      </c>
      <c r="W83" s="10" t="n">
        <f aca="false">IF(AND(W65&lt;0,W66+W70&gt;0.000001),1,0)</f>
        <v>0</v>
      </c>
      <c r="X83" s="10" t="n">
        <f aca="false">IF(AND(X65&lt;0,X66+X70&gt;0.000001),1,0)</f>
        <v>0</v>
      </c>
      <c r="Y83" s="10" t="n">
        <f aca="false">IF(AND(Y65&lt;0,Y66+Y70&gt;0.000001),1,0)</f>
        <v>0</v>
      </c>
      <c r="Z83" s="10" t="n">
        <f aca="false">IF(AND(Z65&lt;0,Z66+Z70&gt;0.000001),1,0)</f>
        <v>0</v>
      </c>
      <c r="AA83" s="10" t="n">
        <f aca="false">IF(AND(AA65&lt;0,AA66+AA70&gt;0.000001),1,0)</f>
        <v>0</v>
      </c>
      <c r="AB83" s="10" t="n">
        <f aca="false">IF(AND(AB65&lt;0,AB66+AB70&gt;0.000001),1,0)</f>
        <v>0</v>
      </c>
    </row>
    <row r="85" customFormat="false" ht="15" hidden="false" customHeight="false" outlineLevel="0" collapsed="false">
      <c r="A85" s="2" t="s">
        <v>229</v>
      </c>
    </row>
    <row r="86" customFormat="false" ht="15" hidden="false" customHeight="false" outlineLevel="0" collapsed="false">
      <c r="B86" s="3" t="s">
        <v>230</v>
      </c>
      <c r="C86" s="31" t="n">
        <f aca="false">MIN(1,AB79/Supuestos!C5)</f>
        <v>0</v>
      </c>
    </row>
    <row r="87" customFormat="false" ht="15" hidden="false" customHeight="false" outlineLevel="0" collapsed="false">
      <c r="B87" s="3" t="s">
        <v>231</v>
      </c>
      <c r="C87" s="31" t="n">
        <f aca="false">MIN(1,AB80/Supuestos!C7)</f>
        <v>0.578131477897178</v>
      </c>
    </row>
    <row r="88" customFormat="false" ht="15" hidden="false" customHeight="false" outlineLevel="0" collapsed="false">
      <c r="B88" s="3" t="s">
        <v>232</v>
      </c>
      <c r="C88" s="38" t="n">
        <f aca="false">SUM(D67:AB67)-SUM(D68:AB68)</f>
        <v>0</v>
      </c>
    </row>
    <row r="89" customFormat="false" ht="15" hidden="false" customHeight="false" outlineLevel="0" collapsed="false">
      <c r="B89" s="3" t="s">
        <v>233</v>
      </c>
      <c r="C89" s="38" t="n">
        <f aca="false">MIN(IF(D66+D70&gt;0.000001,D65,1000000000),IF(E66+E70&gt;0.000001,E65,1000000000),IF(F66+F70&gt;0.000001,F65,1000000000),IF(G66+G70&gt;0.000001,G65,1000000000),IF(H66+H70&gt;0.000001,H65,1000000000),IF(I66+I70&gt;0.000001,I65,1000000000),IF(J66+J70&gt;0.000001,J65,1000000000),IF(K66+K70&gt;0.000001,K65,1000000000),IF(L66+L70&gt;0.000001,L65,1000000000),IF(M66+M70&gt;0.000001,M65,1000000000),IF(N66+N70&gt;0.000001,N65,1000000000),IF(O66+O70&gt;0.000001,O65,1000000000),IF(P66+P70&gt;0.000001,P65,1000000000),IF(Q66+Q70&gt;0.000001,Q65,1000000000),IF(R66+R70&gt;0.000001,R65,1000000000),IF(S66+S70&gt;0.000001,S65,1000000000),IF(T66+T70&gt;0.000001,T65,1000000000),IF(U66+U70&gt;0.000001,U65,1000000000),IF(V66+V70&gt;0.000001,V65,1000000000),IF(W66+W70&gt;0.000001,W65,1000000000),IF(X66+X70&gt;0.000001,X65,1000000000),IF(Y66+Y70&gt;0.000001,Y65,1000000000),IF(Z66+Z70&gt;0.000001,Z65,1000000000),IF(AA66+AA70&gt;0.000001,AA65,1000000000),IF(AB66+AB70&gt;0.000001,AB65,1000000000))</f>
        <v>0.643851618739666</v>
      </c>
    </row>
    <row r="90" customFormat="false" ht="15" hidden="false" customHeight="false" outlineLevel="0" collapsed="false">
      <c r="B90" s="3" t="s">
        <v>234</v>
      </c>
      <c r="C90" s="10" t="n">
        <f aca="false">SUM(D83:AB83)</f>
        <v>0</v>
      </c>
    </row>
    <row r="91" customFormat="false" ht="15" hidden="false" customHeight="false" outlineLevel="0" collapsed="false">
      <c r="B91" s="3" t="s">
        <v>235</v>
      </c>
      <c r="C91" s="33" t="n">
        <f aca="false">IFERROR(SUMPRODUCT(D75:AB75,D3:AB3)/SUM(D75:AB75),0)</f>
        <v>13.2432740844142</v>
      </c>
    </row>
    <row r="92" customFormat="false" ht="15" hidden="false" customHeight="false" outlineLevel="0" collapsed="false">
      <c r="B92" s="3" t="s">
        <v>236</v>
      </c>
      <c r="C92" s="33" t="n">
        <f aca="false">IFERROR(SUMPRODUCT(D77:AB77,D3:AB3)/SUM(D77:AB77),0)</f>
        <v>20.3593537048095</v>
      </c>
    </row>
    <row r="93" customFormat="false" ht="15" hidden="false" customHeight="false" outlineLevel="0" collapsed="false">
      <c r="B93" s="3" t="s">
        <v>237</v>
      </c>
      <c r="C93" s="33" t="n">
        <f aca="false">(C18*Cartera!D5+C26*Cartera!D6+C34*Cartera!D7+C42*Cartera!D8+C50*Cartera!D9)/Cartera!D10</f>
        <v>8.8779546530178</v>
      </c>
    </row>
    <row r="94" customFormat="false" ht="15" hidden="false" customHeight="false" outlineLevel="0" collapsed="false">
      <c r="B94" s="3" t="s">
        <v>238</v>
      </c>
      <c r="C94" s="10" t="n">
        <f aca="false">IF(AND(C86&lt;=Supuestos!C20+0.000001,C88&lt;0.000001),1,0)</f>
        <v>1</v>
      </c>
    </row>
    <row r="95" customFormat="false" ht="15" hidden="false" customHeight="false" outlineLevel="0" collapsed="false">
      <c r="B95" s="3" t="s">
        <v>239</v>
      </c>
      <c r="C95" s="10" t="n">
        <f aca="false">IF(C87&lt;=Supuestos!C20+0.000001,1,0)</f>
        <v>0</v>
      </c>
    </row>
    <row r="96" customFormat="false" ht="15" hidden="false" customHeight="false" outlineLevel="0" collapsed="false">
      <c r="B96" s="3" t="s">
        <v>240</v>
      </c>
      <c r="C96" s="38" t="n">
        <f aca="false">SUM(D81:AB81)+MAX(0,AB82)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28" min="4" style="0" width="10"/>
  </cols>
  <sheetData>
    <row r="1" customFormat="false" ht="17.3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3" t="s">
        <v>21</v>
      </c>
      <c r="C2" s="2" t="s">
        <v>34</v>
      </c>
    </row>
    <row r="3" customFormat="false" ht="15" hidden="false" customHeight="false" outlineLevel="0" collapsed="false">
      <c r="A3" s="2" t="s">
        <v>185</v>
      </c>
      <c r="D3" s="35" t="n">
        <v>1</v>
      </c>
      <c r="E3" s="35" t="n">
        <v>2</v>
      </c>
      <c r="F3" s="35" t="n">
        <v>3</v>
      </c>
      <c r="G3" s="35" t="n">
        <v>4</v>
      </c>
      <c r="H3" s="35" t="n">
        <v>5</v>
      </c>
      <c r="I3" s="35" t="n">
        <v>6</v>
      </c>
      <c r="J3" s="35" t="n">
        <v>7</v>
      </c>
      <c r="K3" s="35" t="n">
        <v>8</v>
      </c>
      <c r="L3" s="35" t="n">
        <v>9</v>
      </c>
      <c r="M3" s="35" t="n">
        <v>10</v>
      </c>
      <c r="N3" s="35" t="n">
        <v>11</v>
      </c>
      <c r="O3" s="35" t="n">
        <v>12</v>
      </c>
      <c r="P3" s="35" t="n">
        <v>13</v>
      </c>
      <c r="Q3" s="35" t="n">
        <v>14</v>
      </c>
      <c r="R3" s="35" t="n">
        <v>15</v>
      </c>
      <c r="S3" s="35" t="n">
        <v>16</v>
      </c>
      <c r="T3" s="35" t="n">
        <v>17</v>
      </c>
      <c r="U3" s="35" t="n">
        <v>18</v>
      </c>
      <c r="V3" s="35" t="n">
        <v>19</v>
      </c>
      <c r="W3" s="35" t="n">
        <v>20</v>
      </c>
      <c r="X3" s="35" t="n">
        <v>21</v>
      </c>
      <c r="Y3" s="35" t="n">
        <v>22</v>
      </c>
      <c r="Z3" s="35" t="n">
        <v>23</v>
      </c>
      <c r="AA3" s="35" t="n">
        <v>24</v>
      </c>
      <c r="AB3" s="35" t="n">
        <v>25</v>
      </c>
    </row>
    <row r="5" customFormat="false" ht="15" hidden="false" customHeight="false" outlineLevel="0" collapsed="false">
      <c r="A5" s="3" t="s">
        <v>186</v>
      </c>
      <c r="C5" s="5" t="n">
        <f aca="false">Supuestos!C26</f>
        <v>0.82</v>
      </c>
    </row>
    <row r="6" customFormat="false" ht="15" hidden="false" customHeight="false" outlineLevel="0" collapsed="false">
      <c r="A6" s="3" t="s">
        <v>187</v>
      </c>
      <c r="C6" s="5" t="n">
        <f aca="false">Supuestos!D26</f>
        <v>0.03</v>
      </c>
    </row>
    <row r="7" customFormat="false" ht="15" hidden="false" customHeight="false" outlineLevel="0" collapsed="false">
      <c r="A7" s="3" t="s">
        <v>188</v>
      </c>
      <c r="C7" s="12" t="n">
        <f aca="false">Supuestos!E26</f>
        <v>0.03</v>
      </c>
    </row>
    <row r="8" customFormat="false" ht="15" hidden="false" customHeight="false" outlineLevel="0" collapsed="false">
      <c r="A8" s="3" t="s">
        <v>189</v>
      </c>
      <c r="C8" s="7" t="n">
        <f aca="false">Supuestos!F26</f>
        <v>0.01</v>
      </c>
    </row>
    <row r="9" customFormat="false" ht="15" hidden="false" customHeight="false" outlineLevel="0" collapsed="false">
      <c r="A9" s="3" t="s">
        <v>104</v>
      </c>
      <c r="C9" s="12" t="n">
        <f aca="false">Supuestos!G26</f>
        <v>0.3</v>
      </c>
    </row>
    <row r="10" customFormat="false" ht="15" hidden="false" customHeight="false" outlineLevel="0" collapsed="false">
      <c r="A10" s="2" t="s">
        <v>190</v>
      </c>
      <c r="C10" s="36" t="n">
        <f aca="false">MAX(0,C5-IF(Cartera!C10&lt;Supuestos!C16,C6,0))</f>
        <v>0.82</v>
      </c>
    </row>
    <row r="12" customFormat="false" ht="15" hidden="false" customHeight="false" outlineLevel="0" collapsed="false">
      <c r="A12" s="37" t="str">
        <f aca="false">Cartera!A5&amp;" – "&amp;Cartera!B5</f>
        <v>C1 – Edad 75–79, salud estándar</v>
      </c>
    </row>
    <row r="13" customFormat="false" ht="15" hidden="false" customHeight="false" outlineLevel="0" collapsed="false">
      <c r="B13" s="3" t="s">
        <v>191</v>
      </c>
      <c r="D13" s="34" t="n">
        <f aca="false">MIN(1,Cartera!$F$5*(1+Cartera!$G$5)^(D$3-1)*$C$10)</f>
        <v>0.0369</v>
      </c>
      <c r="E13" s="34" t="n">
        <f aca="false">MIN(1,Cartera!$F$5*(1+Cartera!$G$5)^(E$3-1)*$C$10)</f>
        <v>0.040959</v>
      </c>
      <c r="F13" s="34" t="n">
        <f aca="false">MIN(1,Cartera!$F$5*(1+Cartera!$G$5)^(F$3-1)*$C$10)</f>
        <v>0.04546449</v>
      </c>
      <c r="G13" s="34" t="n">
        <f aca="false">MIN(1,Cartera!$F$5*(1+Cartera!$G$5)^(G$3-1)*$C$10)</f>
        <v>0.0504655839</v>
      </c>
      <c r="H13" s="34" t="n">
        <f aca="false">MIN(1,Cartera!$F$5*(1+Cartera!$G$5)^(H$3-1)*$C$10)</f>
        <v>0.056016798129</v>
      </c>
      <c r="I13" s="34" t="n">
        <f aca="false">MIN(1,Cartera!$F$5*(1+Cartera!$G$5)^(I$3-1)*$C$10)</f>
        <v>0.06217864592319</v>
      </c>
      <c r="J13" s="34" t="n">
        <f aca="false">MIN(1,Cartera!$F$5*(1+Cartera!$G$5)^(J$3-1)*$C$10)</f>
        <v>0.0690182969747409</v>
      </c>
      <c r="K13" s="34" t="n">
        <f aca="false">MIN(1,Cartera!$F$5*(1+Cartera!$G$5)^(K$3-1)*$C$10)</f>
        <v>0.0766103096419624</v>
      </c>
      <c r="L13" s="34" t="n">
        <f aca="false">MIN(1,Cartera!$F$5*(1+Cartera!$G$5)^(L$3-1)*$C$10)</f>
        <v>0.0850374437025783</v>
      </c>
      <c r="M13" s="34" t="n">
        <f aca="false">MIN(1,Cartera!$F$5*(1+Cartera!$G$5)^(M$3-1)*$C$10)</f>
        <v>0.0943915625098619</v>
      </c>
      <c r="N13" s="34" t="n">
        <f aca="false">MIN(1,Cartera!$F$5*(1+Cartera!$G$5)^(N$3-1)*$C$10)</f>
        <v>0.104774634385947</v>
      </c>
      <c r="O13" s="34" t="n">
        <f aca="false">MIN(1,Cartera!$F$5*(1+Cartera!$G$5)^(O$3-1)*$C$10)</f>
        <v>0.116299844168401</v>
      </c>
      <c r="P13" s="34" t="n">
        <f aca="false">MIN(1,Cartera!$F$5*(1+Cartera!$G$5)^(P$3-1)*$C$10)</f>
        <v>0.129092827026925</v>
      </c>
      <c r="Q13" s="34" t="n">
        <f aca="false">MIN(1,Cartera!$F$5*(1+Cartera!$G$5)^(Q$3-1)*$C$10)</f>
        <v>0.143293037999887</v>
      </c>
      <c r="R13" s="34" t="n">
        <f aca="false">MIN(1,Cartera!$F$5*(1+Cartera!$G$5)^(R$3-1)*$C$10)</f>
        <v>0.159055272179874</v>
      </c>
      <c r="S13" s="34" t="n">
        <f aca="false">MIN(1,Cartera!$F$5*(1+Cartera!$G$5)^(S$3-1)*$C$10)</f>
        <v>0.176551352119661</v>
      </c>
      <c r="T13" s="34" t="n">
        <f aca="false">MIN(1,Cartera!$F$5*(1+Cartera!$G$5)^(T$3-1)*$C$10)</f>
        <v>0.195972000852823</v>
      </c>
      <c r="U13" s="34" t="n">
        <f aca="false">MIN(1,Cartera!$F$5*(1+Cartera!$G$5)^(U$3-1)*$C$10)</f>
        <v>0.217528920946634</v>
      </c>
      <c r="V13" s="34" t="n">
        <f aca="false">MIN(1,Cartera!$F$5*(1+Cartera!$G$5)^(V$3-1)*$C$10)</f>
        <v>0.241457102250764</v>
      </c>
      <c r="W13" s="34" t="n">
        <f aca="false">MIN(1,Cartera!$F$5*(1+Cartera!$G$5)^(W$3-1)*$C$10)</f>
        <v>0.268017383498348</v>
      </c>
      <c r="X13" s="34" t="n">
        <f aca="false">MIN(1,Cartera!$F$5*(1+Cartera!$G$5)^(X$3-1)*$C$10)</f>
        <v>0.297499295683166</v>
      </c>
      <c r="Y13" s="34" t="n">
        <f aca="false">MIN(1,Cartera!$F$5*(1+Cartera!$G$5)^(Y$3-1)*$C$10)</f>
        <v>0.330224218208314</v>
      </c>
      <c r="Z13" s="34" t="n">
        <f aca="false">MIN(1,Cartera!$F$5*(1+Cartera!$G$5)^(Z$3-1)*$C$10)</f>
        <v>0.366548882211229</v>
      </c>
      <c r="AA13" s="34" t="n">
        <f aca="false">MIN(1,Cartera!$F$5*(1+Cartera!$G$5)^(AA$3-1)*$C$10)</f>
        <v>0.406869259254464</v>
      </c>
      <c r="AB13" s="34" t="n">
        <f aca="false">MIN(1,Cartera!$F$5*(1+Cartera!$G$5)^(AB$3-1)*$C$10)</f>
        <v>0.451624877772455</v>
      </c>
    </row>
    <row r="14" customFormat="false" ht="15" hidden="false" customHeight="false" outlineLevel="0" collapsed="false">
      <c r="B14" s="3" t="s">
        <v>192</v>
      </c>
      <c r="C14" s="3" t="s">
        <v>193</v>
      </c>
      <c r="D14" s="34" t="n">
        <f aca="false">1</f>
        <v>1</v>
      </c>
      <c r="E14" s="34" t="n">
        <f aca="false">D18</f>
        <v>0.9631</v>
      </c>
      <c r="F14" s="34" t="n">
        <f aca="false">E18</f>
        <v>0.9236523871</v>
      </c>
      <c r="G14" s="34" t="n">
        <f aca="false">F18</f>
        <v>0.881659002383216</v>
      </c>
      <c r="H14" s="34" t="n">
        <f aca="false">G18</f>
        <v>0.837165566027255</v>
      </c>
      <c r="I14" s="34" t="n">
        <f aca="false">H18</f>
        <v>0.790270231514557</v>
      </c>
      <c r="J14" s="34" t="n">
        <f aca="false">I18</f>
        <v>0.741132298605576</v>
      </c>
      <c r="K14" s="34" t="n">
        <f aca="false">J18</f>
        <v>0.689980609522844</v>
      </c>
      <c r="L14" s="34" t="n">
        <f aca="false">K18</f>
        <v>0.637120981380349</v>
      </c>
      <c r="M14" s="34" t="n">
        <f aca="false">L18</f>
        <v>0.582941841794486</v>
      </c>
      <c r="N14" s="34" t="n">
        <f aca="false">M18</f>
        <v>0.527917050495128</v>
      </c>
      <c r="O14" s="34" t="n">
        <f aca="false">N18</f>
        <v>0.472604734543393</v>
      </c>
      <c r="P14" s="34" t="n">
        <f aca="false">O18</f>
        <v>0.417640877562748</v>
      </c>
      <c r="Q14" s="34" t="n">
        <f aca="false">P18</f>
        <v>0.363726435996167</v>
      </c>
      <c r="R14" s="34" t="n">
        <f aca="false">Q18</f>
        <v>0.311606969981405</v>
      </c>
      <c r="S14" s="34" t="n">
        <f aca="false">R18</f>
        <v>0.262044238557867</v>
      </c>
      <c r="T14" s="34" t="n">
        <f aca="false">S18</f>
        <v>0.215779973925308</v>
      </c>
      <c r="U14" s="34" t="n">
        <f aca="false">T18</f>
        <v>0.173493140691196</v>
      </c>
      <c r="V14" s="34" t="n">
        <f aca="false">U18</f>
        <v>0.135753365004997</v>
      </c>
      <c r="W14" s="34" t="n">
        <f aca="false">V18</f>
        <v>0.102974750870101</v>
      </c>
      <c r="X14" s="34" t="n">
        <f aca="false">W18</f>
        <v>0.075375727575502</v>
      </c>
      <c r="Y14" s="34" t="n">
        <f aca="false">X18</f>
        <v>0.052951501710184</v>
      </c>
      <c r="Z14" s="34" t="n">
        <f aca="false">Y18</f>
        <v>0.0354656334549823</v>
      </c>
      <c r="AA14" s="34" t="n">
        <f aca="false">Z18</f>
        <v>0.0224657451551454</v>
      </c>
      <c r="AB14" s="34" t="n">
        <f aca="false">AA18</f>
        <v>0.0133251240652718</v>
      </c>
    </row>
    <row r="15" customFormat="false" ht="15" hidden="false" customHeight="false" outlineLevel="0" collapsed="false">
      <c r="B15" s="3" t="s">
        <v>194</v>
      </c>
      <c r="D15" s="34" t="n">
        <f aca="false">D14*D13</f>
        <v>0.0369</v>
      </c>
      <c r="E15" s="34" t="n">
        <f aca="false">E14*E13</f>
        <v>0.0394476129</v>
      </c>
      <c r="F15" s="34" t="n">
        <f aca="false">F14*F13</f>
        <v>0.0419933847167841</v>
      </c>
      <c r="G15" s="34" t="n">
        <f aca="false">G14*G13</f>
        <v>0.0444934363559605</v>
      </c>
      <c r="H15" s="34" t="n">
        <f aca="false">H14*H13</f>
        <v>0.0468953345126988</v>
      </c>
      <c r="I15" s="34" t="n">
        <f aca="false">I14*I13</f>
        <v>0.049137932908981</v>
      </c>
      <c r="J15" s="34" t="n">
        <f aca="false">J14*J13</f>
        <v>0.051151689082732</v>
      </c>
      <c r="K15" s="34" t="n">
        <f aca="false">K14*K13</f>
        <v>0.052859628142495</v>
      </c>
      <c r="L15" s="34" t="n">
        <f aca="false">L14*L13</f>
        <v>0.0541791395858628</v>
      </c>
      <c r="M15" s="34" t="n">
        <f aca="false">M14*M13</f>
        <v>0.0550247912993583</v>
      </c>
      <c r="N15" s="34" t="n">
        <f aca="false">N14*N13</f>
        <v>0.0553123159517344</v>
      </c>
      <c r="O15" s="34" t="n">
        <f aca="false">O14*O13</f>
        <v>0.0549638569806451</v>
      </c>
      <c r="P15" s="34" t="n">
        <f aca="false">P14*P13</f>
        <v>0.053914441566581</v>
      </c>
      <c r="Q15" s="34" t="n">
        <f aca="false">Q14*Q13</f>
        <v>0.0521194660147622</v>
      </c>
      <c r="R15" s="34" t="n">
        <f aca="false">R14*R13</f>
        <v>0.0495627314235383</v>
      </c>
      <c r="S15" s="34" t="n">
        <f aca="false">S14*S13</f>
        <v>0.0462642646325582</v>
      </c>
      <c r="T15" s="34" t="n">
        <f aca="false">T14*T13</f>
        <v>0.0422868332341127</v>
      </c>
      <c r="U15" s="34" t="n">
        <f aca="false">U14*U13</f>
        <v>0.0377397756861983</v>
      </c>
      <c r="V15" s="34" t="n">
        <f aca="false">V14*V13</f>
        <v>0.0327786141348969</v>
      </c>
      <c r="W15" s="34" t="n">
        <f aca="false">W14*W13</f>
        <v>0.0275990232945985</v>
      </c>
      <c r="X15" s="34" t="n">
        <f aca="false">X14*X13</f>
        <v>0.022424225865318</v>
      </c>
      <c r="Y15" s="34" t="n">
        <f aca="false">Y14*Y13</f>
        <v>0.0174858682552017</v>
      </c>
      <c r="Z15" s="34" t="n">
        <f aca="false">Z14*Z13</f>
        <v>0.0129998882998369</v>
      </c>
      <c r="AA15" s="34" t="n">
        <f aca="false">AA14*AA13</f>
        <v>0.00914062108987355</v>
      </c>
      <c r="AB15" s="34" t="n">
        <f aca="false">AB14*AB13</f>
        <v>0.00601795752728118</v>
      </c>
    </row>
    <row r="16" customFormat="false" ht="15" hidden="false" customHeight="false" outlineLevel="0" collapsed="false">
      <c r="B16" s="3" t="s">
        <v>195</v>
      </c>
      <c r="D16" s="38" t="n">
        <f aca="false">D15*Cartera!$D$5</f>
        <v>3.321</v>
      </c>
      <c r="E16" s="38" t="n">
        <f aca="false">E15*Cartera!$D$5</f>
        <v>3.550285161</v>
      </c>
      <c r="F16" s="38" t="n">
        <f aca="false">F15*Cartera!$D$5</f>
        <v>3.77940462451057</v>
      </c>
      <c r="G16" s="38" t="n">
        <f aca="false">G15*Cartera!$D$5</f>
        <v>4.00440927203644</v>
      </c>
      <c r="H16" s="38" t="n">
        <f aca="false">H15*Cartera!$D$5</f>
        <v>4.22058010614289</v>
      </c>
      <c r="I16" s="38" t="n">
        <f aca="false">I15*Cartera!$D$5</f>
        <v>4.42241396180829</v>
      </c>
      <c r="J16" s="38" t="n">
        <f aca="false">J15*Cartera!$D$5</f>
        <v>4.60365201744588</v>
      </c>
      <c r="K16" s="38" t="n">
        <f aca="false">K15*Cartera!$D$5</f>
        <v>4.75736653282455</v>
      </c>
      <c r="L16" s="38" t="n">
        <f aca="false">L15*Cartera!$D$5</f>
        <v>4.87612256272766</v>
      </c>
      <c r="M16" s="38" t="n">
        <f aca="false">M15*Cartera!$D$5</f>
        <v>4.95223121694224</v>
      </c>
      <c r="N16" s="38" t="n">
        <f aca="false">N15*Cartera!$D$5</f>
        <v>4.9781084356561</v>
      </c>
      <c r="O16" s="38" t="n">
        <f aca="false">O15*Cartera!$D$5</f>
        <v>4.94674712825806</v>
      </c>
      <c r="P16" s="38" t="n">
        <f aca="false">P15*Cartera!$D$5</f>
        <v>4.85229974099229</v>
      </c>
      <c r="Q16" s="38" t="n">
        <f aca="false">Q15*Cartera!$D$5</f>
        <v>4.6907519413286</v>
      </c>
      <c r="R16" s="38" t="n">
        <f aca="false">R15*Cartera!$D$5</f>
        <v>4.46064582811845</v>
      </c>
      <c r="S16" s="38" t="n">
        <f aca="false">S15*Cartera!$D$5</f>
        <v>4.16378381693024</v>
      </c>
      <c r="T16" s="38" t="n">
        <f aca="false">T15*Cartera!$D$5</f>
        <v>3.80581499107014</v>
      </c>
      <c r="U16" s="38" t="n">
        <f aca="false">U15*Cartera!$D$5</f>
        <v>3.39657981175785</v>
      </c>
      <c r="V16" s="38" t="n">
        <f aca="false">V15*Cartera!$D$5</f>
        <v>2.95007527214072</v>
      </c>
      <c r="W16" s="38" t="n">
        <f aca="false">W15*Cartera!$D$5</f>
        <v>2.48391209651387</v>
      </c>
      <c r="X16" s="38" t="n">
        <f aca="false">X15*Cartera!$D$5</f>
        <v>2.01818032787862</v>
      </c>
      <c r="Y16" s="38" t="n">
        <f aca="false">Y15*Cartera!$D$5</f>
        <v>1.57372814296815</v>
      </c>
      <c r="Z16" s="38" t="n">
        <f aca="false">Z15*Cartera!$D$5</f>
        <v>1.16998994698532</v>
      </c>
      <c r="AA16" s="38" t="n">
        <f aca="false">AA15*Cartera!$D$5</f>
        <v>0.82265589808862</v>
      </c>
      <c r="AB16" s="38" t="n">
        <f aca="false">AB15*Cartera!$D$5</f>
        <v>0.541616177455306</v>
      </c>
    </row>
    <row r="17" customFormat="false" ht="15" hidden="false" customHeight="false" outlineLevel="0" collapsed="false">
      <c r="B17" s="3" t="s">
        <v>196</v>
      </c>
      <c r="D17" s="38" t="n">
        <f aca="false">D14*Cartera!$D$5*Cartera!$H$5*(1+$C$8)^(D$3-1)</f>
        <v>3.6</v>
      </c>
      <c r="E17" s="38" t="n">
        <f aca="false">E14*Cartera!$D$5*Cartera!$H$5*(1+$C$8)^(E$3-1)</f>
        <v>3.5018316</v>
      </c>
      <c r="F17" s="38" t="n">
        <f aca="false">F14*Cartera!$D$5*Cartera!$H$5*(1+$C$8)^(F$3-1)</f>
        <v>3.39198408029056</v>
      </c>
      <c r="G17" s="38" t="n">
        <f aca="false">G14*Cartera!$D$5*Cartera!$H$5*(1+$C$8)^(G$3-1)</f>
        <v>3.27014694653195</v>
      </c>
      <c r="H17" s="38" t="n">
        <f aca="false">H14*Cartera!$D$5*Cartera!$H$5*(1+$C$8)^(H$3-1)</f>
        <v>3.13616824215077</v>
      </c>
      <c r="I17" s="38" t="n">
        <f aca="false">I14*Cartera!$D$5*Cartera!$H$5*(1+$C$8)^(I$3-1)</f>
        <v>2.99009504021995</v>
      </c>
      <c r="J17" s="38" t="n">
        <f aca="false">J14*Cartera!$D$5*Cartera!$H$5*(1+$C$8)^(J$3-1)</f>
        <v>2.8322167292318</v>
      </c>
      <c r="K17" s="38" t="n">
        <f aca="false">K14*Cartera!$D$5*Cartera!$H$5*(1+$C$8)^(K$3-1)</f>
        <v>2.66310937345602</v>
      </c>
      <c r="L17" s="38" t="n">
        <f aca="false">L14*Cartera!$D$5*Cartera!$H$5*(1+$C$8)^(L$3-1)</f>
        <v>2.48367861714259</v>
      </c>
      <c r="M17" s="38" t="n">
        <f aca="false">M14*Cartera!$D$5*Cartera!$H$5*(1+$C$8)^(M$3-1)</f>
        <v>2.29519766592765</v>
      </c>
      <c r="N17" s="38" t="n">
        <f aca="false">N14*Cartera!$D$5*Cartera!$H$5*(1+$C$8)^(N$3-1)</f>
        <v>2.09933587569147</v>
      </c>
      <c r="O17" s="38" t="n">
        <f aca="false">O14*Cartera!$D$5*Cartera!$H$5*(1+$C$8)^(O$3-1)</f>
        <v>1.89817251413122</v>
      </c>
      <c r="P17" s="38" t="n">
        <f aca="false">P14*Cartera!$D$5*Cartera!$H$5*(1+$C$8)^(P$3-1)</f>
        <v>1.69418949999835</v>
      </c>
      <c r="Q17" s="38" t="n">
        <f aca="false">Q14*Cartera!$D$5*Cartera!$H$5*(1+$C$8)^(Q$3-1)</f>
        <v>1.49023660580347</v>
      </c>
      <c r="R17" s="38" t="n">
        <f aca="false">R14*Cartera!$D$5*Cartera!$H$5*(1+$C$8)^(R$3-1)</f>
        <v>1.28946303597145</v>
      </c>
      <c r="S17" s="38" t="n">
        <f aca="false">S14*Cartera!$D$5*Cartera!$H$5*(1+$C$8)^(S$3-1)</f>
        <v>1.09521081323731</v>
      </c>
      <c r="T17" s="38" t="n">
        <f aca="false">T14*Cartera!$D$5*Cartera!$H$5*(1+$C$8)^(T$3-1)</f>
        <v>0.910868361937233</v>
      </c>
      <c r="U17" s="38" t="n">
        <f aca="false">U14*Cartera!$D$5*Cartera!$H$5*(1+$C$8)^(U$3-1)</f>
        <v>0.739687303200209</v>
      </c>
      <c r="V17" s="38" t="n">
        <f aca="false">V14*Cartera!$D$5*Cartera!$H$5*(1+$C$8)^(V$3-1)</f>
        <v>0.584571761520113</v>
      </c>
      <c r="W17" s="38" t="n">
        <f aca="false">W14*Cartera!$D$5*Cartera!$H$5*(1+$C$8)^(W$3-1)</f>
        <v>0.447856985505101</v>
      </c>
      <c r="X17" s="38" t="n">
        <f aca="false">X14*Cartera!$D$5*Cartera!$H$5*(1+$C$8)^(X$3-1)</f>
        <v>0.331101763349252</v>
      </c>
      <c r="Y17" s="38" t="n">
        <f aca="false">Y14*Cartera!$D$5*Cartera!$H$5*(1+$C$8)^(Y$3-1)</f>
        <v>0.234925214172929</v>
      </c>
      <c r="Z17" s="38" t="n">
        <f aca="false">Z14*Cartera!$D$5*Cartera!$H$5*(1+$C$8)^(Z$3-1)</f>
        <v>0.158920691175105</v>
      </c>
      <c r="AA17" s="38" t="n">
        <f aca="false">AA14*Cartera!$D$5*Cartera!$H$5*(1+$C$8)^(AA$3-1)</f>
        <v>0.101675174359281</v>
      </c>
      <c r="AB17" s="38" t="n">
        <f aca="false">AB14*Cartera!$D$5*Cartera!$H$5*(1+$C$8)^(AB$3-1)</f>
        <v>0.0609097381979834</v>
      </c>
    </row>
    <row r="18" customFormat="false" ht="15" hidden="false" customHeight="false" outlineLevel="0" collapsed="false">
      <c r="B18" s="3" t="s">
        <v>197</v>
      </c>
      <c r="C18" s="33" t="n">
        <f aca="false">SUM(D18:AB18)+0.5</f>
        <v>10.7374553544557</v>
      </c>
      <c r="D18" s="34" t="n">
        <f aca="false">D14-D15</f>
        <v>0.9631</v>
      </c>
      <c r="E18" s="34" t="n">
        <f aca="false">E14-E15</f>
        <v>0.9236523871</v>
      </c>
      <c r="F18" s="34" t="n">
        <f aca="false">F14-F15</f>
        <v>0.881659002383216</v>
      </c>
      <c r="G18" s="34" t="n">
        <f aca="false">G14-G15</f>
        <v>0.837165566027255</v>
      </c>
      <c r="H18" s="34" t="n">
        <f aca="false">H14-H15</f>
        <v>0.790270231514557</v>
      </c>
      <c r="I18" s="34" t="n">
        <f aca="false">I14-I15</f>
        <v>0.741132298605576</v>
      </c>
      <c r="J18" s="34" t="n">
        <f aca="false">J14-J15</f>
        <v>0.689980609522844</v>
      </c>
      <c r="K18" s="34" t="n">
        <f aca="false">K14-K15</f>
        <v>0.637120981380349</v>
      </c>
      <c r="L18" s="34" t="n">
        <f aca="false">L14-L15</f>
        <v>0.582941841794486</v>
      </c>
      <c r="M18" s="34" t="n">
        <f aca="false">M14-M15</f>
        <v>0.527917050495128</v>
      </c>
      <c r="N18" s="34" t="n">
        <f aca="false">N14-N15</f>
        <v>0.472604734543393</v>
      </c>
      <c r="O18" s="34" t="n">
        <f aca="false">O14-O15</f>
        <v>0.417640877562748</v>
      </c>
      <c r="P18" s="34" t="n">
        <f aca="false">P14-P15</f>
        <v>0.363726435996167</v>
      </c>
      <c r="Q18" s="34" t="n">
        <f aca="false">Q14-Q15</f>
        <v>0.311606969981405</v>
      </c>
      <c r="R18" s="34" t="n">
        <f aca="false">R14-R15</f>
        <v>0.262044238557867</v>
      </c>
      <c r="S18" s="34" t="n">
        <f aca="false">S14-S15</f>
        <v>0.215779973925308</v>
      </c>
      <c r="T18" s="34" t="n">
        <f aca="false">T14-T15</f>
        <v>0.173493140691196</v>
      </c>
      <c r="U18" s="34" t="n">
        <f aca="false">U14-U15</f>
        <v>0.135753365004997</v>
      </c>
      <c r="V18" s="34" t="n">
        <f aca="false">V14-V15</f>
        <v>0.102974750870101</v>
      </c>
      <c r="W18" s="34" t="n">
        <f aca="false">W14-W15</f>
        <v>0.075375727575502</v>
      </c>
      <c r="X18" s="34" t="n">
        <f aca="false">X14-X15</f>
        <v>0.052951501710184</v>
      </c>
      <c r="Y18" s="34" t="n">
        <f aca="false">Y14-Y15</f>
        <v>0.0354656334549823</v>
      </c>
      <c r="Z18" s="34" t="n">
        <f aca="false">Z14-Z15</f>
        <v>0.0224657451551454</v>
      </c>
      <c r="AA18" s="34" t="n">
        <f aca="false">AA14-AA15</f>
        <v>0.0133251240652718</v>
      </c>
      <c r="AB18" s="34" t="n">
        <f aca="false">AB14-AB15</f>
        <v>0.00730716653799063</v>
      </c>
    </row>
    <row r="20" customFormat="false" ht="15" hidden="false" customHeight="false" outlineLevel="0" collapsed="false">
      <c r="A20" s="37" t="str">
        <f aca="false">Cartera!A6&amp;" – "&amp;Cartera!B6</f>
        <v>C2 – Edad 80–84, deterioro moderado</v>
      </c>
    </row>
    <row r="21" customFormat="false" ht="15" hidden="false" customHeight="false" outlineLevel="0" collapsed="false">
      <c r="B21" s="3" t="s">
        <v>191</v>
      </c>
      <c r="D21" s="34" t="n">
        <f aca="false">MIN(1,Cartera!$F$6*(1+Cartera!$G$6)^(D$3-1)*$C$10)</f>
        <v>0.0533</v>
      </c>
      <c r="E21" s="34" t="n">
        <f aca="false">MIN(1,Cartera!$F$6*(1+Cartera!$G$6)^(E$3-1)*$C$10)</f>
        <v>0.05863</v>
      </c>
      <c r="F21" s="34" t="n">
        <f aca="false">MIN(1,Cartera!$F$6*(1+Cartera!$G$6)^(F$3-1)*$C$10)</f>
        <v>0.064493</v>
      </c>
      <c r="G21" s="34" t="n">
        <f aca="false">MIN(1,Cartera!$F$6*(1+Cartera!$G$6)^(G$3-1)*$C$10)</f>
        <v>0.0709423</v>
      </c>
      <c r="H21" s="34" t="n">
        <f aca="false">MIN(1,Cartera!$F$6*(1+Cartera!$G$6)^(H$3-1)*$C$10)</f>
        <v>0.07803653</v>
      </c>
      <c r="I21" s="34" t="n">
        <f aca="false">MIN(1,Cartera!$F$6*(1+Cartera!$G$6)^(I$3-1)*$C$10)</f>
        <v>0.085840183</v>
      </c>
      <c r="J21" s="34" t="n">
        <f aca="false">MIN(1,Cartera!$F$6*(1+Cartera!$G$6)^(J$3-1)*$C$10)</f>
        <v>0.0944242013000001</v>
      </c>
      <c r="K21" s="34" t="n">
        <f aca="false">MIN(1,Cartera!$F$6*(1+Cartera!$G$6)^(K$3-1)*$C$10)</f>
        <v>0.10386662143</v>
      </c>
      <c r="L21" s="34" t="n">
        <f aca="false">MIN(1,Cartera!$F$6*(1+Cartera!$G$6)^(L$3-1)*$C$10)</f>
        <v>0.114253283573</v>
      </c>
      <c r="M21" s="34" t="n">
        <f aca="false">MIN(1,Cartera!$F$6*(1+Cartera!$G$6)^(M$3-1)*$C$10)</f>
        <v>0.1256786119303</v>
      </c>
      <c r="N21" s="34" t="n">
        <f aca="false">MIN(1,Cartera!$F$6*(1+Cartera!$G$6)^(N$3-1)*$C$10)</f>
        <v>0.13824647312333</v>
      </c>
      <c r="O21" s="34" t="n">
        <f aca="false">MIN(1,Cartera!$F$6*(1+Cartera!$G$6)^(O$3-1)*$C$10)</f>
        <v>0.152071120435663</v>
      </c>
      <c r="P21" s="34" t="n">
        <f aca="false">MIN(1,Cartera!$F$6*(1+Cartera!$G$6)^(P$3-1)*$C$10)</f>
        <v>0.167278232479229</v>
      </c>
      <c r="Q21" s="34" t="n">
        <f aca="false">MIN(1,Cartera!$F$6*(1+Cartera!$G$6)^(Q$3-1)*$C$10)</f>
        <v>0.184006055727152</v>
      </c>
      <c r="R21" s="34" t="n">
        <f aca="false">MIN(1,Cartera!$F$6*(1+Cartera!$G$6)^(R$3-1)*$C$10)</f>
        <v>0.202406661299868</v>
      </c>
      <c r="S21" s="34" t="n">
        <f aca="false">MIN(1,Cartera!$F$6*(1+Cartera!$G$6)^(S$3-1)*$C$10)</f>
        <v>0.222647327429855</v>
      </c>
      <c r="T21" s="34" t="n">
        <f aca="false">MIN(1,Cartera!$F$6*(1+Cartera!$G$6)^(T$3-1)*$C$10)</f>
        <v>0.24491206017284</v>
      </c>
      <c r="U21" s="34" t="n">
        <f aca="false">MIN(1,Cartera!$F$6*(1+Cartera!$G$6)^(U$3-1)*$C$10)</f>
        <v>0.269403266190124</v>
      </c>
      <c r="V21" s="34" t="n">
        <f aca="false">MIN(1,Cartera!$F$6*(1+Cartera!$G$6)^(V$3-1)*$C$10)</f>
        <v>0.296343592809136</v>
      </c>
      <c r="W21" s="34" t="n">
        <f aca="false">MIN(1,Cartera!$F$6*(1+Cartera!$G$6)^(W$3-1)*$C$10)</f>
        <v>0.32597795209005</v>
      </c>
      <c r="X21" s="34" t="n">
        <f aca="false">MIN(1,Cartera!$F$6*(1+Cartera!$G$6)^(X$3-1)*$C$10)</f>
        <v>0.358575747299055</v>
      </c>
      <c r="Y21" s="34" t="n">
        <f aca="false">MIN(1,Cartera!$F$6*(1+Cartera!$G$6)^(Y$3-1)*$C$10)</f>
        <v>0.394433322028961</v>
      </c>
      <c r="Z21" s="34" t="n">
        <f aca="false">MIN(1,Cartera!$F$6*(1+Cartera!$G$6)^(Z$3-1)*$C$10)</f>
        <v>0.433876654231857</v>
      </c>
      <c r="AA21" s="34" t="n">
        <f aca="false">MIN(1,Cartera!$F$6*(1+Cartera!$G$6)^(AA$3-1)*$C$10)</f>
        <v>0.477264319655042</v>
      </c>
      <c r="AB21" s="34" t="n">
        <f aca="false">MIN(1,Cartera!$F$6*(1+Cartera!$G$6)^(AB$3-1)*$C$10)</f>
        <v>0.524990751620547</v>
      </c>
    </row>
    <row r="22" customFormat="false" ht="15" hidden="false" customHeight="false" outlineLevel="0" collapsed="false">
      <c r="B22" s="3" t="s">
        <v>192</v>
      </c>
      <c r="C22" s="3" t="s">
        <v>193</v>
      </c>
      <c r="D22" s="34" t="n">
        <f aca="false">1</f>
        <v>1</v>
      </c>
      <c r="E22" s="34" t="n">
        <f aca="false">D26</f>
        <v>0.9467</v>
      </c>
      <c r="F22" s="34" t="n">
        <f aca="false">E26</f>
        <v>0.891194979</v>
      </c>
      <c r="G22" s="34" t="n">
        <f aca="false">F26</f>
        <v>0.833719141219353</v>
      </c>
      <c r="H22" s="34" t="n">
        <f aca="false">G26</f>
        <v>0.774573187787227</v>
      </c>
      <c r="I22" s="34" t="n">
        <f aca="false">H26</f>
        <v>0.714128183981274</v>
      </c>
      <c r="J22" s="34" t="n">
        <f aca="false">I26</f>
        <v>0.652827289982863</v>
      </c>
      <c r="K22" s="34" t="n">
        <f aca="false">J26</f>
        <v>0.591184594539388</v>
      </c>
      <c r="L22" s="34" t="n">
        <f aca="false">K26</f>
        <v>0.529780248063117</v>
      </c>
      <c r="M22" s="34" t="n">
        <f aca="false">L26</f>
        <v>0.469251115149788</v>
      </c>
      <c r="N22" s="34" t="n">
        <f aca="false">M26</f>
        <v>0.410276286351017</v>
      </c>
      <c r="O22" s="34" t="n">
        <f aca="false">N26</f>
        <v>0.353557036756851</v>
      </c>
      <c r="P22" s="34" t="n">
        <f aca="false">O26</f>
        <v>0.299791222039324</v>
      </c>
      <c r="Q22" s="34" t="n">
        <f aca="false">P26</f>
        <v>0.249642676303798</v>
      </c>
      <c r="R22" s="34" t="n">
        <f aca="false">Q26</f>
        <v>0.203706912095966</v>
      </c>
      <c r="S22" s="34" t="n">
        <f aca="false">R26</f>
        <v>0.162475276134916</v>
      </c>
      <c r="T22" s="34" t="n">
        <f aca="false">S26</f>
        <v>0.126300590130049</v>
      </c>
      <c r="U22" s="34" t="n">
        <f aca="false">T26</f>
        <v>0.0953680524002532</v>
      </c>
      <c r="V22" s="34" t="n">
        <f aca="false">U26</f>
        <v>0.0696755875934341</v>
      </c>
      <c r="W22" s="34" t="n">
        <f aca="false">V26</f>
        <v>0.0490276736349082</v>
      </c>
      <c r="X22" s="34" t="n">
        <f aca="false">W26</f>
        <v>0.0330457329876615</v>
      </c>
      <c r="Y22" s="34" t="n">
        <f aca="false">X26</f>
        <v>0.0211963345865657</v>
      </c>
      <c r="Z22" s="34" t="n">
        <f aca="false">Y26</f>
        <v>0.0128357939207493</v>
      </c>
      <c r="AA22" s="34" t="n">
        <f aca="false">Z26</f>
        <v>0.00726664260000496</v>
      </c>
      <c r="AB22" s="34" t="n">
        <f aca="false">AA26</f>
        <v>0.00379853336333724</v>
      </c>
    </row>
    <row r="23" customFormat="false" ht="15" hidden="false" customHeight="false" outlineLevel="0" collapsed="false">
      <c r="B23" s="3" t="s">
        <v>194</v>
      </c>
      <c r="D23" s="34" t="n">
        <f aca="false">D22*D21</f>
        <v>0.0533</v>
      </c>
      <c r="E23" s="34" t="n">
        <f aca="false">E22*E21</f>
        <v>0.055505021</v>
      </c>
      <c r="F23" s="34" t="n">
        <f aca="false">F22*F21</f>
        <v>0.057475837780647</v>
      </c>
      <c r="G23" s="34" t="n">
        <f aca="false">G22*G21</f>
        <v>0.0591459534321257</v>
      </c>
      <c r="H23" s="34" t="n">
        <f aca="false">H22*H21</f>
        <v>0.0604450038059536</v>
      </c>
      <c r="I23" s="34" t="n">
        <f aca="false">I22*I21</f>
        <v>0.0613008939984102</v>
      </c>
      <c r="J23" s="34" t="n">
        <f aca="false">J22*J21</f>
        <v>0.0616426954434754</v>
      </c>
      <c r="K23" s="34" t="n">
        <f aca="false">K22*K21</f>
        <v>0.0614043464762707</v>
      </c>
      <c r="L23" s="34" t="n">
        <f aca="false">L22*L21</f>
        <v>0.0605291329133297</v>
      </c>
      <c r="M23" s="34" t="n">
        <f aca="false">M22*M21</f>
        <v>0.0589748287987707</v>
      </c>
      <c r="N23" s="34" t="n">
        <f aca="false">N22*N21</f>
        <v>0.0567192495941655</v>
      </c>
      <c r="O23" s="34" t="n">
        <f aca="false">O22*O21</f>
        <v>0.0537658147175273</v>
      </c>
      <c r="P23" s="34" t="n">
        <f aca="false">P22*P21</f>
        <v>0.0501485457355263</v>
      </c>
      <c r="Q23" s="34" t="n">
        <f aca="false">Q22*Q21</f>
        <v>0.0459357642078321</v>
      </c>
      <c r="R23" s="34" t="n">
        <f aca="false">R22*R21</f>
        <v>0.04123163596105</v>
      </c>
      <c r="S23" s="34" t="n">
        <f aca="false">S22*S21</f>
        <v>0.0361746860048666</v>
      </c>
      <c r="T23" s="34" t="n">
        <f aca="false">T22*T21</f>
        <v>0.0309325377297958</v>
      </c>
      <c r="U23" s="34" t="n">
        <f aca="false">U22*U21</f>
        <v>0.0256924648068191</v>
      </c>
      <c r="V23" s="34" t="n">
        <f aca="false">V22*V21</f>
        <v>0.020647913958526</v>
      </c>
      <c r="W23" s="34" t="n">
        <f aca="false">W22*W21</f>
        <v>0.0159819406472467</v>
      </c>
      <c r="X23" s="34" t="n">
        <f aca="false">X22*X21</f>
        <v>0.0118493984010957</v>
      </c>
      <c r="Y23" s="34" t="n">
        <f aca="false">Y22*Y21</f>
        <v>0.00836054066581647</v>
      </c>
      <c r="Z23" s="34" t="n">
        <f aca="false">Z22*Z21</f>
        <v>0.00556915132074429</v>
      </c>
      <c r="AA23" s="34" t="n">
        <f aca="false">AA22*AA21</f>
        <v>0.00346810923666772</v>
      </c>
      <c r="AB23" s="34" t="n">
        <f aca="false">AB22*AB21</f>
        <v>0.00199419488547414</v>
      </c>
    </row>
    <row r="24" customFormat="false" ht="15" hidden="false" customHeight="false" outlineLevel="0" collapsed="false">
      <c r="B24" s="3" t="s">
        <v>195</v>
      </c>
      <c r="D24" s="38" t="n">
        <f aca="false">D23*Cartera!$D$6</f>
        <v>6.396</v>
      </c>
      <c r="E24" s="38" t="n">
        <f aca="false">E23*Cartera!$D$6</f>
        <v>6.66060252</v>
      </c>
      <c r="F24" s="38" t="n">
        <f aca="false">F23*Cartera!$D$6</f>
        <v>6.89710053367764</v>
      </c>
      <c r="G24" s="38" t="n">
        <f aca="false">G23*Cartera!$D$6</f>
        <v>7.09751441185509</v>
      </c>
      <c r="H24" s="38" t="n">
        <f aca="false">H23*Cartera!$D$6</f>
        <v>7.25340045671443</v>
      </c>
      <c r="I24" s="38" t="n">
        <f aca="false">I23*Cartera!$D$6</f>
        <v>7.35610727980923</v>
      </c>
      <c r="J24" s="38" t="n">
        <f aca="false">J23*Cartera!$D$6</f>
        <v>7.39712345321705</v>
      </c>
      <c r="K24" s="38" t="n">
        <f aca="false">K23*Cartera!$D$6</f>
        <v>7.36852157715248</v>
      </c>
      <c r="L24" s="38" t="n">
        <f aca="false">L23*Cartera!$D$6</f>
        <v>7.26349594959956</v>
      </c>
      <c r="M24" s="38" t="n">
        <f aca="false">M23*Cartera!$D$6</f>
        <v>7.07697945585249</v>
      </c>
      <c r="N24" s="38" t="n">
        <f aca="false">N23*Cartera!$D$6</f>
        <v>6.80630995129987</v>
      </c>
      <c r="O24" s="38" t="n">
        <f aca="false">O23*Cartera!$D$6</f>
        <v>6.45189776610328</v>
      </c>
      <c r="P24" s="38" t="n">
        <f aca="false">P23*Cartera!$D$6</f>
        <v>6.01782548826316</v>
      </c>
      <c r="Q24" s="38" t="n">
        <f aca="false">Q23*Cartera!$D$6</f>
        <v>5.51229170493985</v>
      </c>
      <c r="R24" s="38" t="n">
        <f aca="false">R23*Cartera!$D$6</f>
        <v>4.947796315326</v>
      </c>
      <c r="S24" s="38" t="n">
        <f aca="false">S23*Cartera!$D$6</f>
        <v>4.34096232058399</v>
      </c>
      <c r="T24" s="38" t="n">
        <f aca="false">T23*Cartera!$D$6</f>
        <v>3.71190452757549</v>
      </c>
      <c r="U24" s="38" t="n">
        <f aca="false">U23*Cartera!$D$6</f>
        <v>3.08309577681829</v>
      </c>
      <c r="V24" s="38" t="n">
        <f aca="false">V23*Cartera!$D$6</f>
        <v>2.47774967502312</v>
      </c>
      <c r="W24" s="38" t="n">
        <f aca="false">W23*Cartera!$D$6</f>
        <v>1.91783287766961</v>
      </c>
      <c r="X24" s="38" t="n">
        <f aca="false">X23*Cartera!$D$6</f>
        <v>1.42192780813149</v>
      </c>
      <c r="Y24" s="38" t="n">
        <f aca="false">Y23*Cartera!$D$6</f>
        <v>1.00326487989798</v>
      </c>
      <c r="Z24" s="38" t="n">
        <f aca="false">Z23*Cartera!$D$6</f>
        <v>0.668298158489315</v>
      </c>
      <c r="AA24" s="38" t="n">
        <f aca="false">AA23*Cartera!$D$6</f>
        <v>0.416173108400126</v>
      </c>
      <c r="AB24" s="38" t="n">
        <f aca="false">AB23*Cartera!$D$6</f>
        <v>0.239303386256897</v>
      </c>
    </row>
    <row r="25" customFormat="false" ht="15" hidden="false" customHeight="false" outlineLevel="0" collapsed="false">
      <c r="B25" s="3" t="s">
        <v>196</v>
      </c>
      <c r="D25" s="38" t="n">
        <f aca="false">D22*Cartera!$D$6*Cartera!$H$6*(1+$C$8)^(D$3-1)</f>
        <v>6</v>
      </c>
      <c r="E25" s="38" t="n">
        <f aca="false">E22*Cartera!$D$6*Cartera!$H$6*(1+$C$8)^(E$3-1)</f>
        <v>5.737002</v>
      </c>
      <c r="F25" s="38" t="n">
        <f aca="false">F22*Cartera!$D$6*Cartera!$H$6*(1+$C$8)^(F$3-1)</f>
        <v>5.4546479884674</v>
      </c>
      <c r="G25" s="38" t="n">
        <f aca="false">G22*Cartera!$D$6*Cartera!$H$6*(1+$C$8)^(G$3-1)</f>
        <v>5.15388998950464</v>
      </c>
      <c r="H25" s="38" t="n">
        <f aca="false">H22*Cartera!$D$6*Cartera!$H$6*(1+$C$8)^(H$3-1)</f>
        <v>4.83614379149923</v>
      </c>
      <c r="I25" s="38" t="n">
        <f aca="false">I22*Cartera!$D$6*Cartera!$H$6*(1+$C$8)^(I$3-1)</f>
        <v>4.50333539054388</v>
      </c>
      <c r="J25" s="38" t="n">
        <f aca="false">J22*Cartera!$D$6*Cartera!$H$6*(1+$C$8)^(J$3-1)</f>
        <v>4.15793593907431</v>
      </c>
      <c r="K25" s="38" t="n">
        <f aca="false">K22*Cartera!$D$6*Cartera!$H$6*(1+$C$8)^(K$3-1)</f>
        <v>3.80297942056036</v>
      </c>
      <c r="L25" s="38" t="n">
        <f aca="false">L22*Cartera!$D$6*Cartera!$H$6*(1+$C$8)^(L$3-1)</f>
        <v>3.44205656474673</v>
      </c>
      <c r="M25" s="38" t="n">
        <f aca="false">M22*Cartera!$D$6*Cartera!$H$6*(1+$C$8)^(M$3-1)</f>
        <v>3.07927820298022</v>
      </c>
      <c r="N25" s="38" t="n">
        <f aca="false">N22*Cartera!$D$6*Cartera!$H$6*(1+$C$8)^(N$3-1)</f>
        <v>2.71920158060926</v>
      </c>
      <c r="O25" s="38" t="n">
        <f aca="false">O22*Cartera!$D$6*Cartera!$H$6*(1+$C$8)^(O$3-1)</f>
        <v>2.36671436790243</v>
      </c>
      <c r="P25" s="38" t="n">
        <f aca="false">P22*Cartera!$D$6*Cartera!$H$6*(1+$C$8)^(P$3-1)</f>
        <v>2.02687351684657</v>
      </c>
      <c r="Q25" s="38" t="n">
        <f aca="false">Q22*Cartera!$D$6*Cartera!$H$6*(1+$C$8)^(Q$3-1)</f>
        <v>1.70469991446441</v>
      </c>
      <c r="R25" s="38" t="n">
        <f aca="false">R22*Cartera!$D$6*Cartera!$H$6*(1+$C$8)^(R$3-1)</f>
        <v>1.40493505507545</v>
      </c>
      <c r="S25" s="38" t="n">
        <f aca="false">S22*Cartera!$D$6*Cartera!$H$6*(1+$C$8)^(S$3-1)</f>
        <v>1.13177250964683</v>
      </c>
      <c r="T25" s="38" t="n">
        <f aca="false">T22*Cartera!$D$6*Cartera!$H$6*(1+$C$8)^(T$3-1)</f>
        <v>0.888584248966538</v>
      </c>
      <c r="U25" s="38" t="n">
        <f aca="false">U22*Cartera!$D$6*Cartera!$H$6*(1+$C$8)^(U$3-1)</f>
        <v>0.677668842414158</v>
      </c>
      <c r="V25" s="38" t="n">
        <f aca="false">V22*Cartera!$D$6*Cartera!$H$6*(1+$C$8)^(V$3-1)</f>
        <v>0.500053669301228</v>
      </c>
      <c r="W25" s="38" t="n">
        <f aca="false">W22*Cartera!$D$6*Cartera!$H$6*(1+$C$8)^(W$3-1)</f>
        <v>0.355384628026542</v>
      </c>
      <c r="X25" s="38" t="n">
        <f aca="false">X22*Cartera!$D$6*Cartera!$H$6*(1+$C$8)^(X$3-1)</f>
        <v>0.241932445525947</v>
      </c>
      <c r="Y25" s="38" t="n">
        <f aca="false">Y22*Cartera!$D$6*Cartera!$H$6*(1+$C$8)^(Y$3-1)</f>
        <v>0.156733151456349</v>
      </c>
      <c r="Z25" s="38" t="n">
        <f aca="false">Z22*Cartera!$D$6*Cartera!$H$6*(1+$C$8)^(Z$3-1)</f>
        <v>0.0958614975939063</v>
      </c>
      <c r="AA25" s="38" t="n">
        <f aca="false">AA22*Cartera!$D$6*Cartera!$H$6*(1+$C$8)^(AA$3-1)</f>
        <v>0.0548121260656891</v>
      </c>
      <c r="AB25" s="38" t="n">
        <f aca="false">AB22*Cartera!$D$6*Cartera!$H$6*(1+$C$8)^(AB$3-1)</f>
        <v>0.0289387765502026</v>
      </c>
    </row>
    <row r="26" customFormat="false" ht="15" hidden="false" customHeight="false" outlineLevel="0" collapsed="false">
      <c r="B26" s="3" t="s">
        <v>197</v>
      </c>
      <c r="C26" s="33" t="n">
        <f aca="false">SUM(D26:AB26)+0.5</f>
        <v>9.00312742909971</v>
      </c>
      <c r="D26" s="34" t="n">
        <f aca="false">D22-D23</f>
        <v>0.9467</v>
      </c>
      <c r="E26" s="34" t="n">
        <f aca="false">E22-E23</f>
        <v>0.891194979</v>
      </c>
      <c r="F26" s="34" t="n">
        <f aca="false">F22-F23</f>
        <v>0.833719141219353</v>
      </c>
      <c r="G26" s="34" t="n">
        <f aca="false">G22-G23</f>
        <v>0.774573187787227</v>
      </c>
      <c r="H26" s="34" t="n">
        <f aca="false">H22-H23</f>
        <v>0.714128183981274</v>
      </c>
      <c r="I26" s="34" t="n">
        <f aca="false">I22-I23</f>
        <v>0.652827289982863</v>
      </c>
      <c r="J26" s="34" t="n">
        <f aca="false">J22-J23</f>
        <v>0.591184594539388</v>
      </c>
      <c r="K26" s="34" t="n">
        <f aca="false">K22-K23</f>
        <v>0.529780248063117</v>
      </c>
      <c r="L26" s="34" t="n">
        <f aca="false">L22-L23</f>
        <v>0.469251115149788</v>
      </c>
      <c r="M26" s="34" t="n">
        <f aca="false">M22-M23</f>
        <v>0.410276286351017</v>
      </c>
      <c r="N26" s="34" t="n">
        <f aca="false">N22-N23</f>
        <v>0.353557036756851</v>
      </c>
      <c r="O26" s="34" t="n">
        <f aca="false">O22-O23</f>
        <v>0.299791222039324</v>
      </c>
      <c r="P26" s="34" t="n">
        <f aca="false">P22-P23</f>
        <v>0.249642676303798</v>
      </c>
      <c r="Q26" s="34" t="n">
        <f aca="false">Q22-Q23</f>
        <v>0.203706912095966</v>
      </c>
      <c r="R26" s="34" t="n">
        <f aca="false">R22-R23</f>
        <v>0.162475276134916</v>
      </c>
      <c r="S26" s="34" t="n">
        <f aca="false">S22-S23</f>
        <v>0.126300590130049</v>
      </c>
      <c r="T26" s="34" t="n">
        <f aca="false">T22-T23</f>
        <v>0.0953680524002532</v>
      </c>
      <c r="U26" s="34" t="n">
        <f aca="false">U22-U23</f>
        <v>0.0696755875934341</v>
      </c>
      <c r="V26" s="34" t="n">
        <f aca="false">V22-V23</f>
        <v>0.0490276736349082</v>
      </c>
      <c r="W26" s="34" t="n">
        <f aca="false">W22-W23</f>
        <v>0.0330457329876615</v>
      </c>
      <c r="X26" s="34" t="n">
        <f aca="false">X22-X23</f>
        <v>0.0211963345865657</v>
      </c>
      <c r="Y26" s="34" t="n">
        <f aca="false">Y22-Y23</f>
        <v>0.0128357939207493</v>
      </c>
      <c r="Z26" s="34" t="n">
        <f aca="false">Z22-Z23</f>
        <v>0.00726664260000496</v>
      </c>
      <c r="AA26" s="34" t="n">
        <f aca="false">AA22-AA23</f>
        <v>0.00379853336333724</v>
      </c>
      <c r="AB26" s="34" t="n">
        <f aca="false">AB22-AB23</f>
        <v>0.0018043384778631</v>
      </c>
    </row>
    <row r="28" customFormat="false" ht="15" hidden="false" customHeight="false" outlineLevel="0" collapsed="false">
      <c r="A28" s="37" t="str">
        <f aca="false">Cartera!A7&amp;" – "&amp;Cartera!B7</f>
        <v>C3 – Edad 85–89, deterioro significativo</v>
      </c>
    </row>
    <row r="29" customFormat="false" ht="15" hidden="false" customHeight="false" outlineLevel="0" collapsed="false">
      <c r="B29" s="3" t="s">
        <v>191</v>
      </c>
      <c r="D29" s="34" t="n">
        <f aca="false">MIN(1,Cartera!$F$7*(1+Cartera!$G$7)^(D$3-1)*$C$10)</f>
        <v>0.0779</v>
      </c>
      <c r="E29" s="34" t="n">
        <f aca="false">MIN(1,Cartera!$F$7*(1+Cartera!$G$7)^(E$3-1)*$C$10)</f>
        <v>0.084911</v>
      </c>
      <c r="F29" s="34" t="n">
        <f aca="false">MIN(1,Cartera!$F$7*(1+Cartera!$G$7)^(F$3-1)*$C$10)</f>
        <v>0.09255299</v>
      </c>
      <c r="G29" s="34" t="n">
        <f aca="false">MIN(1,Cartera!$F$7*(1+Cartera!$G$7)^(G$3-1)*$C$10)</f>
        <v>0.1008827591</v>
      </c>
      <c r="H29" s="34" t="n">
        <f aca="false">MIN(1,Cartera!$F$7*(1+Cartera!$G$7)^(H$3-1)*$C$10)</f>
        <v>0.109962207419</v>
      </c>
      <c r="I29" s="34" t="n">
        <f aca="false">MIN(1,Cartera!$F$7*(1+Cartera!$G$7)^(I$3-1)*$C$10)</f>
        <v>0.11985880608671</v>
      </c>
      <c r="J29" s="34" t="n">
        <f aca="false">MIN(1,Cartera!$F$7*(1+Cartera!$G$7)^(J$3-1)*$C$10)</f>
        <v>0.130646098634514</v>
      </c>
      <c r="K29" s="34" t="n">
        <f aca="false">MIN(1,Cartera!$F$7*(1+Cartera!$G$7)^(K$3-1)*$C$10)</f>
        <v>0.14240424751162</v>
      </c>
      <c r="L29" s="34" t="n">
        <f aca="false">MIN(1,Cartera!$F$7*(1+Cartera!$G$7)^(L$3-1)*$C$10)</f>
        <v>0.155220629787666</v>
      </c>
      <c r="M29" s="34" t="n">
        <f aca="false">MIN(1,Cartera!$F$7*(1+Cartera!$G$7)^(M$3-1)*$C$10)</f>
        <v>0.169190486468556</v>
      </c>
      <c r="N29" s="34" t="n">
        <f aca="false">MIN(1,Cartera!$F$7*(1+Cartera!$G$7)^(N$3-1)*$C$10)</f>
        <v>0.184417630250726</v>
      </c>
      <c r="O29" s="34" t="n">
        <f aca="false">MIN(1,Cartera!$F$7*(1+Cartera!$G$7)^(O$3-1)*$C$10)</f>
        <v>0.201015216973291</v>
      </c>
      <c r="P29" s="34" t="n">
        <f aca="false">MIN(1,Cartera!$F$7*(1+Cartera!$G$7)^(P$3-1)*$C$10)</f>
        <v>0.219106586500888</v>
      </c>
      <c r="Q29" s="34" t="n">
        <f aca="false">MIN(1,Cartera!$F$7*(1+Cartera!$G$7)^(Q$3-1)*$C$10)</f>
        <v>0.238826179285968</v>
      </c>
      <c r="R29" s="34" t="n">
        <f aca="false">MIN(1,Cartera!$F$7*(1+Cartera!$G$7)^(R$3-1)*$C$10)</f>
        <v>0.260320535421705</v>
      </c>
      <c r="S29" s="34" t="n">
        <f aca="false">MIN(1,Cartera!$F$7*(1+Cartera!$G$7)^(S$3-1)*$C$10)</f>
        <v>0.283749383609658</v>
      </c>
      <c r="T29" s="34" t="n">
        <f aca="false">MIN(1,Cartera!$F$7*(1+Cartera!$G$7)^(T$3-1)*$C$10)</f>
        <v>0.309286828134527</v>
      </c>
      <c r="U29" s="34" t="n">
        <f aca="false">MIN(1,Cartera!$F$7*(1+Cartera!$G$7)^(U$3-1)*$C$10)</f>
        <v>0.337122642666635</v>
      </c>
      <c r="V29" s="34" t="n">
        <f aca="false">MIN(1,Cartera!$F$7*(1+Cartera!$G$7)^(V$3-1)*$C$10)</f>
        <v>0.367463680506632</v>
      </c>
      <c r="W29" s="34" t="n">
        <f aca="false">MIN(1,Cartera!$F$7*(1+Cartera!$G$7)^(W$3-1)*$C$10)</f>
        <v>0.400535411752229</v>
      </c>
      <c r="X29" s="34" t="n">
        <f aca="false">MIN(1,Cartera!$F$7*(1+Cartera!$G$7)^(X$3-1)*$C$10)</f>
        <v>0.43658359880993</v>
      </c>
      <c r="Y29" s="34" t="n">
        <f aca="false">MIN(1,Cartera!$F$7*(1+Cartera!$G$7)^(Y$3-1)*$C$10)</f>
        <v>0.475876122702823</v>
      </c>
      <c r="Z29" s="34" t="n">
        <f aca="false">MIN(1,Cartera!$F$7*(1+Cartera!$G$7)^(Z$3-1)*$C$10)</f>
        <v>0.518704973746077</v>
      </c>
      <c r="AA29" s="34" t="n">
        <f aca="false">MIN(1,Cartera!$F$7*(1+Cartera!$G$7)^(AA$3-1)*$C$10)</f>
        <v>0.565388421383224</v>
      </c>
      <c r="AB29" s="34" t="n">
        <f aca="false">MIN(1,Cartera!$F$7*(1+Cartera!$G$7)^(AB$3-1)*$C$10)</f>
        <v>0.616273379307715</v>
      </c>
    </row>
    <row r="30" customFormat="false" ht="15" hidden="false" customHeight="false" outlineLevel="0" collapsed="false">
      <c r="B30" s="3" t="s">
        <v>192</v>
      </c>
      <c r="C30" s="3" t="s">
        <v>193</v>
      </c>
      <c r="D30" s="34" t="n">
        <f aca="false">1</f>
        <v>1</v>
      </c>
      <c r="E30" s="34" t="n">
        <f aca="false">D34</f>
        <v>0.9221</v>
      </c>
      <c r="F30" s="34" t="n">
        <f aca="false">E34</f>
        <v>0.8438035669</v>
      </c>
      <c r="G30" s="34" t="n">
        <f aca="false">F34</f>
        <v>0.76570702381074</v>
      </c>
      <c r="H30" s="34" t="n">
        <f aca="false">G34</f>
        <v>0.688460386586463</v>
      </c>
      <c r="I30" s="34" t="n">
        <f aca="false">H34</f>
        <v>0.612755762756878</v>
      </c>
      <c r="J30" s="34" t="n">
        <f aca="false">I34</f>
        <v>0.539311588610087</v>
      </c>
      <c r="K30" s="34" t="n">
        <f aca="false">J34</f>
        <v>0.468852633609797</v>
      </c>
      <c r="L30" s="34" t="n">
        <f aca="false">K34</f>
        <v>0.402086027126752</v>
      </c>
      <c r="M30" s="34" t="n">
        <f aca="false">L34</f>
        <v>0.339673980767317</v>
      </c>
      <c r="N30" s="34" t="n">
        <f aca="false">M34</f>
        <v>0.282204374720584</v>
      </c>
      <c r="O30" s="34" t="n">
        <f aca="false">N34</f>
        <v>0.230160912688226</v>
      </c>
      <c r="P30" s="34" t="n">
        <f aca="false">O34</f>
        <v>0.183895066885431</v>
      </c>
      <c r="Q30" s="34" t="n">
        <f aca="false">P34</f>
        <v>0.143602446505812</v>
      </c>
      <c r="R30" s="34" t="n">
        <f aca="false">Q34</f>
        <v>0.109306422870712</v>
      </c>
      <c r="S30" s="34" t="n">
        <f aca="false">R34</f>
        <v>0.0808517163439766</v>
      </c>
      <c r="T30" s="34" t="n">
        <f aca="false">S34</f>
        <v>0.0579100916675903</v>
      </c>
      <c r="U30" s="34" t="n">
        <f aca="false">T34</f>
        <v>0.0399992630987416</v>
      </c>
      <c r="V30" s="34" t="n">
        <f aca="false">U34</f>
        <v>0.0265146058181758</v>
      </c>
      <c r="W30" s="34" t="n">
        <f aca="false">V34</f>
        <v>0.0167714511770464</v>
      </c>
      <c r="X30" s="34" t="n">
        <f aca="false">W34</f>
        <v>0.0100538910741657</v>
      </c>
      <c r="Y30" s="34" t="n">
        <f aca="false">X34</f>
        <v>0.00566452712696341</v>
      </c>
      <c r="Z30" s="34" t="n">
        <f aca="false">Y34</f>
        <v>0.0029689139208391</v>
      </c>
      <c r="AA30" s="34" t="n">
        <f aca="false">Z34</f>
        <v>0.00142892350347589</v>
      </c>
      <c r="AB30" s="34" t="n">
        <f aca="false">AA34</f>
        <v>0.000621026699568271</v>
      </c>
    </row>
    <row r="31" customFormat="false" ht="15" hidden="false" customHeight="false" outlineLevel="0" collapsed="false">
      <c r="B31" s="3" t="s">
        <v>194</v>
      </c>
      <c r="D31" s="34" t="n">
        <f aca="false">D30*D29</f>
        <v>0.0779</v>
      </c>
      <c r="E31" s="34" t="n">
        <f aca="false">E30*E29</f>
        <v>0.0782964331</v>
      </c>
      <c r="F31" s="34" t="n">
        <f aca="false">F30*F29</f>
        <v>0.07809654308926</v>
      </c>
      <c r="G31" s="34" t="n">
        <f aca="false">G30*G29</f>
        <v>0.0772466372242769</v>
      </c>
      <c r="H31" s="34" t="n">
        <f aca="false">H30*H29</f>
        <v>0.0757046238295856</v>
      </c>
      <c r="I31" s="34" t="n">
        <f aca="false">I30*I29</f>
        <v>0.0734441741467907</v>
      </c>
      <c r="J31" s="34" t="n">
        <f aca="false">J30*J29</f>
        <v>0.0704589550002898</v>
      </c>
      <c r="K31" s="34" t="n">
        <f aca="false">K30*K29</f>
        <v>0.0667666064830445</v>
      </c>
      <c r="L31" s="34" t="n">
        <f aca="false">L30*L29</f>
        <v>0.0624120463594351</v>
      </c>
      <c r="M31" s="34" t="n">
        <f aca="false">M30*M29</f>
        <v>0.0574696060467334</v>
      </c>
      <c r="N31" s="34" t="n">
        <f aca="false">N30*N29</f>
        <v>0.052043462032358</v>
      </c>
      <c r="O31" s="34" t="n">
        <f aca="false">O30*O29</f>
        <v>0.0462658458027945</v>
      </c>
      <c r="P31" s="34" t="n">
        <f aca="false">P30*P29</f>
        <v>0.0402926203796193</v>
      </c>
      <c r="Q31" s="34" t="n">
        <f aca="false">Q30*Q29</f>
        <v>0.0342960236351007</v>
      </c>
      <c r="R31" s="34" t="n">
        <f aca="false">R30*R29</f>
        <v>0.0284547065267349</v>
      </c>
      <c r="S31" s="34" t="n">
        <f aca="false">S30*S29</f>
        <v>0.0229416246763863</v>
      </c>
      <c r="T31" s="34" t="n">
        <f aca="false">T30*T29</f>
        <v>0.0179108285688487</v>
      </c>
      <c r="U31" s="34" t="n">
        <f aca="false">U30*U29</f>
        <v>0.0134846572805658</v>
      </c>
      <c r="V31" s="34" t="n">
        <f aca="false">V30*V29</f>
        <v>0.00974315464112945</v>
      </c>
      <c r="W31" s="34" t="n">
        <f aca="false">W30*W29</f>
        <v>0.00671756010288067</v>
      </c>
      <c r="X31" s="34" t="n">
        <f aca="false">X30*X29</f>
        <v>0.00438936394720229</v>
      </c>
      <c r="Y31" s="34" t="n">
        <f aca="false">Y30*Y29</f>
        <v>0.00269561320612431</v>
      </c>
      <c r="Z31" s="34" t="n">
        <f aca="false">Z30*Z29</f>
        <v>0.00153999041736321</v>
      </c>
      <c r="AA31" s="34" t="n">
        <f aca="false">AA30*AA29</f>
        <v>0.00080789680390762</v>
      </c>
      <c r="AB31" s="34" t="n">
        <f aca="false">AB30*AB29</f>
        <v>0.000382722222783255</v>
      </c>
    </row>
    <row r="32" customFormat="false" ht="15" hidden="false" customHeight="false" outlineLevel="0" collapsed="false">
      <c r="B32" s="3" t="s">
        <v>195</v>
      </c>
      <c r="D32" s="38" t="n">
        <f aca="false">D31*Cartera!$D$7</f>
        <v>7.79</v>
      </c>
      <c r="E32" s="38" t="n">
        <f aca="false">E31*Cartera!$D$7</f>
        <v>7.82964331</v>
      </c>
      <c r="F32" s="38" t="n">
        <f aca="false">F31*Cartera!$D$7</f>
        <v>7.809654308926</v>
      </c>
      <c r="G32" s="38" t="n">
        <f aca="false">G31*Cartera!$D$7</f>
        <v>7.72466372242769</v>
      </c>
      <c r="H32" s="38" t="n">
        <f aca="false">H31*Cartera!$D$7</f>
        <v>7.57046238295856</v>
      </c>
      <c r="I32" s="38" t="n">
        <f aca="false">I31*Cartera!$D$7</f>
        <v>7.34441741467907</v>
      </c>
      <c r="J32" s="38" t="n">
        <f aca="false">J31*Cartera!$D$7</f>
        <v>7.04589550002898</v>
      </c>
      <c r="K32" s="38" t="n">
        <f aca="false">K31*Cartera!$D$7</f>
        <v>6.67666064830445</v>
      </c>
      <c r="L32" s="38" t="n">
        <f aca="false">L31*Cartera!$D$7</f>
        <v>6.24120463594351</v>
      </c>
      <c r="M32" s="38" t="n">
        <f aca="false">M31*Cartera!$D$7</f>
        <v>5.74696060467334</v>
      </c>
      <c r="N32" s="38" t="n">
        <f aca="false">N31*Cartera!$D$7</f>
        <v>5.2043462032358</v>
      </c>
      <c r="O32" s="38" t="n">
        <f aca="false">O31*Cartera!$D$7</f>
        <v>4.62658458027945</v>
      </c>
      <c r="P32" s="38" t="n">
        <f aca="false">P31*Cartera!$D$7</f>
        <v>4.02926203796193</v>
      </c>
      <c r="Q32" s="38" t="n">
        <f aca="false">Q31*Cartera!$D$7</f>
        <v>3.42960236351007</v>
      </c>
      <c r="R32" s="38" t="n">
        <f aca="false">R31*Cartera!$D$7</f>
        <v>2.84547065267349</v>
      </c>
      <c r="S32" s="38" t="n">
        <f aca="false">S31*Cartera!$D$7</f>
        <v>2.29416246763863</v>
      </c>
      <c r="T32" s="38" t="n">
        <f aca="false">T31*Cartera!$D$7</f>
        <v>1.79108285688487</v>
      </c>
      <c r="U32" s="38" t="n">
        <f aca="false">U31*Cartera!$D$7</f>
        <v>1.34846572805658</v>
      </c>
      <c r="V32" s="38" t="n">
        <f aca="false">V31*Cartera!$D$7</f>
        <v>0.974315464112945</v>
      </c>
      <c r="W32" s="38" t="n">
        <f aca="false">W31*Cartera!$D$7</f>
        <v>0.671756010288067</v>
      </c>
      <c r="X32" s="38" t="n">
        <f aca="false">X31*Cartera!$D$7</f>
        <v>0.438936394720229</v>
      </c>
      <c r="Y32" s="38" t="n">
        <f aca="false">Y31*Cartera!$D$7</f>
        <v>0.269561320612431</v>
      </c>
      <c r="Z32" s="38" t="n">
        <f aca="false">Z31*Cartera!$D$7</f>
        <v>0.153999041736321</v>
      </c>
      <c r="AA32" s="38" t="n">
        <f aca="false">AA31*Cartera!$D$7</f>
        <v>0.080789680390762</v>
      </c>
      <c r="AB32" s="38" t="n">
        <f aca="false">AB31*Cartera!$D$7</f>
        <v>0.0382722222783255</v>
      </c>
    </row>
    <row r="33" customFormat="false" ht="15" hidden="false" customHeight="false" outlineLevel="0" collapsed="false">
      <c r="B33" s="3" t="s">
        <v>196</v>
      </c>
      <c r="D33" s="38" t="n">
        <f aca="false">D30*Cartera!$D$7*Cartera!$H$7*(1+$C$8)^(D$3-1)</f>
        <v>6</v>
      </c>
      <c r="E33" s="38" t="n">
        <f aca="false">E30*Cartera!$D$7*Cartera!$H$7*(1+$C$8)^(E$3-1)</f>
        <v>5.587926</v>
      </c>
      <c r="F33" s="38" t="n">
        <f aca="false">F30*Cartera!$D$7*Cartera!$H$7*(1+$C$8)^(F$3-1)</f>
        <v>5.16458411156814</v>
      </c>
      <c r="G33" s="38" t="n">
        <f aca="false">G30*Cartera!$D$7*Cartera!$H$7*(1+$C$8)^(G$3-1)</f>
        <v>4.73345227403538</v>
      </c>
      <c r="H33" s="38" t="n">
        <f aca="false">H30*Cartera!$D$7*Cartera!$H$7*(1+$C$8)^(H$3-1)</f>
        <v>4.29848783404814</v>
      </c>
      <c r="I33" s="38" t="n">
        <f aca="false">I30*Cartera!$D$7*Cartera!$H$7*(1+$C$8)^(I$3-1)</f>
        <v>3.86407478948502</v>
      </c>
      <c r="J33" s="38" t="n">
        <f aca="false">J30*Cartera!$D$7*Cartera!$H$7*(1+$C$8)^(J$3-1)</f>
        <v>3.43494071257346</v>
      </c>
      <c r="K33" s="38" t="n">
        <f aca="false">K30*Cartera!$D$7*Cartera!$H$7*(1+$C$8)^(K$3-1)</f>
        <v>3.01604090052923</v>
      </c>
      <c r="L33" s="38" t="n">
        <f aca="false">L30*Cartera!$D$7*Cartera!$H$7*(1+$C$8)^(L$3-1)</f>
        <v>2.61240930428135</v>
      </c>
      <c r="M33" s="38" t="n">
        <f aca="false">M30*Cartera!$D$7*Cartera!$H$7*(1+$C$8)^(M$3-1)</f>
        <v>2.22897858167572</v>
      </c>
      <c r="N33" s="38" t="n">
        <f aca="false">N30*Cartera!$D$7*Cartera!$H$7*(1+$C$8)^(N$3-1)</f>
        <v>1.87037517722515</v>
      </c>
      <c r="O33" s="38" t="n">
        <f aca="false">O30*Cartera!$D$7*Cartera!$H$7*(1+$C$8)^(O$3-1)</f>
        <v>1.54069946955512</v>
      </c>
      <c r="P33" s="38" t="n">
        <f aca="false">P30*Cartera!$D$7*Cartera!$H$7*(1+$C$8)^(P$3-1)</f>
        <v>1.24330538570578</v>
      </c>
      <c r="Q33" s="38" t="n">
        <f aca="false">Q30*Cartera!$D$7*Cartera!$H$7*(1+$C$8)^(Q$3-1)</f>
        <v>0.980597876532275</v>
      </c>
      <c r="R33" s="38" t="n">
        <f aca="false">R30*Cartera!$D$7*Cartera!$H$7*(1+$C$8)^(R$3-1)</f>
        <v>0.75386948658678</v>
      </c>
      <c r="S33" s="38" t="n">
        <f aca="false">S30*Cartera!$D$7*Cartera!$H$7*(1+$C$8)^(S$3-1)</f>
        <v>0.563197995982428</v>
      </c>
      <c r="T33" s="38" t="n">
        <f aca="false">T30*Cartera!$D$7*Cartera!$H$7*(1+$C$8)^(T$3-1)</f>
        <v>0.407424820889942</v>
      </c>
      <c r="U33" s="38" t="n">
        <f aca="false">U30*Cartera!$D$7*Cartera!$H$7*(1+$C$8)^(U$3-1)</f>
        <v>0.28422782723695</v>
      </c>
      <c r="V33" s="38" t="n">
        <f aca="false">V30*Cartera!$D$7*Cartera!$H$7*(1+$C$8)^(V$3-1)</f>
        <v>0.190292272909428</v>
      </c>
      <c r="W33" s="38" t="n">
        <f aca="false">W30*Cartera!$D$7*Cartera!$H$7*(1+$C$8)^(W$3-1)</f>
        <v>0.121570441673499</v>
      </c>
      <c r="X33" s="38" t="n">
        <f aca="false">X30*Cartera!$D$7*Cartera!$H$7*(1+$C$8)^(X$3-1)</f>
        <v>0.0736059465085125</v>
      </c>
      <c r="Y33" s="38" t="n">
        <f aca="false">Y30*Cartera!$D$7*Cartera!$H$7*(1+$C$8)^(Y$3-1)</f>
        <v>0.0418855054628951</v>
      </c>
      <c r="Z33" s="38" t="n">
        <f aca="false">Z30*Cartera!$D$7*Cartera!$H$7*(1+$C$8)^(Z$3-1)</f>
        <v>0.0221727254610223</v>
      </c>
      <c r="AA33" s="38" t="n">
        <f aca="false">AA30*Cartera!$D$7*Cartera!$H$7*(1+$C$8)^(AA$3-1)</f>
        <v>0.0107783387077126</v>
      </c>
      <c r="AB33" s="38" t="n">
        <f aca="false">AB30*Cartera!$D$7*Cartera!$H$7*(1+$C$8)^(AB$3-1)</f>
        <v>0.00473123470863152</v>
      </c>
    </row>
    <row r="34" customFormat="false" ht="15" hidden="false" customHeight="false" outlineLevel="0" collapsed="false">
      <c r="B34" s="3" t="s">
        <v>197</v>
      </c>
      <c r="C34" s="33" t="n">
        <f aca="false">SUM(D34:AB34)+0.5</f>
        <v>7.27494290874613</v>
      </c>
      <c r="D34" s="34" t="n">
        <f aca="false">D30-D31</f>
        <v>0.9221</v>
      </c>
      <c r="E34" s="34" t="n">
        <f aca="false">E30-E31</f>
        <v>0.8438035669</v>
      </c>
      <c r="F34" s="34" t="n">
        <f aca="false">F30-F31</f>
        <v>0.76570702381074</v>
      </c>
      <c r="G34" s="34" t="n">
        <f aca="false">G30-G31</f>
        <v>0.688460386586463</v>
      </c>
      <c r="H34" s="34" t="n">
        <f aca="false">H30-H31</f>
        <v>0.612755762756878</v>
      </c>
      <c r="I34" s="34" t="n">
        <f aca="false">I30-I31</f>
        <v>0.539311588610087</v>
      </c>
      <c r="J34" s="34" t="n">
        <f aca="false">J30-J31</f>
        <v>0.468852633609797</v>
      </c>
      <c r="K34" s="34" t="n">
        <f aca="false">K30-K31</f>
        <v>0.402086027126752</v>
      </c>
      <c r="L34" s="34" t="n">
        <f aca="false">L30-L31</f>
        <v>0.339673980767317</v>
      </c>
      <c r="M34" s="34" t="n">
        <f aca="false">M30-M31</f>
        <v>0.282204374720584</v>
      </c>
      <c r="N34" s="34" t="n">
        <f aca="false">N30-N31</f>
        <v>0.230160912688226</v>
      </c>
      <c r="O34" s="34" t="n">
        <f aca="false">O30-O31</f>
        <v>0.183895066885431</v>
      </c>
      <c r="P34" s="34" t="n">
        <f aca="false">P30-P31</f>
        <v>0.143602446505812</v>
      </c>
      <c r="Q34" s="34" t="n">
        <f aca="false">Q30-Q31</f>
        <v>0.109306422870712</v>
      </c>
      <c r="R34" s="34" t="n">
        <f aca="false">R30-R31</f>
        <v>0.0808517163439766</v>
      </c>
      <c r="S34" s="34" t="n">
        <f aca="false">S30-S31</f>
        <v>0.0579100916675903</v>
      </c>
      <c r="T34" s="34" t="n">
        <f aca="false">T30-T31</f>
        <v>0.0399992630987416</v>
      </c>
      <c r="U34" s="34" t="n">
        <f aca="false">U30-U31</f>
        <v>0.0265146058181758</v>
      </c>
      <c r="V34" s="34" t="n">
        <f aca="false">V30-V31</f>
        <v>0.0167714511770464</v>
      </c>
      <c r="W34" s="34" t="n">
        <f aca="false">W30-W31</f>
        <v>0.0100538910741657</v>
      </c>
      <c r="X34" s="34" t="n">
        <f aca="false">X30-X31</f>
        <v>0.00566452712696341</v>
      </c>
      <c r="Y34" s="34" t="n">
        <f aca="false">Y30-Y31</f>
        <v>0.0029689139208391</v>
      </c>
      <c r="Z34" s="34" t="n">
        <f aca="false">Z30-Z31</f>
        <v>0.00142892350347589</v>
      </c>
      <c r="AA34" s="34" t="n">
        <f aca="false">AA30-AA31</f>
        <v>0.000621026699568271</v>
      </c>
      <c r="AB34" s="34" t="n">
        <f aca="false">AB30-AB31</f>
        <v>0.000238304476785016</v>
      </c>
    </row>
    <row r="36" customFormat="false" ht="15" hidden="false" customHeight="false" outlineLevel="0" collapsed="false">
      <c r="A36" s="37" t="str">
        <f aca="false">Cartera!A8&amp;" – "&amp;Cartera!B8</f>
        <v>C4 – Edad 90+, deterioro severo</v>
      </c>
    </row>
    <row r="37" customFormat="false" ht="15" hidden="false" customHeight="false" outlineLevel="0" collapsed="false">
      <c r="B37" s="3" t="s">
        <v>191</v>
      </c>
      <c r="D37" s="34" t="n">
        <f aca="false">MIN(1,Cartera!$F$8*(1+Cartera!$G$8)^(D$3-1)*$C$10)</f>
        <v>0.1148</v>
      </c>
      <c r="E37" s="34" t="n">
        <f aca="false">MIN(1,Cartera!$F$8*(1+Cartera!$G$8)^(E$3-1)*$C$10)</f>
        <v>0.123984</v>
      </c>
      <c r="F37" s="34" t="n">
        <f aca="false">MIN(1,Cartera!$F$8*(1+Cartera!$G$8)^(F$3-1)*$C$10)</f>
        <v>0.13390272</v>
      </c>
      <c r="G37" s="34" t="n">
        <f aca="false">MIN(1,Cartera!$F$8*(1+Cartera!$G$8)^(G$3-1)*$C$10)</f>
        <v>0.1446149376</v>
      </c>
      <c r="H37" s="34" t="n">
        <f aca="false">MIN(1,Cartera!$F$8*(1+Cartera!$G$8)^(H$3-1)*$C$10)</f>
        <v>0.156184132608</v>
      </c>
      <c r="I37" s="34" t="n">
        <f aca="false">MIN(1,Cartera!$F$8*(1+Cartera!$G$8)^(I$3-1)*$C$10)</f>
        <v>0.16867886321664</v>
      </c>
      <c r="J37" s="34" t="n">
        <f aca="false">MIN(1,Cartera!$F$8*(1+Cartera!$G$8)^(J$3-1)*$C$10)</f>
        <v>0.182173172273971</v>
      </c>
      <c r="K37" s="34" t="n">
        <f aca="false">MIN(1,Cartera!$F$8*(1+Cartera!$G$8)^(K$3-1)*$C$10)</f>
        <v>0.196747026055889</v>
      </c>
      <c r="L37" s="34" t="n">
        <f aca="false">MIN(1,Cartera!$F$8*(1+Cartera!$G$8)^(L$3-1)*$C$10)</f>
        <v>0.21248678814036</v>
      </c>
      <c r="M37" s="34" t="n">
        <f aca="false">MIN(1,Cartera!$F$8*(1+Cartera!$G$8)^(M$3-1)*$C$10)</f>
        <v>0.229485731191589</v>
      </c>
      <c r="N37" s="34" t="n">
        <f aca="false">MIN(1,Cartera!$F$8*(1+Cartera!$G$8)^(N$3-1)*$C$10)</f>
        <v>0.247844589686916</v>
      </c>
      <c r="O37" s="34" t="n">
        <f aca="false">MIN(1,Cartera!$F$8*(1+Cartera!$G$8)^(O$3-1)*$C$10)</f>
        <v>0.267672156861869</v>
      </c>
      <c r="P37" s="34" t="n">
        <f aca="false">MIN(1,Cartera!$F$8*(1+Cartera!$G$8)^(P$3-1)*$C$10)</f>
        <v>0.289085929410819</v>
      </c>
      <c r="Q37" s="34" t="n">
        <f aca="false">MIN(1,Cartera!$F$8*(1+Cartera!$G$8)^(Q$3-1)*$C$10)</f>
        <v>0.312212803763685</v>
      </c>
      <c r="R37" s="34" t="n">
        <f aca="false">MIN(1,Cartera!$F$8*(1+Cartera!$G$8)^(R$3-1)*$C$10)</f>
        <v>0.337189828064779</v>
      </c>
      <c r="S37" s="34" t="n">
        <f aca="false">MIN(1,Cartera!$F$8*(1+Cartera!$G$8)^(S$3-1)*$C$10)</f>
        <v>0.364165014309962</v>
      </c>
      <c r="T37" s="34" t="n">
        <f aca="false">MIN(1,Cartera!$F$8*(1+Cartera!$G$8)^(T$3-1)*$C$10)</f>
        <v>0.393298215454759</v>
      </c>
      <c r="U37" s="34" t="n">
        <f aca="false">MIN(1,Cartera!$F$8*(1+Cartera!$G$8)^(U$3-1)*$C$10)</f>
        <v>0.424762072691139</v>
      </c>
      <c r="V37" s="34" t="n">
        <f aca="false">MIN(1,Cartera!$F$8*(1+Cartera!$G$8)^(V$3-1)*$C$10)</f>
        <v>0.45874303850643</v>
      </c>
      <c r="W37" s="34" t="n">
        <f aca="false">MIN(1,Cartera!$F$8*(1+Cartera!$G$8)^(W$3-1)*$C$10)</f>
        <v>0.495442481586945</v>
      </c>
      <c r="X37" s="34" t="n">
        <f aca="false">MIN(1,Cartera!$F$8*(1+Cartera!$G$8)^(X$3-1)*$C$10)</f>
        <v>0.535077880113901</v>
      </c>
      <c r="Y37" s="34" t="n">
        <f aca="false">MIN(1,Cartera!$F$8*(1+Cartera!$G$8)^(Y$3-1)*$C$10)</f>
        <v>0.577884110523013</v>
      </c>
      <c r="Z37" s="34" t="n">
        <f aca="false">MIN(1,Cartera!$F$8*(1+Cartera!$G$8)^(Z$3-1)*$C$10)</f>
        <v>0.624114839364854</v>
      </c>
      <c r="AA37" s="34" t="n">
        <f aca="false">MIN(1,Cartera!$F$8*(1+Cartera!$G$8)^(AA$3-1)*$C$10)</f>
        <v>0.674044026514042</v>
      </c>
      <c r="AB37" s="34" t="n">
        <f aca="false">MIN(1,Cartera!$F$8*(1+Cartera!$G$8)^(AB$3-1)*$C$10)</f>
        <v>0.727967548635166</v>
      </c>
    </row>
    <row r="38" customFormat="false" ht="15" hidden="false" customHeight="false" outlineLevel="0" collapsed="false">
      <c r="B38" s="3" t="s">
        <v>192</v>
      </c>
      <c r="C38" s="3" t="s">
        <v>193</v>
      </c>
      <c r="D38" s="34" t="n">
        <f aca="false">1</f>
        <v>1</v>
      </c>
      <c r="E38" s="34" t="n">
        <f aca="false">D42</f>
        <v>0.8852</v>
      </c>
      <c r="F38" s="34" t="n">
        <f aca="false">E42</f>
        <v>0.7754493632</v>
      </c>
      <c r="G38" s="34" t="n">
        <f aca="false">F42</f>
        <v>0.671614584245252</v>
      </c>
      <c r="H38" s="34" t="n">
        <f aca="false">G42</f>
        <v>0.574489083053375</v>
      </c>
      <c r="I38" s="34" t="n">
        <f aca="false">H42</f>
        <v>0.484763003923918</v>
      </c>
      <c r="J38" s="34" t="n">
        <f aca="false">I42</f>
        <v>0.402993731492548</v>
      </c>
      <c r="K38" s="34" t="n">
        <f aca="false">J42</f>
        <v>0.329579085020026</v>
      </c>
      <c r="L38" s="34" t="n">
        <f aca="false">K42</f>
        <v>0.264735380192115</v>
      </c>
      <c r="M38" s="34" t="n">
        <f aca="false">L42</f>
        <v>0.208482609547975</v>
      </c>
      <c r="N38" s="34" t="n">
        <f aca="false">M42</f>
        <v>0.160638825455127</v>
      </c>
      <c r="O38" s="34" t="n">
        <f aca="false">N42</f>
        <v>0.120825361672413</v>
      </c>
      <c r="P38" s="34" t="n">
        <f aca="false">O42</f>
        <v>0.088483776509943</v>
      </c>
      <c r="Q38" s="34" t="n">
        <f aca="false">P42</f>
        <v>0.0629043617397869</v>
      </c>
      <c r="R38" s="34" t="n">
        <f aca="false">Q42</f>
        <v>0.043264814592043</v>
      </c>
      <c r="S38" s="34" t="n">
        <f aca="false">R42</f>
        <v>0.0286763591984975</v>
      </c>
      <c r="T38" s="34" t="n">
        <f aca="false">S42</f>
        <v>0.018233432440619</v>
      </c>
      <c r="U38" s="34" t="n">
        <f aca="false">T42</f>
        <v>0.0110622560001087</v>
      </c>
      <c r="V38" s="34" t="n">
        <f aca="false">U42</f>
        <v>0.00636342921286252</v>
      </c>
      <c r="W38" s="34" t="n">
        <f aca="false">V42</f>
        <v>0.00344425036043338</v>
      </c>
      <c r="X38" s="34" t="n">
        <f aca="false">W42</f>
        <v>0.00173782241465354</v>
      </c>
      <c r="Y38" s="34" t="n">
        <f aca="false">X42</f>
        <v>0.000807952081006303</v>
      </c>
      <c r="Z38" s="34" t="n">
        <f aca="false">Y42</f>
        <v>0.000341049411328758</v>
      </c>
      <c r="AA38" s="34" t="n">
        <f aca="false">Z42</f>
        <v>0.000128195412761832</v>
      </c>
      <c r="AB38" s="34" t="n">
        <f aca="false">AA42</f>
        <v>4.17860605632173E-005</v>
      </c>
    </row>
    <row r="39" customFormat="false" ht="15" hidden="false" customHeight="false" outlineLevel="0" collapsed="false">
      <c r="B39" s="3" t="s">
        <v>194</v>
      </c>
      <c r="D39" s="34" t="n">
        <f aca="false">D38*D37</f>
        <v>0.1148</v>
      </c>
      <c r="E39" s="34" t="n">
        <f aca="false">E38*E37</f>
        <v>0.1097506368</v>
      </c>
      <c r="F39" s="34" t="n">
        <f aca="false">F38*F37</f>
        <v>0.103834778954748</v>
      </c>
      <c r="G39" s="34" t="n">
        <f aca="false">G38*G37</f>
        <v>0.0971255011918771</v>
      </c>
      <c r="H39" s="34" t="n">
        <f aca="false">H38*H37</f>
        <v>0.0897260791294567</v>
      </c>
      <c r="I39" s="34" t="n">
        <f aca="false">I38*I37</f>
        <v>0.0817692724313702</v>
      </c>
      <c r="J39" s="34" t="n">
        <f aca="false">J38*J37</f>
        <v>0.0734146464725225</v>
      </c>
      <c r="K39" s="34" t="n">
        <f aca="false">K38*K37</f>
        <v>0.0648437048279111</v>
      </c>
      <c r="L39" s="34" t="n">
        <f aca="false">L38*L37</f>
        <v>0.0562527706441396</v>
      </c>
      <c r="M39" s="34" t="n">
        <f aca="false">M38*M37</f>
        <v>0.0478437840928476</v>
      </c>
      <c r="N39" s="34" t="n">
        <f aca="false">N38*N37</f>
        <v>0.0398134637827142</v>
      </c>
      <c r="O39" s="34" t="n">
        <f aca="false">O38*O37</f>
        <v>0.0323415851624703</v>
      </c>
      <c r="P39" s="34" t="n">
        <f aca="false">P38*P37</f>
        <v>0.0255794147701561</v>
      </c>
      <c r="Q39" s="34" t="n">
        <f aca="false">Q38*Q37</f>
        <v>0.0196395471477439</v>
      </c>
      <c r="R39" s="34" t="n">
        <f aca="false">R38*R37</f>
        <v>0.0145884553935455</v>
      </c>
      <c r="S39" s="34" t="n">
        <f aca="false">S38*S37</f>
        <v>0.0104429267578784</v>
      </c>
      <c r="T39" s="34" t="n">
        <f aca="false">T38*T37</f>
        <v>0.00717117644051037</v>
      </c>
      <c r="U39" s="34" t="n">
        <f aca="false">U38*U37</f>
        <v>0.00469882678724615</v>
      </c>
      <c r="V39" s="34" t="n">
        <f aca="false">V38*V37</f>
        <v>0.00291917885242913</v>
      </c>
      <c r="W39" s="34" t="n">
        <f aca="false">W38*W37</f>
        <v>0.00170642794577984</v>
      </c>
      <c r="X39" s="34" t="n">
        <f aca="false">X38*X37</f>
        <v>0.000929870333647235</v>
      </c>
      <c r="Y39" s="34" t="n">
        <f aca="false">Y38*Y37</f>
        <v>0.000466902669677544</v>
      </c>
      <c r="Z39" s="34" t="n">
        <f aca="false">Z38*Z37</f>
        <v>0.000212853998566926</v>
      </c>
      <c r="AA39" s="34" t="n">
        <f aca="false">AA38*AA37</f>
        <v>8.64093521986151E-005</v>
      </c>
      <c r="AB39" s="34" t="n">
        <f aca="false">AB38*AB37</f>
        <v>3.04188960753258E-005</v>
      </c>
    </row>
    <row r="40" customFormat="false" ht="15" hidden="false" customHeight="false" outlineLevel="0" collapsed="false">
      <c r="B40" s="3" t="s">
        <v>195</v>
      </c>
      <c r="D40" s="38" t="n">
        <f aca="false">D39*Cartera!$D$8</f>
        <v>9.184</v>
      </c>
      <c r="E40" s="38" t="n">
        <f aca="false">E39*Cartera!$D$8</f>
        <v>8.780050944</v>
      </c>
      <c r="F40" s="38" t="n">
        <f aca="false">F39*Cartera!$D$8</f>
        <v>8.30678231637983</v>
      </c>
      <c r="G40" s="38" t="n">
        <f aca="false">G39*Cartera!$D$8</f>
        <v>7.77004009535017</v>
      </c>
      <c r="H40" s="38" t="n">
        <f aca="false">H39*Cartera!$D$8</f>
        <v>7.17808633035653</v>
      </c>
      <c r="I40" s="38" t="n">
        <f aca="false">I39*Cartera!$D$8</f>
        <v>6.54154179450961</v>
      </c>
      <c r="J40" s="38" t="n">
        <f aca="false">J39*Cartera!$D$8</f>
        <v>5.8731717178018</v>
      </c>
      <c r="K40" s="38" t="n">
        <f aca="false">K39*Cartera!$D$8</f>
        <v>5.18749638623288</v>
      </c>
      <c r="L40" s="38" t="n">
        <f aca="false">L39*Cartera!$D$8</f>
        <v>4.50022165153116</v>
      </c>
      <c r="M40" s="38" t="n">
        <f aca="false">M39*Cartera!$D$8</f>
        <v>3.82750272742781</v>
      </c>
      <c r="N40" s="38" t="n">
        <f aca="false">N39*Cartera!$D$8</f>
        <v>3.18507710261714</v>
      </c>
      <c r="O40" s="38" t="n">
        <f aca="false">O39*Cartera!$D$8</f>
        <v>2.58732681299763</v>
      </c>
      <c r="P40" s="38" t="n">
        <f aca="false">P39*Cartera!$D$8</f>
        <v>2.04635318161248</v>
      </c>
      <c r="Q40" s="38" t="n">
        <f aca="false">Q39*Cartera!$D$8</f>
        <v>1.57116377181951</v>
      </c>
      <c r="R40" s="38" t="n">
        <f aca="false">R39*Cartera!$D$8</f>
        <v>1.16707643148364</v>
      </c>
      <c r="S40" s="38" t="n">
        <f aca="false">S39*Cartera!$D$8</f>
        <v>0.835434140630274</v>
      </c>
      <c r="T40" s="38" t="n">
        <f aca="false">T39*Cartera!$D$8</f>
        <v>0.57369411524083</v>
      </c>
      <c r="U40" s="38" t="n">
        <f aca="false">U39*Cartera!$D$8</f>
        <v>0.375906142979692</v>
      </c>
      <c r="V40" s="38" t="n">
        <f aca="false">V39*Cartera!$D$8</f>
        <v>0.233534308194331</v>
      </c>
      <c r="W40" s="38" t="n">
        <f aca="false">W39*Cartera!$D$8</f>
        <v>0.136514235662388</v>
      </c>
      <c r="X40" s="38" t="n">
        <f aca="false">X39*Cartera!$D$8</f>
        <v>0.0743896266917788</v>
      </c>
      <c r="Y40" s="38" t="n">
        <f aca="false">Y39*Cartera!$D$8</f>
        <v>0.0373522135742036</v>
      </c>
      <c r="Z40" s="38" t="n">
        <f aca="false">Z39*Cartera!$D$8</f>
        <v>0.0170283198853541</v>
      </c>
      <c r="AA40" s="38" t="n">
        <f aca="false">AA39*Cartera!$D$8</f>
        <v>0.00691274817588921</v>
      </c>
      <c r="AB40" s="38" t="n">
        <f aca="false">AB39*Cartera!$D$8</f>
        <v>0.00243351168602607</v>
      </c>
    </row>
    <row r="41" customFormat="false" ht="15" hidden="false" customHeight="false" outlineLevel="0" collapsed="false">
      <c r="B41" s="3" t="s">
        <v>196</v>
      </c>
      <c r="D41" s="38" t="n">
        <f aca="false">D38*Cartera!$D$8*Cartera!$H$8*(1+$C$8)^(D$3-1)</f>
        <v>5.6</v>
      </c>
      <c r="E41" s="38" t="n">
        <f aca="false">E38*Cartera!$D$8*Cartera!$H$8*(1+$C$8)^(E$3-1)</f>
        <v>5.0066912</v>
      </c>
      <c r="F41" s="38" t="n">
        <f aca="false">F38*Cartera!$D$8*Cartera!$H$8*(1+$C$8)^(F$3-1)</f>
        <v>4.42980101424179</v>
      </c>
      <c r="G41" s="38" t="n">
        <f aca="false">G38*Cartera!$D$8*Cartera!$H$8*(1+$C$8)^(G$3-1)</f>
        <v>3.87500499546982</v>
      </c>
      <c r="H41" s="38" t="n">
        <f aca="false">H38*Cartera!$D$8*Cartera!$H$8*(1+$C$8)^(H$3-1)</f>
        <v>3.34776760374877</v>
      </c>
      <c r="I41" s="38" t="n">
        <f aca="false">I38*Cartera!$D$8*Cartera!$H$8*(1+$C$8)^(I$3-1)</f>
        <v>2.85314841862794</v>
      </c>
      <c r="J41" s="38" t="n">
        <f aca="false">J38*Cartera!$D$8*Cartera!$H$8*(1+$C$8)^(J$3-1)</f>
        <v>2.39560141265328</v>
      </c>
      <c r="K41" s="38" t="n">
        <f aca="false">K38*Cartera!$D$8*Cartera!$H$8*(1+$C$8)^(K$3-1)</f>
        <v>1.97877897484429</v>
      </c>
      <c r="L41" s="38" t="n">
        <f aca="false">L38*Cartera!$D$8*Cartera!$H$8*(1+$C$8)^(L$3-1)</f>
        <v>1.60535469728497</v>
      </c>
      <c r="M41" s="38" t="n">
        <f aca="false">M38*Cartera!$D$8*Cartera!$H$8*(1+$C$8)^(M$3-1)</f>
        <v>1.27688041417118</v>
      </c>
      <c r="N41" s="38" t="n">
        <f aca="false">N38*Cartera!$D$8*Cartera!$H$8*(1+$C$8)^(N$3-1)</f>
        <v>0.993693124467694</v>
      </c>
      <c r="O41" s="38" t="n">
        <f aca="false">O38*Cartera!$D$8*Cartera!$H$8*(1+$C$8)^(O$3-1)</f>
        <v>0.754885776356882</v>
      </c>
      <c r="P41" s="38" t="n">
        <f aca="false">P38*Cartera!$D$8*Cartera!$H$8*(1+$C$8)^(P$3-1)</f>
        <v>0.558352111139239</v>
      </c>
      <c r="Q41" s="38" t="n">
        <f aca="false">Q38*Cartera!$D$8*Cartera!$H$8*(1+$C$8)^(Q$3-1)</f>
        <v>0.40090977587358</v>
      </c>
      <c r="R41" s="38" t="n">
        <f aca="false">R38*Cartera!$D$8*Cartera!$H$8*(1+$C$8)^(R$3-1)</f>
        <v>0.278498016798737</v>
      </c>
      <c r="S41" s="38" t="n">
        <f aca="false">S38*Cartera!$D$8*Cartera!$H$8*(1+$C$8)^(S$3-1)</f>
        <v>0.186437231581969</v>
      </c>
      <c r="T41" s="38" t="n">
        <f aca="false">T38*Cartera!$D$8*Cartera!$H$8*(1+$C$8)^(T$3-1)</f>
        <v>0.119728747619762</v>
      </c>
      <c r="U41" s="38" t="n">
        <f aca="false">U38*Cartera!$D$8*Cartera!$H$8*(1+$C$8)^(U$3-1)</f>
        <v>0.073366041290699</v>
      </c>
      <c r="V41" s="38" t="n">
        <f aca="false">V38*Cartera!$D$8*Cartera!$H$8*(1+$C$8)^(V$3-1)</f>
        <v>0.0426249588221872</v>
      </c>
      <c r="W41" s="38" t="n">
        <f aca="false">W38*Cartera!$D$8*Cartera!$H$8*(1+$C$8)^(W$3-1)</f>
        <v>0.0233017662528444</v>
      </c>
      <c r="X41" s="38" t="n">
        <f aca="false">X38*Cartera!$D$8*Cartera!$H$8*(1+$C$8)^(X$3-1)</f>
        <v>0.011874652168728</v>
      </c>
      <c r="Y41" s="38" t="n">
        <f aca="false">Y38*Cartera!$D$8*Cartera!$H$8*(1+$C$8)^(Y$3-1)</f>
        <v>0.00557599634378705</v>
      </c>
      <c r="Z41" s="38" t="n">
        <f aca="false">Z38*Cartera!$D$8*Cartera!$H$8*(1+$C$8)^(Z$3-1)</f>
        <v>0.00237725382294188</v>
      </c>
      <c r="AA41" s="38" t="n">
        <f aca="false">AA38*Cartera!$D$8*Cartera!$H$8*(1+$C$8)^(AA$3-1)</f>
        <v>0.000902510179458094</v>
      </c>
      <c r="AB41" s="38" t="n">
        <f aca="false">AB38*Cartera!$D$8*Cartera!$H$8*(1+$C$8)^(AB$3-1)</f>
        <v>0.000297120369967512</v>
      </c>
    </row>
    <row r="42" customFormat="false" ht="15" hidden="false" customHeight="false" outlineLevel="0" collapsed="false">
      <c r="B42" s="3" t="s">
        <v>197</v>
      </c>
      <c r="C42" s="33" t="n">
        <f aca="false">SUM(D42:AB42)+0.5</f>
        <v>5.64427188040185</v>
      </c>
      <c r="D42" s="34" t="n">
        <f aca="false">D38-D39</f>
        <v>0.8852</v>
      </c>
      <c r="E42" s="34" t="n">
        <f aca="false">E38-E39</f>
        <v>0.7754493632</v>
      </c>
      <c r="F42" s="34" t="n">
        <f aca="false">F38-F39</f>
        <v>0.671614584245252</v>
      </c>
      <c r="G42" s="34" t="n">
        <f aca="false">G38-G39</f>
        <v>0.574489083053375</v>
      </c>
      <c r="H42" s="34" t="n">
        <f aca="false">H38-H39</f>
        <v>0.484763003923918</v>
      </c>
      <c r="I42" s="34" t="n">
        <f aca="false">I38-I39</f>
        <v>0.402993731492548</v>
      </c>
      <c r="J42" s="34" t="n">
        <f aca="false">J38-J39</f>
        <v>0.329579085020026</v>
      </c>
      <c r="K42" s="34" t="n">
        <f aca="false">K38-K39</f>
        <v>0.264735380192115</v>
      </c>
      <c r="L42" s="34" t="n">
        <f aca="false">L38-L39</f>
        <v>0.208482609547975</v>
      </c>
      <c r="M42" s="34" t="n">
        <f aca="false">M38-M39</f>
        <v>0.160638825455127</v>
      </c>
      <c r="N42" s="34" t="n">
        <f aca="false">N38-N39</f>
        <v>0.120825361672413</v>
      </c>
      <c r="O42" s="34" t="n">
        <f aca="false">O38-O39</f>
        <v>0.088483776509943</v>
      </c>
      <c r="P42" s="34" t="n">
        <f aca="false">P38-P39</f>
        <v>0.0629043617397869</v>
      </c>
      <c r="Q42" s="34" t="n">
        <f aca="false">Q38-Q39</f>
        <v>0.043264814592043</v>
      </c>
      <c r="R42" s="34" t="n">
        <f aca="false">R38-R39</f>
        <v>0.0286763591984975</v>
      </c>
      <c r="S42" s="34" t="n">
        <f aca="false">S38-S39</f>
        <v>0.018233432440619</v>
      </c>
      <c r="T42" s="34" t="n">
        <f aca="false">T38-T39</f>
        <v>0.0110622560001087</v>
      </c>
      <c r="U42" s="34" t="n">
        <f aca="false">U38-U39</f>
        <v>0.00636342921286252</v>
      </c>
      <c r="V42" s="34" t="n">
        <f aca="false">V38-V39</f>
        <v>0.00344425036043338</v>
      </c>
      <c r="W42" s="34" t="n">
        <f aca="false">W38-W39</f>
        <v>0.00173782241465354</v>
      </c>
      <c r="X42" s="34" t="n">
        <f aca="false">X38-X39</f>
        <v>0.000807952081006303</v>
      </c>
      <c r="Y42" s="34" t="n">
        <f aca="false">Y38-Y39</f>
        <v>0.000341049411328758</v>
      </c>
      <c r="Z42" s="34" t="n">
        <f aca="false">Z38-Z39</f>
        <v>0.000128195412761832</v>
      </c>
      <c r="AA42" s="34" t="n">
        <f aca="false">AA38-AA39</f>
        <v>4.17860605632173E-005</v>
      </c>
      <c r="AB42" s="34" t="n">
        <f aca="false">AB38-AB39</f>
        <v>1.13671644878914E-005</v>
      </c>
    </row>
    <row r="44" customFormat="false" ht="15" hidden="false" customHeight="false" outlineLevel="0" collapsed="false">
      <c r="A44" s="37" t="str">
        <f aca="false">Cartera!A9&amp;" – "&amp;Cartera!B9</f>
        <v>C5 – Edad 70–74, enfermedad crónica</v>
      </c>
    </row>
    <row r="45" customFormat="false" ht="15" hidden="false" customHeight="false" outlineLevel="0" collapsed="false">
      <c r="B45" s="3" t="s">
        <v>191</v>
      </c>
      <c r="D45" s="34" t="n">
        <f aca="false">MIN(1,Cartera!$F$9*(1+Cartera!$G$9)^(D$3-1)*$C$10)</f>
        <v>0.041</v>
      </c>
      <c r="E45" s="34" t="n">
        <f aca="false">MIN(1,Cartera!$F$9*(1+Cartera!$G$9)^(E$3-1)*$C$10)</f>
        <v>0.04592</v>
      </c>
      <c r="F45" s="34" t="n">
        <f aca="false">MIN(1,Cartera!$F$9*(1+Cartera!$G$9)^(F$3-1)*$C$10)</f>
        <v>0.0514304</v>
      </c>
      <c r="G45" s="34" t="n">
        <f aca="false">MIN(1,Cartera!$F$9*(1+Cartera!$G$9)^(G$3-1)*$C$10)</f>
        <v>0.057602048</v>
      </c>
      <c r="H45" s="34" t="n">
        <f aca="false">MIN(1,Cartera!$F$9*(1+Cartera!$G$9)^(H$3-1)*$C$10)</f>
        <v>0.06451429376</v>
      </c>
      <c r="I45" s="34" t="n">
        <f aca="false">MIN(1,Cartera!$F$9*(1+Cartera!$G$9)^(I$3-1)*$C$10)</f>
        <v>0.0722560090112</v>
      </c>
      <c r="J45" s="34" t="n">
        <f aca="false">MIN(1,Cartera!$F$9*(1+Cartera!$G$9)^(J$3-1)*$C$10)</f>
        <v>0.080926730092544</v>
      </c>
      <c r="K45" s="34" t="n">
        <f aca="false">MIN(1,Cartera!$F$9*(1+Cartera!$G$9)^(K$3-1)*$C$10)</f>
        <v>0.0906379377036493</v>
      </c>
      <c r="L45" s="34" t="n">
        <f aca="false">MIN(1,Cartera!$F$9*(1+Cartera!$G$9)^(L$3-1)*$C$10)</f>
        <v>0.101514490228087</v>
      </c>
      <c r="M45" s="34" t="n">
        <f aca="false">MIN(1,Cartera!$F$9*(1+Cartera!$G$9)^(M$3-1)*$C$10)</f>
        <v>0.113696229055458</v>
      </c>
      <c r="N45" s="34" t="n">
        <f aca="false">MIN(1,Cartera!$F$9*(1+Cartera!$G$9)^(N$3-1)*$C$10)</f>
        <v>0.127339776542113</v>
      </c>
      <c r="O45" s="34" t="n">
        <f aca="false">MIN(1,Cartera!$F$9*(1+Cartera!$G$9)^(O$3-1)*$C$10)</f>
        <v>0.142620549727166</v>
      </c>
      <c r="P45" s="34" t="n">
        <f aca="false">MIN(1,Cartera!$F$9*(1+Cartera!$G$9)^(P$3-1)*$C$10)</f>
        <v>0.159735015694426</v>
      </c>
      <c r="Q45" s="34" t="n">
        <f aca="false">MIN(1,Cartera!$F$9*(1+Cartera!$G$9)^(Q$3-1)*$C$10)</f>
        <v>0.178903217577757</v>
      </c>
      <c r="R45" s="34" t="n">
        <f aca="false">MIN(1,Cartera!$F$9*(1+Cartera!$G$9)^(R$3-1)*$C$10)</f>
        <v>0.200371603687088</v>
      </c>
      <c r="S45" s="34" t="n">
        <f aca="false">MIN(1,Cartera!$F$9*(1+Cartera!$G$9)^(S$3-1)*$C$10)</f>
        <v>0.224416196129539</v>
      </c>
      <c r="T45" s="34" t="n">
        <f aca="false">MIN(1,Cartera!$F$9*(1+Cartera!$G$9)^(T$3-1)*$C$10)</f>
        <v>0.251346139665084</v>
      </c>
      <c r="U45" s="34" t="n">
        <f aca="false">MIN(1,Cartera!$F$9*(1+Cartera!$G$9)^(U$3-1)*$C$10)</f>
        <v>0.281507676424894</v>
      </c>
      <c r="V45" s="34" t="n">
        <f aca="false">MIN(1,Cartera!$F$9*(1+Cartera!$G$9)^(V$3-1)*$C$10)</f>
        <v>0.315288597595881</v>
      </c>
      <c r="W45" s="34" t="n">
        <f aca="false">MIN(1,Cartera!$F$9*(1+Cartera!$G$9)^(W$3-1)*$C$10)</f>
        <v>0.353123229307387</v>
      </c>
      <c r="X45" s="34" t="n">
        <f aca="false">MIN(1,Cartera!$F$9*(1+Cartera!$G$9)^(X$3-1)*$C$10)</f>
        <v>0.395498016824273</v>
      </c>
      <c r="Y45" s="34" t="n">
        <f aca="false">MIN(1,Cartera!$F$9*(1+Cartera!$G$9)^(Y$3-1)*$C$10)</f>
        <v>0.442957778843186</v>
      </c>
      <c r="Z45" s="34" t="n">
        <f aca="false">MIN(1,Cartera!$F$9*(1+Cartera!$G$9)^(Z$3-1)*$C$10)</f>
        <v>0.496112712304368</v>
      </c>
      <c r="AA45" s="34" t="n">
        <f aca="false">MIN(1,Cartera!$F$9*(1+Cartera!$G$9)^(AA$3-1)*$C$10)</f>
        <v>0.555646237780892</v>
      </c>
      <c r="AB45" s="34" t="n">
        <f aca="false">MIN(1,Cartera!$F$9*(1+Cartera!$G$9)^(AB$3-1)*$C$10)</f>
        <v>0.6223237863146</v>
      </c>
    </row>
    <row r="46" customFormat="false" ht="15" hidden="false" customHeight="false" outlineLevel="0" collapsed="false">
      <c r="B46" s="3" t="s">
        <v>192</v>
      </c>
      <c r="C46" s="3" t="s">
        <v>193</v>
      </c>
      <c r="D46" s="34" t="n">
        <f aca="false">1</f>
        <v>1</v>
      </c>
      <c r="E46" s="34" t="n">
        <f aca="false">D50</f>
        <v>0.959</v>
      </c>
      <c r="F46" s="34" t="n">
        <f aca="false">E50</f>
        <v>0.91496272</v>
      </c>
      <c r="G46" s="34" t="n">
        <f aca="false">F50</f>
        <v>0.867905821325312</v>
      </c>
      <c r="H46" s="34" t="n">
        <f aca="false">G50</f>
        <v>0.817912668545852</v>
      </c>
      <c r="I46" s="34" t="n">
        <f aca="false">H50</f>
        <v>0.765145610377259</v>
      </c>
      <c r="J46" s="34" t="n">
        <f aca="false">I50</f>
        <v>0.70985924225896</v>
      </c>
      <c r="K46" s="34" t="n">
        <f aca="false">J50</f>
        <v>0.652412654956971</v>
      </c>
      <c r="L46" s="34" t="n">
        <f aca="false">K50</f>
        <v>0.593279317379909</v>
      </c>
      <c r="M46" s="34" t="n">
        <f aca="false">L50</f>
        <v>0.53305286991322</v>
      </c>
      <c r="N46" s="34" t="n">
        <f aca="false">M50</f>
        <v>0.472446768716897</v>
      </c>
      <c r="O46" s="34" t="n">
        <f aca="false">N50</f>
        <v>0.412285502760444</v>
      </c>
      <c r="P46" s="34" t="n">
        <f aca="false">O50</f>
        <v>0.353485117712209</v>
      </c>
      <c r="Q46" s="34" t="n">
        <f aca="false">P50</f>
        <v>0.297021166886703</v>
      </c>
      <c r="R46" s="34" t="n">
        <f aca="false">Q50</f>
        <v>0.243883124441972</v>
      </c>
      <c r="S46" s="34" t="n">
        <f aca="false">R50</f>
        <v>0.195015871685316</v>
      </c>
      <c r="T46" s="34" t="n">
        <f aca="false">S50</f>
        <v>0.151251151576811</v>
      </c>
      <c r="U46" s="34" t="n">
        <f aca="false">T50</f>
        <v>0.113234758508081</v>
      </c>
      <c r="V46" s="34" t="n">
        <f aca="false">U50</f>
        <v>0.0813583047499374</v>
      </c>
      <c r="W46" s="34" t="n">
        <f aca="false">V50</f>
        <v>0.0557069589425514</v>
      </c>
      <c r="X46" s="34" t="n">
        <f aca="false">W50</f>
        <v>0.0360355377058636</v>
      </c>
      <c r="Y46" s="34" t="n">
        <f aca="false">X50</f>
        <v>0.0217835540079982</v>
      </c>
      <c r="Z46" s="34" t="n">
        <f aca="false">Y50</f>
        <v>0.0121343593093048</v>
      </c>
      <c r="AA46" s="34" t="n">
        <f aca="false">Z50</f>
        <v>0.00611434940028982</v>
      </c>
      <c r="AB46" s="34" t="n">
        <f aca="false">AA50</f>
        <v>0.00271693415954092</v>
      </c>
    </row>
    <row r="47" customFormat="false" ht="15" hidden="false" customHeight="false" outlineLevel="0" collapsed="false">
      <c r="B47" s="3" t="s">
        <v>194</v>
      </c>
      <c r="D47" s="34" t="n">
        <f aca="false">D46*D45</f>
        <v>0.041</v>
      </c>
      <c r="E47" s="34" t="n">
        <f aca="false">E46*E45</f>
        <v>0.04403728</v>
      </c>
      <c r="F47" s="34" t="n">
        <f aca="false">F46*F45</f>
        <v>0.047056898674688</v>
      </c>
      <c r="G47" s="34" t="n">
        <f aca="false">G46*G45</f>
        <v>0.0499931527794601</v>
      </c>
      <c r="H47" s="34" t="n">
        <f aca="false">H46*H45</f>
        <v>0.0527670581685926</v>
      </c>
      <c r="I47" s="34" t="n">
        <f aca="false">I46*I45</f>
        <v>0.0552863681182994</v>
      </c>
      <c r="J47" s="34" t="n">
        <f aca="false">J46*J45</f>
        <v>0.0574465873019887</v>
      </c>
      <c r="K47" s="34" t="n">
        <f aca="false">K46*K45</f>
        <v>0.0591333375770624</v>
      </c>
      <c r="L47" s="34" t="n">
        <f aca="false">L46*L45</f>
        <v>0.060226447466689</v>
      </c>
      <c r="M47" s="34" t="n">
        <f aca="false">M46*M45</f>
        <v>0.0606061011963226</v>
      </c>
      <c r="N47" s="34" t="n">
        <f aca="false">N46*N45</f>
        <v>0.0601612659564529</v>
      </c>
      <c r="O47" s="34" t="n">
        <f aca="false">O46*O45</f>
        <v>0.0588003850482357</v>
      </c>
      <c r="P47" s="34" t="n">
        <f aca="false">P46*P45</f>
        <v>0.0564639508255057</v>
      </c>
      <c r="Q47" s="34" t="n">
        <f aca="false">Q46*Q45</f>
        <v>0.0531380424447312</v>
      </c>
      <c r="R47" s="34" t="n">
        <f aca="false">R46*R45</f>
        <v>0.0488672527566556</v>
      </c>
      <c r="S47" s="34" t="n">
        <f aca="false">S46*S45</f>
        <v>0.0437647201085049</v>
      </c>
      <c r="T47" s="34" t="n">
        <f aca="false">T46*T45</f>
        <v>0.0380163930687299</v>
      </c>
      <c r="U47" s="34" t="n">
        <f aca="false">U46*U45</f>
        <v>0.0318764537581439</v>
      </c>
      <c r="V47" s="34" t="n">
        <f aca="false">V46*V45</f>
        <v>0.0256513458073861</v>
      </c>
      <c r="W47" s="34" t="n">
        <f aca="false">W46*W45</f>
        <v>0.0196714212366877</v>
      </c>
      <c r="X47" s="34" t="n">
        <f aca="false">X46*X45</f>
        <v>0.0142519836978654</v>
      </c>
      <c r="Y47" s="34" t="n">
        <f aca="false">Y46*Y45</f>
        <v>0.00964919469869348</v>
      </c>
      <c r="Z47" s="34" t="n">
        <f aca="false">Z46*Z45</f>
        <v>0.00602000990901495</v>
      </c>
      <c r="AA47" s="34" t="n">
        <f aca="false">AA46*AA45</f>
        <v>0.00339741524074889</v>
      </c>
      <c r="AB47" s="34" t="n">
        <f aca="false">AB46*AB45</f>
        <v>0.00169081275333298</v>
      </c>
    </row>
    <row r="48" customFormat="false" ht="15" hidden="false" customHeight="false" outlineLevel="0" collapsed="false">
      <c r="B48" s="3" t="s">
        <v>195</v>
      </c>
      <c r="D48" s="38" t="n">
        <f aca="false">D47*Cartera!$D$9</f>
        <v>2.46</v>
      </c>
      <c r="E48" s="38" t="n">
        <f aca="false">E47*Cartera!$D$9</f>
        <v>2.6422368</v>
      </c>
      <c r="F48" s="38" t="n">
        <f aca="false">F47*Cartera!$D$9</f>
        <v>2.82341392048128</v>
      </c>
      <c r="G48" s="38" t="n">
        <f aca="false">G47*Cartera!$D$9</f>
        <v>2.9995891667676</v>
      </c>
      <c r="H48" s="38" t="n">
        <f aca="false">H47*Cartera!$D$9</f>
        <v>3.16602349011556</v>
      </c>
      <c r="I48" s="38" t="n">
        <f aca="false">I47*Cartera!$D$9</f>
        <v>3.31718208709796</v>
      </c>
      <c r="J48" s="38" t="n">
        <f aca="false">J47*Cartera!$D$9</f>
        <v>3.44679523811932</v>
      </c>
      <c r="K48" s="38" t="n">
        <f aca="false">K47*Cartera!$D$9</f>
        <v>3.54800025462375</v>
      </c>
      <c r="L48" s="38" t="n">
        <f aca="false">L47*Cartera!$D$9</f>
        <v>3.61358684800134</v>
      </c>
      <c r="M48" s="38" t="n">
        <f aca="false">M47*Cartera!$D$9</f>
        <v>3.63636607177935</v>
      </c>
      <c r="N48" s="38" t="n">
        <f aca="false">N47*Cartera!$D$9</f>
        <v>3.60967595738717</v>
      </c>
      <c r="O48" s="38" t="n">
        <f aca="false">O47*Cartera!$D$9</f>
        <v>3.52802310289414</v>
      </c>
      <c r="P48" s="38" t="n">
        <f aca="false">P47*Cartera!$D$9</f>
        <v>3.38783704953035</v>
      </c>
      <c r="Q48" s="38" t="n">
        <f aca="false">Q47*Cartera!$D$9</f>
        <v>3.18828254668387</v>
      </c>
      <c r="R48" s="38" t="n">
        <f aca="false">R47*Cartera!$D$9</f>
        <v>2.93203516539934</v>
      </c>
      <c r="S48" s="38" t="n">
        <f aca="false">S47*Cartera!$D$9</f>
        <v>2.62588320651029</v>
      </c>
      <c r="T48" s="38" t="n">
        <f aca="false">T47*Cartera!$D$9</f>
        <v>2.2809835841238</v>
      </c>
      <c r="U48" s="38" t="n">
        <f aca="false">U47*Cartera!$D$9</f>
        <v>1.91258722548864</v>
      </c>
      <c r="V48" s="38" t="n">
        <f aca="false">V47*Cartera!$D$9</f>
        <v>1.53908074844316</v>
      </c>
      <c r="W48" s="38" t="n">
        <f aca="false">W47*Cartera!$D$9</f>
        <v>1.18028527420126</v>
      </c>
      <c r="X48" s="38" t="n">
        <f aca="false">X47*Cartera!$D$9</f>
        <v>0.855119021871923</v>
      </c>
      <c r="Y48" s="38" t="n">
        <f aca="false">Y47*Cartera!$D$9</f>
        <v>0.578951681921609</v>
      </c>
      <c r="Z48" s="38" t="n">
        <f aca="false">Z47*Cartera!$D$9</f>
        <v>0.361200594540897</v>
      </c>
      <c r="AA48" s="38" t="n">
        <f aca="false">AA47*Cartera!$D$9</f>
        <v>0.203844914444934</v>
      </c>
      <c r="AB48" s="38" t="n">
        <f aca="false">AB47*Cartera!$D$9</f>
        <v>0.101448765199979</v>
      </c>
    </row>
    <row r="49" customFormat="false" ht="15" hidden="false" customHeight="false" outlineLevel="0" collapsed="false">
      <c r="B49" s="3" t="s">
        <v>196</v>
      </c>
      <c r="D49" s="38" t="n">
        <f aca="false">D46*Cartera!$D$9*Cartera!$H$9*(1+$C$8)^(D$3-1)</f>
        <v>2.1</v>
      </c>
      <c r="E49" s="38" t="n">
        <f aca="false">E46*Cartera!$D$9*Cartera!$H$9*(1+$C$8)^(E$3-1)</f>
        <v>2.034039</v>
      </c>
      <c r="F49" s="38" t="n">
        <f aca="false">F46*Cartera!$D$9*Cartera!$H$9*(1+$C$8)^(F$3-1)</f>
        <v>1.9600422884112</v>
      </c>
      <c r="G49" s="38" t="n">
        <f aca="false">G46*Cartera!$D$9*Cartera!$H$9*(1+$C$8)^(G$3-1)</f>
        <v>1.87782889479631</v>
      </c>
      <c r="H49" s="38" t="n">
        <f aca="false">H46*Cartera!$D$9*Cartera!$H$9*(1+$C$8)^(H$3-1)</f>
        <v>1.78735872570909</v>
      </c>
      <c r="I49" s="38" t="n">
        <f aca="false">I46*Cartera!$D$9*Cartera!$H$9*(1+$C$8)^(I$3-1)</f>
        <v>1.68876902522244</v>
      </c>
      <c r="J49" s="38" t="n">
        <f aca="false">J46*Cartera!$D$9*Cartera!$H$9*(1+$C$8)^(J$3-1)</f>
        <v>1.58241276847131</v>
      </c>
      <c r="K49" s="38" t="n">
        <f aca="false">K46*Cartera!$D$9*Cartera!$H$9*(1+$C$8)^(K$3-1)</f>
        <v>1.46889681023686</v>
      </c>
      <c r="L49" s="38" t="n">
        <f aca="false">L46*Cartera!$D$9*Cartera!$H$9*(1+$C$8)^(L$3-1)</f>
        <v>1.3491166229841</v>
      </c>
      <c r="M49" s="38" t="n">
        <f aca="false">M46*Cartera!$D$9*Cartera!$H$9*(1+$C$8)^(M$3-1)</f>
        <v>1.22428335411106</v>
      </c>
      <c r="N49" s="38" t="n">
        <f aca="false">N46*Cartera!$D$9*Cartera!$H$9*(1+$C$8)^(N$3-1)</f>
        <v>1.0959378229878</v>
      </c>
      <c r="O49" s="38" t="n">
        <f aca="false">O46*Cartera!$D$9*Cartera!$H$9*(1+$C$8)^(O$3-1)</f>
        <v>0.96594515895953</v>
      </c>
      <c r="P49" s="38" t="n">
        <f aca="false">P46*Cartera!$D$9*Cartera!$H$9*(1+$C$8)^(P$3-1)</f>
        <v>0.836463344676251</v>
      </c>
      <c r="Q49" s="38" t="n">
        <f aca="false">Q46*Cartera!$D$9*Cartera!$H$9*(1+$C$8)^(Q$3-1)</f>
        <v>0.709879367778444</v>
      </c>
      <c r="R49" s="38" t="n">
        <f aca="false">R46*Cartera!$D$9*Cartera!$H$9*(1+$C$8)^(R$3-1)</f>
        <v>0.588708461438724</v>
      </c>
      <c r="S49" s="38" t="n">
        <f aca="false">S46*Cartera!$D$9*Cartera!$H$9*(1+$C$8)^(S$3-1)</f>
        <v>0.47545548294525</v>
      </c>
      <c r="T49" s="38" t="n">
        <f aca="false">T46*Cartera!$D$9*Cartera!$H$9*(1+$C$8)^(T$3-1)</f>
        <v>0.372443127754081</v>
      </c>
      <c r="U49" s="38" t="n">
        <f aca="false">U46*Cartera!$D$9*Cartera!$H$9*(1+$C$8)^(U$3-1)</f>
        <v>0.281619295201786</v>
      </c>
      <c r="V49" s="38" t="n">
        <f aca="false">V46*Cartera!$D$9*Cartera!$H$9*(1+$C$8)^(V$3-1)</f>
        <v>0.204364714790847</v>
      </c>
      <c r="W49" s="38" t="n">
        <f aca="false">W46*Cartera!$D$9*Cartera!$H$9*(1+$C$8)^(W$3-1)</f>
        <v>0.141330158971022</v>
      </c>
      <c r="X49" s="38" t="n">
        <f aca="false">X46*Cartera!$D$9*Cartera!$H$9*(1+$C$8)^(X$3-1)</f>
        <v>0.0923374288050149</v>
      </c>
      <c r="Y49" s="38" t="n">
        <f aca="false">Y46*Cartera!$D$9*Cartera!$H$9*(1+$C$8)^(Y$3-1)</f>
        <v>0.0563763404223188</v>
      </c>
      <c r="Z49" s="38" t="n">
        <f aca="false">Z46*Cartera!$D$9*Cartera!$H$9*(1+$C$8)^(Z$3-1)</f>
        <v>0.0317180419084365</v>
      </c>
      <c r="AA49" s="38" t="n">
        <f aca="false">AA46*Cartera!$D$9*Cartera!$H$9*(1+$C$8)^(AA$3-1)</f>
        <v>0.0161421412893411</v>
      </c>
      <c r="AB49" s="38" t="n">
        <f aca="false">AB46*Cartera!$D$9*Cartera!$H$9*(1+$C$8)^(AB$3-1)</f>
        <v>0.007244549424313</v>
      </c>
    </row>
    <row r="50" customFormat="false" ht="15" hidden="false" customHeight="false" outlineLevel="0" collapsed="false">
      <c r="B50" s="3" t="s">
        <v>197</v>
      </c>
      <c r="C50" s="33" t="n">
        <f aca="false">SUM(D50:AB50)+0.5</f>
        <v>9.76903048672761</v>
      </c>
      <c r="D50" s="34" t="n">
        <f aca="false">D46-D47</f>
        <v>0.959</v>
      </c>
      <c r="E50" s="34" t="n">
        <f aca="false">E46-E47</f>
        <v>0.91496272</v>
      </c>
      <c r="F50" s="34" t="n">
        <f aca="false">F46-F47</f>
        <v>0.867905821325312</v>
      </c>
      <c r="G50" s="34" t="n">
        <f aca="false">G46-G47</f>
        <v>0.817912668545852</v>
      </c>
      <c r="H50" s="34" t="n">
        <f aca="false">H46-H47</f>
        <v>0.765145610377259</v>
      </c>
      <c r="I50" s="34" t="n">
        <f aca="false">I46-I47</f>
        <v>0.70985924225896</v>
      </c>
      <c r="J50" s="34" t="n">
        <f aca="false">J46-J47</f>
        <v>0.652412654956971</v>
      </c>
      <c r="K50" s="34" t="n">
        <f aca="false">K46-K47</f>
        <v>0.593279317379909</v>
      </c>
      <c r="L50" s="34" t="n">
        <f aca="false">L46-L47</f>
        <v>0.53305286991322</v>
      </c>
      <c r="M50" s="34" t="n">
        <f aca="false">M46-M47</f>
        <v>0.472446768716897</v>
      </c>
      <c r="N50" s="34" t="n">
        <f aca="false">N46-N47</f>
        <v>0.412285502760444</v>
      </c>
      <c r="O50" s="34" t="n">
        <f aca="false">O46-O47</f>
        <v>0.353485117712209</v>
      </c>
      <c r="P50" s="34" t="n">
        <f aca="false">P46-P47</f>
        <v>0.297021166886703</v>
      </c>
      <c r="Q50" s="34" t="n">
        <f aca="false">Q46-Q47</f>
        <v>0.243883124441972</v>
      </c>
      <c r="R50" s="34" t="n">
        <f aca="false">R46-R47</f>
        <v>0.195015871685316</v>
      </c>
      <c r="S50" s="34" t="n">
        <f aca="false">S46-S47</f>
        <v>0.151251151576811</v>
      </c>
      <c r="T50" s="34" t="n">
        <f aca="false">T46-T47</f>
        <v>0.113234758508081</v>
      </c>
      <c r="U50" s="34" t="n">
        <f aca="false">U46-U47</f>
        <v>0.0813583047499374</v>
      </c>
      <c r="V50" s="34" t="n">
        <f aca="false">V46-V47</f>
        <v>0.0557069589425514</v>
      </c>
      <c r="W50" s="34" t="n">
        <f aca="false">W46-W47</f>
        <v>0.0360355377058636</v>
      </c>
      <c r="X50" s="34" t="n">
        <f aca="false">X46-X47</f>
        <v>0.0217835540079982</v>
      </c>
      <c r="Y50" s="34" t="n">
        <f aca="false">Y46-Y47</f>
        <v>0.0121343593093048</v>
      </c>
      <c r="Z50" s="34" t="n">
        <f aca="false">Z46-Z47</f>
        <v>0.00611434940028982</v>
      </c>
      <c r="AA50" s="34" t="n">
        <f aca="false">AA46-AA47</f>
        <v>0.00271693415954092</v>
      </c>
      <c r="AB50" s="34" t="n">
        <f aca="false">AB46-AB47</f>
        <v>0.00102612140620794</v>
      </c>
    </row>
    <row r="52" customFormat="false" ht="15" hidden="false" customHeight="false" outlineLevel="0" collapsed="false">
      <c r="A52" s="2" t="s">
        <v>198</v>
      </c>
    </row>
    <row r="53" customFormat="false" ht="15" hidden="false" customHeight="false" outlineLevel="0" collapsed="false">
      <c r="B53" s="3" t="s">
        <v>199</v>
      </c>
      <c r="D53" s="38" t="n">
        <f aca="false">D14*Cartera!$D$5+D22*Cartera!$D$6+D30*Cartera!$D$7+D38*Cartera!$D$8+D46*Cartera!$D$9</f>
        <v>450</v>
      </c>
      <c r="E53" s="38" t="n">
        <f aca="false">E14*Cartera!$D$5+E22*Cartera!$D$6+E30*Cartera!$D$7+E38*Cartera!$D$8+E46*Cartera!$D$9</f>
        <v>420.849</v>
      </c>
      <c r="F53" s="38" t="n">
        <f aca="false">F14*Cartera!$D$5+F22*Cartera!$D$6+F30*Cartera!$D$7+F38*Cartera!$D$8+F46*Cartera!$D$9</f>
        <v>391.386181265</v>
      </c>
      <c r="G53" s="38" t="n">
        <f aca="false">G14*Cartera!$D$5+G22*Cartera!$D$6+G30*Cartera!$D$7+G38*Cartera!$D$8+G46*Cartera!$D$9</f>
        <v>361.769825561025</v>
      </c>
      <c r="H53" s="38" t="n">
        <f aca="false">H14*Cartera!$D$5+H22*Cartera!$D$6+H30*Cartera!$D$7+H38*Cartera!$D$8+H46*Cartera!$D$9</f>
        <v>332.173608892588</v>
      </c>
      <c r="I53" s="38" t="n">
        <f aca="false">I14*Cartera!$D$5+I22*Cartera!$D$6+I30*Cartera!$D$7+I38*Cartera!$D$8+I46*Cartera!$D$9</f>
        <v>302.7850561263</v>
      </c>
      <c r="J53" s="38" t="n">
        <f aca="false">J14*Cartera!$D$5+J22*Cartera!$D$6+J30*Cartera!$D$7+J38*Cartera!$D$8+J46*Cartera!$D$9</f>
        <v>273.803393588396</v>
      </c>
      <c r="K53" s="38" t="n">
        <f aca="false">K14*Cartera!$D$5+K22*Cartera!$D$6+K30*Cartera!$D$7+K38*Cartera!$D$8+K46*Cartera!$D$9</f>
        <v>245.436755661783</v>
      </c>
      <c r="L53" s="38" t="n">
        <f aca="false">L14*Cartera!$D$5+L22*Cartera!$D$6+L30*Cartera!$D$7+L38*Cartera!$D$8+L46*Cartera!$D$9</f>
        <v>217.898710262644</v>
      </c>
      <c r="M53" s="38" t="n">
        <f aca="false">M14*Cartera!$D$5+M22*Cartera!$D$6+M30*Cartera!$D$7+M38*Cartera!$D$8+M46*Cartera!$D$9</f>
        <v>191.404078614841</v>
      </c>
      <c r="N53" s="38" t="n">
        <f aca="false">N14*Cartera!$D$5+N22*Cartera!$D$6+N30*Cartera!$D$7+N38*Cartera!$D$8+N46*Cartera!$D$9</f>
        <v>166.164038538166</v>
      </c>
      <c r="O53" s="38" t="n">
        <f aca="false">O14*Cartera!$D$5+O22*Cartera!$D$6+O30*Cartera!$D$7+O38*Cartera!$D$8+O46*Cartera!$D$9</f>
        <v>142.38052088797</v>
      </c>
      <c r="P53" s="38" t="n">
        <f aca="false">P14*Cartera!$D$5+P22*Cartera!$D$6+P30*Cartera!$D$7+P38*Cartera!$D$8+P46*Cartera!$D$9</f>
        <v>120.239941497437</v>
      </c>
      <c r="Q53" s="38" t="n">
        <f aca="false">Q14*Cartera!$D$5+Q22*Cartera!$D$6+Q30*Cartera!$D$7+Q38*Cartera!$D$8+Q46*Cartera!$D$9</f>
        <v>99.9063639990771</v>
      </c>
      <c r="R53" s="38" t="n">
        <f aca="false">R14*Cartera!$D$5+R22*Cartera!$D$6+R30*Cartera!$D$7+R38*Cartera!$D$8+R46*Cartera!$D$9</f>
        <v>81.5142716707952</v>
      </c>
      <c r="S53" s="38" t="n">
        <f aca="false">S14*Cartera!$D$5+S22*Cartera!$D$6+S30*Cartera!$D$7+S38*Cartera!$D$8+S46*Cartera!$D$9</f>
        <v>65.1612472777943</v>
      </c>
      <c r="T53" s="38" t="n">
        <f aca="false">T14*Cartera!$D$5+T22*Cartera!$D$6+T30*Cartera!$D$7+T38*Cartera!$D$8+T46*Cartera!$D$9</f>
        <v>50.9010213255009</v>
      </c>
      <c r="U53" s="38" t="n">
        <f aca="false">U14*Cartera!$D$5+U22*Cartera!$D$6+U30*Cartera!$D$7+U38*Cartera!$D$8+U46*Cartera!$D$9</f>
        <v>38.7375412506057</v>
      </c>
      <c r="V53" s="38" t="n">
        <f aca="false">V14*Cartera!$D$5+V22*Cartera!$D$6+V30*Cartera!$D$7+V38*Cartera!$D$8+V46*Cartera!$D$9</f>
        <v>28.6209065655047</v>
      </c>
      <c r="W53" s="38" t="n">
        <f aca="false">W14*Cartera!$D$5+W22*Cartera!$D$6+W30*Cartera!$D$7+W38*Cartera!$D$8+W46*Cartera!$D$9</f>
        <v>20.4461510975904</v>
      </c>
      <c r="X53" s="38" t="n">
        <f aca="false">X14*Cartera!$D$5+X22*Cartera!$D$6+X30*Cartera!$D$7+X38*Cartera!$D$8+X46*Cartera!$D$9</f>
        <v>14.0558506032552</v>
      </c>
      <c r="Y53" s="38" t="n">
        <f aca="false">Y14*Cartera!$D$5+Y22*Cartera!$D$6+Y30*Cartera!$D$7+Y38*Cartera!$D$8+Y46*Cartera!$D$9</f>
        <v>9.24729742396118</v>
      </c>
      <c r="Z53" s="38" t="n">
        <f aca="false">Z14*Cartera!$D$5+Z22*Cartera!$D$6+Z30*Cartera!$D$7+Z38*Cartera!$D$8+Z46*Cartera!$D$9</f>
        <v>5.78443918498681</v>
      </c>
      <c r="AA53" s="38" t="n">
        <f aca="false">AA14*Cartera!$D$5+AA22*Cartera!$D$6+AA30*Cartera!$D$7+AA38*Cartera!$D$8+AA46*Cartera!$D$9</f>
        <v>3.4139231233496</v>
      </c>
      <c r="AB53" s="38" t="n">
        <f aca="false">AB14*Cartera!$D$5+AB22*Cartera!$D$6+AB30*Cartera!$D$7+AB38*Cartera!$D$8+AB46*Cartera!$D$9</f>
        <v>1.88354677384927</v>
      </c>
    </row>
    <row r="54" customFormat="false" ht="15" hidden="false" customHeight="false" outlineLevel="0" collapsed="false">
      <c r="B54" s="3" t="s">
        <v>200</v>
      </c>
      <c r="D54" s="38" t="n">
        <f aca="false">D16+D24+D32+D40+D48</f>
        <v>29.151</v>
      </c>
      <c r="E54" s="38" t="n">
        <f aca="false">E16+E24+E32+E40+E48</f>
        <v>29.462818735</v>
      </c>
      <c r="F54" s="38" t="n">
        <f aca="false">F16+F24+F32+F40+F48</f>
        <v>29.6163557039753</v>
      </c>
      <c r="G54" s="38" t="n">
        <f aca="false">G16+G24+G32+G40+G48</f>
        <v>29.596216668437</v>
      </c>
      <c r="H54" s="38" t="n">
        <f aca="false">H16+H24+H32+H40+H48</f>
        <v>29.388552766288</v>
      </c>
      <c r="I54" s="38" t="n">
        <f aca="false">I16+I24+I32+I40+I48</f>
        <v>28.9816625379042</v>
      </c>
      <c r="J54" s="38" t="n">
        <f aca="false">J16+J24+J32+J40+J48</f>
        <v>28.366637926613</v>
      </c>
      <c r="K54" s="38" t="n">
        <f aca="false">K16+K24+K32+K40+K48</f>
        <v>27.5380453991381</v>
      </c>
      <c r="L54" s="38" t="n">
        <f aca="false">L16+L24+L32+L40+L48</f>
        <v>26.4946316478032</v>
      </c>
      <c r="M54" s="38" t="n">
        <f aca="false">M16+M24+M32+M40+M48</f>
        <v>25.2400400766752</v>
      </c>
      <c r="N54" s="38" t="n">
        <f aca="false">N16+N24+N32+N40+N48</f>
        <v>23.7835176501961</v>
      </c>
      <c r="O54" s="38" t="n">
        <f aca="false">O16+O24+O32+O40+O48</f>
        <v>22.1405793905326</v>
      </c>
      <c r="P54" s="38" t="n">
        <f aca="false">P16+P24+P32+P40+P48</f>
        <v>20.3335774983602</v>
      </c>
      <c r="Q54" s="38" t="n">
        <f aca="false">Q16+Q24+Q32+Q40+Q48</f>
        <v>18.3920923282819</v>
      </c>
      <c r="R54" s="38" t="n">
        <f aca="false">R16+R24+R32+R40+R48</f>
        <v>16.3530243930009</v>
      </c>
      <c r="S54" s="38" t="n">
        <f aca="false">S16+S24+S32+S40+S48</f>
        <v>14.2602259522934</v>
      </c>
      <c r="T54" s="38" t="n">
        <f aca="false">T16+T24+T32+T40+T48</f>
        <v>12.1634800748951</v>
      </c>
      <c r="U54" s="38" t="n">
        <f aca="false">U16+U24+U32+U40+U48</f>
        <v>10.1166346851011</v>
      </c>
      <c r="V54" s="38" t="n">
        <f aca="false">V16+V24+V32+V40+V48</f>
        <v>8.17475546791427</v>
      </c>
      <c r="W54" s="38" t="n">
        <f aca="false">W16+W24+W32+W40+W48</f>
        <v>6.39030049433519</v>
      </c>
      <c r="X54" s="38" t="n">
        <f aca="false">X16+X24+X32+X40+X48</f>
        <v>4.80855317929404</v>
      </c>
      <c r="Y54" s="38" t="n">
        <f aca="false">Y16+Y24+Y32+Y40+Y48</f>
        <v>3.46285823897437</v>
      </c>
      <c r="Z54" s="38" t="n">
        <f aca="false">Z16+Z24+Z32+Z40+Z48</f>
        <v>2.37051606163721</v>
      </c>
      <c r="AA54" s="38" t="n">
        <f aca="false">AA16+AA24+AA32+AA40+AA48</f>
        <v>1.53037634950033</v>
      </c>
      <c r="AB54" s="38" t="n">
        <f aca="false">AB16+AB24+AB32+AB40+AB48</f>
        <v>0.923074062876534</v>
      </c>
    </row>
    <row r="55" customFormat="false" ht="15" hidden="false" customHeight="false" outlineLevel="0" collapsed="false">
      <c r="B55" s="3" t="s">
        <v>201</v>
      </c>
      <c r="D55" s="38" t="n">
        <f aca="false">-D54*$C$7</f>
        <v>-0.87453</v>
      </c>
      <c r="E55" s="38" t="n">
        <f aca="false">-E54*$C$7</f>
        <v>-0.88388456205</v>
      </c>
      <c r="F55" s="38" t="n">
        <f aca="false">-F54*$C$7</f>
        <v>-0.88849067111926</v>
      </c>
      <c r="G55" s="38" t="n">
        <f aca="false">-G54*$C$7</f>
        <v>-0.88788650005311</v>
      </c>
      <c r="H55" s="38" t="n">
        <f aca="false">-H54*$C$7</f>
        <v>-0.881656582988639</v>
      </c>
      <c r="I55" s="38" t="n">
        <f aca="false">-I54*$C$7</f>
        <v>-0.869449876137125</v>
      </c>
      <c r="J55" s="38" t="n">
        <f aca="false">-J54*$C$7</f>
        <v>-0.850999137798391</v>
      </c>
      <c r="K55" s="38" t="n">
        <f aca="false">-K54*$C$7</f>
        <v>-0.826141361974144</v>
      </c>
      <c r="L55" s="38" t="n">
        <f aca="false">-L54*$C$7</f>
        <v>-0.794838949434097</v>
      </c>
      <c r="M55" s="38" t="n">
        <f aca="false">-M54*$C$7</f>
        <v>-0.757201202300257</v>
      </c>
      <c r="N55" s="38" t="n">
        <f aca="false">-N54*$C$7</f>
        <v>-0.713505529505882</v>
      </c>
      <c r="O55" s="38" t="n">
        <f aca="false">-O54*$C$7</f>
        <v>-0.664217381715977</v>
      </c>
      <c r="P55" s="38" t="n">
        <f aca="false">-P54*$C$7</f>
        <v>-0.610007324950806</v>
      </c>
      <c r="Q55" s="38" t="n">
        <f aca="false">-Q54*$C$7</f>
        <v>-0.551762769848457</v>
      </c>
      <c r="R55" s="38" t="n">
        <f aca="false">-R54*$C$7</f>
        <v>-0.490590731790027</v>
      </c>
      <c r="S55" s="38" t="n">
        <f aca="false">-S54*$C$7</f>
        <v>-0.427806778568803</v>
      </c>
      <c r="T55" s="38" t="n">
        <f aca="false">-T54*$C$7</f>
        <v>-0.364904402246854</v>
      </c>
      <c r="U55" s="38" t="n">
        <f aca="false">-U54*$C$7</f>
        <v>-0.303499040553031</v>
      </c>
      <c r="V55" s="38" t="n">
        <f aca="false">-V54*$C$7</f>
        <v>-0.245242664037428</v>
      </c>
      <c r="W55" s="38" t="n">
        <f aca="false">-W54*$C$7</f>
        <v>-0.191709014830056</v>
      </c>
      <c r="X55" s="38" t="n">
        <f aca="false">-X54*$C$7</f>
        <v>-0.144256595378821</v>
      </c>
      <c r="Y55" s="38" t="n">
        <f aca="false">-Y54*$C$7</f>
        <v>-0.103885747169231</v>
      </c>
      <c r="Z55" s="38" t="n">
        <f aca="false">-Z54*$C$7</f>
        <v>-0.0711154818491162</v>
      </c>
      <c r="AA55" s="38" t="n">
        <f aca="false">-AA54*$C$7</f>
        <v>-0.0459112904850099</v>
      </c>
      <c r="AB55" s="38" t="n">
        <f aca="false">-AB54*$C$7</f>
        <v>-0.027692221886296</v>
      </c>
    </row>
    <row r="56" customFormat="false" ht="15" hidden="false" customHeight="false" outlineLevel="0" collapsed="false">
      <c r="B56" s="3" t="s">
        <v>202</v>
      </c>
      <c r="D56" s="38" t="n">
        <f aca="false">D54+D55</f>
        <v>28.27647</v>
      </c>
      <c r="E56" s="38" t="n">
        <f aca="false">E54+E55</f>
        <v>28.57893417295</v>
      </c>
      <c r="F56" s="38" t="n">
        <f aca="false">F54+F55</f>
        <v>28.7278650328561</v>
      </c>
      <c r="G56" s="38" t="n">
        <f aca="false">G54+G55</f>
        <v>28.7083301683839</v>
      </c>
      <c r="H56" s="38" t="n">
        <f aca="false">H54+H55</f>
        <v>28.5068961832993</v>
      </c>
      <c r="I56" s="38" t="n">
        <f aca="false">I54+I55</f>
        <v>28.112212661767</v>
      </c>
      <c r="J56" s="38" t="n">
        <f aca="false">J54+J55</f>
        <v>27.5156387888146</v>
      </c>
      <c r="K56" s="38" t="n">
        <f aca="false">K54+K55</f>
        <v>26.711904037164</v>
      </c>
      <c r="L56" s="38" t="n">
        <f aca="false">L54+L55</f>
        <v>25.6997926983691</v>
      </c>
      <c r="M56" s="38" t="n">
        <f aca="false">M54+M55</f>
        <v>24.482838874375</v>
      </c>
      <c r="N56" s="38" t="n">
        <f aca="false">N54+N55</f>
        <v>23.0700121206902</v>
      </c>
      <c r="O56" s="38" t="n">
        <f aca="false">O54+O55</f>
        <v>21.4763620088166</v>
      </c>
      <c r="P56" s="38" t="n">
        <f aca="false">P54+P55</f>
        <v>19.7235701734094</v>
      </c>
      <c r="Q56" s="38" t="n">
        <f aca="false">Q54+Q55</f>
        <v>17.8403295584334</v>
      </c>
      <c r="R56" s="38" t="n">
        <f aca="false">R54+R55</f>
        <v>15.8624336612109</v>
      </c>
      <c r="S56" s="38" t="n">
        <f aca="false">S54+S55</f>
        <v>13.8324191737246</v>
      </c>
      <c r="T56" s="38" t="n">
        <f aca="false">T54+T55</f>
        <v>11.7985756726483</v>
      </c>
      <c r="U56" s="38" t="n">
        <f aca="false">U54+U55</f>
        <v>9.81313564454802</v>
      </c>
      <c r="V56" s="38" t="n">
        <f aca="false">V54+V55</f>
        <v>7.92951280387684</v>
      </c>
      <c r="W56" s="38" t="n">
        <f aca="false">W54+W55</f>
        <v>6.19859147950514</v>
      </c>
      <c r="X56" s="38" t="n">
        <f aca="false">X54+X55</f>
        <v>4.66429658391522</v>
      </c>
      <c r="Y56" s="38" t="n">
        <f aca="false">Y54+Y55</f>
        <v>3.35897249180514</v>
      </c>
      <c r="Z56" s="38" t="n">
        <f aca="false">Z54+Z55</f>
        <v>2.29940057978809</v>
      </c>
      <c r="AA56" s="38" t="n">
        <f aca="false">AA54+AA55</f>
        <v>1.48446505901532</v>
      </c>
      <c r="AB56" s="38" t="n">
        <f aca="false">AB54+AB55</f>
        <v>0.895381840990237</v>
      </c>
    </row>
    <row r="57" customFormat="false" ht="15" hidden="false" customHeight="false" outlineLevel="0" collapsed="false">
      <c r="B57" s="3" t="s">
        <v>203</v>
      </c>
      <c r="D57" s="38" t="n">
        <f aca="false">-(D17+D25+D33+D41+D49)</f>
        <v>-23.3</v>
      </c>
      <c r="E57" s="38" t="n">
        <f aca="false">-(E17+E25+E33+E41+E49)</f>
        <v>-21.8674898</v>
      </c>
      <c r="F57" s="38" t="n">
        <f aca="false">-(F17+F25+F33+F41+F49)</f>
        <v>-20.4010594829791</v>
      </c>
      <c r="G57" s="38" t="n">
        <f aca="false">-(G17+G25+G33+G41+G49)</f>
        <v>-18.9103231003381</v>
      </c>
      <c r="H57" s="38" t="n">
        <f aca="false">-(H17+H25+H33+H41+H49)</f>
        <v>-17.405926197156</v>
      </c>
      <c r="I57" s="38" t="n">
        <f aca="false">-(I17+I25+I33+I41+I49)</f>
        <v>-15.8994226640992</v>
      </c>
      <c r="J57" s="38" t="n">
        <f aca="false">-(J17+J25+J33+J41+J49)</f>
        <v>-14.4031075620042</v>
      </c>
      <c r="K57" s="38" t="n">
        <f aca="false">-(K17+K25+K33+K41+K49)</f>
        <v>-12.9298054796268</v>
      </c>
      <c r="L57" s="38" t="n">
        <f aca="false">-(L17+L25+L33+L41+L49)</f>
        <v>-11.4926158064397</v>
      </c>
      <c r="M57" s="38" t="n">
        <f aca="false">-(M17+M25+M33+M41+M49)</f>
        <v>-10.1046182188658</v>
      </c>
      <c r="N57" s="38" t="n">
        <f aca="false">-(N17+N25+N33+N41+N49)</f>
        <v>-8.77854358098137</v>
      </c>
      <c r="O57" s="38" t="n">
        <f aca="false">-(O17+O25+O33+O41+O49)</f>
        <v>-7.52641728690518</v>
      </c>
      <c r="P57" s="38" t="n">
        <f aca="false">-(P17+P25+P33+P41+P49)</f>
        <v>-6.35918385836619</v>
      </c>
      <c r="Q57" s="38" t="n">
        <f aca="false">-(Q17+Q25+Q33+Q41+Q49)</f>
        <v>-5.28632354045218</v>
      </c>
      <c r="R57" s="38" t="n">
        <f aca="false">-(R17+R25+R33+R41+R49)</f>
        <v>-4.31547405587114</v>
      </c>
      <c r="S57" s="38" t="n">
        <f aca="false">-(S17+S25+S33+S41+S49)</f>
        <v>-3.45207403339379</v>
      </c>
      <c r="T57" s="38" t="n">
        <f aca="false">-(T17+T25+T33+T41+T49)</f>
        <v>-2.69904930716756</v>
      </c>
      <c r="U57" s="38" t="n">
        <f aca="false">-(U17+U25+U33+U41+U49)</f>
        <v>-2.0565693093438</v>
      </c>
      <c r="V57" s="38" t="n">
        <f aca="false">-(V17+V25+V33+V41+V49)</f>
        <v>-1.5219073773438</v>
      </c>
      <c r="W57" s="38" t="n">
        <f aca="false">-(W17+W25+W33+W41+W49)</f>
        <v>-1.08944398042901</v>
      </c>
      <c r="X57" s="38" t="n">
        <f aca="false">-(X17+X25+X33+X41+X49)</f>
        <v>-0.750852236357454</v>
      </c>
      <c r="Y57" s="38" t="n">
        <f aca="false">-(Y17+Y25+Y33+Y41+Y49)</f>
        <v>-0.495496207858279</v>
      </c>
      <c r="Z57" s="38" t="n">
        <f aca="false">-(Z17+Z25+Z33+Z41+Z49)</f>
        <v>-0.311050209961412</v>
      </c>
      <c r="AA57" s="38" t="n">
        <f aca="false">-(AA17+AA25+AA33+AA41+AA49)</f>
        <v>-0.184310290601482</v>
      </c>
      <c r="AB57" s="38" t="n">
        <f aca="false">-(AB17+AB25+AB33+AB41+AB49)</f>
        <v>-0.102121419251098</v>
      </c>
    </row>
    <row r="58" customFormat="false" ht="15" hidden="false" customHeight="false" outlineLevel="0" collapsed="false">
      <c r="B58" s="3" t="s">
        <v>204</v>
      </c>
      <c r="D58" s="38" t="n">
        <f aca="false">-(Supuestos!$C$12+Supuestos!$C$13*D53)</f>
        <v>-0.975</v>
      </c>
      <c r="E58" s="38" t="n">
        <f aca="false">-(Supuestos!$C$12+Supuestos!$C$13*E53)</f>
        <v>-0.9604245</v>
      </c>
      <c r="F58" s="38" t="n">
        <f aca="false">-(Supuestos!$C$12+Supuestos!$C$13*F53)</f>
        <v>-0.9456930906325</v>
      </c>
      <c r="G58" s="38" t="n">
        <f aca="false">-(Supuestos!$C$12+Supuestos!$C$13*G53)</f>
        <v>-0.930884912780512</v>
      </c>
      <c r="H58" s="38" t="n">
        <f aca="false">-(Supuestos!$C$12+Supuestos!$C$13*H53)</f>
        <v>-0.916086804446294</v>
      </c>
      <c r="I58" s="38" t="n">
        <f aca="false">-(Supuestos!$C$12+Supuestos!$C$13*I53)</f>
        <v>-0.90139252806315</v>
      </c>
      <c r="J58" s="38" t="n">
        <f aca="false">-(Supuestos!$C$12+Supuestos!$C$13*J53)</f>
        <v>-0.886901696794198</v>
      </c>
      <c r="K58" s="38" t="n">
        <f aca="false">-(Supuestos!$C$12+Supuestos!$C$13*K53)</f>
        <v>-0.872718377830891</v>
      </c>
      <c r="L58" s="38" t="n">
        <f aca="false">-(Supuestos!$C$12+Supuestos!$C$13*L53)</f>
        <v>-0.858949355131322</v>
      </c>
      <c r="M58" s="38" t="n">
        <f aca="false">-(Supuestos!$C$12+Supuestos!$C$13*M53)</f>
        <v>-0.845702039307421</v>
      </c>
      <c r="N58" s="38" t="n">
        <f aca="false">-(Supuestos!$C$12+Supuestos!$C$13*N53)</f>
        <v>-0.833082019269083</v>
      </c>
      <c r="O58" s="38" t="n">
        <f aca="false">-(Supuestos!$C$12+Supuestos!$C$13*O53)</f>
        <v>-0.821190260443985</v>
      </c>
      <c r="P58" s="38" t="n">
        <f aca="false">-(Supuestos!$C$12+Supuestos!$C$13*P53)</f>
        <v>-0.810119970748719</v>
      </c>
      <c r="Q58" s="38" t="n">
        <f aca="false">-(Supuestos!$C$12+Supuestos!$C$13*Q53)</f>
        <v>-0.799953181999539</v>
      </c>
      <c r="R58" s="38" t="n">
        <f aca="false">-(Supuestos!$C$12+Supuestos!$C$13*R53)</f>
        <v>-0.790757135835398</v>
      </c>
      <c r="S58" s="38" t="n">
        <f aca="false">-(Supuestos!$C$12+Supuestos!$C$13*S53)</f>
        <v>-0.782580623638897</v>
      </c>
      <c r="T58" s="38" t="n">
        <f aca="false">-(Supuestos!$C$12+Supuestos!$C$13*T53)</f>
        <v>-0.77545051066275</v>
      </c>
      <c r="U58" s="38" t="n">
        <f aca="false">-(Supuestos!$C$12+Supuestos!$C$13*U53)</f>
        <v>-0.769368770625303</v>
      </c>
      <c r="V58" s="38" t="n">
        <f aca="false">-(Supuestos!$C$12+Supuestos!$C$13*V53)</f>
        <v>-0.764310453282752</v>
      </c>
      <c r="W58" s="38" t="n">
        <f aca="false">-(Supuestos!$C$12+Supuestos!$C$13*W53)</f>
        <v>-0.760223075548795</v>
      </c>
      <c r="X58" s="38" t="n">
        <f aca="false">-(Supuestos!$C$12+Supuestos!$C$13*X53)</f>
        <v>-0.757027925301628</v>
      </c>
      <c r="Y58" s="38" t="n">
        <f aca="false">-(Supuestos!$C$12+Supuestos!$C$13*Y53)</f>
        <v>-0.754623648711981</v>
      </c>
      <c r="Z58" s="38" t="n">
        <f aca="false">-(Supuestos!$C$12+Supuestos!$C$13*Z53)</f>
        <v>-0.752892219592493</v>
      </c>
      <c r="AA58" s="38" t="n">
        <f aca="false">-(Supuestos!$C$12+Supuestos!$C$13*AA53)</f>
        <v>-0.751706961561675</v>
      </c>
      <c r="AB58" s="38" t="n">
        <f aca="false">-(Supuestos!$C$12+Supuestos!$C$13*AB53)</f>
        <v>-0.750941773386925</v>
      </c>
    </row>
    <row r="59" customFormat="false" ht="15" hidden="false" customHeight="false" outlineLevel="0" collapsed="false">
      <c r="B59" s="3" t="s">
        <v>205</v>
      </c>
      <c r="D59" s="38" t="n">
        <f aca="false">IF(D$3=Supuestos!$C$15,(D18*Cartera!$D$5+D26*Cartera!$D$6+D34*Cartera!$D$7+D42*Cartera!$D$8+D50*Cartera!$D$9)*Supuestos!$C$14*(1-$C$9),0)</f>
        <v>0</v>
      </c>
      <c r="E59" s="38" t="n">
        <f aca="false">IF(E$3=Supuestos!$C$15,(E18*Cartera!$D$5+E26*Cartera!$D$6+E34*Cartera!$D$7+E42*Cartera!$D$8+E50*Cartera!$D$9)*Supuestos!$C$14*(1-$C$9),0)</f>
        <v>0</v>
      </c>
      <c r="F59" s="38" t="n">
        <f aca="false">IF(F$3=Supuestos!$C$15,(F18*Cartera!$D$5+F26*Cartera!$D$6+F34*Cartera!$D$7+F42*Cartera!$D$8+F50*Cartera!$D$9)*Supuestos!$C$14*(1-$C$9),0)</f>
        <v>0</v>
      </c>
      <c r="G59" s="38" t="n">
        <f aca="false">IF(G$3=Supuestos!$C$15,(G18*Cartera!$D$5+G26*Cartera!$D$6+G34*Cartera!$D$7+G42*Cartera!$D$8+G50*Cartera!$D$9)*Supuestos!$C$14*(1-$C$9),0)</f>
        <v>0</v>
      </c>
      <c r="H59" s="38" t="n">
        <f aca="false">IF(H$3=Supuestos!$C$15,(H18*Cartera!$D$5+H26*Cartera!$D$6+H34*Cartera!$D$7+H42*Cartera!$D$8+H50*Cartera!$D$9)*Supuestos!$C$14*(1-$C$9),0)</f>
        <v>0</v>
      </c>
      <c r="I59" s="38" t="n">
        <f aca="false">IF(I$3=Supuestos!$C$15,(I18*Cartera!$D$5+I26*Cartera!$D$6+I34*Cartera!$D$7+I42*Cartera!$D$8+I50*Cartera!$D$9)*Supuestos!$C$14*(1-$C$9),0)</f>
        <v>0</v>
      </c>
      <c r="J59" s="38" t="n">
        <f aca="false">IF(J$3=Supuestos!$C$15,(J18*Cartera!$D$5+J26*Cartera!$D$6+J34*Cartera!$D$7+J42*Cartera!$D$8+J50*Cartera!$D$9)*Supuestos!$C$14*(1-$C$9),0)</f>
        <v>0</v>
      </c>
      <c r="K59" s="38" t="n">
        <f aca="false">IF(K$3=Supuestos!$C$15,(K18*Cartera!$D$5+K26*Cartera!$D$6+K34*Cartera!$D$7+K42*Cartera!$D$8+K50*Cartera!$D$9)*Supuestos!$C$14*(1-$C$9),0)</f>
        <v>0</v>
      </c>
      <c r="L59" s="38" t="n">
        <f aca="false">IF(L$3=Supuestos!$C$15,(L18*Cartera!$D$5+L26*Cartera!$D$6+L34*Cartera!$D$7+L42*Cartera!$D$8+L50*Cartera!$D$9)*Supuestos!$C$14*(1-$C$9),0)</f>
        <v>0</v>
      </c>
      <c r="M59" s="38" t="n">
        <f aca="false">IF(M$3=Supuestos!$C$15,(M18*Cartera!$D$5+M26*Cartera!$D$6+M34*Cartera!$D$7+M42*Cartera!$D$8+M50*Cartera!$D$9)*Supuestos!$C$14*(1-$C$9),0)</f>
        <v>0</v>
      </c>
      <c r="N59" s="38" t="n">
        <f aca="false">IF(N$3=Supuestos!$C$15,(N18*Cartera!$D$5+N26*Cartera!$D$6+N34*Cartera!$D$7+N42*Cartera!$D$8+N50*Cartera!$D$9)*Supuestos!$C$14*(1-$C$9),0)</f>
        <v>0</v>
      </c>
      <c r="O59" s="38" t="n">
        <f aca="false">IF(O$3=Supuestos!$C$15,(O18*Cartera!$D$5+O26*Cartera!$D$6+O34*Cartera!$D$7+O42*Cartera!$D$8+O50*Cartera!$D$9)*Supuestos!$C$14*(1-$C$9),0)</f>
        <v>0</v>
      </c>
      <c r="P59" s="38" t="n">
        <f aca="false">IF(P$3=Supuestos!$C$15,(P18*Cartera!$D$5+P26*Cartera!$D$6+P34*Cartera!$D$7+P42*Cartera!$D$8+P50*Cartera!$D$9)*Supuestos!$C$14*(1-$C$9),0)</f>
        <v>0</v>
      </c>
      <c r="Q59" s="38" t="n">
        <f aca="false">IF(Q$3=Supuestos!$C$15,(Q18*Cartera!$D$5+Q26*Cartera!$D$6+Q34*Cartera!$D$7+Q42*Cartera!$D$8+Q50*Cartera!$D$9)*Supuestos!$C$14*(1-$C$9),0)</f>
        <v>0</v>
      </c>
      <c r="R59" s="38" t="n">
        <f aca="false">IF(R$3=Supuestos!$C$15,(R18*Cartera!$D$5+R26*Cartera!$D$6+R34*Cartera!$D$7+R42*Cartera!$D$8+R50*Cartera!$D$9)*Supuestos!$C$14*(1-$C$9),0)</f>
        <v>0</v>
      </c>
      <c r="S59" s="38" t="n">
        <f aca="false">IF(S$3=Supuestos!$C$15,(S18*Cartera!$D$5+S26*Cartera!$D$6+S34*Cartera!$D$7+S42*Cartera!$D$8+S50*Cartera!$D$9)*Supuestos!$C$14*(1-$C$9),0)</f>
        <v>0</v>
      </c>
      <c r="T59" s="38" t="n">
        <f aca="false">IF(T$3=Supuestos!$C$15,(T18*Cartera!$D$5+T26*Cartera!$D$6+T34*Cartera!$D$7+T42*Cartera!$D$8+T50*Cartera!$D$9)*Supuestos!$C$14*(1-$C$9),0)</f>
        <v>0</v>
      </c>
      <c r="U59" s="38" t="n">
        <f aca="false">IF(U$3=Supuestos!$C$15,(U18*Cartera!$D$5+U26*Cartera!$D$6+U34*Cartera!$D$7+U42*Cartera!$D$8+U50*Cartera!$D$9)*Supuestos!$C$14*(1-$C$9),0)</f>
        <v>0</v>
      </c>
      <c r="V59" s="38" t="n">
        <f aca="false">IF(V$3=Supuestos!$C$15,(V18*Cartera!$D$5+V26*Cartera!$D$6+V34*Cartera!$D$7+V42*Cartera!$D$8+V50*Cartera!$D$9)*Supuestos!$C$14*(1-$C$9),0)</f>
        <v>0</v>
      </c>
      <c r="W59" s="38" t="n">
        <f aca="false">IF(W$3=Supuestos!$C$15,(W18*Cartera!$D$5+W26*Cartera!$D$6+W34*Cartera!$D$7+W42*Cartera!$D$8+W50*Cartera!$D$9)*Supuestos!$C$14*(1-$C$9),0)</f>
        <v>0</v>
      </c>
      <c r="X59" s="38" t="n">
        <f aca="false">IF(X$3=Supuestos!$C$15,(X18*Cartera!$D$5+X26*Cartera!$D$6+X34*Cartera!$D$7+X42*Cartera!$D$8+X50*Cartera!$D$9)*Supuestos!$C$14*(1-$C$9),0)</f>
        <v>0</v>
      </c>
      <c r="Y59" s="38" t="n">
        <f aca="false">IF(Y$3=Supuestos!$C$15,(Y18*Cartera!$D$5+Y26*Cartera!$D$6+Y34*Cartera!$D$7+Y42*Cartera!$D$8+Y50*Cartera!$D$9)*Supuestos!$C$14*(1-$C$9),0)</f>
        <v>0</v>
      </c>
      <c r="Z59" s="38" t="n">
        <f aca="false">IF(Z$3=Supuestos!$C$15,(Z18*Cartera!$D$5+Z26*Cartera!$D$6+Z34*Cartera!$D$7+Z42*Cartera!$D$8+Z50*Cartera!$D$9)*Supuestos!$C$14*(1-$C$9),0)</f>
        <v>0</v>
      </c>
      <c r="AA59" s="38" t="n">
        <f aca="false">IF(AA$3=Supuestos!$C$15,(AA18*Cartera!$D$5+AA26*Cartera!$D$6+AA34*Cartera!$D$7+AA42*Cartera!$D$8+AA50*Cartera!$D$9)*Supuestos!$C$14*(1-$C$9),0)</f>
        <v>0</v>
      </c>
      <c r="AB59" s="38" t="n">
        <f aca="false">IF(AB$3=Supuestos!$C$15,(AB18*Cartera!$D$5+AB26*Cartera!$D$6+AB34*Cartera!$D$7+AB42*Cartera!$D$8+AB50*Cartera!$D$9)*Supuestos!$C$14*(1-$C$9),0)</f>
        <v>0.134466179536183</v>
      </c>
    </row>
    <row r="60" customFormat="false" ht="15" hidden="false" customHeight="false" outlineLevel="0" collapsed="false">
      <c r="B60" s="2" t="s">
        <v>206</v>
      </c>
      <c r="D60" s="38" t="n">
        <f aca="false">D56+D57+D58+D59</f>
        <v>4.00147</v>
      </c>
      <c r="E60" s="38" t="n">
        <f aca="false">E56+E57+E58+E59</f>
        <v>5.75101987295</v>
      </c>
      <c r="F60" s="38" t="n">
        <f aca="false">F56+F57+F58+F59</f>
        <v>7.38111245924447</v>
      </c>
      <c r="G60" s="38" t="n">
        <f aca="false">G56+G57+G58+G59</f>
        <v>8.86712215526527</v>
      </c>
      <c r="H60" s="38" t="n">
        <f aca="false">H56+H57+H58+H59</f>
        <v>10.184883181697</v>
      </c>
      <c r="I60" s="38" t="n">
        <f aca="false">I56+I57+I58+I59</f>
        <v>11.3113974696047</v>
      </c>
      <c r="J60" s="38" t="n">
        <f aca="false">J56+J57+J58+J59</f>
        <v>12.2256295300163</v>
      </c>
      <c r="K60" s="38" t="n">
        <f aca="false">K56+K57+K58+K59</f>
        <v>12.9093801797063</v>
      </c>
      <c r="L60" s="38" t="n">
        <f aca="false">L56+L57+L58+L59</f>
        <v>13.3482275367981</v>
      </c>
      <c r="M60" s="38" t="n">
        <f aca="false">M56+M57+M58+M59</f>
        <v>13.5325186162017</v>
      </c>
      <c r="N60" s="38" t="n">
        <f aca="false">N56+N57+N58+N59</f>
        <v>13.4583865204397</v>
      </c>
      <c r="O60" s="38" t="n">
        <f aca="false">O56+O57+O58+O59</f>
        <v>13.1287544614674</v>
      </c>
      <c r="P60" s="38" t="n">
        <f aca="false">P56+P57+P58+P59</f>
        <v>12.5542663442945</v>
      </c>
      <c r="Q60" s="38" t="n">
        <f aca="false">Q56+Q57+Q58+Q59</f>
        <v>11.7540528359817</v>
      </c>
      <c r="R60" s="38" t="n">
        <f aca="false">R56+R57+R58+R59</f>
        <v>10.7562024695044</v>
      </c>
      <c r="S60" s="38" t="n">
        <f aca="false">S56+S57+S58+S59</f>
        <v>9.59776451669194</v>
      </c>
      <c r="T60" s="38" t="n">
        <f aca="false">T56+T57+T58+T59</f>
        <v>8.32407585481797</v>
      </c>
      <c r="U60" s="38" t="n">
        <f aca="false">U56+U57+U58+U59</f>
        <v>6.98719756457891</v>
      </c>
      <c r="V60" s="38" t="n">
        <f aca="false">V56+V57+V58+V59</f>
        <v>5.64329497325029</v>
      </c>
      <c r="W60" s="38" t="n">
        <f aca="false">W56+W57+W58+W59</f>
        <v>4.34892442352733</v>
      </c>
      <c r="X60" s="38" t="n">
        <f aca="false">X56+X57+X58+X59</f>
        <v>3.15641642225614</v>
      </c>
      <c r="Y60" s="38" t="n">
        <f aca="false">Y56+Y57+Y58+Y59</f>
        <v>2.10885263523488</v>
      </c>
      <c r="Z60" s="38" t="n">
        <f aca="false">Z56+Z57+Z58+Z59</f>
        <v>1.23545815023419</v>
      </c>
      <c r="AA60" s="38" t="n">
        <f aca="false">AA56+AA57+AA58+AA59</f>
        <v>0.548447806852164</v>
      </c>
      <c r="AB60" s="38" t="n">
        <f aca="false">AB56+AB57+AB58+AB59</f>
        <v>0.176784827888398</v>
      </c>
    </row>
    <row r="62" customFormat="false" ht="15" hidden="false" customHeight="false" outlineLevel="0" collapsed="false">
      <c r="B62" s="2" t="s">
        <v>207</v>
      </c>
    </row>
    <row r="63" customFormat="false" ht="15" hidden="false" customHeight="false" outlineLevel="0" collapsed="false">
      <c r="B63" s="3" t="s">
        <v>208</v>
      </c>
      <c r="D63" s="38" t="n">
        <f aca="false">Supuestos!$C$9</f>
        <v>20</v>
      </c>
      <c r="E63" s="38" t="n">
        <f aca="false">D82</f>
        <v>17.35147</v>
      </c>
      <c r="F63" s="38" t="n">
        <f aca="false">E82</f>
        <v>16.37303397295</v>
      </c>
      <c r="G63" s="38" t="n">
        <f aca="false">F82</f>
        <v>16.995337451383</v>
      </c>
      <c r="H63" s="38" t="n">
        <f aca="false">G82</f>
        <v>19.0994263313415</v>
      </c>
      <c r="I63" s="38" t="n">
        <f aca="false">H82</f>
        <v>17.5799854591276</v>
      </c>
      <c r="J63" s="38" t="n">
        <f aca="false">I82</f>
        <v>16.0584168907402</v>
      </c>
      <c r="K63" s="38" t="n">
        <f aca="false">J82</f>
        <v>14.5471386376242</v>
      </c>
      <c r="L63" s="38" t="n">
        <f aca="false">K82</f>
        <v>13.059103534423</v>
      </c>
      <c r="M63" s="38" t="n">
        <f aca="false">L82</f>
        <v>11.6075419645041</v>
      </c>
      <c r="N63" s="38" t="n">
        <f aca="false">M82</f>
        <v>10.2056644010545</v>
      </c>
      <c r="O63" s="38" t="n">
        <f aca="false">N82</f>
        <v>8.86632901679119</v>
      </c>
      <c r="P63" s="38" t="n">
        <f aca="false">O82</f>
        <v>7.60168145977424</v>
      </c>
      <c r="Q63" s="38" t="n">
        <f aca="false">P82</f>
        <v>6.42277569694985</v>
      </c>
      <c r="R63" s="38" t="n">
        <f aca="false">Q82</f>
        <v>5.3391867758567</v>
      </c>
      <c r="S63" s="38" t="n">
        <f aca="false">R82</f>
        <v>4.35862879642985</v>
      </c>
      <c r="T63" s="38" t="n">
        <f aca="false">S82</f>
        <v>3.48659477372773</v>
      </c>
      <c r="U63" s="38" t="n">
        <f aca="false">T82</f>
        <v>2.72603980023923</v>
      </c>
      <c r="V63" s="38" t="n">
        <f aca="false">U82</f>
        <v>2.07713500243724</v>
      </c>
      <c r="W63" s="38" t="n">
        <f aca="false">V82</f>
        <v>1.53712645111724</v>
      </c>
      <c r="X63" s="38" t="n">
        <f aca="false">W82</f>
        <v>1.1003384202333</v>
      </c>
      <c r="Y63" s="38" t="n">
        <f aca="false">X82</f>
        <v>0.758360758721028</v>
      </c>
      <c r="Z63" s="38" t="n">
        <f aca="false">Y82</f>
        <v>0.500451169936862</v>
      </c>
      <c r="AA63" s="38" t="n">
        <f aca="false">Z82</f>
        <v>0.314160712061027</v>
      </c>
      <c r="AB63" s="38" t="n">
        <f aca="false">AA82</f>
        <v>0.186153393507497</v>
      </c>
    </row>
    <row r="64" customFormat="false" ht="15" hidden="false" customHeight="false" outlineLevel="0" collapsed="false">
      <c r="B64" s="3" t="s">
        <v>209</v>
      </c>
      <c r="D64" s="38" t="n">
        <f aca="false">MAX(0,D63)*Supuestos!$C$11</f>
        <v>0.6</v>
      </c>
      <c r="E64" s="38" t="n">
        <f aca="false">MAX(0,E63)*Supuestos!$C$11</f>
        <v>0.5205441</v>
      </c>
      <c r="F64" s="38" t="n">
        <f aca="false">MAX(0,F63)*Supuestos!$C$11</f>
        <v>0.4911910191885</v>
      </c>
      <c r="G64" s="38" t="n">
        <f aca="false">MAX(0,G63)*Supuestos!$C$11</f>
        <v>0.509860123541489</v>
      </c>
      <c r="H64" s="38" t="n">
        <f aca="false">MAX(0,H63)*Supuestos!$C$11</f>
        <v>0.572982789940244</v>
      </c>
      <c r="I64" s="38" t="n">
        <f aca="false">MAX(0,I63)*Supuestos!$C$11</f>
        <v>0.527399563773827</v>
      </c>
      <c r="J64" s="38" t="n">
        <f aca="false">MAX(0,J63)*Supuestos!$C$11</f>
        <v>0.481752506722207</v>
      </c>
      <c r="K64" s="38" t="n">
        <f aca="false">MAX(0,K63)*Supuestos!$C$11</f>
        <v>0.436414159128726</v>
      </c>
      <c r="L64" s="38" t="n">
        <f aca="false">MAX(0,L63)*Supuestos!$C$11</f>
        <v>0.391773106032691</v>
      </c>
      <c r="M64" s="38" t="n">
        <f aca="false">MAX(0,M63)*Supuestos!$C$11</f>
        <v>0.348226258935124</v>
      </c>
      <c r="N64" s="38" t="n">
        <f aca="false">MAX(0,N63)*Supuestos!$C$11</f>
        <v>0.306169932031634</v>
      </c>
      <c r="O64" s="38" t="n">
        <f aca="false">MAX(0,O63)*Supuestos!$C$11</f>
        <v>0.265989870503736</v>
      </c>
      <c r="P64" s="38" t="n">
        <f aca="false">MAX(0,P63)*Supuestos!$C$11</f>
        <v>0.228050443793227</v>
      </c>
      <c r="Q64" s="38" t="n">
        <f aca="false">MAX(0,Q63)*Supuestos!$C$11</f>
        <v>0.192683270908496</v>
      </c>
      <c r="R64" s="38" t="n">
        <f aca="false">MAX(0,R63)*Supuestos!$C$11</f>
        <v>0.160175603275701</v>
      </c>
      <c r="S64" s="38" t="n">
        <f aca="false">MAX(0,S63)*Supuestos!$C$11</f>
        <v>0.130758863892896</v>
      </c>
      <c r="T64" s="38" t="n">
        <f aca="false">MAX(0,T63)*Supuestos!$C$11</f>
        <v>0.104597843211832</v>
      </c>
      <c r="U64" s="38" t="n">
        <f aca="false">MAX(0,U63)*Supuestos!$C$11</f>
        <v>0.0817811940071769</v>
      </c>
      <c r="V64" s="38" t="n">
        <f aca="false">MAX(0,V63)*Supuestos!$C$11</f>
        <v>0.0623140500731172</v>
      </c>
      <c r="W64" s="38" t="n">
        <f aca="false">MAX(0,W63)*Supuestos!$C$11</f>
        <v>0.0461137935335172</v>
      </c>
      <c r="X64" s="38" t="n">
        <f aca="false">MAX(0,X63)*Supuestos!$C$11</f>
        <v>0.0330101526069989</v>
      </c>
      <c r="Y64" s="38" t="n">
        <f aca="false">MAX(0,Y63)*Supuestos!$C$11</f>
        <v>0.0227508227616309</v>
      </c>
      <c r="Z64" s="38" t="n">
        <f aca="false">MAX(0,Z63)*Supuestos!$C$11</f>
        <v>0.0150135350981058</v>
      </c>
      <c r="AA64" s="38" t="n">
        <f aca="false">MAX(0,AA63)*Supuestos!$C$11</f>
        <v>0.0094248213618308</v>
      </c>
      <c r="AB64" s="38" t="n">
        <f aca="false">MAX(0,AB63)*Supuestos!$C$11</f>
        <v>0.0055846018052249</v>
      </c>
    </row>
    <row r="65" customFormat="false" ht="15" hidden="false" customHeight="false" outlineLevel="0" collapsed="false">
      <c r="B65" s="3" t="s">
        <v>210</v>
      </c>
      <c r="D65" s="38" t="n">
        <f aca="false">D63+D64+D60</f>
        <v>24.60147</v>
      </c>
      <c r="E65" s="38" t="n">
        <f aca="false">E63+E64+E60</f>
        <v>23.62303397295</v>
      </c>
      <c r="F65" s="38" t="n">
        <f aca="false">F63+F64+F60</f>
        <v>24.245337451383</v>
      </c>
      <c r="G65" s="38" t="n">
        <f aca="false">G63+G64+G60</f>
        <v>26.3723197301897</v>
      </c>
      <c r="H65" s="38" t="n">
        <f aca="false">H63+H64+H60</f>
        <v>29.8572923029788</v>
      </c>
      <c r="I65" s="38" t="n">
        <f aca="false">I63+I64+I60</f>
        <v>29.4187824925061</v>
      </c>
      <c r="J65" s="38" t="n">
        <f aca="false">J63+J64+J60</f>
        <v>28.7657989274787</v>
      </c>
      <c r="K65" s="38" t="n">
        <f aca="false">K63+K64+K60</f>
        <v>27.8929329764593</v>
      </c>
      <c r="L65" s="38" t="n">
        <f aca="false">L63+L64+L60</f>
        <v>26.7991041772538</v>
      </c>
      <c r="M65" s="38" t="n">
        <f aca="false">M63+M64+M60</f>
        <v>25.488286839641</v>
      </c>
      <c r="N65" s="38" t="n">
        <f aca="false">N63+N64+N60</f>
        <v>23.9702208535259</v>
      </c>
      <c r="O65" s="38" t="n">
        <f aca="false">O63+O64+O60</f>
        <v>22.2610733487623</v>
      </c>
      <c r="P65" s="38" t="n">
        <f aca="false">P63+P64+P60</f>
        <v>20.383998247862</v>
      </c>
      <c r="Q65" s="38" t="n">
        <f aca="false">Q63+Q64+Q60</f>
        <v>18.3695118038401</v>
      </c>
      <c r="R65" s="38" t="n">
        <f aca="false">R63+R64+R60</f>
        <v>16.2555648486368</v>
      </c>
      <c r="S65" s="38" t="n">
        <f aca="false">S63+S64+S60</f>
        <v>14.0871521770147</v>
      </c>
      <c r="T65" s="38" t="n">
        <f aca="false">T63+T64+T60</f>
        <v>11.9152684717575</v>
      </c>
      <c r="U65" s="38" t="n">
        <f aca="false">U63+U64+U60</f>
        <v>9.79501855882532</v>
      </c>
      <c r="V65" s="38" t="n">
        <f aca="false">V63+V64+V60</f>
        <v>7.78274402576065</v>
      </c>
      <c r="W65" s="38" t="n">
        <f aca="false">W63+W64+W60</f>
        <v>5.93216466817809</v>
      </c>
      <c r="X65" s="38" t="n">
        <f aca="false">X63+X64+X60</f>
        <v>4.28976499509643</v>
      </c>
      <c r="Y65" s="38" t="n">
        <f aca="false">Y63+Y64+Y60</f>
        <v>2.88996421671754</v>
      </c>
      <c r="Z65" s="38" t="n">
        <f aca="false">Z63+Z64+Z60</f>
        <v>1.75092285526915</v>
      </c>
      <c r="AA65" s="38" t="n">
        <f aca="false">AA63+AA64+AA60</f>
        <v>0.872033340275021</v>
      </c>
      <c r="AB65" s="38" t="n">
        <f aca="false">AB63+AB64+AB60</f>
        <v>0.36852282320112</v>
      </c>
    </row>
    <row r="66" customFormat="false" ht="15" hidden="false" customHeight="false" outlineLevel="0" collapsed="false">
      <c r="B66" s="3" t="s">
        <v>211</v>
      </c>
      <c r="D66" s="38" t="n">
        <f aca="false">Supuestos!$C$5</f>
        <v>75</v>
      </c>
      <c r="E66" s="38" t="n">
        <f aca="false">D79</f>
        <v>75</v>
      </c>
      <c r="F66" s="38" t="n">
        <f aca="false">E79</f>
        <v>75</v>
      </c>
      <c r="G66" s="38" t="n">
        <f aca="false">F79</f>
        <v>75</v>
      </c>
      <c r="H66" s="38" t="n">
        <f aca="false">G79</f>
        <v>74.9771066011518</v>
      </c>
      <c r="I66" s="38" t="n">
        <f aca="false">H79</f>
        <v>69.9483116863754</v>
      </c>
      <c r="J66" s="38" t="n">
        <f aca="false">I79</f>
        <v>63.509586344224</v>
      </c>
      <c r="K66" s="38" t="n">
        <f aca="false">J79</f>
        <v>55.7940491667441</v>
      </c>
      <c r="L66" s="38" t="n">
        <f aca="false">K79</f>
        <v>46.9618329205462</v>
      </c>
      <c r="M66" s="38" t="n">
        <f aca="false">L79</f>
        <v>37.197789847632</v>
      </c>
      <c r="N66" s="38" t="n">
        <f aca="false">M79</f>
        <v>26.7080237491416</v>
      </c>
      <c r="O66" s="38" t="n">
        <f aca="false">N79</f>
        <v>15.7151534561011</v>
      </c>
      <c r="P66" s="38" t="n">
        <f aca="false">O79</f>
        <v>4.45224654175961</v>
      </c>
      <c r="Q66" s="38" t="n">
        <f aca="false">P79</f>
        <v>0</v>
      </c>
      <c r="R66" s="38" t="n">
        <f aca="false">Q79</f>
        <v>0</v>
      </c>
      <c r="S66" s="38" t="n">
        <f aca="false">R79</f>
        <v>0</v>
      </c>
      <c r="T66" s="38" t="n">
        <f aca="false">S79</f>
        <v>0</v>
      </c>
      <c r="U66" s="38" t="n">
        <f aca="false">T79</f>
        <v>0</v>
      </c>
      <c r="V66" s="38" t="n">
        <f aca="false">U79</f>
        <v>0</v>
      </c>
      <c r="W66" s="38" t="n">
        <f aca="false">V79</f>
        <v>0</v>
      </c>
      <c r="X66" s="38" t="n">
        <f aca="false">W79</f>
        <v>0</v>
      </c>
      <c r="Y66" s="38" t="n">
        <f aca="false">X79</f>
        <v>0</v>
      </c>
      <c r="Z66" s="38" t="n">
        <f aca="false">Y79</f>
        <v>0</v>
      </c>
      <c r="AA66" s="38" t="n">
        <f aca="false">Z79</f>
        <v>0</v>
      </c>
      <c r="AB66" s="38" t="n">
        <f aca="false">AA79</f>
        <v>0</v>
      </c>
    </row>
    <row r="67" customFormat="false" ht="15" hidden="false" customHeight="false" outlineLevel="0" collapsed="false">
      <c r="B67" s="3" t="s">
        <v>212</v>
      </c>
      <c r="D67" s="38" t="n">
        <f aca="false">D66*Supuestos!$C$6</f>
        <v>4.875</v>
      </c>
      <c r="E67" s="38" t="n">
        <f aca="false">E66*Supuestos!$C$6</f>
        <v>4.875</v>
      </c>
      <c r="F67" s="38" t="n">
        <f aca="false">F66*Supuestos!$C$6</f>
        <v>4.875</v>
      </c>
      <c r="G67" s="38" t="n">
        <f aca="false">G66*Supuestos!$C$6</f>
        <v>4.875</v>
      </c>
      <c r="H67" s="38" t="n">
        <f aca="false">H66*Supuestos!$C$6</f>
        <v>4.87351192907486</v>
      </c>
      <c r="I67" s="38" t="n">
        <f aca="false">I66*Supuestos!$C$6</f>
        <v>4.5466402596144</v>
      </c>
      <c r="J67" s="38" t="n">
        <f aca="false">J66*Supuestos!$C$6</f>
        <v>4.12812311237456</v>
      </c>
      <c r="K67" s="38" t="n">
        <f aca="false">K66*Supuestos!$C$6</f>
        <v>3.62661319583836</v>
      </c>
      <c r="L67" s="38" t="n">
        <f aca="false">L66*Supuestos!$C$6</f>
        <v>3.0525191398355</v>
      </c>
      <c r="M67" s="38" t="n">
        <f aca="false">M66*Supuestos!$C$6</f>
        <v>2.41785634009608</v>
      </c>
      <c r="N67" s="38" t="n">
        <f aca="false">N66*Supuestos!$C$6</f>
        <v>1.7360215436942</v>
      </c>
      <c r="O67" s="38" t="n">
        <f aca="false">O66*Supuestos!$C$6</f>
        <v>1.02148497464657</v>
      </c>
      <c r="P67" s="38" t="n">
        <f aca="false">P66*Supuestos!$C$6</f>
        <v>0.289396025214374</v>
      </c>
      <c r="Q67" s="38" t="n">
        <f aca="false">Q66*Supuestos!$C$6</f>
        <v>0</v>
      </c>
      <c r="R67" s="38" t="n">
        <f aca="false">R66*Supuestos!$C$6</f>
        <v>0</v>
      </c>
      <c r="S67" s="38" t="n">
        <f aca="false">S66*Supuestos!$C$6</f>
        <v>0</v>
      </c>
      <c r="T67" s="38" t="n">
        <f aca="false">T66*Supuestos!$C$6</f>
        <v>0</v>
      </c>
      <c r="U67" s="38" t="n">
        <f aca="false">U66*Supuestos!$C$6</f>
        <v>0</v>
      </c>
      <c r="V67" s="38" t="n">
        <f aca="false">V66*Supuestos!$C$6</f>
        <v>0</v>
      </c>
      <c r="W67" s="38" t="n">
        <f aca="false">W66*Supuestos!$C$6</f>
        <v>0</v>
      </c>
      <c r="X67" s="38" t="n">
        <f aca="false">X66*Supuestos!$C$6</f>
        <v>0</v>
      </c>
      <c r="Y67" s="38" t="n">
        <f aca="false">Y66*Supuestos!$C$6</f>
        <v>0</v>
      </c>
      <c r="Z67" s="38" t="n">
        <f aca="false">Z66*Supuestos!$C$6</f>
        <v>0</v>
      </c>
      <c r="AA67" s="38" t="n">
        <f aca="false">AA66*Supuestos!$C$6</f>
        <v>0</v>
      </c>
      <c r="AB67" s="38" t="n">
        <f aca="false">AB66*Supuestos!$C$6</f>
        <v>0</v>
      </c>
    </row>
    <row r="68" customFormat="false" ht="15" hidden="false" customHeight="false" outlineLevel="0" collapsed="false">
      <c r="B68" s="3" t="s">
        <v>213</v>
      </c>
      <c r="D68" s="38" t="n">
        <f aca="false">MAX(0,MIN(D65,D67))</f>
        <v>4.875</v>
      </c>
      <c r="E68" s="38" t="n">
        <f aca="false">MAX(0,MIN(E65,E67))</f>
        <v>4.875</v>
      </c>
      <c r="F68" s="38" t="n">
        <f aca="false">MAX(0,MIN(F65,F67))</f>
        <v>4.875</v>
      </c>
      <c r="G68" s="38" t="n">
        <f aca="false">MAX(0,MIN(G65,G67))</f>
        <v>4.875</v>
      </c>
      <c r="H68" s="38" t="n">
        <f aca="false">MAX(0,MIN(H65,H67))</f>
        <v>4.87351192907486</v>
      </c>
      <c r="I68" s="38" t="n">
        <f aca="false">MAX(0,MIN(I65,I67))</f>
        <v>4.5466402596144</v>
      </c>
      <c r="J68" s="38" t="n">
        <f aca="false">MAX(0,MIN(J65,J67))</f>
        <v>4.12812311237456</v>
      </c>
      <c r="K68" s="38" t="n">
        <f aca="false">MAX(0,MIN(K65,K67))</f>
        <v>3.62661319583836</v>
      </c>
      <c r="L68" s="38" t="n">
        <f aca="false">MAX(0,MIN(L65,L67))</f>
        <v>3.0525191398355</v>
      </c>
      <c r="M68" s="38" t="n">
        <f aca="false">MAX(0,MIN(M65,M67))</f>
        <v>2.41785634009608</v>
      </c>
      <c r="N68" s="38" t="n">
        <f aca="false">MAX(0,MIN(N65,N67))</f>
        <v>1.7360215436942</v>
      </c>
      <c r="O68" s="38" t="n">
        <f aca="false">MAX(0,MIN(O65,O67))</f>
        <v>1.02148497464657</v>
      </c>
      <c r="P68" s="38" t="n">
        <f aca="false">MAX(0,MIN(P65,P67))</f>
        <v>0.289396025214374</v>
      </c>
      <c r="Q68" s="38" t="n">
        <f aca="false">MAX(0,MIN(Q65,Q67))</f>
        <v>0</v>
      </c>
      <c r="R68" s="38" t="n">
        <f aca="false">MAX(0,MIN(R65,R67))</f>
        <v>0</v>
      </c>
      <c r="S68" s="38" t="n">
        <f aca="false">MAX(0,MIN(S65,S67))</f>
        <v>0</v>
      </c>
      <c r="T68" s="38" t="n">
        <f aca="false">MAX(0,MIN(T65,T67))</f>
        <v>0</v>
      </c>
      <c r="U68" s="38" t="n">
        <f aca="false">MAX(0,MIN(U65,U67))</f>
        <v>0</v>
      </c>
      <c r="V68" s="38" t="n">
        <f aca="false">MAX(0,MIN(V65,V67))</f>
        <v>0</v>
      </c>
      <c r="W68" s="38" t="n">
        <f aca="false">MAX(0,MIN(W65,W67))</f>
        <v>0</v>
      </c>
      <c r="X68" s="38" t="n">
        <f aca="false">MAX(0,MIN(X65,X67))</f>
        <v>0</v>
      </c>
      <c r="Y68" s="38" t="n">
        <f aca="false">MAX(0,MIN(Y65,Y67))</f>
        <v>0</v>
      </c>
      <c r="Z68" s="38" t="n">
        <f aca="false">MAX(0,MIN(Z65,Z67))</f>
        <v>0</v>
      </c>
      <c r="AA68" s="38" t="n">
        <f aca="false">MAX(0,MIN(AA65,AA67))</f>
        <v>0</v>
      </c>
      <c r="AB68" s="38" t="n">
        <f aca="false">MAX(0,MIN(AB65,AB67))</f>
        <v>0</v>
      </c>
    </row>
    <row r="69" customFormat="false" ht="15" hidden="false" customHeight="false" outlineLevel="0" collapsed="false">
      <c r="B69" s="3" t="s">
        <v>214</v>
      </c>
      <c r="D69" s="38" t="n">
        <f aca="false">D65-D68</f>
        <v>19.72647</v>
      </c>
      <c r="E69" s="38" t="n">
        <f aca="false">E65-E68</f>
        <v>18.74803397295</v>
      </c>
      <c r="F69" s="38" t="n">
        <f aca="false">F65-F68</f>
        <v>19.370337451383</v>
      </c>
      <c r="G69" s="38" t="n">
        <f aca="false">G65-G68</f>
        <v>21.4973197301897</v>
      </c>
      <c r="H69" s="38" t="n">
        <f aca="false">H65-H68</f>
        <v>24.9837803739039</v>
      </c>
      <c r="I69" s="38" t="n">
        <f aca="false">I65-I68</f>
        <v>24.8721422328917</v>
      </c>
      <c r="J69" s="38" t="n">
        <f aca="false">J65-J68</f>
        <v>24.6376758151041</v>
      </c>
      <c r="K69" s="38" t="n">
        <f aca="false">K65-K68</f>
        <v>24.2663197806209</v>
      </c>
      <c r="L69" s="38" t="n">
        <f aca="false">L65-L68</f>
        <v>23.7465850374183</v>
      </c>
      <c r="M69" s="38" t="n">
        <f aca="false">M65-M68</f>
        <v>23.0704304995449</v>
      </c>
      <c r="N69" s="38" t="n">
        <f aca="false">N65-N68</f>
        <v>22.2341993098317</v>
      </c>
      <c r="O69" s="38" t="n">
        <f aca="false">O65-O68</f>
        <v>21.2395883741158</v>
      </c>
      <c r="P69" s="38" t="n">
        <f aca="false">P65-P68</f>
        <v>20.0946022226476</v>
      </c>
      <c r="Q69" s="38" t="n">
        <f aca="false">Q65-Q68</f>
        <v>18.3695118038401</v>
      </c>
      <c r="R69" s="38" t="n">
        <f aca="false">R65-R68</f>
        <v>16.2555648486368</v>
      </c>
      <c r="S69" s="38" t="n">
        <f aca="false">S65-S68</f>
        <v>14.0871521770147</v>
      </c>
      <c r="T69" s="38" t="n">
        <f aca="false">T65-T68</f>
        <v>11.9152684717575</v>
      </c>
      <c r="U69" s="38" t="n">
        <f aca="false">U65-U68</f>
        <v>9.79501855882532</v>
      </c>
      <c r="V69" s="38" t="n">
        <f aca="false">V65-V68</f>
        <v>7.78274402576065</v>
      </c>
      <c r="W69" s="38" t="n">
        <f aca="false">W65-W68</f>
        <v>5.93216466817809</v>
      </c>
      <c r="X69" s="38" t="n">
        <f aca="false">X65-X68</f>
        <v>4.28976499509643</v>
      </c>
      <c r="Y69" s="38" t="n">
        <f aca="false">Y65-Y68</f>
        <v>2.88996421671754</v>
      </c>
      <c r="Z69" s="38" t="n">
        <f aca="false">Z65-Z68</f>
        <v>1.75092285526915</v>
      </c>
      <c r="AA69" s="38" t="n">
        <f aca="false">AA65-AA68</f>
        <v>0.872033340275021</v>
      </c>
      <c r="AB69" s="38" t="n">
        <f aca="false">AB65-AB68</f>
        <v>0.36852282320112</v>
      </c>
    </row>
    <row r="70" customFormat="false" ht="15" hidden="false" customHeight="false" outlineLevel="0" collapsed="false">
      <c r="B70" s="3" t="s">
        <v>215</v>
      </c>
      <c r="D70" s="38" t="n">
        <f aca="false">Supuestos!$C$7</f>
        <v>25</v>
      </c>
      <c r="E70" s="38" t="n">
        <f aca="false">D80</f>
        <v>25</v>
      </c>
      <c r="F70" s="38" t="n">
        <f aca="false">E80</f>
        <v>25</v>
      </c>
      <c r="G70" s="38" t="n">
        <f aca="false">F80</f>
        <v>25</v>
      </c>
      <c r="H70" s="38" t="n">
        <f aca="false">G80</f>
        <v>25</v>
      </c>
      <c r="I70" s="38" t="n">
        <f aca="false">H80</f>
        <v>25</v>
      </c>
      <c r="J70" s="38" t="n">
        <f aca="false">I80</f>
        <v>25</v>
      </c>
      <c r="K70" s="38" t="n">
        <f aca="false">J80</f>
        <v>25</v>
      </c>
      <c r="L70" s="38" t="n">
        <f aca="false">K80</f>
        <v>25</v>
      </c>
      <c r="M70" s="38" t="n">
        <f aca="false">L80</f>
        <v>25</v>
      </c>
      <c r="N70" s="38" t="n">
        <f aca="false">M80</f>
        <v>25</v>
      </c>
      <c r="O70" s="38" t="n">
        <f aca="false">N80</f>
        <v>25</v>
      </c>
      <c r="P70" s="38" t="n">
        <f aca="false">O80</f>
        <v>25</v>
      </c>
      <c r="Q70" s="38" t="n">
        <f aca="false">P80</f>
        <v>18.1554200160619</v>
      </c>
      <c r="R70" s="38" t="n">
        <f aca="false">Q80</f>
        <v>6.84985988960438</v>
      </c>
      <c r="S70" s="38" t="n">
        <f aca="false">R80</f>
        <v>0</v>
      </c>
      <c r="T70" s="38" t="n">
        <f aca="false">S80</f>
        <v>0</v>
      </c>
      <c r="U70" s="38" t="n">
        <f aca="false">T80</f>
        <v>0</v>
      </c>
      <c r="V70" s="38" t="n">
        <f aca="false">U80</f>
        <v>0</v>
      </c>
      <c r="W70" s="38" t="n">
        <f aca="false">V80</f>
        <v>0</v>
      </c>
      <c r="X70" s="38" t="n">
        <f aca="false">W80</f>
        <v>0</v>
      </c>
      <c r="Y70" s="38" t="n">
        <f aca="false">X80</f>
        <v>0</v>
      </c>
      <c r="Z70" s="38" t="n">
        <f aca="false">Y80</f>
        <v>0</v>
      </c>
      <c r="AA70" s="38" t="n">
        <f aca="false">Z80</f>
        <v>0</v>
      </c>
      <c r="AB70" s="38" t="n">
        <f aca="false">AA80</f>
        <v>0</v>
      </c>
    </row>
    <row r="71" customFormat="false" ht="15" hidden="false" customHeight="false" outlineLevel="0" collapsed="false">
      <c r="B71" s="3" t="s">
        <v>216</v>
      </c>
      <c r="D71" s="38" t="n">
        <f aca="false">D70*Supuestos!$C$8</f>
        <v>2.375</v>
      </c>
      <c r="E71" s="38" t="n">
        <f aca="false">E70*Supuestos!$C$8</f>
        <v>2.375</v>
      </c>
      <c r="F71" s="38" t="n">
        <f aca="false">F70*Supuestos!$C$8</f>
        <v>2.375</v>
      </c>
      <c r="G71" s="38" t="n">
        <f aca="false">G70*Supuestos!$C$8</f>
        <v>2.375</v>
      </c>
      <c r="H71" s="38" t="n">
        <f aca="false">H70*Supuestos!$C$8</f>
        <v>2.375</v>
      </c>
      <c r="I71" s="38" t="n">
        <f aca="false">I70*Supuestos!$C$8</f>
        <v>2.375</v>
      </c>
      <c r="J71" s="38" t="n">
        <f aca="false">J70*Supuestos!$C$8</f>
        <v>2.375</v>
      </c>
      <c r="K71" s="38" t="n">
        <f aca="false">K70*Supuestos!$C$8</f>
        <v>2.375</v>
      </c>
      <c r="L71" s="38" t="n">
        <f aca="false">L70*Supuestos!$C$8</f>
        <v>2.375</v>
      </c>
      <c r="M71" s="38" t="n">
        <f aca="false">M70*Supuestos!$C$8</f>
        <v>2.375</v>
      </c>
      <c r="N71" s="38" t="n">
        <f aca="false">N70*Supuestos!$C$8</f>
        <v>2.375</v>
      </c>
      <c r="O71" s="38" t="n">
        <f aca="false">O70*Supuestos!$C$8</f>
        <v>2.375</v>
      </c>
      <c r="P71" s="38" t="n">
        <f aca="false">P70*Supuestos!$C$8</f>
        <v>2.375</v>
      </c>
      <c r="Q71" s="38" t="n">
        <f aca="false">Q70*Supuestos!$C$8</f>
        <v>1.72476490152588</v>
      </c>
      <c r="R71" s="38" t="n">
        <f aca="false">R70*Supuestos!$C$8</f>
        <v>0.650736689512416</v>
      </c>
      <c r="S71" s="38" t="n">
        <f aca="false">S70*Supuestos!$C$8</f>
        <v>0</v>
      </c>
      <c r="T71" s="38" t="n">
        <f aca="false">T70*Supuestos!$C$8</f>
        <v>0</v>
      </c>
      <c r="U71" s="38" t="n">
        <f aca="false">U70*Supuestos!$C$8</f>
        <v>0</v>
      </c>
      <c r="V71" s="38" t="n">
        <f aca="false">V70*Supuestos!$C$8</f>
        <v>0</v>
      </c>
      <c r="W71" s="38" t="n">
        <f aca="false">W70*Supuestos!$C$8</f>
        <v>0</v>
      </c>
      <c r="X71" s="38" t="n">
        <f aca="false">X70*Supuestos!$C$8</f>
        <v>0</v>
      </c>
      <c r="Y71" s="38" t="n">
        <f aca="false">Y70*Supuestos!$C$8</f>
        <v>0</v>
      </c>
      <c r="Z71" s="38" t="n">
        <f aca="false">Z70*Supuestos!$C$8</f>
        <v>0</v>
      </c>
      <c r="AA71" s="38" t="n">
        <f aca="false">AA70*Supuestos!$C$8</f>
        <v>0</v>
      </c>
      <c r="AB71" s="38" t="n">
        <f aca="false">AB70*Supuestos!$C$8</f>
        <v>0</v>
      </c>
    </row>
    <row r="72" customFormat="false" ht="15" hidden="false" customHeight="false" outlineLevel="0" collapsed="false">
      <c r="B72" s="3" t="s">
        <v>217</v>
      </c>
      <c r="D72" s="38" t="n">
        <f aca="false">MAX(0,MIN(D69,D71))</f>
        <v>2.375</v>
      </c>
      <c r="E72" s="38" t="n">
        <f aca="false">MAX(0,MIN(E69,E71))</f>
        <v>2.375</v>
      </c>
      <c r="F72" s="38" t="n">
        <f aca="false">MAX(0,MIN(F69,F71))</f>
        <v>2.375</v>
      </c>
      <c r="G72" s="38" t="n">
        <f aca="false">MAX(0,MIN(G69,G71))</f>
        <v>2.375</v>
      </c>
      <c r="H72" s="38" t="n">
        <f aca="false">MAX(0,MIN(H69,H71))</f>
        <v>2.375</v>
      </c>
      <c r="I72" s="38" t="n">
        <f aca="false">MAX(0,MIN(I69,I71))</f>
        <v>2.375</v>
      </c>
      <c r="J72" s="38" t="n">
        <f aca="false">MAX(0,MIN(J69,J71))</f>
        <v>2.375</v>
      </c>
      <c r="K72" s="38" t="n">
        <f aca="false">MAX(0,MIN(K69,K71))</f>
        <v>2.375</v>
      </c>
      <c r="L72" s="38" t="n">
        <f aca="false">MAX(0,MIN(L69,L71))</f>
        <v>2.375</v>
      </c>
      <c r="M72" s="38" t="n">
        <f aca="false">MAX(0,MIN(M69,M71))</f>
        <v>2.375</v>
      </c>
      <c r="N72" s="38" t="n">
        <f aca="false">MAX(0,MIN(N69,N71))</f>
        <v>2.375</v>
      </c>
      <c r="O72" s="38" t="n">
        <f aca="false">MAX(0,MIN(O69,O71))</f>
        <v>2.375</v>
      </c>
      <c r="P72" s="38" t="n">
        <f aca="false">MAX(0,MIN(P69,P71))</f>
        <v>2.375</v>
      </c>
      <c r="Q72" s="38" t="n">
        <f aca="false">MAX(0,MIN(Q69,Q71))</f>
        <v>1.72476490152588</v>
      </c>
      <c r="R72" s="38" t="n">
        <f aca="false">MAX(0,MIN(R69,R71))</f>
        <v>0.650736689512416</v>
      </c>
      <c r="S72" s="38" t="n">
        <f aca="false">MAX(0,MIN(S69,S71))</f>
        <v>0</v>
      </c>
      <c r="T72" s="38" t="n">
        <f aca="false">MAX(0,MIN(T69,T71))</f>
        <v>0</v>
      </c>
      <c r="U72" s="38" t="n">
        <f aca="false">MAX(0,MIN(U69,U71))</f>
        <v>0</v>
      </c>
      <c r="V72" s="38" t="n">
        <f aca="false">MAX(0,MIN(V69,V71))</f>
        <v>0</v>
      </c>
      <c r="W72" s="38" t="n">
        <f aca="false">MAX(0,MIN(W69,W71))</f>
        <v>0</v>
      </c>
      <c r="X72" s="38" t="n">
        <f aca="false">MAX(0,MIN(X69,X71))</f>
        <v>0</v>
      </c>
      <c r="Y72" s="38" t="n">
        <f aca="false">MAX(0,MIN(Y69,Y71))</f>
        <v>0</v>
      </c>
      <c r="Z72" s="38" t="n">
        <f aca="false">MAX(0,MIN(Z69,Z71))</f>
        <v>0</v>
      </c>
      <c r="AA72" s="38" t="n">
        <f aca="false">MAX(0,MIN(AA69,AA71))</f>
        <v>0</v>
      </c>
      <c r="AB72" s="38" t="n">
        <f aca="false">MAX(0,MIN(AB69,AB71))</f>
        <v>0</v>
      </c>
    </row>
    <row r="73" customFormat="false" ht="15" hidden="false" customHeight="false" outlineLevel="0" collapsed="false">
      <c r="B73" s="3" t="s">
        <v>218</v>
      </c>
      <c r="D73" s="38" t="n">
        <f aca="false">D69-D72</f>
        <v>17.35147</v>
      </c>
      <c r="E73" s="38" t="n">
        <f aca="false">E69-E72</f>
        <v>16.37303397295</v>
      </c>
      <c r="F73" s="38" t="n">
        <f aca="false">F69-F72</f>
        <v>16.995337451383</v>
      </c>
      <c r="G73" s="38" t="n">
        <f aca="false">G69-G72</f>
        <v>19.1223197301897</v>
      </c>
      <c r="H73" s="38" t="n">
        <f aca="false">H69-H72</f>
        <v>22.6087803739039</v>
      </c>
      <c r="I73" s="38" t="n">
        <f aca="false">I69-I72</f>
        <v>22.4971422328917</v>
      </c>
      <c r="J73" s="38" t="n">
        <f aca="false">J69-J72</f>
        <v>22.2626758151041</v>
      </c>
      <c r="K73" s="38" t="n">
        <f aca="false">K69-K72</f>
        <v>21.8913197806209</v>
      </c>
      <c r="L73" s="38" t="n">
        <f aca="false">L69-L72</f>
        <v>21.3715850374183</v>
      </c>
      <c r="M73" s="38" t="n">
        <f aca="false">M69-M72</f>
        <v>20.6954304995449</v>
      </c>
      <c r="N73" s="38" t="n">
        <f aca="false">N69-N72</f>
        <v>19.8591993098317</v>
      </c>
      <c r="O73" s="38" t="n">
        <f aca="false">O69-O72</f>
        <v>18.8645883741158</v>
      </c>
      <c r="P73" s="38" t="n">
        <f aca="false">P69-P72</f>
        <v>17.7196022226476</v>
      </c>
      <c r="Q73" s="38" t="n">
        <f aca="false">Q69-Q72</f>
        <v>16.6447469023142</v>
      </c>
      <c r="R73" s="38" t="n">
        <f aca="false">R69-R72</f>
        <v>15.6048281591243</v>
      </c>
      <c r="S73" s="38" t="n">
        <f aca="false">S69-S72</f>
        <v>14.0871521770147</v>
      </c>
      <c r="T73" s="38" t="n">
        <f aca="false">T69-T72</f>
        <v>11.9152684717575</v>
      </c>
      <c r="U73" s="38" t="n">
        <f aca="false">U69-U72</f>
        <v>9.79501855882532</v>
      </c>
      <c r="V73" s="38" t="n">
        <f aca="false">V69-V72</f>
        <v>7.78274402576065</v>
      </c>
      <c r="W73" s="38" t="n">
        <f aca="false">W69-W72</f>
        <v>5.93216466817809</v>
      </c>
      <c r="X73" s="38" t="n">
        <f aca="false">X69-X72</f>
        <v>4.28976499509643</v>
      </c>
      <c r="Y73" s="38" t="n">
        <f aca="false">Y69-Y72</f>
        <v>2.88996421671754</v>
      </c>
      <c r="Z73" s="38" t="n">
        <f aca="false">Z69-Z72</f>
        <v>1.75092285526915</v>
      </c>
      <c r="AA73" s="38" t="n">
        <f aca="false">AA69-AA72</f>
        <v>0.872033340275021</v>
      </c>
      <c r="AB73" s="38" t="n">
        <f aca="false">AB69-AB72</f>
        <v>0.36852282320112</v>
      </c>
    </row>
    <row r="74" customFormat="false" ht="15" hidden="false" customHeight="false" outlineLevel="0" collapsed="false">
      <c r="B74" s="3" t="s">
        <v>219</v>
      </c>
      <c r="D74" s="38" t="n">
        <f aca="false">IF(D$3=Supuestos!$C$15,0,-D57*(1+$C$8)*Supuestos!$C$10/12)</f>
        <v>23.533</v>
      </c>
      <c r="E74" s="38" t="n">
        <f aca="false">IF(E$3=Supuestos!$C$15,0,-E57*(1+$C$8)*Supuestos!$C$10/12)</f>
        <v>22.086164698</v>
      </c>
      <c r="F74" s="38" t="n">
        <f aca="false">IF(F$3=Supuestos!$C$15,0,-F57*(1+$C$8)*Supuestos!$C$10/12)</f>
        <v>20.6050700778089</v>
      </c>
      <c r="G74" s="38" t="n">
        <f aca="false">IF(G$3=Supuestos!$C$15,0,-G57*(1+$C$8)*Supuestos!$C$10/12)</f>
        <v>19.0994263313415</v>
      </c>
      <c r="H74" s="38" t="n">
        <f aca="false">IF(H$3=Supuestos!$C$15,0,-H57*(1+$C$8)*Supuestos!$C$10/12)</f>
        <v>17.5799854591276</v>
      </c>
      <c r="I74" s="38" t="n">
        <f aca="false">IF(I$3=Supuestos!$C$15,0,-I57*(1+$C$8)*Supuestos!$C$10/12)</f>
        <v>16.0584168907402</v>
      </c>
      <c r="J74" s="38" t="n">
        <f aca="false">IF(J$3=Supuestos!$C$15,0,-J57*(1+$C$8)*Supuestos!$C$10/12)</f>
        <v>14.5471386376242</v>
      </c>
      <c r="K74" s="38" t="n">
        <f aca="false">IF(K$3=Supuestos!$C$15,0,-K57*(1+$C$8)*Supuestos!$C$10/12)</f>
        <v>13.059103534423</v>
      </c>
      <c r="L74" s="38" t="n">
        <f aca="false">IF(L$3=Supuestos!$C$15,0,-L57*(1+$C$8)*Supuestos!$C$10/12)</f>
        <v>11.6075419645041</v>
      </c>
      <c r="M74" s="38" t="n">
        <f aca="false">IF(M$3=Supuestos!$C$15,0,-M57*(1+$C$8)*Supuestos!$C$10/12)</f>
        <v>10.2056644010545</v>
      </c>
      <c r="N74" s="38" t="n">
        <f aca="false">IF(N$3=Supuestos!$C$15,0,-N57*(1+$C$8)*Supuestos!$C$10/12)</f>
        <v>8.86632901679119</v>
      </c>
      <c r="O74" s="38" t="n">
        <f aca="false">IF(O$3=Supuestos!$C$15,0,-O57*(1+$C$8)*Supuestos!$C$10/12)</f>
        <v>7.60168145977424</v>
      </c>
      <c r="P74" s="38" t="n">
        <f aca="false">IF(P$3=Supuestos!$C$15,0,-P57*(1+$C$8)*Supuestos!$C$10/12)</f>
        <v>6.42277569694985</v>
      </c>
      <c r="Q74" s="38" t="n">
        <f aca="false">IF(Q$3=Supuestos!$C$15,0,-Q57*(1+$C$8)*Supuestos!$C$10/12)</f>
        <v>5.3391867758567</v>
      </c>
      <c r="R74" s="38" t="n">
        <f aca="false">IF(R$3=Supuestos!$C$15,0,-R57*(1+$C$8)*Supuestos!$C$10/12)</f>
        <v>4.35862879642985</v>
      </c>
      <c r="S74" s="38" t="n">
        <f aca="false">IF(S$3=Supuestos!$C$15,0,-S57*(1+$C$8)*Supuestos!$C$10/12)</f>
        <v>3.48659477372773</v>
      </c>
      <c r="T74" s="38" t="n">
        <f aca="false">IF(T$3=Supuestos!$C$15,0,-T57*(1+$C$8)*Supuestos!$C$10/12)</f>
        <v>2.72603980023923</v>
      </c>
      <c r="U74" s="38" t="n">
        <f aca="false">IF(U$3=Supuestos!$C$15,0,-U57*(1+$C$8)*Supuestos!$C$10/12)</f>
        <v>2.07713500243724</v>
      </c>
      <c r="V74" s="38" t="n">
        <f aca="false">IF(V$3=Supuestos!$C$15,0,-V57*(1+$C$8)*Supuestos!$C$10/12)</f>
        <v>1.53712645111724</v>
      </c>
      <c r="W74" s="38" t="n">
        <f aca="false">IF(W$3=Supuestos!$C$15,0,-W57*(1+$C$8)*Supuestos!$C$10/12)</f>
        <v>1.1003384202333</v>
      </c>
      <c r="X74" s="38" t="n">
        <f aca="false">IF(X$3=Supuestos!$C$15,0,-X57*(1+$C$8)*Supuestos!$C$10/12)</f>
        <v>0.758360758721029</v>
      </c>
      <c r="Y74" s="38" t="n">
        <f aca="false">IF(Y$3=Supuestos!$C$15,0,-Y57*(1+$C$8)*Supuestos!$C$10/12)</f>
        <v>0.500451169936861</v>
      </c>
      <c r="Z74" s="38" t="n">
        <f aca="false">IF(Z$3=Supuestos!$C$15,0,-Z57*(1+$C$8)*Supuestos!$C$10/12)</f>
        <v>0.314160712061027</v>
      </c>
      <c r="AA74" s="38" t="n">
        <f aca="false">IF(AA$3=Supuestos!$C$15,0,-AA57*(1+$C$8)*Supuestos!$C$10/12)</f>
        <v>0.186153393507497</v>
      </c>
      <c r="AB74" s="38" t="n">
        <f aca="false">IF(AB$3=Supuestos!$C$15,0,-AB57*(1+$C$8)*Supuestos!$C$10/12)</f>
        <v>0</v>
      </c>
    </row>
    <row r="75" customFormat="false" ht="15" hidden="false" customHeight="false" outlineLevel="0" collapsed="false">
      <c r="B75" s="3" t="s">
        <v>220</v>
      </c>
      <c r="D75" s="38" t="n">
        <f aca="false">MAX(0,MIN(D66+D67-D68,D73-D74))</f>
        <v>0</v>
      </c>
      <c r="E75" s="38" t="n">
        <f aca="false">MAX(0,MIN(E66+E67-E68,E73-E74))</f>
        <v>0</v>
      </c>
      <c r="F75" s="38" t="n">
        <f aca="false">MAX(0,MIN(F66+F67-F68,F73-F74))</f>
        <v>0</v>
      </c>
      <c r="G75" s="38" t="n">
        <f aca="false">MAX(0,MIN(G66+G67-G68,G73-G74))</f>
        <v>0.0228933988482538</v>
      </c>
      <c r="H75" s="38" t="n">
        <f aca="false">MAX(0,MIN(H66+H67-H68,H73-H74))</f>
        <v>5.02879491477633</v>
      </c>
      <c r="I75" s="38" t="n">
        <f aca="false">MAX(0,MIN(I66+I67-I68,I73-I74))</f>
        <v>6.43872534215143</v>
      </c>
      <c r="J75" s="38" t="n">
        <f aca="false">MAX(0,MIN(J66+J67-J68,J73-J74))</f>
        <v>7.71553717747993</v>
      </c>
      <c r="K75" s="38" t="n">
        <f aca="false">MAX(0,MIN(K66+K67-K68,K73-K74))</f>
        <v>8.83221624619787</v>
      </c>
      <c r="L75" s="38" t="n">
        <f aca="false">MAX(0,MIN(L66+L67-L68,L73-L74))</f>
        <v>9.76404307291416</v>
      </c>
      <c r="M75" s="38" t="n">
        <f aca="false">MAX(0,MIN(M66+M67-M68,M73-M74))</f>
        <v>10.4897660984904</v>
      </c>
      <c r="N75" s="38" t="n">
        <f aca="false">MAX(0,MIN(N66+N67-N68,N73-N74))</f>
        <v>10.9928702930405</v>
      </c>
      <c r="O75" s="38" t="n">
        <f aca="false">MAX(0,MIN(O66+O67-O68,O73-O74))</f>
        <v>11.2629069143415</v>
      </c>
      <c r="P75" s="38" t="n">
        <f aca="false">MAX(0,MIN(P66+P67-P68,P73-P74))</f>
        <v>4.45224654175961</v>
      </c>
      <c r="Q75" s="38" t="n">
        <f aca="false">MAX(0,MIN(Q66+Q67-Q68,Q73-Q74))</f>
        <v>0</v>
      </c>
      <c r="R75" s="38" t="n">
        <f aca="false">MAX(0,MIN(R66+R67-R68,R73-R74))</f>
        <v>0</v>
      </c>
      <c r="S75" s="38" t="n">
        <f aca="false">MAX(0,MIN(S66+S67-S68,S73-S74))</f>
        <v>0</v>
      </c>
      <c r="T75" s="38" t="n">
        <f aca="false">MAX(0,MIN(T66+T67-T68,T73-T74))</f>
        <v>0</v>
      </c>
      <c r="U75" s="38" t="n">
        <f aca="false">MAX(0,MIN(U66+U67-U68,U73-U74))</f>
        <v>0</v>
      </c>
      <c r="V75" s="38" t="n">
        <f aca="false">MAX(0,MIN(V66+V67-V68,V73-V74))</f>
        <v>0</v>
      </c>
      <c r="W75" s="38" t="n">
        <f aca="false">MAX(0,MIN(W66+W67-W68,W73-W74))</f>
        <v>0</v>
      </c>
      <c r="X75" s="38" t="n">
        <f aca="false">MAX(0,MIN(X66+X67-X68,X73-X74))</f>
        <v>0</v>
      </c>
      <c r="Y75" s="38" t="n">
        <f aca="false">MAX(0,MIN(Y66+Y67-Y68,Y73-Y74))</f>
        <v>0</v>
      </c>
      <c r="Z75" s="38" t="n">
        <f aca="false">MAX(0,MIN(Z66+Z67-Z68,Z73-Z74))</f>
        <v>0</v>
      </c>
      <c r="AA75" s="38" t="n">
        <f aca="false">MAX(0,MIN(AA66+AA67-AA68,AA73-AA74))</f>
        <v>0</v>
      </c>
      <c r="AB75" s="38" t="n">
        <f aca="false">MAX(0,MIN(AB66+AB67-AB68,AB73-AB74))</f>
        <v>0</v>
      </c>
    </row>
    <row r="76" customFormat="false" ht="15" hidden="false" customHeight="false" outlineLevel="0" collapsed="false">
      <c r="B76" s="3" t="s">
        <v>221</v>
      </c>
      <c r="D76" s="38" t="n">
        <f aca="false">D73-D75</f>
        <v>17.35147</v>
      </c>
      <c r="E76" s="38" t="n">
        <f aca="false">E73-E75</f>
        <v>16.37303397295</v>
      </c>
      <c r="F76" s="38" t="n">
        <f aca="false">F73-F75</f>
        <v>16.995337451383</v>
      </c>
      <c r="G76" s="38" t="n">
        <f aca="false">G73-G75</f>
        <v>19.0994263313415</v>
      </c>
      <c r="H76" s="38" t="n">
        <f aca="false">H73-H75</f>
        <v>17.5799854591276</v>
      </c>
      <c r="I76" s="38" t="n">
        <f aca="false">I73-I75</f>
        <v>16.0584168907402</v>
      </c>
      <c r="J76" s="38" t="n">
        <f aca="false">J73-J75</f>
        <v>14.5471386376242</v>
      </c>
      <c r="K76" s="38" t="n">
        <f aca="false">K73-K75</f>
        <v>13.059103534423</v>
      </c>
      <c r="L76" s="38" t="n">
        <f aca="false">L73-L75</f>
        <v>11.6075419645041</v>
      </c>
      <c r="M76" s="38" t="n">
        <f aca="false">M73-M75</f>
        <v>10.2056644010545</v>
      </c>
      <c r="N76" s="38" t="n">
        <f aca="false">N73-N75</f>
        <v>8.86632901679119</v>
      </c>
      <c r="O76" s="38" t="n">
        <f aca="false">O73-O75</f>
        <v>7.60168145977424</v>
      </c>
      <c r="P76" s="38" t="n">
        <f aca="false">P73-P75</f>
        <v>13.267355680888</v>
      </c>
      <c r="Q76" s="38" t="n">
        <f aca="false">Q73-Q75</f>
        <v>16.6447469023142</v>
      </c>
      <c r="R76" s="38" t="n">
        <f aca="false">R73-R75</f>
        <v>15.6048281591243</v>
      </c>
      <c r="S76" s="38" t="n">
        <f aca="false">S73-S75</f>
        <v>14.0871521770147</v>
      </c>
      <c r="T76" s="38" t="n">
        <f aca="false">T73-T75</f>
        <v>11.9152684717575</v>
      </c>
      <c r="U76" s="38" t="n">
        <f aca="false">U73-U75</f>
        <v>9.79501855882532</v>
      </c>
      <c r="V76" s="38" t="n">
        <f aca="false">V73-V75</f>
        <v>7.78274402576065</v>
      </c>
      <c r="W76" s="38" t="n">
        <f aca="false">W73-W75</f>
        <v>5.93216466817809</v>
      </c>
      <c r="X76" s="38" t="n">
        <f aca="false">X73-X75</f>
        <v>4.28976499509643</v>
      </c>
      <c r="Y76" s="38" t="n">
        <f aca="false">Y73-Y75</f>
        <v>2.88996421671754</v>
      </c>
      <c r="Z76" s="38" t="n">
        <f aca="false">Z73-Z75</f>
        <v>1.75092285526915</v>
      </c>
      <c r="AA76" s="38" t="n">
        <f aca="false">AA73-AA75</f>
        <v>0.872033340275021</v>
      </c>
      <c r="AB76" s="38" t="n">
        <f aca="false">AB73-AB75</f>
        <v>0.36852282320112</v>
      </c>
    </row>
    <row r="77" customFormat="false" ht="15" hidden="false" customHeight="false" outlineLevel="0" collapsed="false">
      <c r="B77" s="3" t="s">
        <v>222</v>
      </c>
      <c r="D77" s="38" t="n">
        <f aca="false">MAX(0,MIN(D70+D71-D72,D76-D74))</f>
        <v>0</v>
      </c>
      <c r="E77" s="38" t="n">
        <f aca="false">MAX(0,MIN(E70+E71-E72,E76-E74))</f>
        <v>0</v>
      </c>
      <c r="F77" s="38" t="n">
        <f aca="false">MAX(0,MIN(F70+F71-F72,F76-F74))</f>
        <v>0</v>
      </c>
      <c r="G77" s="38" t="n">
        <f aca="false">MAX(0,MIN(G70+G71-G72,G76-G74))</f>
        <v>0</v>
      </c>
      <c r="H77" s="38" t="n">
        <f aca="false">MAX(0,MIN(H70+H71-H72,H76-H74))</f>
        <v>0</v>
      </c>
      <c r="I77" s="38" t="n">
        <f aca="false">MAX(0,MIN(I70+I71-I72,I76-I74))</f>
        <v>0</v>
      </c>
      <c r="J77" s="38" t="n">
        <f aca="false">MAX(0,MIN(J70+J71-J72,J76-J74))</f>
        <v>0</v>
      </c>
      <c r="K77" s="38" t="n">
        <f aca="false">MAX(0,MIN(K70+K71-K72,K76-K74))</f>
        <v>0</v>
      </c>
      <c r="L77" s="38" t="n">
        <f aca="false">MAX(0,MIN(L70+L71-L72,L76-L74))</f>
        <v>0</v>
      </c>
      <c r="M77" s="38" t="n">
        <f aca="false">MAX(0,MIN(M70+M71-M72,M76-M74))</f>
        <v>0</v>
      </c>
      <c r="N77" s="38" t="n">
        <f aca="false">MAX(0,MIN(N70+N71-N72,N76-N74))</f>
        <v>0</v>
      </c>
      <c r="O77" s="38" t="n">
        <f aca="false">MAX(0,MIN(O70+O71-O72,O76-O74))</f>
        <v>0</v>
      </c>
      <c r="P77" s="38" t="n">
        <f aca="false">MAX(0,MIN(P70+P71-P72,P76-P74))</f>
        <v>6.84457998393813</v>
      </c>
      <c r="Q77" s="38" t="n">
        <f aca="false">MAX(0,MIN(Q70+Q71-Q72,Q76-Q74))</f>
        <v>11.3055601264575</v>
      </c>
      <c r="R77" s="38" t="n">
        <f aca="false">MAX(0,MIN(R70+R71-R72,R76-R74))</f>
        <v>6.84985988960438</v>
      </c>
      <c r="S77" s="38" t="n">
        <f aca="false">MAX(0,MIN(S70+S71-S72,S76-S74))</f>
        <v>0</v>
      </c>
      <c r="T77" s="38" t="n">
        <f aca="false">MAX(0,MIN(T70+T71-T72,T76-T74))</f>
        <v>0</v>
      </c>
      <c r="U77" s="38" t="n">
        <f aca="false">MAX(0,MIN(U70+U71-U72,U76-U74))</f>
        <v>0</v>
      </c>
      <c r="V77" s="38" t="n">
        <f aca="false">MAX(0,MIN(V70+V71-V72,V76-V74))</f>
        <v>0</v>
      </c>
      <c r="W77" s="38" t="n">
        <f aca="false">MAX(0,MIN(W70+W71-W72,W76-W74))</f>
        <v>0</v>
      </c>
      <c r="X77" s="38" t="n">
        <f aca="false">MAX(0,MIN(X70+X71-X72,X76-X74))</f>
        <v>0</v>
      </c>
      <c r="Y77" s="38" t="n">
        <f aca="false">MAX(0,MIN(Y70+Y71-Y72,Y76-Y74))</f>
        <v>0</v>
      </c>
      <c r="Z77" s="38" t="n">
        <f aca="false">MAX(0,MIN(Z70+Z71-Z72,Z76-Z74))</f>
        <v>0</v>
      </c>
      <c r="AA77" s="38" t="n">
        <f aca="false">MAX(0,MIN(AA70+AA71-AA72,AA76-AA74))</f>
        <v>0</v>
      </c>
      <c r="AB77" s="38" t="n">
        <f aca="false">MAX(0,MIN(AB70+AB71-AB72,AB76-AB74))</f>
        <v>0</v>
      </c>
    </row>
    <row r="78" customFormat="false" ht="15" hidden="false" customHeight="false" outlineLevel="0" collapsed="false">
      <c r="B78" s="3" t="s">
        <v>223</v>
      </c>
      <c r="D78" s="38" t="n">
        <f aca="false">D76-D77</f>
        <v>17.35147</v>
      </c>
      <c r="E78" s="38" t="n">
        <f aca="false">E76-E77</f>
        <v>16.37303397295</v>
      </c>
      <c r="F78" s="38" t="n">
        <f aca="false">F76-F77</f>
        <v>16.995337451383</v>
      </c>
      <c r="G78" s="38" t="n">
        <f aca="false">G76-G77</f>
        <v>19.0994263313415</v>
      </c>
      <c r="H78" s="38" t="n">
        <f aca="false">H76-H77</f>
        <v>17.5799854591276</v>
      </c>
      <c r="I78" s="38" t="n">
        <f aca="false">I76-I77</f>
        <v>16.0584168907402</v>
      </c>
      <c r="J78" s="38" t="n">
        <f aca="false">J76-J77</f>
        <v>14.5471386376242</v>
      </c>
      <c r="K78" s="38" t="n">
        <f aca="false">K76-K77</f>
        <v>13.059103534423</v>
      </c>
      <c r="L78" s="38" t="n">
        <f aca="false">L76-L77</f>
        <v>11.6075419645041</v>
      </c>
      <c r="M78" s="38" t="n">
        <f aca="false">M76-M77</f>
        <v>10.2056644010545</v>
      </c>
      <c r="N78" s="38" t="n">
        <f aca="false">N76-N77</f>
        <v>8.86632901679119</v>
      </c>
      <c r="O78" s="38" t="n">
        <f aca="false">O76-O77</f>
        <v>7.60168145977424</v>
      </c>
      <c r="P78" s="38" t="n">
        <f aca="false">P76-P77</f>
        <v>6.42277569694985</v>
      </c>
      <c r="Q78" s="38" t="n">
        <f aca="false">Q76-Q77</f>
        <v>5.3391867758567</v>
      </c>
      <c r="R78" s="38" t="n">
        <f aca="false">R76-R77</f>
        <v>8.75496826951996</v>
      </c>
      <c r="S78" s="38" t="n">
        <f aca="false">S76-S77</f>
        <v>14.0871521770147</v>
      </c>
      <c r="T78" s="38" t="n">
        <f aca="false">T76-T77</f>
        <v>11.9152684717575</v>
      </c>
      <c r="U78" s="38" t="n">
        <f aca="false">U76-U77</f>
        <v>9.79501855882532</v>
      </c>
      <c r="V78" s="38" t="n">
        <f aca="false">V76-V77</f>
        <v>7.78274402576065</v>
      </c>
      <c r="W78" s="38" t="n">
        <f aca="false">W76-W77</f>
        <v>5.93216466817809</v>
      </c>
      <c r="X78" s="38" t="n">
        <f aca="false">X76-X77</f>
        <v>4.28976499509643</v>
      </c>
      <c r="Y78" s="38" t="n">
        <f aca="false">Y76-Y77</f>
        <v>2.88996421671754</v>
      </c>
      <c r="Z78" s="38" t="n">
        <f aca="false">Z76-Z77</f>
        <v>1.75092285526915</v>
      </c>
      <c r="AA78" s="38" t="n">
        <f aca="false">AA76-AA77</f>
        <v>0.872033340275021</v>
      </c>
      <c r="AB78" s="38" t="n">
        <f aca="false">AB76-AB77</f>
        <v>0.36852282320112</v>
      </c>
    </row>
    <row r="79" customFormat="false" ht="15" hidden="false" customHeight="false" outlineLevel="0" collapsed="false">
      <c r="B79" s="3" t="s">
        <v>224</v>
      </c>
      <c r="D79" s="38" t="n">
        <f aca="false">D66+D67-D68-D75</f>
        <v>75</v>
      </c>
      <c r="E79" s="38" t="n">
        <f aca="false">E66+E67-E68-E75</f>
        <v>75</v>
      </c>
      <c r="F79" s="38" t="n">
        <f aca="false">F66+F67-F68-F75</f>
        <v>75</v>
      </c>
      <c r="G79" s="38" t="n">
        <f aca="false">G66+G67-G68-G75</f>
        <v>74.9771066011518</v>
      </c>
      <c r="H79" s="38" t="n">
        <f aca="false">H66+H67-H68-H75</f>
        <v>69.9483116863754</v>
      </c>
      <c r="I79" s="38" t="n">
        <f aca="false">I66+I67-I68-I75</f>
        <v>63.509586344224</v>
      </c>
      <c r="J79" s="38" t="n">
        <f aca="false">J66+J67-J68-J75</f>
        <v>55.7940491667441</v>
      </c>
      <c r="K79" s="38" t="n">
        <f aca="false">K66+K67-K68-K75</f>
        <v>46.9618329205462</v>
      </c>
      <c r="L79" s="38" t="n">
        <f aca="false">L66+L67-L68-L75</f>
        <v>37.197789847632</v>
      </c>
      <c r="M79" s="38" t="n">
        <f aca="false">M66+M67-M68-M75</f>
        <v>26.7080237491416</v>
      </c>
      <c r="N79" s="38" t="n">
        <f aca="false">N66+N67-N68-N75</f>
        <v>15.7151534561011</v>
      </c>
      <c r="O79" s="38" t="n">
        <f aca="false">O66+O67-O68-O75</f>
        <v>4.45224654175961</v>
      </c>
      <c r="P79" s="38" t="n">
        <f aca="false">P66+P67-P68-P75</f>
        <v>0</v>
      </c>
      <c r="Q79" s="38" t="n">
        <f aca="false">Q66+Q67-Q68-Q75</f>
        <v>0</v>
      </c>
      <c r="R79" s="38" t="n">
        <f aca="false">R66+R67-R68-R75</f>
        <v>0</v>
      </c>
      <c r="S79" s="38" t="n">
        <f aca="false">S66+S67-S68-S75</f>
        <v>0</v>
      </c>
      <c r="T79" s="38" t="n">
        <f aca="false">T66+T67-T68-T75</f>
        <v>0</v>
      </c>
      <c r="U79" s="38" t="n">
        <f aca="false">U66+U67-U68-U75</f>
        <v>0</v>
      </c>
      <c r="V79" s="38" t="n">
        <f aca="false">V66+V67-V68-V75</f>
        <v>0</v>
      </c>
      <c r="W79" s="38" t="n">
        <f aca="false">W66+W67-W68-W75</f>
        <v>0</v>
      </c>
      <c r="X79" s="38" t="n">
        <f aca="false">X66+X67-X68-X75</f>
        <v>0</v>
      </c>
      <c r="Y79" s="38" t="n">
        <f aca="false">Y66+Y67-Y68-Y75</f>
        <v>0</v>
      </c>
      <c r="Z79" s="38" t="n">
        <f aca="false">Z66+Z67-Z68-Z75</f>
        <v>0</v>
      </c>
      <c r="AA79" s="38" t="n">
        <f aca="false">AA66+AA67-AA68-AA75</f>
        <v>0</v>
      </c>
      <c r="AB79" s="38" t="n">
        <f aca="false">AB66+AB67-AB68-AB75</f>
        <v>0</v>
      </c>
    </row>
    <row r="80" customFormat="false" ht="15" hidden="false" customHeight="false" outlineLevel="0" collapsed="false">
      <c r="B80" s="3" t="s">
        <v>225</v>
      </c>
      <c r="D80" s="38" t="n">
        <f aca="false">D70+D71-D72-D77</f>
        <v>25</v>
      </c>
      <c r="E80" s="38" t="n">
        <f aca="false">E70+E71-E72-E77</f>
        <v>25</v>
      </c>
      <c r="F80" s="38" t="n">
        <f aca="false">F70+F71-F72-F77</f>
        <v>25</v>
      </c>
      <c r="G80" s="38" t="n">
        <f aca="false">G70+G71-G72-G77</f>
        <v>25</v>
      </c>
      <c r="H80" s="38" t="n">
        <f aca="false">H70+H71-H72-H77</f>
        <v>25</v>
      </c>
      <c r="I80" s="38" t="n">
        <f aca="false">I70+I71-I72-I77</f>
        <v>25</v>
      </c>
      <c r="J80" s="38" t="n">
        <f aca="false">J70+J71-J72-J77</f>
        <v>25</v>
      </c>
      <c r="K80" s="38" t="n">
        <f aca="false">K70+K71-K72-K77</f>
        <v>25</v>
      </c>
      <c r="L80" s="38" t="n">
        <f aca="false">L70+L71-L72-L77</f>
        <v>25</v>
      </c>
      <c r="M80" s="38" t="n">
        <f aca="false">M70+M71-M72-M77</f>
        <v>25</v>
      </c>
      <c r="N80" s="38" t="n">
        <f aca="false">N70+N71-N72-N77</f>
        <v>25</v>
      </c>
      <c r="O80" s="38" t="n">
        <f aca="false">O70+O71-O72-O77</f>
        <v>25</v>
      </c>
      <c r="P80" s="38" t="n">
        <f aca="false">P70+P71-P72-P77</f>
        <v>18.1554200160619</v>
      </c>
      <c r="Q80" s="38" t="n">
        <f aca="false">Q70+Q71-Q72-Q77</f>
        <v>6.84985988960438</v>
      </c>
      <c r="R80" s="38" t="n">
        <f aca="false">R70+R71-R72-R77</f>
        <v>0</v>
      </c>
      <c r="S80" s="38" t="n">
        <f aca="false">S70+S71-S72-S77</f>
        <v>0</v>
      </c>
      <c r="T80" s="38" t="n">
        <f aca="false">T70+T71-T72-T77</f>
        <v>0</v>
      </c>
      <c r="U80" s="38" t="n">
        <f aca="false">U70+U71-U72-U77</f>
        <v>0</v>
      </c>
      <c r="V80" s="38" t="n">
        <f aca="false">V70+V71-V72-V77</f>
        <v>0</v>
      </c>
      <c r="W80" s="38" t="n">
        <f aca="false">W70+W71-W72-W77</f>
        <v>0</v>
      </c>
      <c r="X80" s="38" t="n">
        <f aca="false">X70+X71-X72-X77</f>
        <v>0</v>
      </c>
      <c r="Y80" s="38" t="n">
        <f aca="false">Y70+Y71-Y72-Y77</f>
        <v>0</v>
      </c>
      <c r="Z80" s="38" t="n">
        <f aca="false">Z70+Z71-Z72-Z77</f>
        <v>0</v>
      </c>
      <c r="AA80" s="38" t="n">
        <f aca="false">AA70+AA71-AA72-AA77</f>
        <v>0</v>
      </c>
      <c r="AB80" s="38" t="n">
        <f aca="false">AB70+AB71-AB72-AB77</f>
        <v>0</v>
      </c>
    </row>
    <row r="81" customFormat="false" ht="15" hidden="false" customHeight="false" outlineLevel="0" collapsed="false">
      <c r="B81" s="3" t="s">
        <v>226</v>
      </c>
      <c r="D81" s="38" t="n">
        <f aca="false">IF(D79+D80&lt;0.000001,MAX(0,D78-D74),0)</f>
        <v>0</v>
      </c>
      <c r="E81" s="38" t="n">
        <f aca="false">IF(E79+E80&lt;0.000001,MAX(0,E78-E74),0)</f>
        <v>0</v>
      </c>
      <c r="F81" s="38" t="n">
        <f aca="false">IF(F79+F80&lt;0.000001,MAX(0,F78-F74),0)</f>
        <v>0</v>
      </c>
      <c r="G81" s="38" t="n">
        <f aca="false">IF(G79+G80&lt;0.000001,MAX(0,G78-G74),0)</f>
        <v>0</v>
      </c>
      <c r="H81" s="38" t="n">
        <f aca="false">IF(H79+H80&lt;0.000001,MAX(0,H78-H74),0)</f>
        <v>0</v>
      </c>
      <c r="I81" s="38" t="n">
        <f aca="false">IF(I79+I80&lt;0.000001,MAX(0,I78-I74),0)</f>
        <v>0</v>
      </c>
      <c r="J81" s="38" t="n">
        <f aca="false">IF(J79+J80&lt;0.000001,MAX(0,J78-J74),0)</f>
        <v>0</v>
      </c>
      <c r="K81" s="38" t="n">
        <f aca="false">IF(K79+K80&lt;0.000001,MAX(0,K78-K74),0)</f>
        <v>0</v>
      </c>
      <c r="L81" s="38" t="n">
        <f aca="false">IF(L79+L80&lt;0.000001,MAX(0,L78-L74),0)</f>
        <v>0</v>
      </c>
      <c r="M81" s="38" t="n">
        <f aca="false">IF(M79+M80&lt;0.000001,MAX(0,M78-M74),0)</f>
        <v>0</v>
      </c>
      <c r="N81" s="38" t="n">
        <f aca="false">IF(N79+N80&lt;0.000001,MAX(0,N78-N74),0)</f>
        <v>0</v>
      </c>
      <c r="O81" s="38" t="n">
        <f aca="false">IF(O79+O80&lt;0.000001,MAX(0,O78-O74),0)</f>
        <v>0</v>
      </c>
      <c r="P81" s="38" t="n">
        <f aca="false">IF(P79+P80&lt;0.000001,MAX(0,P78-P74),0)</f>
        <v>0</v>
      </c>
      <c r="Q81" s="38" t="n">
        <f aca="false">IF(Q79+Q80&lt;0.000001,MAX(0,Q78-Q74),0)</f>
        <v>0</v>
      </c>
      <c r="R81" s="38" t="n">
        <f aca="false">IF(R79+R80&lt;0.000001,MAX(0,R78-R74),0)</f>
        <v>4.3963394730901</v>
      </c>
      <c r="S81" s="38" t="n">
        <f aca="false">IF(S79+S80&lt;0.000001,MAX(0,S78-S74),0)</f>
        <v>10.600557403287</v>
      </c>
      <c r="T81" s="38" t="n">
        <f aca="false">IF(T79+T80&lt;0.000001,MAX(0,T78-T74),0)</f>
        <v>9.1892286715183</v>
      </c>
      <c r="U81" s="38" t="n">
        <f aca="false">IF(U79+U80&lt;0.000001,MAX(0,U78-U74),0)</f>
        <v>7.71788355638808</v>
      </c>
      <c r="V81" s="38" t="n">
        <f aca="false">IF(V79+V80&lt;0.000001,MAX(0,V78-V74),0)</f>
        <v>6.24561757464341</v>
      </c>
      <c r="W81" s="38" t="n">
        <f aca="false">IF(W79+W80&lt;0.000001,MAX(0,W78-W74),0)</f>
        <v>4.8318262479448</v>
      </c>
      <c r="X81" s="38" t="n">
        <f aca="false">IF(X79+X80&lt;0.000001,MAX(0,X78-X74),0)</f>
        <v>3.53140423637541</v>
      </c>
      <c r="Y81" s="38" t="n">
        <f aca="false">IF(Y79+Y80&lt;0.000001,MAX(0,Y78-Y74),0)</f>
        <v>2.38951304678068</v>
      </c>
      <c r="Z81" s="38" t="n">
        <f aca="false">IF(Z79+Z80&lt;0.000001,MAX(0,Z78-Z74),0)</f>
        <v>1.43676214320813</v>
      </c>
      <c r="AA81" s="38" t="n">
        <f aca="false">IF(AA79+AA80&lt;0.000001,MAX(0,AA78-AA74),0)</f>
        <v>0.685879946767524</v>
      </c>
      <c r="AB81" s="38" t="n">
        <f aca="false">IF(AB79+AB80&lt;0.000001,MAX(0,AB78-AB74),0)</f>
        <v>0.36852282320112</v>
      </c>
    </row>
    <row r="82" customFormat="false" ht="15" hidden="false" customHeight="false" outlineLevel="0" collapsed="false">
      <c r="B82" s="2" t="s">
        <v>227</v>
      </c>
      <c r="D82" s="38" t="n">
        <f aca="false">D78-D81</f>
        <v>17.35147</v>
      </c>
      <c r="E82" s="38" t="n">
        <f aca="false">E78-E81</f>
        <v>16.37303397295</v>
      </c>
      <c r="F82" s="38" t="n">
        <f aca="false">F78-F81</f>
        <v>16.995337451383</v>
      </c>
      <c r="G82" s="38" t="n">
        <f aca="false">G78-G81</f>
        <v>19.0994263313415</v>
      </c>
      <c r="H82" s="38" t="n">
        <f aca="false">H78-H81</f>
        <v>17.5799854591276</v>
      </c>
      <c r="I82" s="38" t="n">
        <f aca="false">I78-I81</f>
        <v>16.0584168907402</v>
      </c>
      <c r="J82" s="38" t="n">
        <f aca="false">J78-J81</f>
        <v>14.5471386376242</v>
      </c>
      <c r="K82" s="38" t="n">
        <f aca="false">K78-K81</f>
        <v>13.059103534423</v>
      </c>
      <c r="L82" s="38" t="n">
        <f aca="false">L78-L81</f>
        <v>11.6075419645041</v>
      </c>
      <c r="M82" s="38" t="n">
        <f aca="false">M78-M81</f>
        <v>10.2056644010545</v>
      </c>
      <c r="N82" s="38" t="n">
        <f aca="false">N78-N81</f>
        <v>8.86632901679119</v>
      </c>
      <c r="O82" s="38" t="n">
        <f aca="false">O78-O81</f>
        <v>7.60168145977424</v>
      </c>
      <c r="P82" s="38" t="n">
        <f aca="false">P78-P81</f>
        <v>6.42277569694985</v>
      </c>
      <c r="Q82" s="38" t="n">
        <f aca="false">Q78-Q81</f>
        <v>5.3391867758567</v>
      </c>
      <c r="R82" s="38" t="n">
        <f aca="false">R78-R81</f>
        <v>4.35862879642985</v>
      </c>
      <c r="S82" s="38" t="n">
        <f aca="false">S78-S81</f>
        <v>3.48659477372773</v>
      </c>
      <c r="T82" s="38" t="n">
        <f aca="false">T78-T81</f>
        <v>2.72603980023923</v>
      </c>
      <c r="U82" s="38" t="n">
        <f aca="false">U78-U81</f>
        <v>2.07713500243724</v>
      </c>
      <c r="V82" s="38" t="n">
        <f aca="false">V78-V81</f>
        <v>1.53712645111724</v>
      </c>
      <c r="W82" s="38" t="n">
        <f aca="false">W78-W81</f>
        <v>1.1003384202333</v>
      </c>
      <c r="X82" s="38" t="n">
        <f aca="false">X78-X81</f>
        <v>0.758360758721028</v>
      </c>
      <c r="Y82" s="38" t="n">
        <f aca="false">Y78-Y81</f>
        <v>0.500451169936862</v>
      </c>
      <c r="Z82" s="38" t="n">
        <f aca="false">Z78-Z81</f>
        <v>0.314160712061027</v>
      </c>
      <c r="AA82" s="38" t="n">
        <f aca="false">AA78-AA81</f>
        <v>0.186153393507497</v>
      </c>
      <c r="AB82" s="38" t="n">
        <f aca="false">AB78-AB81</f>
        <v>0</v>
      </c>
    </row>
    <row r="83" customFormat="false" ht="15" hidden="false" customHeight="false" outlineLevel="0" collapsed="false">
      <c r="B83" s="3" t="s">
        <v>228</v>
      </c>
      <c r="D83" s="10" t="n">
        <f aca="false">IF(AND(D65&lt;0,D66+D70&gt;0.000001),1,0)</f>
        <v>0</v>
      </c>
      <c r="E83" s="10" t="n">
        <f aca="false">IF(AND(E65&lt;0,E66+E70&gt;0.000001),1,0)</f>
        <v>0</v>
      </c>
      <c r="F83" s="10" t="n">
        <f aca="false">IF(AND(F65&lt;0,F66+F70&gt;0.000001),1,0)</f>
        <v>0</v>
      </c>
      <c r="G83" s="10" t="n">
        <f aca="false">IF(AND(G65&lt;0,G66+G70&gt;0.000001),1,0)</f>
        <v>0</v>
      </c>
      <c r="H83" s="10" t="n">
        <f aca="false">IF(AND(H65&lt;0,H66+H70&gt;0.000001),1,0)</f>
        <v>0</v>
      </c>
      <c r="I83" s="10" t="n">
        <f aca="false">IF(AND(I65&lt;0,I66+I70&gt;0.000001),1,0)</f>
        <v>0</v>
      </c>
      <c r="J83" s="10" t="n">
        <f aca="false">IF(AND(J65&lt;0,J66+J70&gt;0.000001),1,0)</f>
        <v>0</v>
      </c>
      <c r="K83" s="10" t="n">
        <f aca="false">IF(AND(K65&lt;0,K66+K70&gt;0.000001),1,0)</f>
        <v>0</v>
      </c>
      <c r="L83" s="10" t="n">
        <f aca="false">IF(AND(L65&lt;0,L66+L70&gt;0.000001),1,0)</f>
        <v>0</v>
      </c>
      <c r="M83" s="10" t="n">
        <f aca="false">IF(AND(M65&lt;0,M66+M70&gt;0.000001),1,0)</f>
        <v>0</v>
      </c>
      <c r="N83" s="10" t="n">
        <f aca="false">IF(AND(N65&lt;0,N66+N70&gt;0.000001),1,0)</f>
        <v>0</v>
      </c>
      <c r="O83" s="10" t="n">
        <f aca="false">IF(AND(O65&lt;0,O66+O70&gt;0.000001),1,0)</f>
        <v>0</v>
      </c>
      <c r="P83" s="10" t="n">
        <f aca="false">IF(AND(P65&lt;0,P66+P70&gt;0.000001),1,0)</f>
        <v>0</v>
      </c>
      <c r="Q83" s="10" t="n">
        <f aca="false">IF(AND(Q65&lt;0,Q66+Q70&gt;0.000001),1,0)</f>
        <v>0</v>
      </c>
      <c r="R83" s="10" t="n">
        <f aca="false">IF(AND(R65&lt;0,R66+R70&gt;0.000001),1,0)</f>
        <v>0</v>
      </c>
      <c r="S83" s="10" t="n">
        <f aca="false">IF(AND(S65&lt;0,S66+S70&gt;0.000001),1,0)</f>
        <v>0</v>
      </c>
      <c r="T83" s="10" t="n">
        <f aca="false">IF(AND(T65&lt;0,T66+T70&gt;0.000001),1,0)</f>
        <v>0</v>
      </c>
      <c r="U83" s="10" t="n">
        <f aca="false">IF(AND(U65&lt;0,U66+U70&gt;0.000001),1,0)</f>
        <v>0</v>
      </c>
      <c r="V83" s="10" t="n">
        <f aca="false">IF(AND(V65&lt;0,V66+V70&gt;0.000001),1,0)</f>
        <v>0</v>
      </c>
      <c r="W83" s="10" t="n">
        <f aca="false">IF(AND(W65&lt;0,W66+W70&gt;0.000001),1,0)</f>
        <v>0</v>
      </c>
      <c r="X83" s="10" t="n">
        <f aca="false">IF(AND(X65&lt;0,X66+X70&gt;0.000001),1,0)</f>
        <v>0</v>
      </c>
      <c r="Y83" s="10" t="n">
        <f aca="false">IF(AND(Y65&lt;0,Y66+Y70&gt;0.000001),1,0)</f>
        <v>0</v>
      </c>
      <c r="Z83" s="10" t="n">
        <f aca="false">IF(AND(Z65&lt;0,Z66+Z70&gt;0.000001),1,0)</f>
        <v>0</v>
      </c>
      <c r="AA83" s="10" t="n">
        <f aca="false">IF(AND(AA65&lt;0,AA66+AA70&gt;0.000001),1,0)</f>
        <v>0</v>
      </c>
      <c r="AB83" s="10" t="n">
        <f aca="false">IF(AND(AB65&lt;0,AB66+AB70&gt;0.000001),1,0)</f>
        <v>0</v>
      </c>
    </row>
    <row r="85" customFormat="false" ht="15" hidden="false" customHeight="false" outlineLevel="0" collapsed="false">
      <c r="A85" s="2" t="s">
        <v>229</v>
      </c>
    </row>
    <row r="86" customFormat="false" ht="15" hidden="false" customHeight="false" outlineLevel="0" collapsed="false">
      <c r="B86" s="3" t="s">
        <v>230</v>
      </c>
      <c r="C86" s="31" t="n">
        <f aca="false">MIN(1,AB79/Supuestos!C5)</f>
        <v>0</v>
      </c>
    </row>
    <row r="87" customFormat="false" ht="15" hidden="false" customHeight="false" outlineLevel="0" collapsed="false">
      <c r="B87" s="3" t="s">
        <v>231</v>
      </c>
      <c r="C87" s="31" t="n">
        <f aca="false">MIN(1,AB80/Supuestos!C7)</f>
        <v>0</v>
      </c>
    </row>
    <row r="88" customFormat="false" ht="15" hidden="false" customHeight="false" outlineLevel="0" collapsed="false">
      <c r="B88" s="3" t="s">
        <v>232</v>
      </c>
      <c r="C88" s="38" t="n">
        <f aca="false">SUM(D67:AB67)-SUM(D68:AB68)</f>
        <v>0</v>
      </c>
    </row>
    <row r="89" customFormat="false" ht="15" hidden="false" customHeight="false" outlineLevel="0" collapsed="false">
      <c r="B89" s="3" t="s">
        <v>233</v>
      </c>
      <c r="C89" s="38" t="n">
        <f aca="false">MIN(IF(D66+D70&gt;0.000001,D65,1000000000),IF(E66+E70&gt;0.000001,E65,1000000000),IF(F66+F70&gt;0.000001,F65,1000000000),IF(G66+G70&gt;0.000001,G65,1000000000),IF(H66+H70&gt;0.000001,H65,1000000000),IF(I66+I70&gt;0.000001,I65,1000000000),IF(J66+J70&gt;0.000001,J65,1000000000),IF(K66+K70&gt;0.000001,K65,1000000000),IF(L66+L70&gt;0.000001,L65,1000000000),IF(M66+M70&gt;0.000001,M65,1000000000),IF(N66+N70&gt;0.000001,N65,1000000000),IF(O66+O70&gt;0.000001,O65,1000000000),IF(P66+P70&gt;0.000001,P65,1000000000),IF(Q66+Q70&gt;0.000001,Q65,1000000000),IF(R66+R70&gt;0.000001,R65,1000000000),IF(S66+S70&gt;0.000001,S65,1000000000),IF(T66+T70&gt;0.000001,T65,1000000000),IF(U66+U70&gt;0.000001,U65,1000000000),IF(V66+V70&gt;0.000001,V65,1000000000),IF(W66+W70&gt;0.000001,W65,1000000000),IF(X66+X70&gt;0.000001,X65,1000000000),IF(Y66+Y70&gt;0.000001,Y65,1000000000),IF(Z66+Z70&gt;0.000001,Z65,1000000000),IF(AA66+AA70&gt;0.000001,AA65,1000000000),IF(AB66+AB70&gt;0.000001,AB65,1000000000))</f>
        <v>16.2555648486368</v>
      </c>
    </row>
    <row r="90" customFormat="false" ht="15" hidden="false" customHeight="false" outlineLevel="0" collapsed="false">
      <c r="B90" s="3" t="s">
        <v>234</v>
      </c>
      <c r="C90" s="10" t="n">
        <f aca="false">SUM(D83:AB83)</f>
        <v>0</v>
      </c>
    </row>
    <row r="91" customFormat="false" ht="15" hidden="false" customHeight="false" outlineLevel="0" collapsed="false">
      <c r="B91" s="3" t="s">
        <v>235</v>
      </c>
      <c r="C91" s="33" t="n">
        <f aca="false">IFERROR(SUMPRODUCT(D75:AB75,D3:AB3)/SUM(D75:AB75),0)</f>
        <v>9.27018800418234</v>
      </c>
    </row>
    <row r="92" customFormat="false" ht="15" hidden="false" customHeight="false" outlineLevel="0" collapsed="false">
      <c r="B92" s="3" t="s">
        <v>236</v>
      </c>
      <c r="C92" s="33" t="n">
        <f aca="false">IFERROR(SUMPRODUCT(D77:AB77,D3:AB3)/SUM(D77:AB77),0)</f>
        <v>14.0002111962267</v>
      </c>
    </row>
    <row r="93" customFormat="false" ht="15" hidden="false" customHeight="false" outlineLevel="0" collapsed="false">
      <c r="B93" s="3" t="s">
        <v>237</v>
      </c>
      <c r="C93" s="33" t="n">
        <f aca="false">(C18*Cartera!D5+C26*Cartera!D6+C34*Cartera!D7+C42*Cartera!D8+C50*Cartera!D9)/Cartera!D10</f>
        <v>8.47094254200754</v>
      </c>
    </row>
    <row r="94" customFormat="false" ht="15" hidden="false" customHeight="false" outlineLevel="0" collapsed="false">
      <c r="B94" s="3" t="s">
        <v>238</v>
      </c>
      <c r="C94" s="10" t="n">
        <f aca="false">IF(AND(C86&lt;=Supuestos!C20+0.000001,C88&lt;0.000001),1,0)</f>
        <v>1</v>
      </c>
    </row>
    <row r="95" customFormat="false" ht="15" hidden="false" customHeight="false" outlineLevel="0" collapsed="false">
      <c r="B95" s="3" t="s">
        <v>239</v>
      </c>
      <c r="C95" s="10" t="n">
        <f aca="false">IF(C87&lt;=Supuestos!C20+0.000001,1,0)</f>
        <v>1</v>
      </c>
    </row>
    <row r="96" customFormat="false" ht="15" hidden="false" customHeight="false" outlineLevel="0" collapsed="false">
      <c r="B96" s="3" t="s">
        <v>240</v>
      </c>
      <c r="C96" s="38" t="n">
        <f aca="false">SUM(D81:AB81)+MAX(0,AB82)</f>
        <v>51.3935351232045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28" min="4" style="0" width="10"/>
  </cols>
  <sheetData>
    <row r="1" customFormat="false" ht="17.35" hidden="false" customHeight="false" outlineLevel="0" collapsed="false">
      <c r="A1" s="1" t="s">
        <v>243</v>
      </c>
    </row>
    <row r="2" customFormat="false" ht="15" hidden="false" customHeight="false" outlineLevel="0" collapsed="false">
      <c r="A2" s="3" t="s">
        <v>21</v>
      </c>
      <c r="C2" s="2" t="s">
        <v>35</v>
      </c>
    </row>
    <row r="3" customFormat="false" ht="15" hidden="false" customHeight="false" outlineLevel="0" collapsed="false">
      <c r="A3" s="2" t="s">
        <v>185</v>
      </c>
      <c r="D3" s="35" t="n">
        <v>1</v>
      </c>
      <c r="E3" s="35" t="n">
        <v>2</v>
      </c>
      <c r="F3" s="35" t="n">
        <v>3</v>
      </c>
      <c r="G3" s="35" t="n">
        <v>4</v>
      </c>
      <c r="H3" s="35" t="n">
        <v>5</v>
      </c>
      <c r="I3" s="35" t="n">
        <v>6</v>
      </c>
      <c r="J3" s="35" t="n">
        <v>7</v>
      </c>
      <c r="K3" s="35" t="n">
        <v>8</v>
      </c>
      <c r="L3" s="35" t="n">
        <v>9</v>
      </c>
      <c r="M3" s="35" t="n">
        <v>10</v>
      </c>
      <c r="N3" s="35" t="n">
        <v>11</v>
      </c>
      <c r="O3" s="35" t="n">
        <v>12</v>
      </c>
      <c r="P3" s="35" t="n">
        <v>13</v>
      </c>
      <c r="Q3" s="35" t="n">
        <v>14</v>
      </c>
      <c r="R3" s="35" t="n">
        <v>15</v>
      </c>
      <c r="S3" s="35" t="n">
        <v>16</v>
      </c>
      <c r="T3" s="35" t="n">
        <v>17</v>
      </c>
      <c r="U3" s="35" t="n">
        <v>18</v>
      </c>
      <c r="V3" s="35" t="n">
        <v>19</v>
      </c>
      <c r="W3" s="35" t="n">
        <v>20</v>
      </c>
      <c r="X3" s="35" t="n">
        <v>21</v>
      </c>
      <c r="Y3" s="35" t="n">
        <v>22</v>
      </c>
      <c r="Z3" s="35" t="n">
        <v>23</v>
      </c>
      <c r="AA3" s="35" t="n">
        <v>24</v>
      </c>
      <c r="AB3" s="35" t="n">
        <v>25</v>
      </c>
    </row>
    <row r="5" customFormat="false" ht="15" hidden="false" customHeight="false" outlineLevel="0" collapsed="false">
      <c r="A5" s="3" t="s">
        <v>186</v>
      </c>
      <c r="C5" s="5" t="n">
        <f aca="false">Supuestos!C27</f>
        <v>0.88</v>
      </c>
    </row>
    <row r="6" customFormat="false" ht="15" hidden="false" customHeight="false" outlineLevel="0" collapsed="false">
      <c r="A6" s="3" t="s">
        <v>187</v>
      </c>
      <c r="C6" s="5" t="n">
        <f aca="false">Supuestos!D27</f>
        <v>0.02</v>
      </c>
    </row>
    <row r="7" customFormat="false" ht="15" hidden="false" customHeight="false" outlineLevel="0" collapsed="false">
      <c r="A7" s="3" t="s">
        <v>188</v>
      </c>
      <c r="C7" s="12" t="n">
        <f aca="false">Supuestos!E27</f>
        <v>0.02</v>
      </c>
    </row>
    <row r="8" customFormat="false" ht="15" hidden="false" customHeight="false" outlineLevel="0" collapsed="false">
      <c r="A8" s="3" t="s">
        <v>189</v>
      </c>
      <c r="C8" s="7" t="n">
        <f aca="false">Supuestos!F27</f>
        <v>0.005</v>
      </c>
    </row>
    <row r="9" customFormat="false" ht="15" hidden="false" customHeight="false" outlineLevel="0" collapsed="false">
      <c r="A9" s="3" t="s">
        <v>104</v>
      </c>
      <c r="C9" s="12" t="n">
        <f aca="false">Supuestos!G27</f>
        <v>0.2</v>
      </c>
    </row>
    <row r="10" customFormat="false" ht="15" hidden="false" customHeight="false" outlineLevel="0" collapsed="false">
      <c r="A10" s="2" t="s">
        <v>190</v>
      </c>
      <c r="C10" s="36" t="n">
        <f aca="false">MAX(0,C5-IF(Cartera!C10&lt;Supuestos!C16,C6,0))</f>
        <v>0.88</v>
      </c>
    </row>
    <row r="12" customFormat="false" ht="15" hidden="false" customHeight="false" outlineLevel="0" collapsed="false">
      <c r="A12" s="37" t="str">
        <f aca="false">Cartera!A5&amp;" – "&amp;Cartera!B5</f>
        <v>C1 – Edad 75–79, salud estándar</v>
      </c>
    </row>
    <row r="13" customFormat="false" ht="15" hidden="false" customHeight="false" outlineLevel="0" collapsed="false">
      <c r="B13" s="3" t="s">
        <v>191</v>
      </c>
      <c r="D13" s="34" t="n">
        <f aca="false">MIN(1,Cartera!$F$5*(1+Cartera!$G$5)^(D$3-1)*$C$10)</f>
        <v>0.0396</v>
      </c>
      <c r="E13" s="34" t="n">
        <f aca="false">MIN(1,Cartera!$F$5*(1+Cartera!$G$5)^(E$3-1)*$C$10)</f>
        <v>0.043956</v>
      </c>
      <c r="F13" s="34" t="n">
        <f aca="false">MIN(1,Cartera!$F$5*(1+Cartera!$G$5)^(F$3-1)*$C$10)</f>
        <v>0.04879116</v>
      </c>
      <c r="G13" s="34" t="n">
        <f aca="false">MIN(1,Cartera!$F$5*(1+Cartera!$G$5)^(G$3-1)*$C$10)</f>
        <v>0.0541581876</v>
      </c>
      <c r="H13" s="34" t="n">
        <f aca="false">MIN(1,Cartera!$F$5*(1+Cartera!$G$5)^(H$3-1)*$C$10)</f>
        <v>0.060115588236</v>
      </c>
      <c r="I13" s="34" t="n">
        <f aca="false">MIN(1,Cartera!$F$5*(1+Cartera!$G$5)^(I$3-1)*$C$10)</f>
        <v>0.06672830294196</v>
      </c>
      <c r="J13" s="34" t="n">
        <f aca="false">MIN(1,Cartera!$F$5*(1+Cartera!$G$5)^(J$3-1)*$C$10)</f>
        <v>0.0740684162655756</v>
      </c>
      <c r="K13" s="34" t="n">
        <f aca="false">MIN(1,Cartera!$F$5*(1+Cartera!$G$5)^(K$3-1)*$C$10)</f>
        <v>0.082215942054789</v>
      </c>
      <c r="L13" s="34" t="n">
        <f aca="false">MIN(1,Cartera!$F$5*(1+Cartera!$G$5)^(L$3-1)*$C$10)</f>
        <v>0.0912596956808158</v>
      </c>
      <c r="M13" s="34" t="n">
        <f aca="false">MIN(1,Cartera!$F$5*(1+Cartera!$G$5)^(M$3-1)*$C$10)</f>
        <v>0.101298262205706</v>
      </c>
      <c r="N13" s="34" t="n">
        <f aca="false">MIN(1,Cartera!$F$5*(1+Cartera!$G$5)^(N$3-1)*$C$10)</f>
        <v>0.112441071048333</v>
      </c>
      <c r="O13" s="34" t="n">
        <f aca="false">MIN(1,Cartera!$F$5*(1+Cartera!$G$5)^(O$3-1)*$C$10)</f>
        <v>0.12480958886365</v>
      </c>
      <c r="P13" s="34" t="n">
        <f aca="false">MIN(1,Cartera!$F$5*(1+Cartera!$G$5)^(P$3-1)*$C$10)</f>
        <v>0.138538643638651</v>
      </c>
      <c r="Q13" s="34" t="n">
        <f aca="false">MIN(1,Cartera!$F$5*(1+Cartera!$G$5)^(Q$3-1)*$C$10)</f>
        <v>0.153777894438903</v>
      </c>
      <c r="R13" s="34" t="n">
        <f aca="false">MIN(1,Cartera!$F$5*(1+Cartera!$G$5)^(R$3-1)*$C$10)</f>
        <v>0.170693462827182</v>
      </c>
      <c r="S13" s="34" t="n">
        <f aca="false">MIN(1,Cartera!$F$5*(1+Cartera!$G$5)^(S$3-1)*$C$10)</f>
        <v>0.189469743738172</v>
      </c>
      <c r="T13" s="34" t="n">
        <f aca="false">MIN(1,Cartera!$F$5*(1+Cartera!$G$5)^(T$3-1)*$C$10)</f>
        <v>0.210311415549371</v>
      </c>
      <c r="U13" s="34" t="n">
        <f aca="false">MIN(1,Cartera!$F$5*(1+Cartera!$G$5)^(U$3-1)*$C$10)</f>
        <v>0.233445671259802</v>
      </c>
      <c r="V13" s="34" t="n">
        <f aca="false">MIN(1,Cartera!$F$5*(1+Cartera!$G$5)^(V$3-1)*$C$10)</f>
        <v>0.25912469509838</v>
      </c>
      <c r="W13" s="34" t="n">
        <f aca="false">MIN(1,Cartera!$F$5*(1+Cartera!$G$5)^(W$3-1)*$C$10)</f>
        <v>0.287628411559202</v>
      </c>
      <c r="X13" s="34" t="n">
        <f aca="false">MIN(1,Cartera!$F$5*(1+Cartera!$G$5)^(X$3-1)*$C$10)</f>
        <v>0.319267536830715</v>
      </c>
      <c r="Y13" s="34" t="n">
        <f aca="false">MIN(1,Cartera!$F$5*(1+Cartera!$G$5)^(Y$3-1)*$C$10)</f>
        <v>0.354386965882093</v>
      </c>
      <c r="Z13" s="34" t="n">
        <f aca="false">MIN(1,Cartera!$F$5*(1+Cartera!$G$5)^(Z$3-1)*$C$10)</f>
        <v>0.393369532129123</v>
      </c>
      <c r="AA13" s="34" t="n">
        <f aca="false">MIN(1,Cartera!$F$5*(1+Cartera!$G$5)^(AA$3-1)*$C$10)</f>
        <v>0.436640180663327</v>
      </c>
      <c r="AB13" s="34" t="n">
        <f aca="false">MIN(1,Cartera!$F$5*(1+Cartera!$G$5)^(AB$3-1)*$C$10)</f>
        <v>0.484670600536293</v>
      </c>
    </row>
    <row r="14" customFormat="false" ht="15" hidden="false" customHeight="false" outlineLevel="0" collapsed="false">
      <c r="B14" s="3" t="s">
        <v>192</v>
      </c>
      <c r="C14" s="3" t="s">
        <v>193</v>
      </c>
      <c r="D14" s="34" t="n">
        <f aca="false">1</f>
        <v>1</v>
      </c>
      <c r="E14" s="34" t="n">
        <f aca="false">D18</f>
        <v>0.9604</v>
      </c>
      <c r="F14" s="34" t="n">
        <f aca="false">E18</f>
        <v>0.9181846576</v>
      </c>
      <c r="G14" s="34" t="n">
        <f aca="false">F18</f>
        <v>0.873385363061493</v>
      </c>
      <c r="H14" s="34" t="n">
        <f aca="false">G18</f>
        <v>0.826084394721715</v>
      </c>
      <c r="I14" s="34" t="n">
        <f aca="false">H18</f>
        <v>0.776423845400439</v>
      </c>
      <c r="J14" s="34" t="n">
        <f aca="false">I18</f>
        <v>0.724614399833197</v>
      </c>
      <c r="K14" s="34" t="n">
        <f aca="false">J18</f>
        <v>0.670943358834321</v>
      </c>
      <c r="L14" s="34" t="n">
        <f aca="false">K18</f>
        <v>0.615781118522353</v>
      </c>
      <c r="M14" s="34" t="n">
        <f aca="false">L18</f>
        <v>0.559585121040011</v>
      </c>
      <c r="N14" s="34" t="n">
        <f aca="false">M18</f>
        <v>0.502900120722489</v>
      </c>
      <c r="O14" s="34" t="n">
        <f aca="false">N18</f>
        <v>0.446353492518116</v>
      </c>
      <c r="P14" s="34" t="n">
        <f aca="false">O18</f>
        <v>0.390644296629076</v>
      </c>
      <c r="Q14" s="34" t="n">
        <f aca="false">P18</f>
        <v>0.336524965628909</v>
      </c>
      <c r="R14" s="34" t="n">
        <f aca="false">Q18</f>
        <v>0.284774864988371</v>
      </c>
      <c r="S14" s="34" t="n">
        <f aca="false">R18</f>
        <v>0.236165657157363</v>
      </c>
      <c r="T14" s="34" t="n">
        <f aca="false">S18</f>
        <v>0.191419410616</v>
      </c>
      <c r="U14" s="34" t="n">
        <f aca="false">T18</f>
        <v>0.151161723405723</v>
      </c>
      <c r="V14" s="34" t="n">
        <f aca="false">U18</f>
        <v>0.115873673416485</v>
      </c>
      <c r="W14" s="34" t="n">
        <f aca="false">V18</f>
        <v>0.0858479431225092</v>
      </c>
      <c r="X14" s="34" t="n">
        <f aca="false">W18</f>
        <v>0.0611556356065571</v>
      </c>
      <c r="Y14" s="34" t="n">
        <f aca="false">X18</f>
        <v>0.0416306264631349</v>
      </c>
      <c r="Z14" s="34" t="n">
        <f aca="false">Y18</f>
        <v>0.0268772750630937</v>
      </c>
      <c r="AA14" s="34" t="n">
        <f aca="false">Z18</f>
        <v>0.0163045739466188</v>
      </c>
      <c r="AB14" s="34" t="n">
        <f aca="false">AA18</f>
        <v>0.00918534183292859</v>
      </c>
    </row>
    <row r="15" customFormat="false" ht="15" hidden="false" customHeight="false" outlineLevel="0" collapsed="false">
      <c r="B15" s="3" t="s">
        <v>194</v>
      </c>
      <c r="D15" s="34" t="n">
        <f aca="false">D14*D13</f>
        <v>0.0396</v>
      </c>
      <c r="E15" s="34" t="n">
        <f aca="false">E14*E13</f>
        <v>0.0422153424</v>
      </c>
      <c r="F15" s="34" t="n">
        <f aca="false">F14*F13</f>
        <v>0.0447992945385068</v>
      </c>
      <c r="G15" s="34" t="n">
        <f aca="false">G14*G13</f>
        <v>0.0473009683397785</v>
      </c>
      <c r="H15" s="34" t="n">
        <f aca="false">H14*H13</f>
        <v>0.0496605493212759</v>
      </c>
      <c r="I15" s="34" t="n">
        <f aca="false">I14*I13</f>
        <v>0.051809445567242</v>
      </c>
      <c r="J15" s="34" t="n">
        <f aca="false">J14*J13</f>
        <v>0.0536710409988755</v>
      </c>
      <c r="K15" s="34" t="n">
        <f aca="false">K14*K13</f>
        <v>0.055162240311968</v>
      </c>
      <c r="L15" s="34" t="n">
        <f aca="false">L14*L13</f>
        <v>0.0561959974823423</v>
      </c>
      <c r="M15" s="34" t="n">
        <f aca="false">M14*M13</f>
        <v>0.0566850003175225</v>
      </c>
      <c r="N15" s="34" t="n">
        <f aca="false">N14*N13</f>
        <v>0.0565466282043726</v>
      </c>
      <c r="O15" s="34" t="n">
        <f aca="false">O14*O13</f>
        <v>0.0557091958890402</v>
      </c>
      <c r="P15" s="34" t="n">
        <f aca="false">P14*P13</f>
        <v>0.0541193310001671</v>
      </c>
      <c r="Q15" s="34" t="n">
        <f aca="false">Q14*Q13</f>
        <v>0.0517501006405378</v>
      </c>
      <c r="R15" s="34" t="n">
        <f aca="false">R14*R13</f>
        <v>0.0486092078310083</v>
      </c>
      <c r="S15" s="34" t="n">
        <f aca="false">S14*S13</f>
        <v>0.0447462465413625</v>
      </c>
      <c r="T15" s="34" t="n">
        <f aca="false">T14*T13</f>
        <v>0.0402576872102773</v>
      </c>
      <c r="U15" s="34" t="n">
        <f aca="false">U14*U13</f>
        <v>0.0352880499892375</v>
      </c>
      <c r="V15" s="34" t="n">
        <f aca="false">V14*V13</f>
        <v>0.030025730293976</v>
      </c>
      <c r="W15" s="34" t="n">
        <f aca="false">W14*W13</f>
        <v>0.0246923075159521</v>
      </c>
      <c r="X15" s="34" t="n">
        <f aca="false">X14*X13</f>
        <v>0.0195250091434222</v>
      </c>
      <c r="Y15" s="34" t="n">
        <f aca="false">Y14*Y13</f>
        <v>0.0147533514000412</v>
      </c>
      <c r="Z15" s="34" t="n">
        <f aca="false">Z14*Z13</f>
        <v>0.0105727011164749</v>
      </c>
      <c r="AA15" s="34" t="n">
        <f aca="false">AA14*AA13</f>
        <v>0.00711923211369021</v>
      </c>
      <c r="AB15" s="34" t="n">
        <f aca="false">AB14*AB13</f>
        <v>0.00445186514229664</v>
      </c>
    </row>
    <row r="16" customFormat="false" ht="15" hidden="false" customHeight="false" outlineLevel="0" collapsed="false">
      <c r="B16" s="3" t="s">
        <v>195</v>
      </c>
      <c r="D16" s="38" t="n">
        <f aca="false">D15*Cartera!$D$5</f>
        <v>3.564</v>
      </c>
      <c r="E16" s="38" t="n">
        <f aca="false">E15*Cartera!$D$5</f>
        <v>3.799380816</v>
      </c>
      <c r="F16" s="38" t="n">
        <f aca="false">F15*Cartera!$D$5</f>
        <v>4.03193650846561</v>
      </c>
      <c r="G16" s="38" t="n">
        <f aca="false">G15*Cartera!$D$5</f>
        <v>4.25708715058006</v>
      </c>
      <c r="H16" s="38" t="n">
        <f aca="false">H15*Cartera!$D$5</f>
        <v>4.46944943891483</v>
      </c>
      <c r="I16" s="38" t="n">
        <f aca="false">I15*Cartera!$D$5</f>
        <v>4.66285010105178</v>
      </c>
      <c r="J16" s="38" t="n">
        <f aca="false">J15*Cartera!$D$5</f>
        <v>4.83039368989879</v>
      </c>
      <c r="K16" s="38" t="n">
        <f aca="false">K15*Cartera!$D$5</f>
        <v>4.96460162807712</v>
      </c>
      <c r="L16" s="38" t="n">
        <f aca="false">L15*Cartera!$D$5</f>
        <v>5.05763977341081</v>
      </c>
      <c r="M16" s="38" t="n">
        <f aca="false">M15*Cartera!$D$5</f>
        <v>5.10165002857702</v>
      </c>
      <c r="N16" s="38" t="n">
        <f aca="false">N15*Cartera!$D$5</f>
        <v>5.08919653839354</v>
      </c>
      <c r="O16" s="38" t="n">
        <f aca="false">O15*Cartera!$D$5</f>
        <v>5.01382763001362</v>
      </c>
      <c r="P16" s="38" t="n">
        <f aca="false">P15*Cartera!$D$5</f>
        <v>4.87073979001504</v>
      </c>
      <c r="Q16" s="38" t="n">
        <f aca="false">Q15*Cartera!$D$5</f>
        <v>4.6575090576484</v>
      </c>
      <c r="R16" s="38" t="n">
        <f aca="false">R15*Cartera!$D$5</f>
        <v>4.37482870479075</v>
      </c>
      <c r="S16" s="38" t="n">
        <f aca="false">S15*Cartera!$D$5</f>
        <v>4.02716218872263</v>
      </c>
      <c r="T16" s="38" t="n">
        <f aca="false">T15*Cartera!$D$5</f>
        <v>3.62319184892496</v>
      </c>
      <c r="U16" s="38" t="n">
        <f aca="false">U15*Cartera!$D$5</f>
        <v>3.17592449903137</v>
      </c>
      <c r="V16" s="38" t="n">
        <f aca="false">V15*Cartera!$D$5</f>
        <v>2.70231572645784</v>
      </c>
      <c r="W16" s="38" t="n">
        <f aca="false">W15*Cartera!$D$5</f>
        <v>2.22230767643569</v>
      </c>
      <c r="X16" s="38" t="n">
        <f aca="false">X15*Cartera!$D$5</f>
        <v>1.757250822908</v>
      </c>
      <c r="Y16" s="38" t="n">
        <f aca="false">Y15*Cartera!$D$5</f>
        <v>1.3278016260037</v>
      </c>
      <c r="Z16" s="38" t="n">
        <f aca="false">Z15*Cartera!$D$5</f>
        <v>0.951543100482745</v>
      </c>
      <c r="AA16" s="38" t="n">
        <f aca="false">AA15*Cartera!$D$5</f>
        <v>0.640730890232119</v>
      </c>
      <c r="AB16" s="38" t="n">
        <f aca="false">AB15*Cartera!$D$5</f>
        <v>0.400667862806697</v>
      </c>
    </row>
    <row r="17" customFormat="false" ht="15" hidden="false" customHeight="false" outlineLevel="0" collapsed="false">
      <c r="B17" s="3" t="s">
        <v>196</v>
      </c>
      <c r="D17" s="38" t="n">
        <f aca="false">D14*Cartera!$D$5*Cartera!$H$5*(1+$C$8)^(D$3-1)</f>
        <v>3.6</v>
      </c>
      <c r="E17" s="38" t="n">
        <f aca="false">E14*Cartera!$D$5*Cartera!$H$5*(1+$C$8)^(E$3-1)</f>
        <v>3.4747272</v>
      </c>
      <c r="F17" s="38" t="n">
        <f aca="false">F14*Cartera!$D$5*Cartera!$H$5*(1+$C$8)^(F$3-1)</f>
        <v>3.33860205165278</v>
      </c>
      <c r="G17" s="38" t="n">
        <f aca="false">G14*Cartera!$D$5*Cartera!$H$5*(1+$C$8)^(G$3-1)</f>
        <v>3.19158632369814</v>
      </c>
      <c r="H17" s="38" t="n">
        <f aca="false">H14*Cartera!$D$5*Cartera!$H$5*(1+$C$8)^(H$3-1)</f>
        <v>3.03382947180189</v>
      </c>
      <c r="I17" s="38" t="n">
        <f aca="false">I14*Cartera!$D$5*Cartera!$H$5*(1+$C$8)^(I$3-1)</f>
        <v>2.86570627363929</v>
      </c>
      <c r="J17" s="38" t="n">
        <f aca="false">J14*Cartera!$D$5*Cartera!$H$5*(1+$C$8)^(J$3-1)</f>
        <v>2.68785497005555</v>
      </c>
      <c r="K17" s="38" t="n">
        <f aca="false">K14*Cartera!$D$5*Cartera!$H$5*(1+$C$8)^(K$3-1)</f>
        <v>2.50121365831834</v>
      </c>
      <c r="L17" s="38" t="n">
        <f aca="false">L14*Cartera!$D$5*Cartera!$H$5*(1+$C$8)^(L$3-1)</f>
        <v>2.30705189122499</v>
      </c>
      <c r="M17" s="38" t="n">
        <f aca="false">M14*Cartera!$D$5*Cartera!$H$5*(1+$C$8)^(M$3-1)</f>
        <v>2.10699359290051</v>
      </c>
      <c r="N17" s="38" t="n">
        <f aca="false">N14*Cartera!$D$5*Cartera!$H$5*(1+$C$8)^(N$3-1)</f>
        <v>1.90302659747844</v>
      </c>
      <c r="O17" s="38" t="n">
        <f aca="false">O14*Cartera!$D$5*Cartera!$H$5*(1+$C$8)^(O$3-1)</f>
        <v>1.69749348986762</v>
      </c>
      <c r="P17" s="38" t="n">
        <f aca="false">P14*Cartera!$D$5*Cartera!$H$5*(1+$C$8)^(P$3-1)</f>
        <v>1.49305817542501</v>
      </c>
      <c r="Q17" s="38" t="n">
        <f aca="false">Q14*Cartera!$D$5*Cartera!$H$5*(1+$C$8)^(Q$3-1)</f>
        <v>1.29264298053267</v>
      </c>
      <c r="R17" s="38" t="n">
        <f aca="false">R14*Cartera!$D$5*Cartera!$H$5*(1+$C$8)^(R$3-1)</f>
        <v>1.09933238004875</v>
      </c>
      <c r="S17" s="38" t="n">
        <f aca="false">S14*Cartera!$D$5*Cartera!$H$5*(1+$C$8)^(S$3-1)</f>
        <v>0.916241946946686</v>
      </c>
      <c r="T17" s="38" t="n">
        <f aca="false">T14*Cartera!$D$5*Cartera!$H$5*(1+$C$8)^(T$3-1)</f>
        <v>0.746355029156816</v>
      </c>
      <c r="U17" s="38" t="n">
        <f aca="false">U14*Cartera!$D$5*Cartera!$H$5*(1+$C$8)^(U$3-1)</f>
        <v>0.592334986704816</v>
      </c>
      <c r="V17" s="38" t="n">
        <f aca="false">V14*Cartera!$D$5*Cartera!$H$5*(1+$C$8)^(V$3-1)</f>
        <v>0.456327232863458</v>
      </c>
      <c r="W17" s="38" t="n">
        <f aca="false">W14*Cartera!$D$5*Cartera!$H$5*(1+$C$8)^(W$3-1)</f>
        <v>0.33977198567154</v>
      </c>
      <c r="X17" s="38" t="n">
        <f aca="false">X14*Cartera!$D$5*Cartera!$H$5*(1+$C$8)^(X$3-1)</f>
        <v>0.243254128686222</v>
      </c>
      <c r="Y17" s="38" t="n">
        <f aca="false">Y14*Cartera!$D$5*Cartera!$H$5*(1+$C$8)^(Y$3-1)</f>
        <v>0.166418937107653</v>
      </c>
      <c r="Z17" s="38" t="n">
        <f aca="false">Z14*Cartera!$D$5*Cartera!$H$5*(1+$C$8)^(Z$3-1)</f>
        <v>0.107979446095353</v>
      </c>
      <c r="AA17" s="38" t="n">
        <f aca="false">AA14*Cartera!$D$5*Cartera!$H$5*(1+$C$8)^(AA$3-1)</f>
        <v>0.0658311400147883</v>
      </c>
      <c r="AB17" s="38" t="n">
        <f aca="false">AB14*Cartera!$D$5*Cartera!$H$5*(1+$C$8)^(AB$3-1)</f>
        <v>0.0372720522411857</v>
      </c>
    </row>
    <row r="18" customFormat="false" ht="15" hidden="false" customHeight="false" outlineLevel="0" collapsed="false">
      <c r="B18" s="3" t="s">
        <v>197</v>
      </c>
      <c r="C18" s="33" t="n">
        <f aca="false">SUM(D18:AB18)+0.5</f>
        <v>10.3269553368215</v>
      </c>
      <c r="D18" s="34" t="n">
        <f aca="false">D14-D15</f>
        <v>0.9604</v>
      </c>
      <c r="E18" s="34" t="n">
        <f aca="false">E14-E15</f>
        <v>0.9181846576</v>
      </c>
      <c r="F18" s="34" t="n">
        <f aca="false">F14-F15</f>
        <v>0.873385363061493</v>
      </c>
      <c r="G18" s="34" t="n">
        <f aca="false">G14-G15</f>
        <v>0.826084394721715</v>
      </c>
      <c r="H18" s="34" t="n">
        <f aca="false">H14-H15</f>
        <v>0.776423845400439</v>
      </c>
      <c r="I18" s="34" t="n">
        <f aca="false">I14-I15</f>
        <v>0.724614399833197</v>
      </c>
      <c r="J18" s="34" t="n">
        <f aca="false">J14-J15</f>
        <v>0.670943358834321</v>
      </c>
      <c r="K18" s="34" t="n">
        <f aca="false">K14-K15</f>
        <v>0.615781118522353</v>
      </c>
      <c r="L18" s="34" t="n">
        <f aca="false">L14-L15</f>
        <v>0.559585121040011</v>
      </c>
      <c r="M18" s="34" t="n">
        <f aca="false">M14-M15</f>
        <v>0.502900120722489</v>
      </c>
      <c r="N18" s="34" t="n">
        <f aca="false">N14-N15</f>
        <v>0.446353492518116</v>
      </c>
      <c r="O18" s="34" t="n">
        <f aca="false">O14-O15</f>
        <v>0.390644296629076</v>
      </c>
      <c r="P18" s="34" t="n">
        <f aca="false">P14-P15</f>
        <v>0.336524965628909</v>
      </c>
      <c r="Q18" s="34" t="n">
        <f aca="false">Q14-Q15</f>
        <v>0.284774864988371</v>
      </c>
      <c r="R18" s="34" t="n">
        <f aca="false">R14-R15</f>
        <v>0.236165657157363</v>
      </c>
      <c r="S18" s="34" t="n">
        <f aca="false">S14-S15</f>
        <v>0.191419410616</v>
      </c>
      <c r="T18" s="34" t="n">
        <f aca="false">T14-T15</f>
        <v>0.151161723405723</v>
      </c>
      <c r="U18" s="34" t="n">
        <f aca="false">U14-U15</f>
        <v>0.115873673416485</v>
      </c>
      <c r="V18" s="34" t="n">
        <f aca="false">V14-V15</f>
        <v>0.0858479431225092</v>
      </c>
      <c r="W18" s="34" t="n">
        <f aca="false">W14-W15</f>
        <v>0.0611556356065571</v>
      </c>
      <c r="X18" s="34" t="n">
        <f aca="false">X14-X15</f>
        <v>0.0416306264631349</v>
      </c>
      <c r="Y18" s="34" t="n">
        <f aca="false">Y14-Y15</f>
        <v>0.0268772750630937</v>
      </c>
      <c r="Z18" s="34" t="n">
        <f aca="false">Z14-Z15</f>
        <v>0.0163045739466188</v>
      </c>
      <c r="AA18" s="34" t="n">
        <f aca="false">AA14-AA15</f>
        <v>0.00918534183292859</v>
      </c>
      <c r="AB18" s="34" t="n">
        <f aca="false">AB14-AB15</f>
        <v>0.00473347669063196</v>
      </c>
    </row>
    <row r="20" customFormat="false" ht="15" hidden="false" customHeight="false" outlineLevel="0" collapsed="false">
      <c r="A20" s="37" t="str">
        <f aca="false">Cartera!A6&amp;" – "&amp;Cartera!B6</f>
        <v>C2 – Edad 80–84, deterioro moderado</v>
      </c>
    </row>
    <row r="21" customFormat="false" ht="15" hidden="false" customHeight="false" outlineLevel="0" collapsed="false">
      <c r="B21" s="3" t="s">
        <v>191</v>
      </c>
      <c r="D21" s="34" t="n">
        <f aca="false">MIN(1,Cartera!$F$6*(1+Cartera!$G$6)^(D$3-1)*$C$10)</f>
        <v>0.0572</v>
      </c>
      <c r="E21" s="34" t="n">
        <f aca="false">MIN(1,Cartera!$F$6*(1+Cartera!$G$6)^(E$3-1)*$C$10)</f>
        <v>0.06292</v>
      </c>
      <c r="F21" s="34" t="n">
        <f aca="false">MIN(1,Cartera!$F$6*(1+Cartera!$G$6)^(F$3-1)*$C$10)</f>
        <v>0.069212</v>
      </c>
      <c r="G21" s="34" t="n">
        <f aca="false">MIN(1,Cartera!$F$6*(1+Cartera!$G$6)^(G$3-1)*$C$10)</f>
        <v>0.0761332</v>
      </c>
      <c r="H21" s="34" t="n">
        <f aca="false">MIN(1,Cartera!$F$6*(1+Cartera!$G$6)^(H$3-1)*$C$10)</f>
        <v>0.08374652</v>
      </c>
      <c r="I21" s="34" t="n">
        <f aca="false">MIN(1,Cartera!$F$6*(1+Cartera!$G$6)^(I$3-1)*$C$10)</f>
        <v>0.092121172</v>
      </c>
      <c r="J21" s="34" t="n">
        <f aca="false">MIN(1,Cartera!$F$6*(1+Cartera!$G$6)^(J$3-1)*$C$10)</f>
        <v>0.1013332892</v>
      </c>
      <c r="K21" s="34" t="n">
        <f aca="false">MIN(1,Cartera!$F$6*(1+Cartera!$G$6)^(K$3-1)*$C$10)</f>
        <v>0.11146661812</v>
      </c>
      <c r="L21" s="34" t="n">
        <f aca="false">MIN(1,Cartera!$F$6*(1+Cartera!$G$6)^(L$3-1)*$C$10)</f>
        <v>0.122613279932</v>
      </c>
      <c r="M21" s="34" t="n">
        <f aca="false">MIN(1,Cartera!$F$6*(1+Cartera!$G$6)^(M$3-1)*$C$10)</f>
        <v>0.1348746079252</v>
      </c>
      <c r="N21" s="34" t="n">
        <f aca="false">MIN(1,Cartera!$F$6*(1+Cartera!$G$6)^(N$3-1)*$C$10)</f>
        <v>0.14836206871772</v>
      </c>
      <c r="O21" s="34" t="n">
        <f aca="false">MIN(1,Cartera!$F$6*(1+Cartera!$G$6)^(O$3-1)*$C$10)</f>
        <v>0.163198275589492</v>
      </c>
      <c r="P21" s="34" t="n">
        <f aca="false">MIN(1,Cartera!$F$6*(1+Cartera!$G$6)^(P$3-1)*$C$10)</f>
        <v>0.179518103148441</v>
      </c>
      <c r="Q21" s="34" t="n">
        <f aca="false">MIN(1,Cartera!$F$6*(1+Cartera!$G$6)^(Q$3-1)*$C$10)</f>
        <v>0.197469913463286</v>
      </c>
      <c r="R21" s="34" t="n">
        <f aca="false">MIN(1,Cartera!$F$6*(1+Cartera!$G$6)^(R$3-1)*$C$10)</f>
        <v>0.217216904809614</v>
      </c>
      <c r="S21" s="34" t="n">
        <f aca="false">MIN(1,Cartera!$F$6*(1+Cartera!$G$6)^(S$3-1)*$C$10)</f>
        <v>0.238938595290576</v>
      </c>
      <c r="T21" s="34" t="n">
        <f aca="false">MIN(1,Cartera!$F$6*(1+Cartera!$G$6)^(T$3-1)*$C$10)</f>
        <v>0.262832454819633</v>
      </c>
      <c r="U21" s="34" t="n">
        <f aca="false">MIN(1,Cartera!$F$6*(1+Cartera!$G$6)^(U$3-1)*$C$10)</f>
        <v>0.289115700301596</v>
      </c>
      <c r="V21" s="34" t="n">
        <f aca="false">MIN(1,Cartera!$F$6*(1+Cartera!$G$6)^(V$3-1)*$C$10)</f>
        <v>0.318027270331756</v>
      </c>
      <c r="W21" s="34" t="n">
        <f aca="false">MIN(1,Cartera!$F$6*(1+Cartera!$G$6)^(W$3-1)*$C$10)</f>
        <v>0.349829997364932</v>
      </c>
      <c r="X21" s="34" t="n">
        <f aca="false">MIN(1,Cartera!$F$6*(1+Cartera!$G$6)^(X$3-1)*$C$10)</f>
        <v>0.384812997101425</v>
      </c>
      <c r="Y21" s="34" t="n">
        <f aca="false">MIN(1,Cartera!$F$6*(1+Cartera!$G$6)^(Y$3-1)*$C$10)</f>
        <v>0.423294296811568</v>
      </c>
      <c r="Z21" s="34" t="n">
        <f aca="false">MIN(1,Cartera!$F$6*(1+Cartera!$G$6)^(Z$3-1)*$C$10)</f>
        <v>0.465623726492724</v>
      </c>
      <c r="AA21" s="34" t="n">
        <f aca="false">MIN(1,Cartera!$F$6*(1+Cartera!$G$6)^(AA$3-1)*$C$10)</f>
        <v>0.512186099141997</v>
      </c>
      <c r="AB21" s="34" t="n">
        <f aca="false">MIN(1,Cartera!$F$6*(1+Cartera!$G$6)^(AB$3-1)*$C$10)</f>
        <v>0.563404709056196</v>
      </c>
    </row>
    <row r="22" customFormat="false" ht="15" hidden="false" customHeight="false" outlineLevel="0" collapsed="false">
      <c r="B22" s="3" t="s">
        <v>192</v>
      </c>
      <c r="C22" s="3" t="s">
        <v>193</v>
      </c>
      <c r="D22" s="34" t="n">
        <f aca="false">1</f>
        <v>1</v>
      </c>
      <c r="E22" s="34" t="n">
        <f aca="false">D26</f>
        <v>0.9428</v>
      </c>
      <c r="F22" s="34" t="n">
        <f aca="false">E26</f>
        <v>0.883479024</v>
      </c>
      <c r="G22" s="34" t="n">
        <f aca="false">F26</f>
        <v>0.822331673790912</v>
      </c>
      <c r="H22" s="34" t="n">
        <f aca="false">G26</f>
        <v>0.759724932003854</v>
      </c>
      <c r="I22" s="34" t="n">
        <f aca="false">H26</f>
        <v>0.696100612791294</v>
      </c>
      <c r="J22" s="34" t="n">
        <f aca="false">I26</f>
        <v>0.631975008511042</v>
      </c>
      <c r="K22" s="34" t="n">
        <f aca="false">J26</f>
        <v>0.56793490220642</v>
      </c>
      <c r="L22" s="34" t="n">
        <f aca="false">K26</f>
        <v>0.504629119345158</v>
      </c>
      <c r="M22" s="34" t="n">
        <f aca="false">L26</f>
        <v>0.442754887873051</v>
      </c>
      <c r="N22" s="34" t="n">
        <f aca="false">M26</f>
        <v>0.383038495964207</v>
      </c>
      <c r="O22" s="34" t="n">
        <f aca="false">N26</f>
        <v>0.326210112304434</v>
      </c>
      <c r="P22" s="34" t="n">
        <f aca="false">O26</f>
        <v>0.272973184496495</v>
      </c>
      <c r="Q22" s="34" t="n">
        <f aca="false">P26</f>
        <v>0.223969556205295</v>
      </c>
      <c r="R22" s="34" t="n">
        <f aca="false">Q26</f>
        <v>0.179742307323025</v>
      </c>
      <c r="S22" s="34" t="n">
        <f aca="false">R26</f>
        <v>0.140699239662979</v>
      </c>
      <c r="T22" s="34" t="n">
        <f aca="false">S26</f>
        <v>0.107080760979455</v>
      </c>
      <c r="U22" s="34" t="n">
        <f aca="false">T26</f>
        <v>0.0789364617072703</v>
      </c>
      <c r="V22" s="34" t="n">
        <f aca="false">U26</f>
        <v>0.0561146913014427</v>
      </c>
      <c r="W22" s="34" t="n">
        <f aca="false">V26</f>
        <v>0.0382686892013357</v>
      </c>
      <c r="X22" s="34" t="n">
        <f aca="false">W26</f>
        <v>0.0248811537588731</v>
      </c>
      <c r="Y22" s="34" t="n">
        <f aca="false">X26</f>
        <v>0.0153065624095797</v>
      </c>
      <c r="Z22" s="34" t="n">
        <f aca="false">Y26</f>
        <v>0.00882738183781431</v>
      </c>
      <c r="AA22" s="34" t="n">
        <f aca="false">Z26</f>
        <v>0.00471714341131702</v>
      </c>
      <c r="AB22" s="34" t="n">
        <f aca="false">AA26</f>
        <v>0.00230108812838118</v>
      </c>
    </row>
    <row r="23" customFormat="false" ht="15" hidden="false" customHeight="false" outlineLevel="0" collapsed="false">
      <c r="B23" s="3" t="s">
        <v>194</v>
      </c>
      <c r="D23" s="34" t="n">
        <f aca="false">D22*D21</f>
        <v>0.0572</v>
      </c>
      <c r="E23" s="34" t="n">
        <f aca="false">E22*E21</f>
        <v>0.059320976</v>
      </c>
      <c r="F23" s="34" t="n">
        <f aca="false">F22*F21</f>
        <v>0.061147350209088</v>
      </c>
      <c r="G23" s="34" t="n">
        <f aca="false">G22*G21</f>
        <v>0.0626067417870583</v>
      </c>
      <c r="H23" s="34" t="n">
        <f aca="false">H22*H21</f>
        <v>0.0636243192125594</v>
      </c>
      <c r="I23" s="34" t="n">
        <f aca="false">I22*I21</f>
        <v>0.0641256042802523</v>
      </c>
      <c r="J23" s="34" t="n">
        <f aca="false">J22*J21</f>
        <v>0.0640401063046219</v>
      </c>
      <c r="K23" s="34" t="n">
        <f aca="false">K22*K21</f>
        <v>0.0633057828612626</v>
      </c>
      <c r="L23" s="34" t="n">
        <f aca="false">L22*L21</f>
        <v>0.0618742314721065</v>
      </c>
      <c r="M23" s="34" t="n">
        <f aca="false">M22*M21</f>
        <v>0.0597163919088437</v>
      </c>
      <c r="N23" s="34" t="n">
        <f aca="false">N22*N21</f>
        <v>0.0568283836597739</v>
      </c>
      <c r="O23" s="34" t="n">
        <f aca="false">O22*O21</f>
        <v>0.0532369278079381</v>
      </c>
      <c r="P23" s="34" t="n">
        <f aca="false">P22*P21</f>
        <v>0.0490036282912004</v>
      </c>
      <c r="Q23" s="34" t="n">
        <f aca="false">Q22*Q21</f>
        <v>0.0442272488822701</v>
      </c>
      <c r="R23" s="34" t="n">
        <f aca="false">R22*R21</f>
        <v>0.0390430676600459</v>
      </c>
      <c r="S23" s="34" t="n">
        <f aca="false">S22*S21</f>
        <v>0.0336184786835242</v>
      </c>
      <c r="T23" s="34" t="n">
        <f aca="false">T22*T21</f>
        <v>0.0281442992721845</v>
      </c>
      <c r="U23" s="34" t="n">
        <f aca="false">U22*U21</f>
        <v>0.0228217704058276</v>
      </c>
      <c r="V23" s="34" t="n">
        <f aca="false">V22*V21</f>
        <v>0.017846002100107</v>
      </c>
      <c r="W23" s="34" t="n">
        <f aca="false">W22*W21</f>
        <v>0.0133875354424627</v>
      </c>
      <c r="X23" s="34" t="n">
        <f aca="false">X22*X21</f>
        <v>0.00957459134929333</v>
      </c>
      <c r="Y23" s="34" t="n">
        <f aca="false">Y22*Y21</f>
        <v>0.00647918057176543</v>
      </c>
      <c r="Z23" s="34" t="n">
        <f aca="false">Z22*Z21</f>
        <v>0.00411023842649729</v>
      </c>
      <c r="AA23" s="34" t="n">
        <f aca="false">AA22*AA21</f>
        <v>0.00241605528293583</v>
      </c>
      <c r="AB23" s="34" t="n">
        <f aca="false">AB22*AB21</f>
        <v>0.00129644388748327</v>
      </c>
    </row>
    <row r="24" customFormat="false" ht="15" hidden="false" customHeight="false" outlineLevel="0" collapsed="false">
      <c r="B24" s="3" t="s">
        <v>195</v>
      </c>
      <c r="D24" s="38" t="n">
        <f aca="false">D23*Cartera!$D$6</f>
        <v>6.864</v>
      </c>
      <c r="E24" s="38" t="n">
        <f aca="false">E23*Cartera!$D$6</f>
        <v>7.11851712</v>
      </c>
      <c r="F24" s="38" t="n">
        <f aca="false">F23*Cartera!$D$6</f>
        <v>7.33768202509056</v>
      </c>
      <c r="G24" s="38" t="n">
        <f aca="false">G23*Cartera!$D$6</f>
        <v>7.512809014447</v>
      </c>
      <c r="H24" s="38" t="n">
        <f aca="false">H23*Cartera!$D$6</f>
        <v>7.63491830550713</v>
      </c>
      <c r="I24" s="38" t="n">
        <f aca="false">I23*Cartera!$D$6</f>
        <v>7.69507251363027</v>
      </c>
      <c r="J24" s="38" t="n">
        <f aca="false">J23*Cartera!$D$6</f>
        <v>7.68481275655463</v>
      </c>
      <c r="K24" s="38" t="n">
        <f aca="false">K23*Cartera!$D$6</f>
        <v>7.59669394335151</v>
      </c>
      <c r="L24" s="38" t="n">
        <f aca="false">L23*Cartera!$D$6</f>
        <v>7.42490777665278</v>
      </c>
      <c r="M24" s="38" t="n">
        <f aca="false">M23*Cartera!$D$6</f>
        <v>7.16596702906124</v>
      </c>
      <c r="N24" s="38" t="n">
        <f aca="false">N23*Cartera!$D$6</f>
        <v>6.81940603917287</v>
      </c>
      <c r="O24" s="38" t="n">
        <f aca="false">O23*Cartera!$D$6</f>
        <v>6.38843133695258</v>
      </c>
      <c r="P24" s="38" t="n">
        <f aca="false">P23*Cartera!$D$6</f>
        <v>5.88043539494404</v>
      </c>
      <c r="Q24" s="38" t="n">
        <f aca="false">Q23*Cartera!$D$6</f>
        <v>5.30726986587241</v>
      </c>
      <c r="R24" s="38" t="n">
        <f aca="false">R23*Cartera!$D$6</f>
        <v>4.68516811920551</v>
      </c>
      <c r="S24" s="38" t="n">
        <f aca="false">S23*Cartera!$D$6</f>
        <v>4.03421744202291</v>
      </c>
      <c r="T24" s="38" t="n">
        <f aca="false">T23*Cartera!$D$6</f>
        <v>3.37731591266214</v>
      </c>
      <c r="U24" s="38" t="n">
        <f aca="false">U23*Cartera!$D$6</f>
        <v>2.73861244869931</v>
      </c>
      <c r="V24" s="38" t="n">
        <f aca="false">V23*Cartera!$D$6</f>
        <v>2.14152025201283</v>
      </c>
      <c r="W24" s="38" t="n">
        <f aca="false">W23*Cartera!$D$6</f>
        <v>1.60650425309552</v>
      </c>
      <c r="X24" s="38" t="n">
        <f aca="false">X23*Cartera!$D$6</f>
        <v>1.1489509619152</v>
      </c>
      <c r="Y24" s="38" t="n">
        <f aca="false">Y23*Cartera!$D$6</f>
        <v>0.777501668611851</v>
      </c>
      <c r="Z24" s="38" t="n">
        <f aca="false">Z23*Cartera!$D$6</f>
        <v>0.493228611179675</v>
      </c>
      <c r="AA24" s="38" t="n">
        <f aca="false">AA23*Cartera!$D$6</f>
        <v>0.2899266339523</v>
      </c>
      <c r="AB24" s="38" t="n">
        <f aca="false">AB23*Cartera!$D$6</f>
        <v>0.155573266497992</v>
      </c>
    </row>
    <row r="25" customFormat="false" ht="15" hidden="false" customHeight="false" outlineLevel="0" collapsed="false">
      <c r="B25" s="3" t="s">
        <v>196</v>
      </c>
      <c r="D25" s="38" t="n">
        <f aca="false">D22*Cartera!$D$6*Cartera!$H$6*(1+$C$8)^(D$3-1)</f>
        <v>6</v>
      </c>
      <c r="E25" s="38" t="n">
        <f aca="false">E22*Cartera!$D$6*Cartera!$H$6*(1+$C$8)^(E$3-1)</f>
        <v>5.685084</v>
      </c>
      <c r="F25" s="38" t="n">
        <f aca="false">F22*Cartera!$D$6*Cartera!$H$6*(1+$C$8)^(F$3-1)</f>
        <v>5.3540154072936</v>
      </c>
      <c r="G25" s="38" t="n">
        <f aca="false">G22*Cartera!$D$6*Cartera!$H$6*(1+$C$8)^(G$3-1)</f>
        <v>5.00837055938861</v>
      </c>
      <c r="H25" s="38" t="n">
        <f aca="false">H22*Cartera!$D$6*Cartera!$H$6*(1+$C$8)^(H$3-1)</f>
        <v>4.65020261832615</v>
      </c>
      <c r="I25" s="38" t="n">
        <f aca="false">I22*Cartera!$D$6*Cartera!$H$6*(1+$C$8)^(I$3-1)</f>
        <v>4.28206815340518</v>
      </c>
      <c r="J25" s="38" t="n">
        <f aca="false">J22*Cartera!$D$6*Cartera!$H$6*(1+$C$8)^(J$3-1)</f>
        <v>3.90703701161227</v>
      </c>
      <c r="K25" s="38" t="n">
        <f aca="false">K22*Cartera!$D$6*Cartera!$H$6*(1+$C$8)^(K$3-1)</f>
        <v>3.52867972070045</v>
      </c>
      <c r="L25" s="38" t="n">
        <f aca="false">L22*Cartera!$D$6*Cartera!$H$6*(1+$C$8)^(L$3-1)</f>
        <v>3.15102647443437</v>
      </c>
      <c r="M25" s="38" t="n">
        <f aca="false">M22*Cartera!$D$6*Cartera!$H$6*(1+$C$8)^(M$3-1)</f>
        <v>2.77849212716767</v>
      </c>
      <c r="N25" s="38" t="n">
        <f aca="false">N22*Cartera!$D$6*Cartera!$H$6*(1+$C$8)^(N$3-1)</f>
        <v>2.41576281134713</v>
      </c>
      <c r="O25" s="38" t="n">
        <f aca="false">O22*Cartera!$D$6*Cartera!$H$6*(1+$C$8)^(O$3-1)</f>
        <v>2.06764201933996</v>
      </c>
      <c r="P25" s="38" t="n">
        <f aca="false">P22*Cartera!$D$6*Cartera!$H$6*(1+$C$8)^(P$3-1)</f>
        <v>1.73885743928354</v>
      </c>
      <c r="Q25" s="38" t="n">
        <f aca="false">Q22*Cartera!$D$6*Cartera!$H$6*(1+$C$8)^(Q$3-1)</f>
        <v>1.43383455538849</v>
      </c>
      <c r="R25" s="38" t="n">
        <f aca="false">R22*Cartera!$D$6*Cartera!$H$6*(1+$C$8)^(R$3-1)</f>
        <v>1.15644884666433</v>
      </c>
      <c r="S25" s="38" t="n">
        <f aca="false">S22*Cartera!$D$6*Cartera!$H$6*(1+$C$8)^(S$3-1)</f>
        <v>0.909774850659365</v>
      </c>
      <c r="T25" s="38" t="n">
        <f aca="false">T22*Cartera!$D$6*Cartera!$H$6*(1+$C$8)^(T$3-1)</f>
        <v>0.695856498441184</v>
      </c>
      <c r="U25" s="38" t="n">
        <f aca="false">U22*Cartera!$D$6*Cartera!$H$6*(1+$C$8)^(U$3-1)</f>
        <v>0.515527640887462</v>
      </c>
      <c r="V25" s="38" t="n">
        <f aca="false">V22*Cartera!$D$6*Cartera!$H$6*(1+$C$8)^(V$3-1)</f>
        <v>0.36831290849729</v>
      </c>
      <c r="W25" s="38" t="n">
        <f aca="false">W22*Cartera!$D$6*Cartera!$H$6*(1+$C$8)^(W$3-1)</f>
        <v>0.252435256377847</v>
      </c>
      <c r="X25" s="38" t="n">
        <f aca="false">X22*Cartera!$D$6*Cartera!$H$6*(1+$C$8)^(X$3-1)</f>
        <v>0.164946460460891</v>
      </c>
      <c r="Y25" s="38" t="n">
        <f aca="false">Y22*Cartera!$D$6*Cartera!$H$6*(1+$C$8)^(Y$3-1)</f>
        <v>0.101980283242912</v>
      </c>
      <c r="Z25" s="38" t="n">
        <f aca="false">Z22*Cartera!$D$6*Cartera!$H$6*(1+$C$8)^(Z$3-1)</f>
        <v>0.0591066740137539</v>
      </c>
      <c r="AA25" s="38" t="n">
        <f aca="false">AA22*Cartera!$D$6*Cartera!$H$6*(1+$C$8)^(AA$3-1)</f>
        <v>0.0317431302198735</v>
      </c>
      <c r="AB25" s="38" t="n">
        <f aca="false">AB22*Cartera!$D$6*Cartera!$H$6*(1+$C$8)^(AB$3-1)</f>
        <v>0.0155621638788901</v>
      </c>
    </row>
    <row r="26" customFormat="false" ht="15" hidden="false" customHeight="false" outlineLevel="0" collapsed="false">
      <c r="B26" s="3" t="s">
        <v>197</v>
      </c>
      <c r="C26" s="33" t="n">
        <f aca="false">SUM(D26:AB26)+0.5</f>
        <v>8.61580163345453</v>
      </c>
      <c r="D26" s="34" t="n">
        <f aca="false">D22-D23</f>
        <v>0.9428</v>
      </c>
      <c r="E26" s="34" t="n">
        <f aca="false">E22-E23</f>
        <v>0.883479024</v>
      </c>
      <c r="F26" s="34" t="n">
        <f aca="false">F22-F23</f>
        <v>0.822331673790912</v>
      </c>
      <c r="G26" s="34" t="n">
        <f aca="false">G22-G23</f>
        <v>0.759724932003854</v>
      </c>
      <c r="H26" s="34" t="n">
        <f aca="false">H22-H23</f>
        <v>0.696100612791294</v>
      </c>
      <c r="I26" s="34" t="n">
        <f aca="false">I22-I23</f>
        <v>0.631975008511042</v>
      </c>
      <c r="J26" s="34" t="n">
        <f aca="false">J22-J23</f>
        <v>0.56793490220642</v>
      </c>
      <c r="K26" s="34" t="n">
        <f aca="false">K22-K23</f>
        <v>0.504629119345158</v>
      </c>
      <c r="L26" s="34" t="n">
        <f aca="false">L22-L23</f>
        <v>0.442754887873051</v>
      </c>
      <c r="M26" s="34" t="n">
        <f aca="false">M22-M23</f>
        <v>0.383038495964207</v>
      </c>
      <c r="N26" s="34" t="n">
        <f aca="false">N22-N23</f>
        <v>0.326210112304434</v>
      </c>
      <c r="O26" s="34" t="n">
        <f aca="false">O22-O23</f>
        <v>0.272973184496495</v>
      </c>
      <c r="P26" s="34" t="n">
        <f aca="false">P22-P23</f>
        <v>0.223969556205295</v>
      </c>
      <c r="Q26" s="34" t="n">
        <f aca="false">Q22-Q23</f>
        <v>0.179742307323025</v>
      </c>
      <c r="R26" s="34" t="n">
        <f aca="false">R22-R23</f>
        <v>0.140699239662979</v>
      </c>
      <c r="S26" s="34" t="n">
        <f aca="false">S22-S23</f>
        <v>0.107080760979455</v>
      </c>
      <c r="T26" s="34" t="n">
        <f aca="false">T22-T23</f>
        <v>0.0789364617072703</v>
      </c>
      <c r="U26" s="34" t="n">
        <f aca="false">U22-U23</f>
        <v>0.0561146913014427</v>
      </c>
      <c r="V26" s="34" t="n">
        <f aca="false">V22-V23</f>
        <v>0.0382686892013357</v>
      </c>
      <c r="W26" s="34" t="n">
        <f aca="false">W22-W23</f>
        <v>0.0248811537588731</v>
      </c>
      <c r="X26" s="34" t="n">
        <f aca="false">X22-X23</f>
        <v>0.0153065624095797</v>
      </c>
      <c r="Y26" s="34" t="n">
        <f aca="false">Y22-Y23</f>
        <v>0.00882738183781431</v>
      </c>
      <c r="Z26" s="34" t="n">
        <f aca="false">Z22-Z23</f>
        <v>0.00471714341131702</v>
      </c>
      <c r="AA26" s="34" t="n">
        <f aca="false">AA22-AA23</f>
        <v>0.00230108812838118</v>
      </c>
      <c r="AB26" s="34" t="n">
        <f aca="false">AB22-AB23</f>
        <v>0.00100464424089792</v>
      </c>
    </row>
    <row r="28" customFormat="false" ht="15" hidden="false" customHeight="false" outlineLevel="0" collapsed="false">
      <c r="A28" s="37" t="str">
        <f aca="false">Cartera!A7&amp;" – "&amp;Cartera!B7</f>
        <v>C3 – Edad 85–89, deterioro significativo</v>
      </c>
    </row>
    <row r="29" customFormat="false" ht="15" hidden="false" customHeight="false" outlineLevel="0" collapsed="false">
      <c r="B29" s="3" t="s">
        <v>191</v>
      </c>
      <c r="D29" s="34" t="n">
        <f aca="false">MIN(1,Cartera!$F$7*(1+Cartera!$G$7)^(D$3-1)*$C$10)</f>
        <v>0.0836</v>
      </c>
      <c r="E29" s="34" t="n">
        <f aca="false">MIN(1,Cartera!$F$7*(1+Cartera!$G$7)^(E$3-1)*$C$10)</f>
        <v>0.091124</v>
      </c>
      <c r="F29" s="34" t="n">
        <f aca="false">MIN(1,Cartera!$F$7*(1+Cartera!$G$7)^(F$3-1)*$C$10)</f>
        <v>0.09932516</v>
      </c>
      <c r="G29" s="34" t="n">
        <f aca="false">MIN(1,Cartera!$F$7*(1+Cartera!$G$7)^(G$3-1)*$C$10)</f>
        <v>0.1082644244</v>
      </c>
      <c r="H29" s="34" t="n">
        <f aca="false">MIN(1,Cartera!$F$7*(1+Cartera!$G$7)^(H$3-1)*$C$10)</f>
        <v>0.118008222596</v>
      </c>
      <c r="I29" s="34" t="n">
        <f aca="false">MIN(1,Cartera!$F$7*(1+Cartera!$G$7)^(I$3-1)*$C$10)</f>
        <v>0.12862896262964</v>
      </c>
      <c r="J29" s="34" t="n">
        <f aca="false">MIN(1,Cartera!$F$7*(1+Cartera!$G$7)^(J$3-1)*$C$10)</f>
        <v>0.140205569266308</v>
      </c>
      <c r="K29" s="34" t="n">
        <f aca="false">MIN(1,Cartera!$F$7*(1+Cartera!$G$7)^(K$3-1)*$C$10)</f>
        <v>0.152824070500275</v>
      </c>
      <c r="L29" s="34" t="n">
        <f aca="false">MIN(1,Cartera!$F$7*(1+Cartera!$G$7)^(L$3-1)*$C$10)</f>
        <v>0.1665782368453</v>
      </c>
      <c r="M29" s="34" t="n">
        <f aca="false">MIN(1,Cartera!$F$7*(1+Cartera!$G$7)^(M$3-1)*$C$10)</f>
        <v>0.181570278161377</v>
      </c>
      <c r="N29" s="34" t="n">
        <f aca="false">MIN(1,Cartera!$F$7*(1+Cartera!$G$7)^(N$3-1)*$C$10)</f>
        <v>0.197911603195901</v>
      </c>
      <c r="O29" s="34" t="n">
        <f aca="false">MIN(1,Cartera!$F$7*(1+Cartera!$G$7)^(O$3-1)*$C$10)</f>
        <v>0.215723647483532</v>
      </c>
      <c r="P29" s="34" t="n">
        <f aca="false">MIN(1,Cartera!$F$7*(1+Cartera!$G$7)^(P$3-1)*$C$10)</f>
        <v>0.23513877575705</v>
      </c>
      <c r="Q29" s="34" t="n">
        <f aca="false">MIN(1,Cartera!$F$7*(1+Cartera!$G$7)^(Q$3-1)*$C$10)</f>
        <v>0.256301265575185</v>
      </c>
      <c r="R29" s="34" t="n">
        <f aca="false">MIN(1,Cartera!$F$7*(1+Cartera!$G$7)^(R$3-1)*$C$10)</f>
        <v>0.279368379476951</v>
      </c>
      <c r="S29" s="34" t="n">
        <f aca="false">MIN(1,Cartera!$F$7*(1+Cartera!$G$7)^(S$3-1)*$C$10)</f>
        <v>0.304511533629877</v>
      </c>
      <c r="T29" s="34" t="n">
        <f aca="false">MIN(1,Cartera!$F$7*(1+Cartera!$G$7)^(T$3-1)*$C$10)</f>
        <v>0.331917571656566</v>
      </c>
      <c r="U29" s="34" t="n">
        <f aca="false">MIN(1,Cartera!$F$7*(1+Cartera!$G$7)^(U$3-1)*$C$10)</f>
        <v>0.361790153105657</v>
      </c>
      <c r="V29" s="34" t="n">
        <f aca="false">MIN(1,Cartera!$F$7*(1+Cartera!$G$7)^(V$3-1)*$C$10)</f>
        <v>0.394351266885166</v>
      </c>
      <c r="W29" s="34" t="n">
        <f aca="false">MIN(1,Cartera!$F$7*(1+Cartera!$G$7)^(W$3-1)*$C$10)</f>
        <v>0.429842880904831</v>
      </c>
      <c r="X29" s="34" t="n">
        <f aca="false">MIN(1,Cartera!$F$7*(1+Cartera!$G$7)^(X$3-1)*$C$10)</f>
        <v>0.468528740186266</v>
      </c>
      <c r="Y29" s="34" t="n">
        <f aca="false">MIN(1,Cartera!$F$7*(1+Cartera!$G$7)^(Y$3-1)*$C$10)</f>
        <v>0.51069632680303</v>
      </c>
      <c r="Z29" s="34" t="n">
        <f aca="false">MIN(1,Cartera!$F$7*(1+Cartera!$G$7)^(Z$3-1)*$C$10)</f>
        <v>0.556658996215303</v>
      </c>
      <c r="AA29" s="34" t="n">
        <f aca="false">MIN(1,Cartera!$F$7*(1+Cartera!$G$7)^(AA$3-1)*$C$10)</f>
        <v>0.60675830587468</v>
      </c>
      <c r="AB29" s="34" t="n">
        <f aca="false">MIN(1,Cartera!$F$7*(1+Cartera!$G$7)^(AB$3-1)*$C$10)</f>
        <v>0.661366553403401</v>
      </c>
    </row>
    <row r="30" customFormat="false" ht="15" hidden="false" customHeight="false" outlineLevel="0" collapsed="false">
      <c r="B30" s="3" t="s">
        <v>192</v>
      </c>
      <c r="C30" s="3" t="s">
        <v>193</v>
      </c>
      <c r="D30" s="34" t="n">
        <f aca="false">1</f>
        <v>1</v>
      </c>
      <c r="E30" s="34" t="n">
        <f aca="false">D34</f>
        <v>0.9164</v>
      </c>
      <c r="F30" s="34" t="n">
        <f aca="false">E34</f>
        <v>0.8328939664</v>
      </c>
      <c r="G30" s="34" t="n">
        <f aca="false">F34</f>
        <v>0.750166639924285</v>
      </c>
      <c r="H30" s="34" t="n">
        <f aca="false">G34</f>
        <v>0.668950280448801</v>
      </c>
      <c r="I30" s="34" t="n">
        <f aca="false">H34</f>
        <v>0.590008646847942</v>
      </c>
      <c r="J30" s="34" t="n">
        <f aca="false">I34</f>
        <v>0.514116446661374</v>
      </c>
      <c r="K30" s="34" t="n">
        <f aca="false">J34</f>
        <v>0.442034457588044</v>
      </c>
      <c r="L30" s="34" t="n">
        <f aca="false">K34</f>
        <v>0.374480952478058</v>
      </c>
      <c r="M30" s="34" t="n">
        <f aca="false">L34</f>
        <v>0.312100575682114</v>
      </c>
      <c r="N30" s="34" t="n">
        <f aca="false">M34</f>
        <v>0.255432387341187</v>
      </c>
      <c r="O30" s="34" t="n">
        <f aca="false">N34</f>
        <v>0.204879354054336</v>
      </c>
      <c r="P30" s="34" t="n">
        <f aca="false">O34</f>
        <v>0.160682032503665</v>
      </c>
      <c r="Q30" s="34" t="n">
        <f aca="false">P34</f>
        <v>0.122899456094599</v>
      </c>
      <c r="R30" s="34" t="n">
        <f aca="false">Q34</f>
        <v>0.0914001699590511</v>
      </c>
      <c r="S30" s="34" t="n">
        <f aca="false">R34</f>
        <v>0.0658658525936731</v>
      </c>
      <c r="T30" s="34" t="n">
        <f aca="false">S34</f>
        <v>0.0458089408065343</v>
      </c>
      <c r="U30" s="34" t="n">
        <f aca="false">T34</f>
        <v>0.03060414841387</v>
      </c>
      <c r="V30" s="34" t="n">
        <f aca="false">U34</f>
        <v>0.0195318688735478</v>
      </c>
      <c r="W30" s="34" t="n">
        <f aca="false">V34</f>
        <v>0.0118294516386293</v>
      </c>
      <c r="X30" s="34" t="n">
        <f aca="false">W34</f>
        <v>0.00674464606675648</v>
      </c>
      <c r="Y30" s="34" t="n">
        <f aca="false">X34</f>
        <v>0.00358458554209681</v>
      </c>
      <c r="Z30" s="34" t="n">
        <f aca="false">Y34</f>
        <v>0.00175395087263672</v>
      </c>
      <c r="AA30" s="34" t="n">
        <f aca="false">Z34</f>
        <v>0.000777598340463811</v>
      </c>
      <c r="AB30" s="34" t="n">
        <f aca="false">AA34</f>
        <v>0.000305784088753026</v>
      </c>
    </row>
    <row r="31" customFormat="false" ht="15" hidden="false" customHeight="false" outlineLevel="0" collapsed="false">
      <c r="B31" s="3" t="s">
        <v>194</v>
      </c>
      <c r="D31" s="34" t="n">
        <f aca="false">D30*D29</f>
        <v>0.0836</v>
      </c>
      <c r="E31" s="34" t="n">
        <f aca="false">E30*E29</f>
        <v>0.0835060336</v>
      </c>
      <c r="F31" s="34" t="n">
        <f aca="false">F30*F29</f>
        <v>0.0827273264757146</v>
      </c>
      <c r="G31" s="34" t="n">
        <f aca="false">G30*G29</f>
        <v>0.0812163594754848</v>
      </c>
      <c r="H31" s="34" t="n">
        <f aca="false">H30*H29</f>
        <v>0.0789416336008587</v>
      </c>
      <c r="I31" s="34" t="n">
        <f aca="false">I30*I29</f>
        <v>0.0758922001865684</v>
      </c>
      <c r="J31" s="34" t="n">
        <f aca="false">J30*J29</f>
        <v>0.0720819890733292</v>
      </c>
      <c r="K31" s="34" t="n">
        <f aca="false">K30*K29</f>
        <v>0.0675535051099863</v>
      </c>
      <c r="L31" s="34" t="n">
        <f aca="false">L30*L29</f>
        <v>0.0623803767959436</v>
      </c>
      <c r="M31" s="34" t="n">
        <f aca="false">M30*M29</f>
        <v>0.0566681883409275</v>
      </c>
      <c r="N31" s="34" t="n">
        <f aca="false">N30*N29</f>
        <v>0.0505530332868507</v>
      </c>
      <c r="O31" s="34" t="n">
        <f aca="false">O30*O29</f>
        <v>0.0441973215506714</v>
      </c>
      <c r="P31" s="34" t="n">
        <f aca="false">P30*P29</f>
        <v>0.0377825764090663</v>
      </c>
      <c r="Q31" s="34" t="n">
        <f aca="false">Q30*Q29</f>
        <v>0.0314992861355475</v>
      </c>
      <c r="R31" s="34" t="n">
        <f aca="false">R30*R29</f>
        <v>0.025534317365378</v>
      </c>
      <c r="S31" s="34" t="n">
        <f aca="false">S30*S29</f>
        <v>0.0200569117871388</v>
      </c>
      <c r="T31" s="34" t="n">
        <f aca="false">T30*T29</f>
        <v>0.0152047923926642</v>
      </c>
      <c r="U31" s="34" t="n">
        <f aca="false">U30*U29</f>
        <v>0.0110722795403223</v>
      </c>
      <c r="V31" s="34" t="n">
        <f aca="false">V30*V29</f>
        <v>0.0077024172349185</v>
      </c>
      <c r="W31" s="34" t="n">
        <f aca="false">W30*W29</f>
        <v>0.00508480557187277</v>
      </c>
      <c r="X31" s="34" t="n">
        <f aca="false">X30*X29</f>
        <v>0.00316006052465967</v>
      </c>
      <c r="Y31" s="34" t="n">
        <f aca="false">Y30*Y29</f>
        <v>0.00183063466946009</v>
      </c>
      <c r="Z31" s="34" t="n">
        <f aca="false">Z30*Z29</f>
        <v>0.000976352532172912</v>
      </c>
      <c r="AA31" s="34" t="n">
        <f aca="false">AA30*AA29</f>
        <v>0.000471814251710784</v>
      </c>
      <c r="AB31" s="34" t="n">
        <f aca="false">AB30*AB29</f>
        <v>0.000202235368864189</v>
      </c>
    </row>
    <row r="32" customFormat="false" ht="15" hidden="false" customHeight="false" outlineLevel="0" collapsed="false">
      <c r="B32" s="3" t="s">
        <v>195</v>
      </c>
      <c r="D32" s="38" t="n">
        <f aca="false">D31*Cartera!$D$7</f>
        <v>8.36</v>
      </c>
      <c r="E32" s="38" t="n">
        <f aca="false">E31*Cartera!$D$7</f>
        <v>8.35060336</v>
      </c>
      <c r="F32" s="38" t="n">
        <f aca="false">F31*Cartera!$D$7</f>
        <v>8.27273264757146</v>
      </c>
      <c r="G32" s="38" t="n">
        <f aca="false">G31*Cartera!$D$7</f>
        <v>8.12163594754848</v>
      </c>
      <c r="H32" s="38" t="n">
        <f aca="false">H31*Cartera!$D$7</f>
        <v>7.89416336008587</v>
      </c>
      <c r="I32" s="38" t="n">
        <f aca="false">I31*Cartera!$D$7</f>
        <v>7.58922001865684</v>
      </c>
      <c r="J32" s="38" t="n">
        <f aca="false">J31*Cartera!$D$7</f>
        <v>7.20819890733292</v>
      </c>
      <c r="K32" s="38" t="n">
        <f aca="false">K31*Cartera!$D$7</f>
        <v>6.75535051099863</v>
      </c>
      <c r="L32" s="38" t="n">
        <f aca="false">L31*Cartera!$D$7</f>
        <v>6.23803767959435</v>
      </c>
      <c r="M32" s="38" t="n">
        <f aca="false">M31*Cartera!$D$7</f>
        <v>5.66681883409275</v>
      </c>
      <c r="N32" s="38" t="n">
        <f aca="false">N31*Cartera!$D$7</f>
        <v>5.05530332868507</v>
      </c>
      <c r="O32" s="38" t="n">
        <f aca="false">O31*Cartera!$D$7</f>
        <v>4.41973215506714</v>
      </c>
      <c r="P32" s="38" t="n">
        <f aca="false">P31*Cartera!$D$7</f>
        <v>3.77825764090663</v>
      </c>
      <c r="Q32" s="38" t="n">
        <f aca="false">Q31*Cartera!$D$7</f>
        <v>3.14992861355475</v>
      </c>
      <c r="R32" s="38" t="n">
        <f aca="false">R31*Cartera!$D$7</f>
        <v>2.5534317365378</v>
      </c>
      <c r="S32" s="38" t="n">
        <f aca="false">S31*Cartera!$D$7</f>
        <v>2.00569117871388</v>
      </c>
      <c r="T32" s="38" t="n">
        <f aca="false">T31*Cartera!$D$7</f>
        <v>1.52047923926642</v>
      </c>
      <c r="U32" s="38" t="n">
        <f aca="false">U31*Cartera!$D$7</f>
        <v>1.10722795403223</v>
      </c>
      <c r="V32" s="38" t="n">
        <f aca="false">V31*Cartera!$D$7</f>
        <v>0.77024172349185</v>
      </c>
      <c r="W32" s="38" t="n">
        <f aca="false">W31*Cartera!$D$7</f>
        <v>0.508480557187277</v>
      </c>
      <c r="X32" s="38" t="n">
        <f aca="false">X31*Cartera!$D$7</f>
        <v>0.316006052465967</v>
      </c>
      <c r="Y32" s="38" t="n">
        <f aca="false">Y31*Cartera!$D$7</f>
        <v>0.183063466946009</v>
      </c>
      <c r="Z32" s="38" t="n">
        <f aca="false">Z31*Cartera!$D$7</f>
        <v>0.0976352532172912</v>
      </c>
      <c r="AA32" s="38" t="n">
        <f aca="false">AA31*Cartera!$D$7</f>
        <v>0.0471814251710784</v>
      </c>
      <c r="AB32" s="38" t="n">
        <f aca="false">AB31*Cartera!$D$7</f>
        <v>0.0202235368864189</v>
      </c>
    </row>
    <row r="33" customFormat="false" ht="15" hidden="false" customHeight="false" outlineLevel="0" collapsed="false">
      <c r="B33" s="3" t="s">
        <v>196</v>
      </c>
      <c r="D33" s="38" t="n">
        <f aca="false">D30*Cartera!$D$7*Cartera!$H$7*(1+$C$8)^(D$3-1)</f>
        <v>6</v>
      </c>
      <c r="E33" s="38" t="n">
        <f aca="false">E30*Cartera!$D$7*Cartera!$H$7*(1+$C$8)^(E$3-1)</f>
        <v>5.525892</v>
      </c>
      <c r="F33" s="38" t="n">
        <f aca="false">F30*Cartera!$D$7*Cartera!$H$7*(1+$C$8)^(F$3-1)</f>
        <v>5.04746237047896</v>
      </c>
      <c r="G33" s="38" t="n">
        <f aca="false">G30*Cartera!$D$7*Cartera!$H$7*(1+$C$8)^(G$3-1)</f>
        <v>4.56885297475184</v>
      </c>
      <c r="H33" s="38" t="n">
        <f aca="false">H30*Cartera!$D$7*Cartera!$H$7*(1+$C$8)^(H$3-1)</f>
        <v>4.09457978095847</v>
      </c>
      <c r="I33" s="38" t="n">
        <f aca="false">I30*Cartera!$D$7*Cartera!$H$7*(1+$C$8)^(I$3-1)</f>
        <v>3.62944262722369</v>
      </c>
      <c r="J33" s="38" t="n">
        <f aca="false">J30*Cartera!$D$7*Cartera!$H$7*(1+$C$8)^(J$3-1)</f>
        <v>3.17840414309591</v>
      </c>
      <c r="K33" s="38" t="n">
        <f aca="false">K30*Cartera!$D$7*Cartera!$H$7*(1+$C$8)^(K$3-1)</f>
        <v>2.74643805175903</v>
      </c>
      <c r="L33" s="38" t="n">
        <f aca="false">L30*Cartera!$D$7*Cartera!$H$7*(1+$C$8)^(L$3-1)</f>
        <v>2.33834979035893</v>
      </c>
      <c r="M33" s="38" t="n">
        <f aca="false">M30*Cartera!$D$7*Cartera!$H$7*(1+$C$8)^(M$3-1)</f>
        <v>1.95857576317913</v>
      </c>
      <c r="N33" s="38" t="n">
        <f aca="false">N30*Cartera!$D$7*Cartera!$H$7*(1+$C$8)^(N$3-1)</f>
        <v>1.61097140014386</v>
      </c>
      <c r="O33" s="38" t="n">
        <f aca="false">O30*Cartera!$D$7*Cartera!$H$7*(1+$C$8)^(O$3-1)</f>
        <v>1.29860217497683</v>
      </c>
      <c r="P33" s="38" t="n">
        <f aca="false">P30*Cartera!$D$7*Cartera!$H$7*(1+$C$8)^(P$3-1)</f>
        <v>1.02355529204659</v>
      </c>
      <c r="Q33" s="38" t="n">
        <f aca="false">Q30*Cartera!$D$7*Cartera!$H$7*(1+$C$8)^(Q$3-1)</f>
        <v>0.786792142523878</v>
      </c>
      <c r="R33" s="38" t="n">
        <f aca="false">R30*Cartera!$D$7*Cartera!$H$7*(1+$C$8)^(R$3-1)</f>
        <v>0.588062002253649</v>
      </c>
      <c r="S33" s="38" t="n">
        <f aca="false">S30*Cartera!$D$7*Cartera!$H$7*(1+$C$8)^(S$3-1)</f>
        <v>0.425894954020336</v>
      </c>
      <c r="T33" s="38" t="n">
        <f aca="false">T30*Cartera!$D$7*Cartera!$H$7*(1+$C$8)^(T$3-1)</f>
        <v>0.297686053548409</v>
      </c>
      <c r="U33" s="38" t="n">
        <f aca="false">U30*Cartera!$D$7*Cartera!$H$7*(1+$C$8)^(U$3-1)</f>
        <v>0.199873215646288</v>
      </c>
      <c r="V33" s="38" t="n">
        <f aca="false">V30*Cartera!$D$7*Cartera!$H$7*(1+$C$8)^(V$3-1)</f>
        <v>0.128198859627677</v>
      </c>
      <c r="W33" s="38" t="n">
        <f aca="false">W30*Cartera!$D$7*Cartera!$H$7*(1+$C$8)^(W$3-1)</f>
        <v>0.0780316943048702</v>
      </c>
      <c r="X33" s="38" t="n">
        <f aca="false">X30*Cartera!$D$7*Cartera!$H$7*(1+$C$8)^(X$3-1)</f>
        <v>0.0447127776530946</v>
      </c>
      <c r="Y33" s="38" t="n">
        <f aca="false">Y30*Cartera!$D$7*Cartera!$H$7*(1+$C$8)^(Y$3-1)</f>
        <v>0.0238823740504069</v>
      </c>
      <c r="Z33" s="38" t="n">
        <f aca="false">Z30*Cartera!$D$7*Cartera!$H$7*(1+$C$8)^(Z$3-1)</f>
        <v>0.0117441620142657</v>
      </c>
      <c r="AA33" s="38" t="n">
        <f aca="false">AA30*Cartera!$D$7*Cartera!$H$7*(1+$C$8)^(AA$3-1)</f>
        <v>0.00523270191889475</v>
      </c>
      <c r="AB33" s="38" t="n">
        <f aca="false">AB30*Cartera!$D$7*Cartera!$H$7*(1+$C$8)^(AB$3-1)</f>
        <v>0.00206800515027618</v>
      </c>
    </row>
    <row r="34" customFormat="false" ht="15" hidden="false" customHeight="false" outlineLevel="0" collapsed="false">
      <c r="B34" s="3" t="s">
        <v>197</v>
      </c>
      <c r="C34" s="33" t="n">
        <f aca="false">SUM(D34:AB34)+0.5</f>
        <v>6.92335574194031</v>
      </c>
      <c r="D34" s="34" t="n">
        <f aca="false">D30-D31</f>
        <v>0.9164</v>
      </c>
      <c r="E34" s="34" t="n">
        <f aca="false">E30-E31</f>
        <v>0.8328939664</v>
      </c>
      <c r="F34" s="34" t="n">
        <f aca="false">F30-F31</f>
        <v>0.750166639924285</v>
      </c>
      <c r="G34" s="34" t="n">
        <f aca="false">G30-G31</f>
        <v>0.668950280448801</v>
      </c>
      <c r="H34" s="34" t="n">
        <f aca="false">H30-H31</f>
        <v>0.590008646847942</v>
      </c>
      <c r="I34" s="34" t="n">
        <f aca="false">I30-I31</f>
        <v>0.514116446661374</v>
      </c>
      <c r="J34" s="34" t="n">
        <f aca="false">J30-J31</f>
        <v>0.442034457588044</v>
      </c>
      <c r="K34" s="34" t="n">
        <f aca="false">K30-K31</f>
        <v>0.374480952478058</v>
      </c>
      <c r="L34" s="34" t="n">
        <f aca="false">L30-L31</f>
        <v>0.312100575682114</v>
      </c>
      <c r="M34" s="34" t="n">
        <f aca="false">M30-M31</f>
        <v>0.255432387341187</v>
      </c>
      <c r="N34" s="34" t="n">
        <f aca="false">N30-N31</f>
        <v>0.204879354054336</v>
      </c>
      <c r="O34" s="34" t="n">
        <f aca="false">O30-O31</f>
        <v>0.160682032503665</v>
      </c>
      <c r="P34" s="34" t="n">
        <f aca="false">P30-P31</f>
        <v>0.122899456094599</v>
      </c>
      <c r="Q34" s="34" t="n">
        <f aca="false">Q30-Q31</f>
        <v>0.0914001699590511</v>
      </c>
      <c r="R34" s="34" t="n">
        <f aca="false">R30-R31</f>
        <v>0.0658658525936731</v>
      </c>
      <c r="S34" s="34" t="n">
        <f aca="false">S30-S31</f>
        <v>0.0458089408065343</v>
      </c>
      <c r="T34" s="34" t="n">
        <f aca="false">T30-T31</f>
        <v>0.03060414841387</v>
      </c>
      <c r="U34" s="34" t="n">
        <f aca="false">U30-U31</f>
        <v>0.0195318688735478</v>
      </c>
      <c r="V34" s="34" t="n">
        <f aca="false">V30-V31</f>
        <v>0.0118294516386293</v>
      </c>
      <c r="W34" s="34" t="n">
        <f aca="false">W30-W31</f>
        <v>0.00674464606675648</v>
      </c>
      <c r="X34" s="34" t="n">
        <f aca="false">X30-X31</f>
        <v>0.00358458554209681</v>
      </c>
      <c r="Y34" s="34" t="n">
        <f aca="false">Y30-Y31</f>
        <v>0.00175395087263672</v>
      </c>
      <c r="Z34" s="34" t="n">
        <f aca="false">Z30-Z31</f>
        <v>0.000777598340463811</v>
      </c>
      <c r="AA34" s="34" t="n">
        <f aca="false">AA30-AA31</f>
        <v>0.000305784088753026</v>
      </c>
      <c r="AB34" s="34" t="n">
        <f aca="false">AB30-AB31</f>
        <v>0.000103548719888838</v>
      </c>
    </row>
    <row r="36" customFormat="false" ht="15" hidden="false" customHeight="false" outlineLevel="0" collapsed="false">
      <c r="A36" s="37" t="str">
        <f aca="false">Cartera!A8&amp;" – "&amp;Cartera!B8</f>
        <v>C4 – Edad 90+, deterioro severo</v>
      </c>
    </row>
    <row r="37" customFormat="false" ht="15" hidden="false" customHeight="false" outlineLevel="0" collapsed="false">
      <c r="B37" s="3" t="s">
        <v>191</v>
      </c>
      <c r="D37" s="34" t="n">
        <f aca="false">MIN(1,Cartera!$F$8*(1+Cartera!$G$8)^(D$3-1)*$C$10)</f>
        <v>0.1232</v>
      </c>
      <c r="E37" s="34" t="n">
        <f aca="false">MIN(1,Cartera!$F$8*(1+Cartera!$G$8)^(E$3-1)*$C$10)</f>
        <v>0.133056</v>
      </c>
      <c r="F37" s="34" t="n">
        <f aca="false">MIN(1,Cartera!$F$8*(1+Cartera!$G$8)^(F$3-1)*$C$10)</f>
        <v>0.14370048</v>
      </c>
      <c r="G37" s="34" t="n">
        <f aca="false">MIN(1,Cartera!$F$8*(1+Cartera!$G$8)^(G$3-1)*$C$10)</f>
        <v>0.1551965184</v>
      </c>
      <c r="H37" s="34" t="n">
        <f aca="false">MIN(1,Cartera!$F$8*(1+Cartera!$G$8)^(H$3-1)*$C$10)</f>
        <v>0.167612239872</v>
      </c>
      <c r="I37" s="34" t="n">
        <f aca="false">MIN(1,Cartera!$F$8*(1+Cartera!$G$8)^(I$3-1)*$C$10)</f>
        <v>0.18102121906176</v>
      </c>
      <c r="J37" s="34" t="n">
        <f aca="false">MIN(1,Cartera!$F$8*(1+Cartera!$G$8)^(J$3-1)*$C$10)</f>
        <v>0.195502916586701</v>
      </c>
      <c r="K37" s="34" t="n">
        <f aca="false">MIN(1,Cartera!$F$8*(1+Cartera!$G$8)^(K$3-1)*$C$10)</f>
        <v>0.211143149913637</v>
      </c>
      <c r="L37" s="34" t="n">
        <f aca="false">MIN(1,Cartera!$F$8*(1+Cartera!$G$8)^(L$3-1)*$C$10)</f>
        <v>0.228034601906728</v>
      </c>
      <c r="M37" s="34" t="n">
        <f aca="false">MIN(1,Cartera!$F$8*(1+Cartera!$G$8)^(M$3-1)*$C$10)</f>
        <v>0.246277370059266</v>
      </c>
      <c r="N37" s="34" t="n">
        <f aca="false">MIN(1,Cartera!$F$8*(1+Cartera!$G$8)^(N$3-1)*$C$10)</f>
        <v>0.265979559664008</v>
      </c>
      <c r="O37" s="34" t="n">
        <f aca="false">MIN(1,Cartera!$F$8*(1+Cartera!$G$8)^(O$3-1)*$C$10)</f>
        <v>0.287257924437128</v>
      </c>
      <c r="P37" s="34" t="n">
        <f aca="false">MIN(1,Cartera!$F$8*(1+Cartera!$G$8)^(P$3-1)*$C$10)</f>
        <v>0.310238558392098</v>
      </c>
      <c r="Q37" s="34" t="n">
        <f aca="false">MIN(1,Cartera!$F$8*(1+Cartera!$G$8)^(Q$3-1)*$C$10)</f>
        <v>0.335057643063466</v>
      </c>
      <c r="R37" s="34" t="n">
        <f aca="false">MIN(1,Cartera!$F$8*(1+Cartera!$G$8)^(R$3-1)*$C$10)</f>
        <v>0.361862254508544</v>
      </c>
      <c r="S37" s="34" t="n">
        <f aca="false">MIN(1,Cartera!$F$8*(1+Cartera!$G$8)^(S$3-1)*$C$10)</f>
        <v>0.390811234869227</v>
      </c>
      <c r="T37" s="34" t="n">
        <f aca="false">MIN(1,Cartera!$F$8*(1+Cartera!$G$8)^(T$3-1)*$C$10)</f>
        <v>0.422076133658765</v>
      </c>
      <c r="U37" s="34" t="n">
        <f aca="false">MIN(1,Cartera!$F$8*(1+Cartera!$G$8)^(U$3-1)*$C$10)</f>
        <v>0.455842224351467</v>
      </c>
      <c r="V37" s="34" t="n">
        <f aca="false">MIN(1,Cartera!$F$8*(1+Cartera!$G$8)^(V$3-1)*$C$10)</f>
        <v>0.492309602299584</v>
      </c>
      <c r="W37" s="34" t="n">
        <f aca="false">MIN(1,Cartera!$F$8*(1+Cartera!$G$8)^(W$3-1)*$C$10)</f>
        <v>0.531694370483551</v>
      </c>
      <c r="X37" s="34" t="n">
        <f aca="false">MIN(1,Cartera!$F$8*(1+Cartera!$G$8)^(X$3-1)*$C$10)</f>
        <v>0.574229920122235</v>
      </c>
      <c r="Y37" s="34" t="n">
        <f aca="false">MIN(1,Cartera!$F$8*(1+Cartera!$G$8)^(Y$3-1)*$C$10)</f>
        <v>0.620168313732014</v>
      </c>
      <c r="Z37" s="34" t="n">
        <f aca="false">MIN(1,Cartera!$F$8*(1+Cartera!$G$8)^(Z$3-1)*$C$10)</f>
        <v>0.669781778830575</v>
      </c>
      <c r="AA37" s="34" t="n">
        <f aca="false">MIN(1,Cartera!$F$8*(1+Cartera!$G$8)^(AA$3-1)*$C$10)</f>
        <v>0.723364321137021</v>
      </c>
      <c r="AB37" s="34" t="n">
        <f aca="false">MIN(1,Cartera!$F$8*(1+Cartera!$G$8)^(AB$3-1)*$C$10)</f>
        <v>0.781233466827983</v>
      </c>
    </row>
    <row r="38" customFormat="false" ht="15" hidden="false" customHeight="false" outlineLevel="0" collapsed="false">
      <c r="B38" s="3" t="s">
        <v>192</v>
      </c>
      <c r="C38" s="3" t="s">
        <v>193</v>
      </c>
      <c r="D38" s="34" t="n">
        <f aca="false">1</f>
        <v>1</v>
      </c>
      <c r="E38" s="34" t="n">
        <f aca="false">D42</f>
        <v>0.8768</v>
      </c>
      <c r="F38" s="34" t="n">
        <f aca="false">E42</f>
        <v>0.7601364992</v>
      </c>
      <c r="G38" s="34" t="n">
        <f aca="false">F42</f>
        <v>0.65090451939944</v>
      </c>
      <c r="H38" s="34" t="n">
        <f aca="false">G42</f>
        <v>0.549886404177822</v>
      </c>
      <c r="I38" s="34" t="n">
        <f aca="false">H42</f>
        <v>0.457718712298417</v>
      </c>
      <c r="J38" s="34" t="n">
        <f aca="false">I42</f>
        <v>0.374861913010779</v>
      </c>
      <c r="K38" s="34" t="n">
        <f aca="false">J42</f>
        <v>0.301575315699901</v>
      </c>
      <c r="L38" s="34" t="n">
        <f aca="false">K42</f>
        <v>0.237899753606825</v>
      </c>
      <c r="M38" s="34" t="n">
        <f aca="false">L42</f>
        <v>0.183650377999384</v>
      </c>
      <c r="N38" s="34" t="n">
        <f aca="false">M42</f>
        <v>0.138421445895305</v>
      </c>
      <c r="O38" s="34" t="n">
        <f aca="false">N42</f>
        <v>0.101604170668017</v>
      </c>
      <c r="P38" s="34" t="n">
        <f aca="false">O42</f>
        <v>0.0724175674877666</v>
      </c>
      <c r="Q38" s="34" t="n">
        <f aca="false">P42</f>
        <v>0.0499508457480994</v>
      </c>
      <c r="R38" s="34" t="n">
        <f aca="false">Q42</f>
        <v>0.0332144331027144</v>
      </c>
      <c r="S38" s="34" t="n">
        <f aca="false">R42</f>
        <v>0.021195383457943</v>
      </c>
      <c r="T38" s="34" t="n">
        <f aca="false">S42</f>
        <v>0.0129119894752175</v>
      </c>
      <c r="U38" s="34" t="n">
        <f aca="false">T42</f>
        <v>0.00746214687967503</v>
      </c>
      <c r="V38" s="34" t="n">
        <f aca="false">U42</f>
        <v>0.00406058524760661</v>
      </c>
      <c r="W38" s="34" t="n">
        <f aca="false">V42</f>
        <v>0.00206152013925384</v>
      </c>
      <c r="X38" s="34" t="n">
        <f aca="false">W42</f>
        <v>0.000965421486574108</v>
      </c>
      <c r="Y38" s="34" t="n">
        <f aca="false">X42</f>
        <v>0.000411047583454369</v>
      </c>
      <c r="Z38" s="34" t="n">
        <f aca="false">Y42</f>
        <v>0.000156128896759854</v>
      </c>
      <c r="AA38" s="34" t="n">
        <f aca="false">Z42</f>
        <v>5.15566065611837E-005</v>
      </c>
      <c r="AB38" s="34" t="n">
        <f aca="false">AA42</f>
        <v>1.42623968559246E-005</v>
      </c>
    </row>
    <row r="39" customFormat="false" ht="15" hidden="false" customHeight="false" outlineLevel="0" collapsed="false">
      <c r="B39" s="3" t="s">
        <v>194</v>
      </c>
      <c r="D39" s="34" t="n">
        <f aca="false">D38*D37</f>
        <v>0.1232</v>
      </c>
      <c r="E39" s="34" t="n">
        <f aca="false">E38*E37</f>
        <v>0.1166635008</v>
      </c>
      <c r="F39" s="34" t="n">
        <f aca="false">F38*F37</f>
        <v>0.10923197980056</v>
      </c>
      <c r="G39" s="34" t="n">
        <f aca="false">G38*G37</f>
        <v>0.101018115221618</v>
      </c>
      <c r="H39" s="34" t="n">
        <f aca="false">H38*H37</f>
        <v>0.0921676918794047</v>
      </c>
      <c r="I39" s="34" t="n">
        <f aca="false">I38*I37</f>
        <v>0.0828567992876386</v>
      </c>
      <c r="J39" s="34" t="n">
        <f aca="false">J38*J37</f>
        <v>0.0732865973108774</v>
      </c>
      <c r="K39" s="34" t="n">
        <f aca="false">K38*K37</f>
        <v>0.0636755620930767</v>
      </c>
      <c r="L39" s="34" t="n">
        <f aca="false">L38*L37</f>
        <v>0.0542493756074409</v>
      </c>
      <c r="M39" s="34" t="n">
        <f aca="false">M38*M37</f>
        <v>0.0452289321040784</v>
      </c>
      <c r="N39" s="34" t="n">
        <f aca="false">N38*N37</f>
        <v>0.0368172752272886</v>
      </c>
      <c r="O39" s="34" t="n">
        <f aca="false">O38*O37</f>
        <v>0.0291866031802502</v>
      </c>
      <c r="P39" s="34" t="n">
        <f aca="false">P38*P37</f>
        <v>0.0224667217396672</v>
      </c>
      <c r="Q39" s="34" t="n">
        <f aca="false">Q38*Q37</f>
        <v>0.016736412645385</v>
      </c>
      <c r="R39" s="34" t="n">
        <f aca="false">R38*R37</f>
        <v>0.0120190496447714</v>
      </c>
      <c r="S39" s="34" t="n">
        <f aca="false">S38*S37</f>
        <v>0.00828339398272549</v>
      </c>
      <c r="T39" s="34" t="n">
        <f aca="false">T38*T37</f>
        <v>0.00544984259554247</v>
      </c>
      <c r="U39" s="34" t="n">
        <f aca="false">U38*U37</f>
        <v>0.00340156163206842</v>
      </c>
      <c r="V39" s="34" t="n">
        <f aca="false">V38*V37</f>
        <v>0.00199906510835277</v>
      </c>
      <c r="W39" s="34" t="n">
        <f aca="false">W38*W37</f>
        <v>0.00109609865267973</v>
      </c>
      <c r="X39" s="34" t="n">
        <f aca="false">X38*X37</f>
        <v>0.000554373903119739</v>
      </c>
      <c r="Y39" s="34" t="n">
        <f aca="false">Y38*Y37</f>
        <v>0.000254918686694515</v>
      </c>
      <c r="Z39" s="34" t="n">
        <f aca="false">Z38*Z37</f>
        <v>0.00010457229019867</v>
      </c>
      <c r="AA39" s="34" t="n">
        <f aca="false">AA38*AA37</f>
        <v>3.72942097052591E-005</v>
      </c>
      <c r="AB39" s="34" t="n">
        <f aca="false">AB38*AB37</f>
        <v>1.11422617410305E-005</v>
      </c>
    </row>
    <row r="40" customFormat="false" ht="15" hidden="false" customHeight="false" outlineLevel="0" collapsed="false">
      <c r="B40" s="3" t="s">
        <v>195</v>
      </c>
      <c r="D40" s="38" t="n">
        <f aca="false">D39*Cartera!$D$8</f>
        <v>9.856</v>
      </c>
      <c r="E40" s="38" t="n">
        <f aca="false">E39*Cartera!$D$8</f>
        <v>9.333080064</v>
      </c>
      <c r="F40" s="38" t="n">
        <f aca="false">F39*Cartera!$D$8</f>
        <v>8.73855838404477</v>
      </c>
      <c r="G40" s="38" t="n">
        <f aca="false">G39*Cartera!$D$8</f>
        <v>8.08144921772948</v>
      </c>
      <c r="H40" s="38" t="n">
        <f aca="false">H39*Cartera!$D$8</f>
        <v>7.37341535035237</v>
      </c>
      <c r="I40" s="38" t="n">
        <f aca="false">I39*Cartera!$D$8</f>
        <v>6.62854394301108</v>
      </c>
      <c r="J40" s="38" t="n">
        <f aca="false">J39*Cartera!$D$8</f>
        <v>5.86292778487019</v>
      </c>
      <c r="K40" s="38" t="n">
        <f aca="false">K39*Cartera!$D$8</f>
        <v>5.09404496744613</v>
      </c>
      <c r="L40" s="38" t="n">
        <f aca="false">L39*Cartera!$D$8</f>
        <v>4.33995004859527</v>
      </c>
      <c r="M40" s="38" t="n">
        <f aca="false">M39*Cartera!$D$8</f>
        <v>3.61831456832627</v>
      </c>
      <c r="N40" s="38" t="n">
        <f aca="false">N39*Cartera!$D$8</f>
        <v>2.94538201818309</v>
      </c>
      <c r="O40" s="38" t="n">
        <f aca="false">O39*Cartera!$D$8</f>
        <v>2.33492825442002</v>
      </c>
      <c r="P40" s="38" t="n">
        <f aca="false">P39*Cartera!$D$8</f>
        <v>1.79733773917338</v>
      </c>
      <c r="Q40" s="38" t="n">
        <f aca="false">Q39*Cartera!$D$8</f>
        <v>1.3389130116308</v>
      </c>
      <c r="R40" s="38" t="n">
        <f aca="false">R39*Cartera!$D$8</f>
        <v>0.961523971581716</v>
      </c>
      <c r="S40" s="38" t="n">
        <f aca="false">S39*Cartera!$D$8</f>
        <v>0.662671518618039</v>
      </c>
      <c r="T40" s="38" t="n">
        <f aca="false">T39*Cartera!$D$8</f>
        <v>0.435987407643398</v>
      </c>
      <c r="U40" s="38" t="n">
        <f aca="false">U39*Cartera!$D$8</f>
        <v>0.272124930565474</v>
      </c>
      <c r="V40" s="38" t="n">
        <f aca="false">V39*Cartera!$D$8</f>
        <v>0.159925208668221</v>
      </c>
      <c r="W40" s="38" t="n">
        <f aca="false">W39*Cartera!$D$8</f>
        <v>0.0876878922143786</v>
      </c>
      <c r="X40" s="38" t="n">
        <f aca="false">X39*Cartera!$D$8</f>
        <v>0.0443499122495791</v>
      </c>
      <c r="Y40" s="38" t="n">
        <f aca="false">Y39*Cartera!$D$8</f>
        <v>0.0203934949355612</v>
      </c>
      <c r="Z40" s="38" t="n">
        <f aca="false">Z39*Cartera!$D$8</f>
        <v>0.0083657832158936</v>
      </c>
      <c r="AA40" s="38" t="n">
        <f aca="false">AA39*Cartera!$D$8</f>
        <v>0.00298353677642073</v>
      </c>
      <c r="AB40" s="38" t="n">
        <f aca="false">AB39*Cartera!$D$8</f>
        <v>0.000891380939282439</v>
      </c>
    </row>
    <row r="41" customFormat="false" ht="15" hidden="false" customHeight="false" outlineLevel="0" collapsed="false">
      <c r="B41" s="3" t="s">
        <v>196</v>
      </c>
      <c r="D41" s="38" t="n">
        <f aca="false">D38*Cartera!$D$8*Cartera!$H$8*(1+$C$8)^(D$3-1)</f>
        <v>5.6</v>
      </c>
      <c r="E41" s="38" t="n">
        <f aca="false">E38*Cartera!$D$8*Cartera!$H$8*(1+$C$8)^(E$3-1)</f>
        <v>4.9346304</v>
      </c>
      <c r="F41" s="38" t="n">
        <f aca="false">F38*Cartera!$D$8*Cartera!$H$8*(1+$C$8)^(F$3-1)</f>
        <v>4.29943845858509</v>
      </c>
      <c r="G41" s="38" t="n">
        <f aca="false">G38*Cartera!$D$8*Cartera!$H$8*(1+$C$8)^(G$3-1)</f>
        <v>3.70001512379773</v>
      </c>
      <c r="H41" s="38" t="n">
        <f aca="false">H38*Cartera!$D$8*Cartera!$H$8*(1+$C$8)^(H$3-1)</f>
        <v>3.14141458684976</v>
      </c>
      <c r="I41" s="38" t="n">
        <f aca="false">I38*Cartera!$D$8*Cartera!$H$8*(1+$C$8)^(I$3-1)</f>
        <v>2.62794942683921</v>
      </c>
      <c r="J41" s="38" t="n">
        <f aca="false">J38*Cartera!$D$8*Cartera!$H$8*(1+$C$8)^(J$3-1)</f>
        <v>2.16299599204992</v>
      </c>
      <c r="K41" s="38" t="n">
        <f aca="false">K38*Cartera!$D$8*Cartera!$H$8*(1+$C$8)^(K$3-1)</f>
        <v>1.74882458687401</v>
      </c>
      <c r="L41" s="38" t="n">
        <f aca="false">L38*Cartera!$D$8*Cartera!$H$8*(1+$C$8)^(L$3-1)</f>
        <v>1.38647011622979</v>
      </c>
      <c r="M41" s="38" t="n">
        <f aca="false">M38*Cartera!$D$8*Cartera!$H$8*(1+$C$8)^(M$3-1)</f>
        <v>1.07565848999585</v>
      </c>
      <c r="N41" s="38" t="n">
        <f aca="false">N38*Cartera!$D$8*Cartera!$H$8*(1+$C$8)^(N$3-1)</f>
        <v>0.814801886727743</v>
      </c>
      <c r="O41" s="38" t="n">
        <f aca="false">O38*Cartera!$D$8*Cartera!$H$8*(1+$C$8)^(O$3-1)</f>
        <v>0.601071645880908</v>
      </c>
      <c r="P41" s="38" t="n">
        <f aca="false">P38*Cartera!$D$8*Cartera!$H$8*(1+$C$8)^(P$3-1)</f>
        <v>0.430551097709385</v>
      </c>
      <c r="Q41" s="38" t="n">
        <f aca="false">Q38*Cartera!$D$8*Cartera!$H$8*(1+$C$8)^(Q$3-1)</f>
        <v>0.2984624335711</v>
      </c>
      <c r="R41" s="38" t="n">
        <f aca="false">R38*Cartera!$D$8*Cartera!$H$8*(1+$C$8)^(R$3-1)</f>
        <v>0.199452615605959</v>
      </c>
      <c r="S41" s="38" t="n">
        <f aca="false">S38*Cartera!$D$8*Cartera!$H$8*(1+$C$8)^(S$3-1)</f>
        <v>0.127914633667437</v>
      </c>
      <c r="T41" s="38" t="n">
        <f aca="false">T38*Cartera!$D$8*Cartera!$H$8*(1+$C$8)^(T$3-1)</f>
        <v>0.0783137785146511</v>
      </c>
      <c r="U41" s="38" t="n">
        <f aca="false">U38*Cartera!$D$8*Cartera!$H$8*(1+$C$8)^(U$3-1)</f>
        <v>0.0454856986753132</v>
      </c>
      <c r="V41" s="38" t="n">
        <f aca="false">V38*Cartera!$D$8*Cartera!$H$8*(1+$C$8)^(V$3-1)</f>
        <v>0.0248751535980527</v>
      </c>
      <c r="W41" s="38" t="n">
        <f aca="false">W38*Cartera!$D$8*Cartera!$H$8*(1+$C$8)^(W$3-1)</f>
        <v>0.0126920210061696</v>
      </c>
      <c r="X41" s="38" t="n">
        <f aca="false">X38*Cartera!$D$8*Cartera!$H$8*(1+$C$8)^(X$3-1)</f>
        <v>0.0059734636115659</v>
      </c>
      <c r="Y41" s="38" t="n">
        <f aca="false">Y38*Cartera!$D$8*Cartera!$H$8*(1+$C$8)^(Y$3-1)</f>
        <v>0.00255603868943855</v>
      </c>
      <c r="Z41" s="38" t="n">
        <f aca="false">Z38*Cartera!$D$8*Cartera!$H$8*(1+$C$8)^(Z$3-1)</f>
        <v>0.000975718808003538</v>
      </c>
      <c r="AA41" s="38" t="n">
        <f aca="false">AA38*Cartera!$D$8*Cartera!$H$8*(1+$C$8)^(AA$3-1)</f>
        <v>0.000323811129786183</v>
      </c>
      <c r="AB41" s="38" t="n">
        <f aca="false">AB38*Cartera!$D$8*Cartera!$H$8*(1+$C$8)^(AB$3-1)</f>
        <v>9.00256002703479E-005</v>
      </c>
    </row>
    <row r="42" customFormat="false" ht="15" hidden="false" customHeight="false" outlineLevel="0" collapsed="false">
      <c r="B42" s="3" t="s">
        <v>197</v>
      </c>
      <c r="C42" s="33" t="n">
        <f aca="false">SUM(D42:AB42)+0.5</f>
        <v>5.33833512059949</v>
      </c>
      <c r="D42" s="34" t="n">
        <f aca="false">D38-D39</f>
        <v>0.8768</v>
      </c>
      <c r="E42" s="34" t="n">
        <f aca="false">E38-E39</f>
        <v>0.7601364992</v>
      </c>
      <c r="F42" s="34" t="n">
        <f aca="false">F38-F39</f>
        <v>0.65090451939944</v>
      </c>
      <c r="G42" s="34" t="n">
        <f aca="false">G38-G39</f>
        <v>0.549886404177822</v>
      </c>
      <c r="H42" s="34" t="n">
        <f aca="false">H38-H39</f>
        <v>0.457718712298417</v>
      </c>
      <c r="I42" s="34" t="n">
        <f aca="false">I38-I39</f>
        <v>0.374861913010779</v>
      </c>
      <c r="J42" s="34" t="n">
        <f aca="false">J38-J39</f>
        <v>0.301575315699901</v>
      </c>
      <c r="K42" s="34" t="n">
        <f aca="false">K38-K39</f>
        <v>0.237899753606825</v>
      </c>
      <c r="L42" s="34" t="n">
        <f aca="false">L38-L39</f>
        <v>0.183650377999384</v>
      </c>
      <c r="M42" s="34" t="n">
        <f aca="false">M38-M39</f>
        <v>0.138421445895305</v>
      </c>
      <c r="N42" s="34" t="n">
        <f aca="false">N38-N39</f>
        <v>0.101604170668017</v>
      </c>
      <c r="O42" s="34" t="n">
        <f aca="false">O38-O39</f>
        <v>0.0724175674877666</v>
      </c>
      <c r="P42" s="34" t="n">
        <f aca="false">P38-P39</f>
        <v>0.0499508457480994</v>
      </c>
      <c r="Q42" s="34" t="n">
        <f aca="false">Q38-Q39</f>
        <v>0.0332144331027144</v>
      </c>
      <c r="R42" s="34" t="n">
        <f aca="false">R38-R39</f>
        <v>0.021195383457943</v>
      </c>
      <c r="S42" s="34" t="n">
        <f aca="false">S38-S39</f>
        <v>0.0129119894752175</v>
      </c>
      <c r="T42" s="34" t="n">
        <f aca="false">T38-T39</f>
        <v>0.00746214687967503</v>
      </c>
      <c r="U42" s="34" t="n">
        <f aca="false">U38-U39</f>
        <v>0.00406058524760661</v>
      </c>
      <c r="V42" s="34" t="n">
        <f aca="false">V38-V39</f>
        <v>0.00206152013925384</v>
      </c>
      <c r="W42" s="34" t="n">
        <f aca="false">W38-W39</f>
        <v>0.000965421486574108</v>
      </c>
      <c r="X42" s="34" t="n">
        <f aca="false">X38-X39</f>
        <v>0.000411047583454369</v>
      </c>
      <c r="Y42" s="34" t="n">
        <f aca="false">Y38-Y39</f>
        <v>0.000156128896759854</v>
      </c>
      <c r="Z42" s="34" t="n">
        <f aca="false">Z38-Z39</f>
        <v>5.15566065611837E-005</v>
      </c>
      <c r="AA42" s="34" t="n">
        <f aca="false">AA38-AA39</f>
        <v>1.42623968559246E-005</v>
      </c>
      <c r="AB42" s="34" t="n">
        <f aca="false">AB38-AB39</f>
        <v>3.12013511489411E-006</v>
      </c>
    </row>
    <row r="44" customFormat="false" ht="15" hidden="false" customHeight="false" outlineLevel="0" collapsed="false">
      <c r="A44" s="37" t="str">
        <f aca="false">Cartera!A9&amp;" – "&amp;Cartera!B9</f>
        <v>C5 – Edad 70–74, enfermedad crónica</v>
      </c>
    </row>
    <row r="45" customFormat="false" ht="15" hidden="false" customHeight="false" outlineLevel="0" collapsed="false">
      <c r="B45" s="3" t="s">
        <v>191</v>
      </c>
      <c r="D45" s="34" t="n">
        <f aca="false">MIN(1,Cartera!$F$9*(1+Cartera!$G$9)^(D$3-1)*$C$10)</f>
        <v>0.044</v>
      </c>
      <c r="E45" s="34" t="n">
        <f aca="false">MIN(1,Cartera!$F$9*(1+Cartera!$G$9)^(E$3-1)*$C$10)</f>
        <v>0.04928</v>
      </c>
      <c r="F45" s="34" t="n">
        <f aca="false">MIN(1,Cartera!$F$9*(1+Cartera!$G$9)^(F$3-1)*$C$10)</f>
        <v>0.0551936</v>
      </c>
      <c r="G45" s="34" t="n">
        <f aca="false">MIN(1,Cartera!$F$9*(1+Cartera!$G$9)^(G$3-1)*$C$10)</f>
        <v>0.061816832</v>
      </c>
      <c r="H45" s="34" t="n">
        <f aca="false">MIN(1,Cartera!$F$9*(1+Cartera!$G$9)^(H$3-1)*$C$10)</f>
        <v>0.06923485184</v>
      </c>
      <c r="I45" s="34" t="n">
        <f aca="false">MIN(1,Cartera!$F$9*(1+Cartera!$G$9)^(I$3-1)*$C$10)</f>
        <v>0.0775430340608</v>
      </c>
      <c r="J45" s="34" t="n">
        <f aca="false">MIN(1,Cartera!$F$9*(1+Cartera!$G$9)^(J$3-1)*$C$10)</f>
        <v>0.0868481981480961</v>
      </c>
      <c r="K45" s="34" t="n">
        <f aca="false">MIN(1,Cartera!$F$9*(1+Cartera!$G$9)^(K$3-1)*$C$10)</f>
        <v>0.0972699819258676</v>
      </c>
      <c r="L45" s="34" t="n">
        <f aca="false">MIN(1,Cartera!$F$9*(1+Cartera!$G$9)^(L$3-1)*$C$10)</f>
        <v>0.108942379756972</v>
      </c>
      <c r="M45" s="34" t="n">
        <f aca="false">MIN(1,Cartera!$F$9*(1+Cartera!$G$9)^(M$3-1)*$C$10)</f>
        <v>0.122015465327808</v>
      </c>
      <c r="N45" s="34" t="n">
        <f aca="false">MIN(1,Cartera!$F$9*(1+Cartera!$G$9)^(N$3-1)*$C$10)</f>
        <v>0.136657321167145</v>
      </c>
      <c r="O45" s="34" t="n">
        <f aca="false">MIN(1,Cartera!$F$9*(1+Cartera!$G$9)^(O$3-1)*$C$10)</f>
        <v>0.153056199707203</v>
      </c>
      <c r="P45" s="34" t="n">
        <f aca="false">MIN(1,Cartera!$F$9*(1+Cartera!$G$9)^(P$3-1)*$C$10)</f>
        <v>0.171422943672067</v>
      </c>
      <c r="Q45" s="34" t="n">
        <f aca="false">MIN(1,Cartera!$F$9*(1+Cartera!$G$9)^(Q$3-1)*$C$10)</f>
        <v>0.191993696912715</v>
      </c>
      <c r="R45" s="34" t="n">
        <f aca="false">MIN(1,Cartera!$F$9*(1+Cartera!$G$9)^(R$3-1)*$C$10)</f>
        <v>0.215032940542241</v>
      </c>
      <c r="S45" s="34" t="n">
        <f aca="false">MIN(1,Cartera!$F$9*(1+Cartera!$G$9)^(S$3-1)*$C$10)</f>
        <v>0.24083689340731</v>
      </c>
      <c r="T45" s="34" t="n">
        <f aca="false">MIN(1,Cartera!$F$9*(1+Cartera!$G$9)^(T$3-1)*$C$10)</f>
        <v>0.269737320616187</v>
      </c>
      <c r="U45" s="34" t="n">
        <f aca="false">MIN(1,Cartera!$F$9*(1+Cartera!$G$9)^(U$3-1)*$C$10)</f>
        <v>0.30210579909013</v>
      </c>
      <c r="V45" s="34" t="n">
        <f aca="false">MIN(1,Cartera!$F$9*(1+Cartera!$G$9)^(V$3-1)*$C$10)</f>
        <v>0.338358494980945</v>
      </c>
      <c r="W45" s="34" t="n">
        <f aca="false">MIN(1,Cartera!$F$9*(1+Cartera!$G$9)^(W$3-1)*$C$10)</f>
        <v>0.378961514378659</v>
      </c>
      <c r="X45" s="34" t="n">
        <f aca="false">MIN(1,Cartera!$F$9*(1+Cartera!$G$9)^(X$3-1)*$C$10)</f>
        <v>0.424436896104098</v>
      </c>
      <c r="Y45" s="34" t="n">
        <f aca="false">MIN(1,Cartera!$F$9*(1+Cartera!$G$9)^(Y$3-1)*$C$10)</f>
        <v>0.47536932363659</v>
      </c>
      <c r="Z45" s="34" t="n">
        <f aca="false">MIN(1,Cartera!$F$9*(1+Cartera!$G$9)^(Z$3-1)*$C$10)</f>
        <v>0.532413642472981</v>
      </c>
      <c r="AA45" s="34" t="n">
        <f aca="false">MIN(1,Cartera!$F$9*(1+Cartera!$G$9)^(AA$3-1)*$C$10)</f>
        <v>0.596303279569738</v>
      </c>
      <c r="AB45" s="34" t="n">
        <f aca="false">MIN(1,Cartera!$F$9*(1+Cartera!$G$9)^(AB$3-1)*$C$10)</f>
        <v>0.667859673118107</v>
      </c>
    </row>
    <row r="46" customFormat="false" ht="15" hidden="false" customHeight="false" outlineLevel="0" collapsed="false">
      <c r="B46" s="3" t="s">
        <v>192</v>
      </c>
      <c r="C46" s="3" t="s">
        <v>193</v>
      </c>
      <c r="D46" s="34" t="n">
        <f aca="false">1</f>
        <v>1</v>
      </c>
      <c r="E46" s="34" t="n">
        <f aca="false">D50</f>
        <v>0.956</v>
      </c>
      <c r="F46" s="34" t="n">
        <f aca="false">E50</f>
        <v>0.90888832</v>
      </c>
      <c r="G46" s="34" t="n">
        <f aca="false">F50</f>
        <v>0.858723501621248</v>
      </c>
      <c r="H46" s="34" t="n">
        <f aca="false">G50</f>
        <v>0.805639935187076</v>
      </c>
      <c r="I46" s="34" t="n">
        <f aca="false">H50</f>
        <v>0.749861573638011</v>
      </c>
      <c r="J46" s="34" t="n">
        <f aca="false">I50</f>
        <v>0.691715032092514</v>
      </c>
      <c r="K46" s="34" t="n">
        <f aca="false">J50</f>
        <v>0.631640827923326</v>
      </c>
      <c r="L46" s="34" t="n">
        <f aca="false">K50</f>
        <v>0.570201136007585</v>
      </c>
      <c r="M46" s="34" t="n">
        <f aca="false">L50</f>
        <v>0.50808206731079</v>
      </c>
      <c r="N46" s="34" t="n">
        <f aca="false">M50</f>
        <v>0.446088197443149</v>
      </c>
      <c r="O46" s="34" t="n">
        <f aca="false">N50</f>
        <v>0.385126979376287</v>
      </c>
      <c r="P46" s="34" t="n">
        <f aca="false">O50</f>
        <v>0.326180907508239</v>
      </c>
      <c r="Q46" s="34" t="n">
        <f aca="false">P50</f>
        <v>0.27026601617355</v>
      </c>
      <c r="R46" s="34" t="n">
        <f aca="false">Q50</f>
        <v>0.218376644578519</v>
      </c>
      <c r="S46" s="34" t="n">
        <f aca="false">R50</f>
        <v>0.171418472549052</v>
      </c>
      <c r="T46" s="34" t="n">
        <f aca="false">S50</f>
        <v>0.130134580147712</v>
      </c>
      <c r="U46" s="34" t="n">
        <f aca="false">T50</f>
        <v>0.0950324271791556</v>
      </c>
      <c r="V46" s="34" t="n">
        <f aca="false">U50</f>
        <v>0.0663225798267223</v>
      </c>
      <c r="W46" s="34" t="n">
        <f aca="false">V50</f>
        <v>0.0438817715332989</v>
      </c>
      <c r="X46" s="34" t="n">
        <f aca="false">W50</f>
        <v>0.0272522689394216</v>
      </c>
      <c r="Y46" s="34" t="n">
        <f aca="false">X50</f>
        <v>0.0156854004989794</v>
      </c>
      <c r="Z46" s="34" t="n">
        <f aca="false">Y50</f>
        <v>0.00822904227281054</v>
      </c>
      <c r="AA46" s="34" t="n">
        <f aca="false">Z50</f>
        <v>0.00384778790227934</v>
      </c>
      <c r="AB46" s="34" t="n">
        <f aca="false">AA50</f>
        <v>0.00155333935706141</v>
      </c>
    </row>
    <row r="47" customFormat="false" ht="15" hidden="false" customHeight="false" outlineLevel="0" collapsed="false">
      <c r="B47" s="3" t="s">
        <v>194</v>
      </c>
      <c r="D47" s="34" t="n">
        <f aca="false">D46*D45</f>
        <v>0.044</v>
      </c>
      <c r="E47" s="34" t="n">
        <f aca="false">E46*E45</f>
        <v>0.04711168</v>
      </c>
      <c r="F47" s="34" t="n">
        <f aca="false">F46*F45</f>
        <v>0.050164818378752</v>
      </c>
      <c r="G47" s="34" t="n">
        <f aca="false">G46*G45</f>
        <v>0.0530835664341724</v>
      </c>
      <c r="H47" s="34" t="n">
        <f aca="false">H46*H45</f>
        <v>0.0557783615490644</v>
      </c>
      <c r="I47" s="34" t="n">
        <f aca="false">I46*I45</f>
        <v>0.0581465415454974</v>
      </c>
      <c r="J47" s="34" t="n">
        <f aca="false">J46*J45</f>
        <v>0.0600742041691873</v>
      </c>
      <c r="K47" s="34" t="n">
        <f aca="false">K46*K45</f>
        <v>0.061439691915742</v>
      </c>
      <c r="L47" s="34" t="n">
        <f aca="false">L46*L45</f>
        <v>0.0621190686967949</v>
      </c>
      <c r="M47" s="34" t="n">
        <f aca="false">M46*M45</f>
        <v>0.0619938698676408</v>
      </c>
      <c r="N47" s="34" t="n">
        <f aca="false">N46*N45</f>
        <v>0.0609612180668613</v>
      </c>
      <c r="O47" s="34" t="n">
        <f aca="false">O46*O45</f>
        <v>0.0589460718680488</v>
      </c>
      <c r="P47" s="34" t="n">
        <f aca="false">P46*P45</f>
        <v>0.0559148913346885</v>
      </c>
      <c r="Q47" s="34" t="n">
        <f aca="false">Q46*Q45</f>
        <v>0.0518893715950316</v>
      </c>
      <c r="R47" s="34" t="n">
        <f aca="false">R46*R45</f>
        <v>0.0469581720294667</v>
      </c>
      <c r="S47" s="34" t="n">
        <f aca="false">S46*S45</f>
        <v>0.0412838924013399</v>
      </c>
      <c r="T47" s="34" t="n">
        <f aca="false">T46*T45</f>
        <v>0.0351021529685563</v>
      </c>
      <c r="U47" s="34" t="n">
        <f aca="false">U46*U45</f>
        <v>0.0287098473524334</v>
      </c>
      <c r="V47" s="34" t="n">
        <f aca="false">V46*V45</f>
        <v>0.0224408082934234</v>
      </c>
      <c r="W47" s="34" t="n">
        <f aca="false">W46*W45</f>
        <v>0.0166295025938773</v>
      </c>
      <c r="X47" s="34" t="n">
        <f aca="false">X46*X45</f>
        <v>0.0115668684404422</v>
      </c>
      <c r="Y47" s="34" t="n">
        <f aca="false">Y46*Y45</f>
        <v>0.00745635822616887</v>
      </c>
      <c r="Z47" s="34" t="n">
        <f aca="false">Z46*Z45</f>
        <v>0.00438125437053119</v>
      </c>
      <c r="AA47" s="34" t="n">
        <f aca="false">AA46*AA45</f>
        <v>0.00229444854521794</v>
      </c>
      <c r="AB47" s="34" t="n">
        <f aca="false">AB46*AB45</f>
        <v>0.00103741271524852</v>
      </c>
    </row>
    <row r="48" customFormat="false" ht="15" hidden="false" customHeight="false" outlineLevel="0" collapsed="false">
      <c r="B48" s="3" t="s">
        <v>195</v>
      </c>
      <c r="D48" s="38" t="n">
        <f aca="false">D47*Cartera!$D$9</f>
        <v>2.64</v>
      </c>
      <c r="E48" s="38" t="n">
        <f aca="false">E47*Cartera!$D$9</f>
        <v>2.8267008</v>
      </c>
      <c r="F48" s="38" t="n">
        <f aca="false">F47*Cartera!$D$9</f>
        <v>3.00988910272512</v>
      </c>
      <c r="G48" s="38" t="n">
        <f aca="false">G47*Cartera!$D$9</f>
        <v>3.18501398605035</v>
      </c>
      <c r="H48" s="38" t="n">
        <f aca="false">H47*Cartera!$D$9</f>
        <v>3.34670169294386</v>
      </c>
      <c r="I48" s="38" t="n">
        <f aca="false">I47*Cartera!$D$9</f>
        <v>3.48879249272984</v>
      </c>
      <c r="J48" s="38" t="n">
        <f aca="false">J47*Cartera!$D$9</f>
        <v>3.60445225015124</v>
      </c>
      <c r="K48" s="38" t="n">
        <f aca="false">K47*Cartera!$D$9</f>
        <v>3.68638151494452</v>
      </c>
      <c r="L48" s="38" t="n">
        <f aca="false">L47*Cartera!$D$9</f>
        <v>3.7271441218077</v>
      </c>
      <c r="M48" s="38" t="n">
        <f aca="false">M47*Cartera!$D$9</f>
        <v>3.71963219205845</v>
      </c>
      <c r="N48" s="38" t="n">
        <f aca="false">N47*Cartera!$D$9</f>
        <v>3.65767308401168</v>
      </c>
      <c r="O48" s="38" t="n">
        <f aca="false">O47*Cartera!$D$9</f>
        <v>3.53676431208293</v>
      </c>
      <c r="P48" s="38" t="n">
        <f aca="false">P47*Cartera!$D$9</f>
        <v>3.35489348008131</v>
      </c>
      <c r="Q48" s="38" t="n">
        <f aca="false">Q47*Cartera!$D$9</f>
        <v>3.11336229570189</v>
      </c>
      <c r="R48" s="38" t="n">
        <f aca="false">R47*Cartera!$D$9</f>
        <v>2.817490321768</v>
      </c>
      <c r="S48" s="38" t="n">
        <f aca="false">S47*Cartera!$D$9</f>
        <v>2.47703354408039</v>
      </c>
      <c r="T48" s="38" t="n">
        <f aca="false">T47*Cartera!$D$9</f>
        <v>2.10612917811338</v>
      </c>
      <c r="U48" s="38" t="n">
        <f aca="false">U47*Cartera!$D$9</f>
        <v>1.722590841146</v>
      </c>
      <c r="V48" s="38" t="n">
        <f aca="false">V47*Cartera!$D$9</f>
        <v>1.3464484976054</v>
      </c>
      <c r="W48" s="38" t="n">
        <f aca="false">W47*Cartera!$D$9</f>
        <v>0.997770155632637</v>
      </c>
      <c r="X48" s="38" t="n">
        <f aca="false">X47*Cartera!$D$9</f>
        <v>0.694012106426534</v>
      </c>
      <c r="Y48" s="38" t="n">
        <f aca="false">Y47*Cartera!$D$9</f>
        <v>0.447381493570132</v>
      </c>
      <c r="Z48" s="38" t="n">
        <f aca="false">Z47*Cartera!$D$9</f>
        <v>0.262875262231872</v>
      </c>
      <c r="AA48" s="38" t="n">
        <f aca="false">AA47*Cartera!$D$9</f>
        <v>0.137666912713076</v>
      </c>
      <c r="AB48" s="38" t="n">
        <f aca="false">AB47*Cartera!$D$9</f>
        <v>0.0622447629149113</v>
      </c>
    </row>
    <row r="49" customFormat="false" ht="15" hidden="false" customHeight="false" outlineLevel="0" collapsed="false">
      <c r="B49" s="3" t="s">
        <v>196</v>
      </c>
      <c r="D49" s="38" t="n">
        <f aca="false">D46*Cartera!$D$9*Cartera!$H$9*(1+$C$8)^(D$3-1)</f>
        <v>2.1</v>
      </c>
      <c r="E49" s="38" t="n">
        <f aca="false">E46*Cartera!$D$9*Cartera!$H$9*(1+$C$8)^(E$3-1)</f>
        <v>2.017638</v>
      </c>
      <c r="F49" s="38" t="n">
        <f aca="false">F46*Cartera!$D$9*Cartera!$H$9*(1+$C$8)^(F$3-1)</f>
        <v>1.9277998433568</v>
      </c>
      <c r="G49" s="38" t="n">
        <f aca="false">G46*Cartera!$D$9*Cartera!$H$9*(1+$C$8)^(G$3-1)</f>
        <v>1.83050461807211</v>
      </c>
      <c r="H49" s="38" t="n">
        <f aca="false">H46*Cartera!$D$9*Cartera!$H$9*(1+$C$8)^(H$3-1)</f>
        <v>1.72593536472963</v>
      </c>
      <c r="I49" s="38" t="n">
        <f aca="false">I46*Cartera!$D$9*Cartera!$H$9*(1+$C$8)^(I$3-1)</f>
        <v>1.6144726878945</v>
      </c>
      <c r="J49" s="38" t="n">
        <f aca="false">J46*Cartera!$D$9*Cartera!$H$9*(1+$C$8)^(J$3-1)</f>
        <v>1.4967279851532</v>
      </c>
      <c r="K49" s="38" t="n">
        <f aca="false">K46*Cartera!$D$9*Cartera!$H$9*(1+$C$8)^(K$3-1)</f>
        <v>1.37357355580744</v>
      </c>
      <c r="L49" s="38" t="n">
        <f aca="false">L46*Cartera!$D$9*Cartera!$H$9*(1+$C$8)^(L$3-1)</f>
        <v>1.2461659112645</v>
      </c>
      <c r="M49" s="38" t="n">
        <f aca="false">M46*Cartera!$D$9*Cartera!$H$9*(1+$C$8)^(M$3-1)</f>
        <v>1.11595765947592</v>
      </c>
      <c r="N49" s="38" t="n">
        <f aca="false">N46*Cartera!$D$9*Cartera!$H$9*(1+$C$8)^(N$3-1)</f>
        <v>0.984692534200681</v>
      </c>
      <c r="O49" s="38" t="n">
        <f aca="false">O46*Cartera!$D$9*Cartera!$H$9*(1+$C$8)^(O$3-1)</f>
        <v>0.854377725755046</v>
      </c>
      <c r="P49" s="38" t="n">
        <f aca="false">P46*Cartera!$D$9*Cartera!$H$9*(1+$C$8)^(P$3-1)</f>
        <v>0.727227967526179</v>
      </c>
      <c r="Q49" s="38" t="n">
        <f aca="false">Q46*Cartera!$D$9*Cartera!$H$9*(1+$C$8)^(Q$3-1)</f>
        <v>0.605577230655247</v>
      </c>
      <c r="R49" s="38" t="n">
        <f aca="false">R46*Cartera!$D$9*Cartera!$H$9*(1+$C$8)^(R$3-1)</f>
        <v>0.49175677047246</v>
      </c>
      <c r="S49" s="38" t="n">
        <f aca="false">S46*Cartera!$D$9*Cartera!$H$9*(1+$C$8)^(S$3-1)</f>
        <v>0.387942930416642</v>
      </c>
      <c r="T49" s="38" t="n">
        <f aca="false">T46*Cartera!$D$9*Cartera!$H$9*(1+$C$8)^(T$3-1)</f>
        <v>0.295984520036949</v>
      </c>
      <c r="U49" s="38" t="n">
        <f aca="false">U46*Cartera!$D$9*Cartera!$H$9*(1+$C$8)^(U$3-1)</f>
        <v>0.217227180901605</v>
      </c>
      <c r="V49" s="38" t="n">
        <f aca="false">V46*Cartera!$D$9*Cartera!$H$9*(1+$C$8)^(V$3-1)</f>
        <v>0.152359597780386</v>
      </c>
      <c r="W49" s="38" t="n">
        <f aca="false">W46*Cartera!$D$9*Cartera!$H$9*(1+$C$8)^(W$3-1)</f>
        <v>0.10131147074741</v>
      </c>
      <c r="X49" s="38" t="n">
        <f aca="false">X46*Cartera!$D$9*Cartera!$H$9*(1+$C$8)^(X$3-1)</f>
        <v>0.0632329139808875</v>
      </c>
      <c r="Y49" s="38" t="n">
        <f aca="false">Y46*Cartera!$D$9*Cartera!$H$9*(1+$C$8)^(Y$3-1)</f>
        <v>0.0365765049004183</v>
      </c>
      <c r="Z49" s="38" t="n">
        <f aca="false">Z46*Cartera!$D$9*Cartera!$H$9*(1+$C$8)^(Z$3-1)</f>
        <v>0.0192851022874406</v>
      </c>
      <c r="AA49" s="38" t="n">
        <f aca="false">AA46*Cartera!$D$9*Cartera!$H$9*(1+$C$8)^(AA$3-1)</f>
        <v>0.00906253798678595</v>
      </c>
      <c r="AB49" s="38" t="n">
        <f aca="false">AB46*Cartera!$D$9*Cartera!$H$9*(1+$C$8)^(AB$3-1)</f>
        <v>0.00367680944836035</v>
      </c>
    </row>
    <row r="50" customFormat="false" ht="15" hidden="false" customHeight="false" outlineLevel="0" collapsed="false">
      <c r="B50" s="3" t="s">
        <v>197</v>
      </c>
      <c r="C50" s="33" t="n">
        <f aca="false">SUM(D50:AB50)+0.5</f>
        <v>9.3906647357086</v>
      </c>
      <c r="D50" s="34" t="n">
        <f aca="false">D46-D47</f>
        <v>0.956</v>
      </c>
      <c r="E50" s="34" t="n">
        <f aca="false">E46-E47</f>
        <v>0.90888832</v>
      </c>
      <c r="F50" s="34" t="n">
        <f aca="false">F46-F47</f>
        <v>0.858723501621248</v>
      </c>
      <c r="G50" s="34" t="n">
        <f aca="false">G46-G47</f>
        <v>0.805639935187076</v>
      </c>
      <c r="H50" s="34" t="n">
        <f aca="false">H46-H47</f>
        <v>0.749861573638011</v>
      </c>
      <c r="I50" s="34" t="n">
        <f aca="false">I46-I47</f>
        <v>0.691715032092514</v>
      </c>
      <c r="J50" s="34" t="n">
        <f aca="false">J46-J47</f>
        <v>0.631640827923326</v>
      </c>
      <c r="K50" s="34" t="n">
        <f aca="false">K46-K47</f>
        <v>0.570201136007585</v>
      </c>
      <c r="L50" s="34" t="n">
        <f aca="false">L46-L47</f>
        <v>0.50808206731079</v>
      </c>
      <c r="M50" s="34" t="n">
        <f aca="false">M46-M47</f>
        <v>0.446088197443149</v>
      </c>
      <c r="N50" s="34" t="n">
        <f aca="false">N46-N47</f>
        <v>0.385126979376287</v>
      </c>
      <c r="O50" s="34" t="n">
        <f aca="false">O46-O47</f>
        <v>0.326180907508239</v>
      </c>
      <c r="P50" s="34" t="n">
        <f aca="false">P46-P47</f>
        <v>0.27026601617355</v>
      </c>
      <c r="Q50" s="34" t="n">
        <f aca="false">Q46-Q47</f>
        <v>0.218376644578519</v>
      </c>
      <c r="R50" s="34" t="n">
        <f aca="false">R46-R47</f>
        <v>0.171418472549052</v>
      </c>
      <c r="S50" s="34" t="n">
        <f aca="false">S46-S47</f>
        <v>0.130134580147712</v>
      </c>
      <c r="T50" s="34" t="n">
        <f aca="false">T46-T47</f>
        <v>0.0950324271791556</v>
      </c>
      <c r="U50" s="34" t="n">
        <f aca="false">U46-U47</f>
        <v>0.0663225798267223</v>
      </c>
      <c r="V50" s="34" t="n">
        <f aca="false">V46-V47</f>
        <v>0.0438817715332989</v>
      </c>
      <c r="W50" s="34" t="n">
        <f aca="false">W46-W47</f>
        <v>0.0272522689394216</v>
      </c>
      <c r="X50" s="34" t="n">
        <f aca="false">X46-X47</f>
        <v>0.0156854004989794</v>
      </c>
      <c r="Y50" s="34" t="n">
        <f aca="false">Y46-Y47</f>
        <v>0.00822904227281054</v>
      </c>
      <c r="Z50" s="34" t="n">
        <f aca="false">Z46-Z47</f>
        <v>0.00384778790227934</v>
      </c>
      <c r="AA50" s="34" t="n">
        <f aca="false">AA46-AA47</f>
        <v>0.00155333935706141</v>
      </c>
      <c r="AB50" s="34" t="n">
        <f aca="false">AB46-AB47</f>
        <v>0.000515926641812886</v>
      </c>
    </row>
    <row r="52" customFormat="false" ht="15" hidden="false" customHeight="false" outlineLevel="0" collapsed="false">
      <c r="A52" s="2" t="s">
        <v>198</v>
      </c>
    </row>
    <row r="53" customFormat="false" ht="15" hidden="false" customHeight="false" outlineLevel="0" collapsed="false">
      <c r="B53" s="3" t="s">
        <v>199</v>
      </c>
      <c r="D53" s="38" t="n">
        <f aca="false">D14*Cartera!$D$5+D22*Cartera!$D$6+D30*Cartera!$D$7+D38*Cartera!$D$8+D46*Cartera!$D$9</f>
        <v>450</v>
      </c>
      <c r="E53" s="38" t="n">
        <f aca="false">E14*Cartera!$D$5+E22*Cartera!$D$6+E30*Cartera!$D$7+E38*Cartera!$D$8+E46*Cartera!$D$9</f>
        <v>418.716</v>
      </c>
      <c r="F53" s="38" t="n">
        <f aca="false">F14*Cartera!$D$5+F22*Cartera!$D$6+F30*Cartera!$D$7+F38*Cartera!$D$8+F46*Cartera!$D$9</f>
        <v>387.28771784</v>
      </c>
      <c r="G53" s="38" t="n">
        <f aca="false">G14*Cartera!$D$5+G22*Cartera!$D$6+G30*Cartera!$D$7+G38*Cartera!$D$8+G46*Cartera!$D$9</f>
        <v>355.896919172102</v>
      </c>
      <c r="H53" s="38" t="n">
        <f aca="false">H14*Cartera!$D$5+H22*Cartera!$D$6+H30*Cartera!$D$7+H38*Cartera!$D$8+H46*Cartera!$D$9</f>
        <v>324.738923855747</v>
      </c>
      <c r="I53" s="38" t="n">
        <f aca="false">I14*Cartera!$D$5+I22*Cartera!$D$6+I30*Cartera!$D$7+I38*Cartera!$D$8+I46*Cartera!$D$9</f>
        <v>294.020275707943</v>
      </c>
      <c r="J53" s="38" t="n">
        <f aca="false">J14*Cartera!$D$5+J22*Cartera!$D$6+J30*Cartera!$D$7+J38*Cartera!$D$8+J46*Cartera!$D$9</f>
        <v>263.955796638863</v>
      </c>
      <c r="K53" s="38" t="n">
        <f aca="false">K14*Cartera!$D$5+K22*Cartera!$D$6+K30*Cartera!$D$7+K38*Cartera!$D$8+K46*Cartera!$D$9</f>
        <v>234.765011250055</v>
      </c>
      <c r="L53" s="38" t="n">
        <f aca="false">L14*Cartera!$D$5+L22*Cartera!$D$6+L30*Cartera!$D$7+L38*Cartera!$D$8+L46*Cartera!$D$9</f>
        <v>206.667938685238</v>
      </c>
      <c r="M53" s="38" t="n">
        <f aca="false">M14*Cartera!$D$5+M22*Cartera!$D$6+M30*Cartera!$D$7+M38*Cartera!$D$8+M46*Cartera!$D$9</f>
        <v>179.880259285177</v>
      </c>
      <c r="N53" s="38" t="n">
        <f aca="false">N14*Cartera!$D$5+N22*Cartera!$D$6+N30*Cartera!$D$7+N38*Cartera!$D$8+N46*Cartera!$D$9</f>
        <v>154.607876633061</v>
      </c>
      <c r="O53" s="38" t="n">
        <f aca="false">O14*Cartera!$D$5+O22*Cartera!$D$6+O30*Cartera!$D$7+O38*Cartera!$D$8+O46*Cartera!$D$9</f>
        <v>131.040915624615</v>
      </c>
      <c r="P53" s="38" t="n">
        <f aca="false">P14*Cartera!$D$5+P22*Cartera!$D$6+P30*Cartera!$D$7+P38*Cartera!$D$8+P46*Cartera!$D$9</f>
        <v>109.347231936078</v>
      </c>
      <c r="Q53" s="38" t="n">
        <f aca="false">Q14*Cartera!$D$5+Q22*Cartera!$D$6+Q30*Cartera!$D$7+Q38*Cartera!$D$8+Q46*Cartera!$D$9</f>
        <v>89.665567890958</v>
      </c>
      <c r="R53" s="38" t="n">
        <f aca="false">R14*Cartera!$D$5+R22*Cartera!$D$6+R30*Cartera!$D$7+R38*Cartera!$D$8+R46*Cartera!$D$9</f>
        <v>72.0985850465497</v>
      </c>
      <c r="S53" s="38" t="n">
        <f aca="false">S14*Cartera!$D$5+S22*Cartera!$D$6+S30*Cartera!$D$7+S38*Cartera!$D$8+S46*Cartera!$D$9</f>
        <v>56.706142192666</v>
      </c>
      <c r="T53" s="38" t="n">
        <f aca="false">T14*Cartera!$D$5+T22*Cartera!$D$6+T30*Cartera!$D$7+T38*Cartera!$D$8+T46*Cartera!$D$9</f>
        <v>43.4993663205081</v>
      </c>
      <c r="U53" s="38" t="n">
        <f aca="false">U14*Cartera!$D$5+U22*Cartera!$D$6+U30*Cartera!$D$7+U38*Cartera!$D$8+U46*Cartera!$D$9</f>
        <v>32.4362627338978</v>
      </c>
      <c r="V53" s="38" t="n">
        <f aca="false">V14*Cartera!$D$5+V22*Cartera!$D$6+V30*Cartera!$D$7+V38*Cartera!$D$8+V46*Cartera!$D$9</f>
        <v>23.4197820604234</v>
      </c>
      <c r="W53" s="38" t="n">
        <f aca="false">W14*Cartera!$D$5+W22*Cartera!$D$6+W30*Cartera!$D$7+W38*Cartera!$D$8+W46*Cartera!$D$9</f>
        <v>16.2993306521873</v>
      </c>
      <c r="X53" s="38" t="n">
        <f aca="false">X14*Cartera!$D$5+X22*Cartera!$D$6+X30*Cartera!$D$7+X38*Cartera!$D$8+X46*Cartera!$D$9</f>
        <v>10.8765801176218</v>
      </c>
      <c r="Y53" s="38" t="n">
        <f aca="false">Y14*Cartera!$D$5+Y22*Cartera!$D$6+Y30*Cartera!$D$7+Y38*Cartera!$D$8+Y46*Cartera!$D$9</f>
        <v>6.9160102616565</v>
      </c>
      <c r="Z53" s="38" t="n">
        <f aca="false">Z14*Cartera!$D$5+Z22*Cartera!$D$6+Z30*Cartera!$D$7+Z38*Cartera!$D$8+Z46*Cartera!$D$9</f>
        <v>4.15986851158925</v>
      </c>
      <c r="AA53" s="38" t="n">
        <f aca="false">AA14*Cartera!$D$5+AA22*Cartera!$D$6+AA30*Cartera!$D$7+AA38*Cartera!$D$8+AA46*Cartera!$D$9</f>
        <v>2.34622050126177</v>
      </c>
      <c r="AB53" s="38" t="n">
        <f aca="false">AB14*Cartera!$D$5+AB22*Cartera!$D$6+AB30*Cartera!$D$7+AB38*Cartera!$D$8+AB46*Cartera!$D$9</f>
        <v>1.22773110241678</v>
      </c>
    </row>
    <row r="54" customFormat="false" ht="15" hidden="false" customHeight="false" outlineLevel="0" collapsed="false">
      <c r="B54" s="3" t="s">
        <v>200</v>
      </c>
      <c r="D54" s="38" t="n">
        <f aca="false">D16+D24+D32+D40+D48</f>
        <v>31.284</v>
      </c>
      <c r="E54" s="38" t="n">
        <f aca="false">E16+E24+E32+E40+E48</f>
        <v>31.42828216</v>
      </c>
      <c r="F54" s="38" t="n">
        <f aca="false">F16+F24+F32+F40+F48</f>
        <v>31.3907986678975</v>
      </c>
      <c r="G54" s="38" t="n">
        <f aca="false">G16+G24+G32+G40+G48</f>
        <v>31.1579953163554</v>
      </c>
      <c r="H54" s="38" t="n">
        <f aca="false">H16+H24+H32+H40+H48</f>
        <v>30.7186481478041</v>
      </c>
      <c r="I54" s="38" t="n">
        <f aca="false">I16+I24+I32+I40+I48</f>
        <v>30.0644790690798</v>
      </c>
      <c r="J54" s="38" t="n">
        <f aca="false">J16+J24+J32+J40+J48</f>
        <v>29.1907853888078</v>
      </c>
      <c r="K54" s="38" t="n">
        <f aca="false">K16+K24+K32+K40+K48</f>
        <v>28.0970725648179</v>
      </c>
      <c r="L54" s="38" t="n">
        <f aca="false">L16+L24+L32+L40+L48</f>
        <v>26.7876794000609</v>
      </c>
      <c r="M54" s="38" t="n">
        <f aca="false">M16+M24+M32+M40+M48</f>
        <v>25.2723826521157</v>
      </c>
      <c r="N54" s="38" t="n">
        <f aca="false">N16+N24+N32+N40+N48</f>
        <v>23.5669610084462</v>
      </c>
      <c r="O54" s="38" t="n">
        <f aca="false">O16+O24+O32+O40+O48</f>
        <v>21.6936836885363</v>
      </c>
      <c r="P54" s="38" t="n">
        <f aca="false">P16+P24+P32+P40+P48</f>
        <v>19.6816640451204</v>
      </c>
      <c r="Q54" s="38" t="n">
        <f aca="false">Q16+Q24+Q32+Q40+Q48</f>
        <v>17.5669828444082</v>
      </c>
      <c r="R54" s="38" t="n">
        <f aca="false">R16+R24+R32+R40+R48</f>
        <v>15.3924428538838</v>
      </c>
      <c r="S54" s="38" t="n">
        <f aca="false">S16+S24+S32+S40+S48</f>
        <v>13.2067758721578</v>
      </c>
      <c r="T54" s="38" t="n">
        <f aca="false">T16+T24+T32+T40+T48</f>
        <v>11.0631035866103</v>
      </c>
      <c r="U54" s="38" t="n">
        <f aca="false">U16+U24+U32+U40+U48</f>
        <v>9.01648067347439</v>
      </c>
      <c r="V54" s="38" t="n">
        <f aca="false">V16+V24+V32+V40+V48</f>
        <v>7.12045140823615</v>
      </c>
      <c r="W54" s="38" t="n">
        <f aca="false">W16+W24+W32+W40+W48</f>
        <v>5.4227505345655</v>
      </c>
      <c r="X54" s="38" t="n">
        <f aca="false">X16+X24+X32+X40+X48</f>
        <v>3.96056985596528</v>
      </c>
      <c r="Y54" s="38" t="n">
        <f aca="false">Y16+Y24+Y32+Y40+Y48</f>
        <v>2.75614175006726</v>
      </c>
      <c r="Z54" s="38" t="n">
        <f aca="false">Z16+Z24+Z32+Z40+Z48</f>
        <v>1.81364801032748</v>
      </c>
      <c r="AA54" s="38" t="n">
        <f aca="false">AA16+AA24+AA32+AA40+AA48</f>
        <v>1.11848939884499</v>
      </c>
      <c r="AB54" s="38" t="n">
        <f aca="false">AB16+AB24+AB32+AB40+AB48</f>
        <v>0.639600810045302</v>
      </c>
    </row>
    <row r="55" customFormat="false" ht="15" hidden="false" customHeight="false" outlineLevel="0" collapsed="false">
      <c r="B55" s="3" t="s">
        <v>201</v>
      </c>
      <c r="D55" s="38" t="n">
        <f aca="false">-D54*$C$7</f>
        <v>-0.62568</v>
      </c>
      <c r="E55" s="38" t="n">
        <f aca="false">-E54*$C$7</f>
        <v>-0.6285656432</v>
      </c>
      <c r="F55" s="38" t="n">
        <f aca="false">-F54*$C$7</f>
        <v>-0.627815973357951</v>
      </c>
      <c r="G55" s="38" t="n">
        <f aca="false">-G54*$C$7</f>
        <v>-0.623159906327107</v>
      </c>
      <c r="H55" s="38" t="n">
        <f aca="false">-H54*$C$7</f>
        <v>-0.614372962956082</v>
      </c>
      <c r="I55" s="38" t="n">
        <f aca="false">-I54*$C$7</f>
        <v>-0.601289581381596</v>
      </c>
      <c r="J55" s="38" t="n">
        <f aca="false">-J54*$C$7</f>
        <v>-0.583815707776155</v>
      </c>
      <c r="K55" s="38" t="n">
        <f aca="false">-K54*$C$7</f>
        <v>-0.561941451296358</v>
      </c>
      <c r="L55" s="38" t="n">
        <f aca="false">-L54*$C$7</f>
        <v>-0.535753588001218</v>
      </c>
      <c r="M55" s="38" t="n">
        <f aca="false">-M54*$C$7</f>
        <v>-0.505447653042315</v>
      </c>
      <c r="N55" s="38" t="n">
        <f aca="false">-N54*$C$7</f>
        <v>-0.471339220168925</v>
      </c>
      <c r="O55" s="38" t="n">
        <f aca="false">-O54*$C$7</f>
        <v>-0.433873673770726</v>
      </c>
      <c r="P55" s="38" t="n">
        <f aca="false">-P54*$C$7</f>
        <v>-0.393633280902408</v>
      </c>
      <c r="Q55" s="38" t="n">
        <f aca="false">-Q54*$C$7</f>
        <v>-0.351339656888165</v>
      </c>
      <c r="R55" s="38" t="n">
        <f aca="false">-R54*$C$7</f>
        <v>-0.307848857077676</v>
      </c>
      <c r="S55" s="38" t="n">
        <f aca="false">-S54*$C$7</f>
        <v>-0.264135517443157</v>
      </c>
      <c r="T55" s="38" t="n">
        <f aca="false">-T54*$C$7</f>
        <v>-0.221262071732206</v>
      </c>
      <c r="U55" s="38" t="n">
        <f aca="false">-U54*$C$7</f>
        <v>-0.180329613469488</v>
      </c>
      <c r="V55" s="38" t="n">
        <f aca="false">-V54*$C$7</f>
        <v>-0.142409028164723</v>
      </c>
      <c r="W55" s="38" t="n">
        <f aca="false">-W54*$C$7</f>
        <v>-0.10845501069131</v>
      </c>
      <c r="X55" s="38" t="n">
        <f aca="false">-X54*$C$7</f>
        <v>-0.0792113971193056</v>
      </c>
      <c r="Y55" s="38" t="n">
        <f aca="false">-Y54*$C$7</f>
        <v>-0.0551228350013451</v>
      </c>
      <c r="Z55" s="38" t="n">
        <f aca="false">-Z54*$C$7</f>
        <v>-0.0362729602065495</v>
      </c>
      <c r="AA55" s="38" t="n">
        <f aca="false">-AA54*$C$7</f>
        <v>-0.0223697879768999</v>
      </c>
      <c r="AB55" s="38" t="n">
        <f aca="false">-AB54*$C$7</f>
        <v>-0.012792016200906</v>
      </c>
    </row>
    <row r="56" customFormat="false" ht="15" hidden="false" customHeight="false" outlineLevel="0" collapsed="false">
      <c r="B56" s="3" t="s">
        <v>202</v>
      </c>
      <c r="D56" s="38" t="n">
        <f aca="false">D54+D55</f>
        <v>30.65832</v>
      </c>
      <c r="E56" s="38" t="n">
        <f aca="false">E54+E55</f>
        <v>30.7997165168</v>
      </c>
      <c r="F56" s="38" t="n">
        <f aca="false">F54+F55</f>
        <v>30.7629826945396</v>
      </c>
      <c r="G56" s="38" t="n">
        <f aca="false">G54+G55</f>
        <v>30.5348354100283</v>
      </c>
      <c r="H56" s="38" t="n">
        <f aca="false">H54+H55</f>
        <v>30.104275184848</v>
      </c>
      <c r="I56" s="38" t="n">
        <f aca="false">I54+I55</f>
        <v>29.4631894876982</v>
      </c>
      <c r="J56" s="38" t="n">
        <f aca="false">J54+J55</f>
        <v>28.6069696810316</v>
      </c>
      <c r="K56" s="38" t="n">
        <f aca="false">K54+K55</f>
        <v>27.5351311135216</v>
      </c>
      <c r="L56" s="38" t="n">
        <f aca="false">L54+L55</f>
        <v>26.2519258120597</v>
      </c>
      <c r="M56" s="38" t="n">
        <f aca="false">M54+M55</f>
        <v>24.7669349990734</v>
      </c>
      <c r="N56" s="38" t="n">
        <f aca="false">N54+N55</f>
        <v>23.0956217882773</v>
      </c>
      <c r="O56" s="38" t="n">
        <f aca="false">O54+O55</f>
        <v>21.2598100147656</v>
      </c>
      <c r="P56" s="38" t="n">
        <f aca="false">P54+P55</f>
        <v>19.288030764218</v>
      </c>
      <c r="Q56" s="38" t="n">
        <f aca="false">Q54+Q55</f>
        <v>17.2156431875201</v>
      </c>
      <c r="R56" s="38" t="n">
        <f aca="false">R54+R55</f>
        <v>15.0845939968061</v>
      </c>
      <c r="S56" s="38" t="n">
        <f aca="false">S54+S55</f>
        <v>12.9426403547147</v>
      </c>
      <c r="T56" s="38" t="n">
        <f aca="false">T54+T55</f>
        <v>10.8418415148781</v>
      </c>
      <c r="U56" s="38" t="n">
        <f aca="false">U54+U55</f>
        <v>8.8361510600049</v>
      </c>
      <c r="V56" s="38" t="n">
        <f aca="false">V54+V55</f>
        <v>6.97804238007143</v>
      </c>
      <c r="W56" s="38" t="n">
        <f aca="false">W54+W55</f>
        <v>5.31429552387419</v>
      </c>
      <c r="X56" s="38" t="n">
        <f aca="false">X54+X55</f>
        <v>3.88135845884597</v>
      </c>
      <c r="Y56" s="38" t="n">
        <f aca="false">Y54+Y55</f>
        <v>2.70101891506591</v>
      </c>
      <c r="Z56" s="38" t="n">
        <f aca="false">Z54+Z55</f>
        <v>1.77737505012093</v>
      </c>
      <c r="AA56" s="38" t="n">
        <f aca="false">AA54+AA55</f>
        <v>1.09611961086809</v>
      </c>
      <c r="AB56" s="38" t="n">
        <f aca="false">AB54+AB55</f>
        <v>0.626808793844396</v>
      </c>
    </row>
    <row r="57" customFormat="false" ht="15" hidden="false" customHeight="false" outlineLevel="0" collapsed="false">
      <c r="B57" s="3" t="s">
        <v>203</v>
      </c>
      <c r="D57" s="38" t="n">
        <f aca="false">-(D17+D25+D33+D41+D49)</f>
        <v>-23.3</v>
      </c>
      <c r="E57" s="38" t="n">
        <f aca="false">-(E17+E25+E33+E41+E49)</f>
        <v>-21.6379716</v>
      </c>
      <c r="F57" s="38" t="n">
        <f aca="false">-(F17+F25+F33+F41+F49)</f>
        <v>-19.9673181313672</v>
      </c>
      <c r="G57" s="38" t="n">
        <f aca="false">-(G17+G25+G33+G41+G49)</f>
        <v>-18.2993295997084</v>
      </c>
      <c r="H57" s="38" t="n">
        <f aca="false">-(H17+H25+H33+H41+H49)</f>
        <v>-16.6459618226659</v>
      </c>
      <c r="I57" s="38" t="n">
        <f aca="false">-(I17+I25+I33+I41+I49)</f>
        <v>-15.0196391690019</v>
      </c>
      <c r="J57" s="38" t="n">
        <f aca="false">-(J17+J25+J33+J41+J49)</f>
        <v>-13.4330201019668</v>
      </c>
      <c r="K57" s="38" t="n">
        <f aca="false">-(K17+K25+K33+K41+K49)</f>
        <v>-11.8987295734593</v>
      </c>
      <c r="L57" s="38" t="n">
        <f aca="false">-(L17+L25+L33+L41+L49)</f>
        <v>-10.4290641835126</v>
      </c>
      <c r="M57" s="38" t="n">
        <f aca="false">-(M17+M25+M33+M41+M49)</f>
        <v>-9.03567763271908</v>
      </c>
      <c r="N57" s="38" t="n">
        <f aca="false">-(N17+N25+N33+N41+N49)</f>
        <v>-7.72925522989785</v>
      </c>
      <c r="O57" s="38" t="n">
        <f aca="false">-(O17+O25+O33+O41+O49)</f>
        <v>-6.51918705582037</v>
      </c>
      <c r="P57" s="38" t="n">
        <f aca="false">-(P17+P25+P33+P41+P49)</f>
        <v>-5.4132499719907</v>
      </c>
      <c r="Q57" s="38" t="n">
        <f aca="false">-(Q17+Q25+Q33+Q41+Q49)</f>
        <v>-4.41730934267139</v>
      </c>
      <c r="R57" s="38" t="n">
        <f aca="false">-(R17+R25+R33+R41+R49)</f>
        <v>-3.53505261504516</v>
      </c>
      <c r="S57" s="38" t="n">
        <f aca="false">-(S17+S25+S33+S41+S49)</f>
        <v>-2.76776931571047</v>
      </c>
      <c r="T57" s="38" t="n">
        <f aca="false">-(T17+T25+T33+T41+T49)</f>
        <v>-2.11419587969801</v>
      </c>
      <c r="U57" s="38" t="n">
        <f aca="false">-(U17+U25+U33+U41+U49)</f>
        <v>-1.57044872281548</v>
      </c>
      <c r="V57" s="38" t="n">
        <f aca="false">-(V17+V25+V33+V41+V49)</f>
        <v>-1.13007375236686</v>
      </c>
      <c r="W57" s="38" t="n">
        <f aca="false">-(W17+W25+W33+W41+W49)</f>
        <v>-0.784242428107837</v>
      </c>
      <c r="X57" s="38" t="n">
        <f aca="false">-(X17+X25+X33+X41+X49)</f>
        <v>-0.52211974439266</v>
      </c>
      <c r="Y57" s="38" t="n">
        <f aca="false">-(Y17+Y25+Y33+Y41+Y49)</f>
        <v>-0.331414137990829</v>
      </c>
      <c r="Z57" s="38" t="n">
        <f aca="false">-(Z17+Z25+Z33+Z41+Z49)</f>
        <v>-0.199091103218817</v>
      </c>
      <c r="AA57" s="38" t="n">
        <f aca="false">-(AA17+AA25+AA33+AA41+AA49)</f>
        <v>-0.112193321270129</v>
      </c>
      <c r="AB57" s="38" t="n">
        <f aca="false">-(AB17+AB25+AB33+AB41+AB49)</f>
        <v>-0.0586690563189826</v>
      </c>
    </row>
    <row r="58" customFormat="false" ht="15" hidden="false" customHeight="false" outlineLevel="0" collapsed="false">
      <c r="B58" s="3" t="s">
        <v>204</v>
      </c>
      <c r="D58" s="38" t="n">
        <f aca="false">-(Supuestos!$C$12+Supuestos!$C$13*D53)</f>
        <v>-0.975</v>
      </c>
      <c r="E58" s="38" t="n">
        <f aca="false">-(Supuestos!$C$12+Supuestos!$C$13*E53)</f>
        <v>-0.959358</v>
      </c>
      <c r="F58" s="38" t="n">
        <f aca="false">-(Supuestos!$C$12+Supuestos!$C$13*F53)</f>
        <v>-0.94364385892</v>
      </c>
      <c r="G58" s="38" t="n">
        <f aca="false">-(Supuestos!$C$12+Supuestos!$C$13*G53)</f>
        <v>-0.927948459586051</v>
      </c>
      <c r="H58" s="38" t="n">
        <f aca="false">-(Supuestos!$C$12+Supuestos!$C$13*H53)</f>
        <v>-0.912369461927874</v>
      </c>
      <c r="I58" s="38" t="n">
        <f aca="false">-(Supuestos!$C$12+Supuestos!$C$13*I53)</f>
        <v>-0.897010137853972</v>
      </c>
      <c r="J58" s="38" t="n">
        <f aca="false">-(Supuestos!$C$12+Supuestos!$C$13*J53)</f>
        <v>-0.881977898319432</v>
      </c>
      <c r="K58" s="38" t="n">
        <f aca="false">-(Supuestos!$C$12+Supuestos!$C$13*K53)</f>
        <v>-0.867382505625028</v>
      </c>
      <c r="L58" s="38" t="n">
        <f aca="false">-(Supuestos!$C$12+Supuestos!$C$13*L53)</f>
        <v>-0.853333969342619</v>
      </c>
      <c r="M58" s="38" t="n">
        <f aca="false">-(Supuestos!$C$12+Supuestos!$C$13*M53)</f>
        <v>-0.839940129642588</v>
      </c>
      <c r="N58" s="38" t="n">
        <f aca="false">-(Supuestos!$C$12+Supuestos!$C$13*N53)</f>
        <v>-0.827303938316531</v>
      </c>
      <c r="O58" s="38" t="n">
        <f aca="false">-(Supuestos!$C$12+Supuestos!$C$13*O53)</f>
        <v>-0.815520457812307</v>
      </c>
      <c r="P58" s="38" t="n">
        <f aca="false">-(Supuestos!$C$12+Supuestos!$C$13*P53)</f>
        <v>-0.804673615968039</v>
      </c>
      <c r="Q58" s="38" t="n">
        <f aca="false">-(Supuestos!$C$12+Supuestos!$C$13*Q53)</f>
        <v>-0.794832783945479</v>
      </c>
      <c r="R58" s="38" t="n">
        <f aca="false">-(Supuestos!$C$12+Supuestos!$C$13*R53)</f>
        <v>-0.786049292523275</v>
      </c>
      <c r="S58" s="38" t="n">
        <f aca="false">-(Supuestos!$C$12+Supuestos!$C$13*S53)</f>
        <v>-0.778353071096333</v>
      </c>
      <c r="T58" s="38" t="n">
        <f aca="false">-(Supuestos!$C$12+Supuestos!$C$13*T53)</f>
        <v>-0.771749683160254</v>
      </c>
      <c r="U58" s="38" t="n">
        <f aca="false">-(Supuestos!$C$12+Supuestos!$C$13*U53)</f>
        <v>-0.766218131366949</v>
      </c>
      <c r="V58" s="38" t="n">
        <f aca="false">-(Supuestos!$C$12+Supuestos!$C$13*V53)</f>
        <v>-0.761709891030212</v>
      </c>
      <c r="W58" s="38" t="n">
        <f aca="false">-(Supuestos!$C$12+Supuestos!$C$13*W53)</f>
        <v>-0.758149665326094</v>
      </c>
      <c r="X58" s="38" t="n">
        <f aca="false">-(Supuestos!$C$12+Supuestos!$C$13*X53)</f>
        <v>-0.755438290058811</v>
      </c>
      <c r="Y58" s="38" t="n">
        <f aca="false">-(Supuestos!$C$12+Supuestos!$C$13*Y53)</f>
        <v>-0.753458005130828</v>
      </c>
      <c r="Z58" s="38" t="n">
        <f aca="false">-(Supuestos!$C$12+Supuestos!$C$13*Z53)</f>
        <v>-0.752079934255795</v>
      </c>
      <c r="AA58" s="38" t="n">
        <f aca="false">-(Supuestos!$C$12+Supuestos!$C$13*AA53)</f>
        <v>-0.751173110250631</v>
      </c>
      <c r="AB58" s="38" t="n">
        <f aca="false">-(Supuestos!$C$12+Supuestos!$C$13*AB53)</f>
        <v>-0.750613865551208</v>
      </c>
    </row>
    <row r="59" customFormat="false" ht="15" hidden="false" customHeight="false" outlineLevel="0" collapsed="false">
      <c r="B59" s="3" t="s">
        <v>205</v>
      </c>
      <c r="D59" s="38" t="n">
        <f aca="false">IF(D$3=Supuestos!$C$15,(D18*Cartera!$D$5+D26*Cartera!$D$6+D34*Cartera!$D$7+D42*Cartera!$D$8+D50*Cartera!$D$9)*Supuestos!$C$14*(1-$C$9),0)</f>
        <v>0</v>
      </c>
      <c r="E59" s="38" t="n">
        <f aca="false">IF(E$3=Supuestos!$C$15,(E18*Cartera!$D$5+E26*Cartera!$D$6+E34*Cartera!$D$7+E42*Cartera!$D$8+E50*Cartera!$D$9)*Supuestos!$C$14*(1-$C$9),0)</f>
        <v>0</v>
      </c>
      <c r="F59" s="38" t="n">
        <f aca="false">IF(F$3=Supuestos!$C$15,(F18*Cartera!$D$5+F26*Cartera!$D$6+F34*Cartera!$D$7+F42*Cartera!$D$8+F50*Cartera!$D$9)*Supuestos!$C$14*(1-$C$9),0)</f>
        <v>0</v>
      </c>
      <c r="G59" s="38" t="n">
        <f aca="false">IF(G$3=Supuestos!$C$15,(G18*Cartera!$D$5+G26*Cartera!$D$6+G34*Cartera!$D$7+G42*Cartera!$D$8+G50*Cartera!$D$9)*Supuestos!$C$14*(1-$C$9),0)</f>
        <v>0</v>
      </c>
      <c r="H59" s="38" t="n">
        <f aca="false">IF(H$3=Supuestos!$C$15,(H18*Cartera!$D$5+H26*Cartera!$D$6+H34*Cartera!$D$7+H42*Cartera!$D$8+H50*Cartera!$D$9)*Supuestos!$C$14*(1-$C$9),0)</f>
        <v>0</v>
      </c>
      <c r="I59" s="38" t="n">
        <f aca="false">IF(I$3=Supuestos!$C$15,(I18*Cartera!$D$5+I26*Cartera!$D$6+I34*Cartera!$D$7+I42*Cartera!$D$8+I50*Cartera!$D$9)*Supuestos!$C$14*(1-$C$9),0)</f>
        <v>0</v>
      </c>
      <c r="J59" s="38" t="n">
        <f aca="false">IF(J$3=Supuestos!$C$15,(J18*Cartera!$D$5+J26*Cartera!$D$6+J34*Cartera!$D$7+J42*Cartera!$D$8+J50*Cartera!$D$9)*Supuestos!$C$14*(1-$C$9),0)</f>
        <v>0</v>
      </c>
      <c r="K59" s="38" t="n">
        <f aca="false">IF(K$3=Supuestos!$C$15,(K18*Cartera!$D$5+K26*Cartera!$D$6+K34*Cartera!$D$7+K42*Cartera!$D$8+K50*Cartera!$D$9)*Supuestos!$C$14*(1-$C$9),0)</f>
        <v>0</v>
      </c>
      <c r="L59" s="38" t="n">
        <f aca="false">IF(L$3=Supuestos!$C$15,(L18*Cartera!$D$5+L26*Cartera!$D$6+L34*Cartera!$D$7+L42*Cartera!$D$8+L50*Cartera!$D$9)*Supuestos!$C$14*(1-$C$9),0)</f>
        <v>0</v>
      </c>
      <c r="M59" s="38" t="n">
        <f aca="false">IF(M$3=Supuestos!$C$15,(M18*Cartera!$D$5+M26*Cartera!$D$6+M34*Cartera!$D$7+M42*Cartera!$D$8+M50*Cartera!$D$9)*Supuestos!$C$14*(1-$C$9),0)</f>
        <v>0</v>
      </c>
      <c r="N59" s="38" t="n">
        <f aca="false">IF(N$3=Supuestos!$C$15,(N18*Cartera!$D$5+N26*Cartera!$D$6+N34*Cartera!$D$7+N42*Cartera!$D$8+N50*Cartera!$D$9)*Supuestos!$C$14*(1-$C$9),0)</f>
        <v>0</v>
      </c>
      <c r="O59" s="38" t="n">
        <f aca="false">IF(O$3=Supuestos!$C$15,(O18*Cartera!$D$5+O26*Cartera!$D$6+O34*Cartera!$D$7+O42*Cartera!$D$8+O50*Cartera!$D$9)*Supuestos!$C$14*(1-$C$9),0)</f>
        <v>0</v>
      </c>
      <c r="P59" s="38" t="n">
        <f aca="false">IF(P$3=Supuestos!$C$15,(P18*Cartera!$D$5+P26*Cartera!$D$6+P34*Cartera!$D$7+P42*Cartera!$D$8+P50*Cartera!$D$9)*Supuestos!$C$14*(1-$C$9),0)</f>
        <v>0</v>
      </c>
      <c r="Q59" s="38" t="n">
        <f aca="false">IF(Q$3=Supuestos!$C$15,(Q18*Cartera!$D$5+Q26*Cartera!$D$6+Q34*Cartera!$D$7+Q42*Cartera!$D$8+Q50*Cartera!$D$9)*Supuestos!$C$14*(1-$C$9),0)</f>
        <v>0</v>
      </c>
      <c r="R59" s="38" t="n">
        <f aca="false">IF(R$3=Supuestos!$C$15,(R18*Cartera!$D$5+R26*Cartera!$D$6+R34*Cartera!$D$7+R42*Cartera!$D$8+R50*Cartera!$D$9)*Supuestos!$C$14*(1-$C$9),0)</f>
        <v>0</v>
      </c>
      <c r="S59" s="38" t="n">
        <f aca="false">IF(S$3=Supuestos!$C$15,(S18*Cartera!$D$5+S26*Cartera!$D$6+S34*Cartera!$D$7+S42*Cartera!$D$8+S50*Cartera!$D$9)*Supuestos!$C$14*(1-$C$9),0)</f>
        <v>0</v>
      </c>
      <c r="T59" s="38" t="n">
        <f aca="false">IF(T$3=Supuestos!$C$15,(T18*Cartera!$D$5+T26*Cartera!$D$6+T34*Cartera!$D$7+T42*Cartera!$D$8+T50*Cartera!$D$9)*Supuestos!$C$14*(1-$C$9),0)</f>
        <v>0</v>
      </c>
      <c r="U59" s="38" t="n">
        <f aca="false">IF(U$3=Supuestos!$C$15,(U18*Cartera!$D$5+U26*Cartera!$D$6+U34*Cartera!$D$7+U42*Cartera!$D$8+U50*Cartera!$D$9)*Supuestos!$C$14*(1-$C$9),0)</f>
        <v>0</v>
      </c>
      <c r="V59" s="38" t="n">
        <f aca="false">IF(V$3=Supuestos!$C$15,(V18*Cartera!$D$5+V26*Cartera!$D$6+V34*Cartera!$D$7+V42*Cartera!$D$8+V50*Cartera!$D$9)*Supuestos!$C$14*(1-$C$9),0)</f>
        <v>0</v>
      </c>
      <c r="W59" s="38" t="n">
        <f aca="false">IF(W$3=Supuestos!$C$15,(W18*Cartera!$D$5+W26*Cartera!$D$6+W34*Cartera!$D$7+W42*Cartera!$D$8+W50*Cartera!$D$9)*Supuestos!$C$14*(1-$C$9),0)</f>
        <v>0</v>
      </c>
      <c r="X59" s="38" t="n">
        <f aca="false">IF(X$3=Supuestos!$C$15,(X18*Cartera!$D$5+X26*Cartera!$D$6+X34*Cartera!$D$7+X42*Cartera!$D$8+X50*Cartera!$D$9)*Supuestos!$C$14*(1-$C$9),0)</f>
        <v>0</v>
      </c>
      <c r="Y59" s="38" t="n">
        <f aca="false">IF(Y$3=Supuestos!$C$15,(Y18*Cartera!$D$5+Y26*Cartera!$D$6+Y34*Cartera!$D$7+Y42*Cartera!$D$8+Y50*Cartera!$D$9)*Supuestos!$C$14*(1-$C$9),0)</f>
        <v>0</v>
      </c>
      <c r="Z59" s="38" t="n">
        <f aca="false">IF(Z$3=Supuestos!$C$15,(Z18*Cartera!$D$5+Z26*Cartera!$D$6+Z34*Cartera!$D$7+Z42*Cartera!$D$8+Z50*Cartera!$D$9)*Supuestos!$C$14*(1-$C$9),0)</f>
        <v>0</v>
      </c>
      <c r="AA59" s="38" t="n">
        <f aca="false">IF(AA$3=Supuestos!$C$15,(AA18*Cartera!$D$5+AA26*Cartera!$D$6+AA34*Cartera!$D$7+AA42*Cartera!$D$8+AA50*Cartera!$D$9)*Supuestos!$C$14*(1-$C$9),0)</f>
        <v>0</v>
      </c>
      <c r="AB59" s="38" t="n">
        <f aca="false">IF(AB$3=Supuestos!$C$15,(AB18*Cartera!$D$5+AB26*Cartera!$D$6+AB34*Cartera!$D$7+AB42*Cartera!$D$8+AB50*Cartera!$D$9)*Supuestos!$C$14*(1-$C$9),0)</f>
        <v>0.0941008467794359</v>
      </c>
    </row>
    <row r="60" customFormat="false" ht="15" hidden="false" customHeight="false" outlineLevel="0" collapsed="false">
      <c r="B60" s="2" t="s">
        <v>206</v>
      </c>
      <c r="D60" s="38" t="n">
        <f aca="false">D56+D57+D58+D59</f>
        <v>6.38332</v>
      </c>
      <c r="E60" s="38" t="n">
        <f aca="false">E56+E57+E58+E59</f>
        <v>8.2023869168</v>
      </c>
      <c r="F60" s="38" t="n">
        <f aca="false">F56+F57+F58+F59</f>
        <v>9.85202070425235</v>
      </c>
      <c r="G60" s="38" t="n">
        <f aca="false">G56+G57+G58+G59</f>
        <v>11.3075573507338</v>
      </c>
      <c r="H60" s="38" t="n">
        <f aca="false">H56+H57+H58+H59</f>
        <v>12.5459439002542</v>
      </c>
      <c r="I60" s="38" t="n">
        <f aca="false">I56+I57+I58+I59</f>
        <v>13.5465401808424</v>
      </c>
      <c r="J60" s="38" t="n">
        <f aca="false">J56+J57+J58+J59</f>
        <v>14.2919716807453</v>
      </c>
      <c r="K60" s="38" t="n">
        <f aca="false">K56+K57+K58+K59</f>
        <v>14.7690190344373</v>
      </c>
      <c r="L60" s="38" t="n">
        <f aca="false">L56+L57+L58+L59</f>
        <v>14.9695276592045</v>
      </c>
      <c r="M60" s="38" t="n">
        <f aca="false">M56+M57+M58+M59</f>
        <v>14.8913172367117</v>
      </c>
      <c r="N60" s="38" t="n">
        <f aca="false">N56+N57+N58+N59</f>
        <v>14.5390626200629</v>
      </c>
      <c r="O60" s="38" t="n">
        <f aca="false">O56+O57+O58+O59</f>
        <v>13.9251025011329</v>
      </c>
      <c r="P60" s="38" t="n">
        <f aca="false">P56+P57+P58+P59</f>
        <v>13.0701071762593</v>
      </c>
      <c r="Q60" s="38" t="n">
        <f aca="false">Q56+Q57+Q58+Q59</f>
        <v>12.0035010609032</v>
      </c>
      <c r="R60" s="38" t="n">
        <f aca="false">R56+R57+R58+R59</f>
        <v>10.7634920892377</v>
      </c>
      <c r="S60" s="38" t="n">
        <f aca="false">S56+S57+S58+S59</f>
        <v>9.39651796790789</v>
      </c>
      <c r="T60" s="38" t="n">
        <f aca="false">T56+T57+T58+T59</f>
        <v>7.95589595201982</v>
      </c>
      <c r="U60" s="38" t="n">
        <f aca="false">U56+U57+U58+U59</f>
        <v>6.49948420582247</v>
      </c>
      <c r="V60" s="38" t="n">
        <f aca="false">V56+V57+V58+V59</f>
        <v>5.08625873667435</v>
      </c>
      <c r="W60" s="38" t="n">
        <f aca="false">W56+W57+W58+W59</f>
        <v>3.77190343044026</v>
      </c>
      <c r="X60" s="38" t="n">
        <f aca="false">X56+X57+X58+X59</f>
        <v>2.6038004243945</v>
      </c>
      <c r="Y60" s="38" t="n">
        <f aca="false">Y56+Y57+Y58+Y59</f>
        <v>1.61614677194425</v>
      </c>
      <c r="Z60" s="38" t="n">
        <f aca="false">Z56+Z57+Z58+Z59</f>
        <v>0.826204012646316</v>
      </c>
      <c r="AA60" s="38" t="n">
        <f aca="false">AA56+AA57+AA58+AA59</f>
        <v>0.232753179347335</v>
      </c>
      <c r="AB60" s="38" t="n">
        <f aca="false">AB56+AB57+AB58+AB59</f>
        <v>-0.088373281246359</v>
      </c>
    </row>
    <row r="62" customFormat="false" ht="15" hidden="false" customHeight="false" outlineLevel="0" collapsed="false">
      <c r="B62" s="2" t="s">
        <v>207</v>
      </c>
    </row>
    <row r="63" customFormat="false" ht="15" hidden="false" customHeight="false" outlineLevel="0" collapsed="false">
      <c r="B63" s="3" t="s">
        <v>208</v>
      </c>
      <c r="D63" s="38" t="n">
        <f aca="false">Supuestos!$C$9</f>
        <v>20</v>
      </c>
      <c r="E63" s="38" t="n">
        <f aca="false">D82</f>
        <v>19.73332</v>
      </c>
      <c r="F63" s="38" t="n">
        <f aca="false">E82</f>
        <v>21.2777065168</v>
      </c>
      <c r="G63" s="38" t="n">
        <f aca="false">F82</f>
        <v>20.0671547220241</v>
      </c>
      <c r="H63" s="38" t="n">
        <f aca="false">G82</f>
        <v>18.390826247707</v>
      </c>
      <c r="I63" s="38" t="n">
        <f aca="false">H82</f>
        <v>16.7291916317792</v>
      </c>
      <c r="J63" s="38" t="n">
        <f aca="false">I82</f>
        <v>15.0947373648469</v>
      </c>
      <c r="K63" s="38" t="n">
        <f aca="false">J82</f>
        <v>13.5001852024767</v>
      </c>
      <c r="L63" s="38" t="n">
        <f aca="false">K82</f>
        <v>11.9582232213266</v>
      </c>
      <c r="M63" s="38" t="n">
        <f aca="false">L82</f>
        <v>10.4812095044301</v>
      </c>
      <c r="N63" s="38" t="n">
        <f aca="false">M82</f>
        <v>9.08085602088268</v>
      </c>
      <c r="O63" s="38" t="n">
        <f aca="false">N82</f>
        <v>7.76790150604734</v>
      </c>
      <c r="P63" s="38" t="n">
        <f aca="false">O82</f>
        <v>6.55178299109947</v>
      </c>
      <c r="Q63" s="38" t="n">
        <f aca="false">P82</f>
        <v>5.44031622185065</v>
      </c>
      <c r="R63" s="38" t="n">
        <f aca="false">Q82</f>
        <v>4.43939588938474</v>
      </c>
      <c r="S63" s="38" t="n">
        <f aca="false">R82</f>
        <v>3.55272787812038</v>
      </c>
      <c r="T63" s="38" t="n">
        <f aca="false">S82</f>
        <v>2.78160816228902</v>
      </c>
      <c r="U63" s="38" t="n">
        <f aca="false">T82</f>
        <v>2.1247668590965</v>
      </c>
      <c r="V63" s="38" t="n">
        <f aca="false">U82</f>
        <v>1.57830096642956</v>
      </c>
      <c r="W63" s="38" t="n">
        <f aca="false">V82</f>
        <v>1.1357241211287</v>
      </c>
      <c r="X63" s="38" t="n">
        <f aca="false">W82</f>
        <v>0.788163640248376</v>
      </c>
      <c r="Y63" s="38" t="n">
        <f aca="false">X82</f>
        <v>0.524730343114623</v>
      </c>
      <c r="Z63" s="38" t="n">
        <f aca="false">Y82</f>
        <v>0.333071208680783</v>
      </c>
      <c r="AA63" s="38" t="n">
        <f aca="false">Z82</f>
        <v>0.200086558734911</v>
      </c>
      <c r="AB63" s="38" t="n">
        <f aca="false">AA82</f>
        <v>0.112754287876479</v>
      </c>
    </row>
    <row r="64" customFormat="false" ht="15" hidden="false" customHeight="false" outlineLevel="0" collapsed="false">
      <c r="B64" s="3" t="s">
        <v>209</v>
      </c>
      <c r="D64" s="38" t="n">
        <f aca="false">MAX(0,D63)*Supuestos!$C$11</f>
        <v>0.6</v>
      </c>
      <c r="E64" s="38" t="n">
        <f aca="false">MAX(0,E63)*Supuestos!$C$11</f>
        <v>0.5919996</v>
      </c>
      <c r="F64" s="38" t="n">
        <f aca="false">MAX(0,F63)*Supuestos!$C$11</f>
        <v>0.638331195504</v>
      </c>
      <c r="G64" s="38" t="n">
        <f aca="false">MAX(0,G63)*Supuestos!$C$11</f>
        <v>0.602014641660722</v>
      </c>
      <c r="H64" s="38" t="n">
        <f aca="false">MAX(0,H63)*Supuestos!$C$11</f>
        <v>0.551724787431209</v>
      </c>
      <c r="I64" s="38" t="n">
        <f aca="false">MAX(0,I63)*Supuestos!$C$11</f>
        <v>0.501875748953377</v>
      </c>
      <c r="J64" s="38" t="n">
        <f aca="false">MAX(0,J63)*Supuestos!$C$11</f>
        <v>0.452842120945406</v>
      </c>
      <c r="K64" s="38" t="n">
        <f aca="false">MAX(0,K63)*Supuestos!$C$11</f>
        <v>0.4050055560743</v>
      </c>
      <c r="L64" s="38" t="n">
        <f aca="false">MAX(0,L63)*Supuestos!$C$11</f>
        <v>0.358746696639797</v>
      </c>
      <c r="M64" s="38" t="n">
        <f aca="false">MAX(0,M63)*Supuestos!$C$11</f>
        <v>0.314436285132904</v>
      </c>
      <c r="N64" s="38" t="n">
        <f aca="false">MAX(0,N63)*Supuestos!$C$11</f>
        <v>0.27242568062648</v>
      </c>
      <c r="O64" s="38" t="n">
        <f aca="false">MAX(0,O63)*Supuestos!$C$11</f>
        <v>0.23303704518142</v>
      </c>
      <c r="P64" s="38" t="n">
        <f aca="false">MAX(0,P63)*Supuestos!$C$11</f>
        <v>0.196553489732984</v>
      </c>
      <c r="Q64" s="38" t="n">
        <f aca="false">MAX(0,Q63)*Supuestos!$C$11</f>
        <v>0.16320948665552</v>
      </c>
      <c r="R64" s="38" t="n">
        <f aca="false">MAX(0,R63)*Supuestos!$C$11</f>
        <v>0.133181876681542</v>
      </c>
      <c r="S64" s="38" t="n">
        <f aca="false">MAX(0,S63)*Supuestos!$C$11</f>
        <v>0.106581836343611</v>
      </c>
      <c r="T64" s="38" t="n">
        <f aca="false">MAX(0,T63)*Supuestos!$C$11</f>
        <v>0.0834482448686705</v>
      </c>
      <c r="U64" s="38" t="n">
        <f aca="false">MAX(0,U63)*Supuestos!$C$11</f>
        <v>0.0637430057728949</v>
      </c>
      <c r="V64" s="38" t="n">
        <f aca="false">MAX(0,V63)*Supuestos!$C$11</f>
        <v>0.0473490289928868</v>
      </c>
      <c r="W64" s="38" t="n">
        <f aca="false">MAX(0,W63)*Supuestos!$C$11</f>
        <v>0.0340717236338609</v>
      </c>
      <c r="X64" s="38" t="n">
        <f aca="false">MAX(0,X63)*Supuestos!$C$11</f>
        <v>0.0236449092074513</v>
      </c>
      <c r="Y64" s="38" t="n">
        <f aca="false">MAX(0,Y63)*Supuestos!$C$11</f>
        <v>0.0157419102934387</v>
      </c>
      <c r="Z64" s="38" t="n">
        <f aca="false">MAX(0,Z63)*Supuestos!$C$11</f>
        <v>0.0099921362604235</v>
      </c>
      <c r="AA64" s="38" t="n">
        <f aca="false">MAX(0,AA63)*Supuestos!$C$11</f>
        <v>0.00600259676204732</v>
      </c>
      <c r="AB64" s="38" t="n">
        <f aca="false">MAX(0,AB63)*Supuestos!$C$11</f>
        <v>0.00338262863629438</v>
      </c>
    </row>
    <row r="65" customFormat="false" ht="15" hidden="false" customHeight="false" outlineLevel="0" collapsed="false">
      <c r="B65" s="3" t="s">
        <v>210</v>
      </c>
      <c r="D65" s="38" t="n">
        <f aca="false">D63+D64+D60</f>
        <v>26.98332</v>
      </c>
      <c r="E65" s="38" t="n">
        <f aca="false">E63+E64+E60</f>
        <v>28.5277065168</v>
      </c>
      <c r="F65" s="38" t="n">
        <f aca="false">F63+F64+F60</f>
        <v>31.7680584165564</v>
      </c>
      <c r="G65" s="38" t="n">
        <f aca="false">G63+G64+G60</f>
        <v>31.9767267144186</v>
      </c>
      <c r="H65" s="38" t="n">
        <f aca="false">H63+H64+H60</f>
        <v>31.4884949353924</v>
      </c>
      <c r="I65" s="38" t="n">
        <f aca="false">I63+I64+I60</f>
        <v>30.777607561575</v>
      </c>
      <c r="J65" s="38" t="n">
        <f aca="false">J63+J64+J60</f>
        <v>29.8395511665376</v>
      </c>
      <c r="K65" s="38" t="n">
        <f aca="false">K63+K64+K60</f>
        <v>28.6742097929882</v>
      </c>
      <c r="L65" s="38" t="n">
        <f aca="false">L63+L64+L60</f>
        <v>27.2864975771709</v>
      </c>
      <c r="M65" s="38" t="n">
        <f aca="false">M63+M64+M60</f>
        <v>25.6869630262748</v>
      </c>
      <c r="N65" s="38" t="n">
        <f aca="false">N63+N64+N60</f>
        <v>23.8923443215721</v>
      </c>
      <c r="O65" s="38" t="n">
        <f aca="false">O63+O64+O60</f>
        <v>21.9260410523617</v>
      </c>
      <c r="P65" s="38" t="n">
        <f aca="false">P63+P64+P60</f>
        <v>19.8184436570917</v>
      </c>
      <c r="Q65" s="38" t="n">
        <f aca="false">Q63+Q64+Q60</f>
        <v>17.6070267694094</v>
      </c>
      <c r="R65" s="38" t="n">
        <f aca="false">R63+R64+R60</f>
        <v>15.336069855304</v>
      </c>
      <c r="S65" s="38" t="n">
        <f aca="false">S63+S64+S60</f>
        <v>13.0558276823719</v>
      </c>
      <c r="T65" s="38" t="n">
        <f aca="false">T63+T64+T60</f>
        <v>10.8209523591775</v>
      </c>
      <c r="U65" s="38" t="n">
        <f aca="false">U63+U64+U60</f>
        <v>8.68799407069187</v>
      </c>
      <c r="V65" s="38" t="n">
        <f aca="false">V63+V64+V60</f>
        <v>6.7119087320968</v>
      </c>
      <c r="W65" s="38" t="n">
        <f aca="false">W63+W64+W60</f>
        <v>4.94169927520282</v>
      </c>
      <c r="X65" s="38" t="n">
        <f aca="false">X63+X64+X60</f>
        <v>3.41560897385033</v>
      </c>
      <c r="Y65" s="38" t="n">
        <f aca="false">Y63+Y64+Y60</f>
        <v>2.15661902535232</v>
      </c>
      <c r="Z65" s="38" t="n">
        <f aca="false">Z63+Z64+Z60</f>
        <v>1.16926735758752</v>
      </c>
      <c r="AA65" s="38" t="n">
        <f aca="false">AA63+AA64+AA60</f>
        <v>0.438842334844293</v>
      </c>
      <c r="AB65" s="38" t="n">
        <f aca="false">AB63+AB64+AB60</f>
        <v>0.0277636352664148</v>
      </c>
    </row>
    <row r="66" customFormat="false" ht="15" hidden="false" customHeight="false" outlineLevel="0" collapsed="false">
      <c r="B66" s="3" t="s">
        <v>211</v>
      </c>
      <c r="D66" s="38" t="n">
        <f aca="false">Supuestos!$C$5</f>
        <v>75</v>
      </c>
      <c r="E66" s="38" t="n">
        <f aca="false">D79</f>
        <v>75</v>
      </c>
      <c r="F66" s="38" t="n">
        <f aca="false">E79</f>
        <v>75</v>
      </c>
      <c r="G66" s="38" t="n">
        <f aca="false">F79</f>
        <v>70.5490963054677</v>
      </c>
      <c r="H66" s="38" t="n">
        <f aca="false">G79</f>
        <v>63.9238870986115</v>
      </c>
      <c r="I66" s="38" t="n">
        <f aca="false">H79</f>
        <v>55.6946364564081</v>
      </c>
      <c r="J66" s="38" t="n">
        <f aca="false">I79</f>
        <v>46.0069176293465</v>
      </c>
      <c r="K66" s="38" t="n">
        <f aca="false">J79</f>
        <v>35.0330013111931</v>
      </c>
      <c r="L66" s="38" t="n">
        <f aca="false">K79</f>
        <v>22.969159824759</v>
      </c>
      <c r="M66" s="38" t="n">
        <f aca="false">L79</f>
        <v>10.0318671406276</v>
      </c>
      <c r="N66" s="38" t="n">
        <f aca="false">M79</f>
        <v>0</v>
      </c>
      <c r="O66" s="38" t="n">
        <f aca="false">N79</f>
        <v>0</v>
      </c>
      <c r="P66" s="38" t="n">
        <f aca="false">O79</f>
        <v>0</v>
      </c>
      <c r="Q66" s="38" t="n">
        <f aca="false">P79</f>
        <v>0</v>
      </c>
      <c r="R66" s="38" t="n">
        <f aca="false">Q79</f>
        <v>0</v>
      </c>
      <c r="S66" s="38" t="n">
        <f aca="false">R79</f>
        <v>0</v>
      </c>
      <c r="T66" s="38" t="n">
        <f aca="false">S79</f>
        <v>0</v>
      </c>
      <c r="U66" s="38" t="n">
        <f aca="false">T79</f>
        <v>0</v>
      </c>
      <c r="V66" s="38" t="n">
        <f aca="false">U79</f>
        <v>0</v>
      </c>
      <c r="W66" s="38" t="n">
        <f aca="false">V79</f>
        <v>0</v>
      </c>
      <c r="X66" s="38" t="n">
        <f aca="false">W79</f>
        <v>0</v>
      </c>
      <c r="Y66" s="38" t="n">
        <f aca="false">X79</f>
        <v>0</v>
      </c>
      <c r="Z66" s="38" t="n">
        <f aca="false">Y79</f>
        <v>0</v>
      </c>
      <c r="AA66" s="38" t="n">
        <f aca="false">Z79</f>
        <v>0</v>
      </c>
      <c r="AB66" s="38" t="n">
        <f aca="false">AA79</f>
        <v>0</v>
      </c>
    </row>
    <row r="67" customFormat="false" ht="15" hidden="false" customHeight="false" outlineLevel="0" collapsed="false">
      <c r="B67" s="3" t="s">
        <v>212</v>
      </c>
      <c r="D67" s="38" t="n">
        <f aca="false">D66*Supuestos!$C$6</f>
        <v>4.875</v>
      </c>
      <c r="E67" s="38" t="n">
        <f aca="false">E66*Supuestos!$C$6</f>
        <v>4.875</v>
      </c>
      <c r="F67" s="38" t="n">
        <f aca="false">F66*Supuestos!$C$6</f>
        <v>4.875</v>
      </c>
      <c r="G67" s="38" t="n">
        <f aca="false">G66*Supuestos!$C$6</f>
        <v>4.5856912598554</v>
      </c>
      <c r="H67" s="38" t="n">
        <f aca="false">H66*Supuestos!$C$6</f>
        <v>4.15505266140975</v>
      </c>
      <c r="I67" s="38" t="n">
        <f aca="false">I66*Supuestos!$C$6</f>
        <v>3.62015136966653</v>
      </c>
      <c r="J67" s="38" t="n">
        <f aca="false">J66*Supuestos!$C$6</f>
        <v>2.99044964590752</v>
      </c>
      <c r="K67" s="38" t="n">
        <f aca="false">K66*Supuestos!$C$6</f>
        <v>2.27714508522755</v>
      </c>
      <c r="L67" s="38" t="n">
        <f aca="false">L66*Supuestos!$C$6</f>
        <v>1.49299538860933</v>
      </c>
      <c r="M67" s="38" t="n">
        <f aca="false">M66*Supuestos!$C$6</f>
        <v>0.652071364140793</v>
      </c>
      <c r="N67" s="38" t="n">
        <f aca="false">N66*Supuestos!$C$6</f>
        <v>0</v>
      </c>
      <c r="O67" s="38" t="n">
        <f aca="false">O66*Supuestos!$C$6</f>
        <v>0</v>
      </c>
      <c r="P67" s="38" t="n">
        <f aca="false">P66*Supuestos!$C$6</f>
        <v>0</v>
      </c>
      <c r="Q67" s="38" t="n">
        <f aca="false">Q66*Supuestos!$C$6</f>
        <v>0</v>
      </c>
      <c r="R67" s="38" t="n">
        <f aca="false">R66*Supuestos!$C$6</f>
        <v>0</v>
      </c>
      <c r="S67" s="38" t="n">
        <f aca="false">S66*Supuestos!$C$6</f>
        <v>0</v>
      </c>
      <c r="T67" s="38" t="n">
        <f aca="false">T66*Supuestos!$C$6</f>
        <v>0</v>
      </c>
      <c r="U67" s="38" t="n">
        <f aca="false">U66*Supuestos!$C$6</f>
        <v>0</v>
      </c>
      <c r="V67" s="38" t="n">
        <f aca="false">V66*Supuestos!$C$6</f>
        <v>0</v>
      </c>
      <c r="W67" s="38" t="n">
        <f aca="false">W66*Supuestos!$C$6</f>
        <v>0</v>
      </c>
      <c r="X67" s="38" t="n">
        <f aca="false">X66*Supuestos!$C$6</f>
        <v>0</v>
      </c>
      <c r="Y67" s="38" t="n">
        <f aca="false">Y66*Supuestos!$C$6</f>
        <v>0</v>
      </c>
      <c r="Z67" s="38" t="n">
        <f aca="false">Z66*Supuestos!$C$6</f>
        <v>0</v>
      </c>
      <c r="AA67" s="38" t="n">
        <f aca="false">AA66*Supuestos!$C$6</f>
        <v>0</v>
      </c>
      <c r="AB67" s="38" t="n">
        <f aca="false">AB66*Supuestos!$C$6</f>
        <v>0</v>
      </c>
    </row>
    <row r="68" customFormat="false" ht="15" hidden="false" customHeight="false" outlineLevel="0" collapsed="false">
      <c r="B68" s="3" t="s">
        <v>213</v>
      </c>
      <c r="D68" s="38" t="n">
        <f aca="false">MAX(0,MIN(D65,D67))</f>
        <v>4.875</v>
      </c>
      <c r="E68" s="38" t="n">
        <f aca="false">MAX(0,MIN(E65,E67))</f>
        <v>4.875</v>
      </c>
      <c r="F68" s="38" t="n">
        <f aca="false">MAX(0,MIN(F65,F67))</f>
        <v>4.875</v>
      </c>
      <c r="G68" s="38" t="n">
        <f aca="false">MAX(0,MIN(G65,G67))</f>
        <v>4.5856912598554</v>
      </c>
      <c r="H68" s="38" t="n">
        <f aca="false">MAX(0,MIN(H65,H67))</f>
        <v>4.15505266140975</v>
      </c>
      <c r="I68" s="38" t="n">
        <f aca="false">MAX(0,MIN(I65,I67))</f>
        <v>3.62015136966653</v>
      </c>
      <c r="J68" s="38" t="n">
        <f aca="false">MAX(0,MIN(J65,J67))</f>
        <v>2.99044964590752</v>
      </c>
      <c r="K68" s="38" t="n">
        <f aca="false">MAX(0,MIN(K65,K67))</f>
        <v>2.27714508522755</v>
      </c>
      <c r="L68" s="38" t="n">
        <f aca="false">MAX(0,MIN(L65,L67))</f>
        <v>1.49299538860933</v>
      </c>
      <c r="M68" s="38" t="n">
        <f aca="false">MAX(0,MIN(M65,M67))</f>
        <v>0.652071364140793</v>
      </c>
      <c r="N68" s="38" t="n">
        <f aca="false">MAX(0,MIN(N65,N67))</f>
        <v>0</v>
      </c>
      <c r="O68" s="38" t="n">
        <f aca="false">MAX(0,MIN(O65,O67))</f>
        <v>0</v>
      </c>
      <c r="P68" s="38" t="n">
        <f aca="false">MAX(0,MIN(P65,P67))</f>
        <v>0</v>
      </c>
      <c r="Q68" s="38" t="n">
        <f aca="false">MAX(0,MIN(Q65,Q67))</f>
        <v>0</v>
      </c>
      <c r="R68" s="38" t="n">
        <f aca="false">MAX(0,MIN(R65,R67))</f>
        <v>0</v>
      </c>
      <c r="S68" s="38" t="n">
        <f aca="false">MAX(0,MIN(S65,S67))</f>
        <v>0</v>
      </c>
      <c r="T68" s="38" t="n">
        <f aca="false">MAX(0,MIN(T65,T67))</f>
        <v>0</v>
      </c>
      <c r="U68" s="38" t="n">
        <f aca="false">MAX(0,MIN(U65,U67))</f>
        <v>0</v>
      </c>
      <c r="V68" s="38" t="n">
        <f aca="false">MAX(0,MIN(V65,V67))</f>
        <v>0</v>
      </c>
      <c r="W68" s="38" t="n">
        <f aca="false">MAX(0,MIN(W65,W67))</f>
        <v>0</v>
      </c>
      <c r="X68" s="38" t="n">
        <f aca="false">MAX(0,MIN(X65,X67))</f>
        <v>0</v>
      </c>
      <c r="Y68" s="38" t="n">
        <f aca="false">MAX(0,MIN(Y65,Y67))</f>
        <v>0</v>
      </c>
      <c r="Z68" s="38" t="n">
        <f aca="false">MAX(0,MIN(Z65,Z67))</f>
        <v>0</v>
      </c>
      <c r="AA68" s="38" t="n">
        <f aca="false">MAX(0,MIN(AA65,AA67))</f>
        <v>0</v>
      </c>
      <c r="AB68" s="38" t="n">
        <f aca="false">MAX(0,MIN(AB65,AB67))</f>
        <v>0</v>
      </c>
    </row>
    <row r="69" customFormat="false" ht="15" hidden="false" customHeight="false" outlineLevel="0" collapsed="false">
      <c r="B69" s="3" t="s">
        <v>214</v>
      </c>
      <c r="D69" s="38" t="n">
        <f aca="false">D65-D68</f>
        <v>22.10832</v>
      </c>
      <c r="E69" s="38" t="n">
        <f aca="false">E65-E68</f>
        <v>23.6527065168</v>
      </c>
      <c r="F69" s="38" t="n">
        <f aca="false">F65-F68</f>
        <v>26.8930584165564</v>
      </c>
      <c r="G69" s="38" t="n">
        <f aca="false">G65-G68</f>
        <v>27.3910354545632</v>
      </c>
      <c r="H69" s="38" t="n">
        <f aca="false">H65-H68</f>
        <v>27.3334422739827</v>
      </c>
      <c r="I69" s="38" t="n">
        <f aca="false">I65-I68</f>
        <v>27.1574561919085</v>
      </c>
      <c r="J69" s="38" t="n">
        <f aca="false">J65-J68</f>
        <v>26.8491015206301</v>
      </c>
      <c r="K69" s="38" t="n">
        <f aca="false">K65-K68</f>
        <v>26.3970647077607</v>
      </c>
      <c r="L69" s="38" t="n">
        <f aca="false">L65-L68</f>
        <v>25.7935021885615</v>
      </c>
      <c r="M69" s="38" t="n">
        <f aca="false">M65-M68</f>
        <v>25.034891662134</v>
      </c>
      <c r="N69" s="38" t="n">
        <f aca="false">N65-N68</f>
        <v>23.8923443215721</v>
      </c>
      <c r="O69" s="38" t="n">
        <f aca="false">O65-O68</f>
        <v>21.9260410523617</v>
      </c>
      <c r="P69" s="38" t="n">
        <f aca="false">P65-P68</f>
        <v>19.8184436570917</v>
      </c>
      <c r="Q69" s="38" t="n">
        <f aca="false">Q65-Q68</f>
        <v>17.6070267694094</v>
      </c>
      <c r="R69" s="38" t="n">
        <f aca="false">R65-R68</f>
        <v>15.336069855304</v>
      </c>
      <c r="S69" s="38" t="n">
        <f aca="false">S65-S68</f>
        <v>13.0558276823719</v>
      </c>
      <c r="T69" s="38" t="n">
        <f aca="false">T65-T68</f>
        <v>10.8209523591775</v>
      </c>
      <c r="U69" s="38" t="n">
        <f aca="false">U65-U68</f>
        <v>8.68799407069187</v>
      </c>
      <c r="V69" s="38" t="n">
        <f aca="false">V65-V68</f>
        <v>6.7119087320968</v>
      </c>
      <c r="W69" s="38" t="n">
        <f aca="false">W65-W68</f>
        <v>4.94169927520282</v>
      </c>
      <c r="X69" s="38" t="n">
        <f aca="false">X65-X68</f>
        <v>3.41560897385033</v>
      </c>
      <c r="Y69" s="38" t="n">
        <f aca="false">Y65-Y68</f>
        <v>2.15661902535232</v>
      </c>
      <c r="Z69" s="38" t="n">
        <f aca="false">Z65-Z68</f>
        <v>1.16926735758752</v>
      </c>
      <c r="AA69" s="38" t="n">
        <f aca="false">AA65-AA68</f>
        <v>0.438842334844293</v>
      </c>
      <c r="AB69" s="38" t="n">
        <f aca="false">AB65-AB68</f>
        <v>0.0277636352664148</v>
      </c>
    </row>
    <row r="70" customFormat="false" ht="15" hidden="false" customHeight="false" outlineLevel="0" collapsed="false">
      <c r="B70" s="3" t="s">
        <v>215</v>
      </c>
      <c r="D70" s="38" t="n">
        <f aca="false">Supuestos!$C$7</f>
        <v>25</v>
      </c>
      <c r="E70" s="38" t="n">
        <f aca="false">D80</f>
        <v>25</v>
      </c>
      <c r="F70" s="38" t="n">
        <f aca="false">E80</f>
        <v>25</v>
      </c>
      <c r="G70" s="38" t="n">
        <f aca="false">F80</f>
        <v>25</v>
      </c>
      <c r="H70" s="38" t="n">
        <f aca="false">G80</f>
        <v>25</v>
      </c>
      <c r="I70" s="38" t="n">
        <f aca="false">H80</f>
        <v>25</v>
      </c>
      <c r="J70" s="38" t="n">
        <f aca="false">I80</f>
        <v>25</v>
      </c>
      <c r="K70" s="38" t="n">
        <f aca="false">J80</f>
        <v>25</v>
      </c>
      <c r="L70" s="38" t="n">
        <f aca="false">K80</f>
        <v>25</v>
      </c>
      <c r="M70" s="38" t="n">
        <f aca="false">L80</f>
        <v>25</v>
      </c>
      <c r="N70" s="38" t="n">
        <f aca="false">M80</f>
        <v>21.4528314993763</v>
      </c>
      <c r="O70" s="38" t="n">
        <f aca="false">N80</f>
        <v>7.36640767629225</v>
      </c>
      <c r="P70" s="38" t="n">
        <f aca="false">O80</f>
        <v>0</v>
      </c>
      <c r="Q70" s="38" t="n">
        <f aca="false">P80</f>
        <v>0</v>
      </c>
      <c r="R70" s="38" t="n">
        <f aca="false">Q80</f>
        <v>0</v>
      </c>
      <c r="S70" s="38" t="n">
        <f aca="false">R80</f>
        <v>0</v>
      </c>
      <c r="T70" s="38" t="n">
        <f aca="false">S80</f>
        <v>0</v>
      </c>
      <c r="U70" s="38" t="n">
        <f aca="false">T80</f>
        <v>0</v>
      </c>
      <c r="V70" s="38" t="n">
        <f aca="false">U80</f>
        <v>0</v>
      </c>
      <c r="W70" s="38" t="n">
        <f aca="false">V80</f>
        <v>0</v>
      </c>
      <c r="X70" s="38" t="n">
        <f aca="false">W80</f>
        <v>0</v>
      </c>
      <c r="Y70" s="38" t="n">
        <f aca="false">X80</f>
        <v>0</v>
      </c>
      <c r="Z70" s="38" t="n">
        <f aca="false">Y80</f>
        <v>0</v>
      </c>
      <c r="AA70" s="38" t="n">
        <f aca="false">Z80</f>
        <v>0</v>
      </c>
      <c r="AB70" s="38" t="n">
        <f aca="false">AA80</f>
        <v>0</v>
      </c>
    </row>
    <row r="71" customFormat="false" ht="15" hidden="false" customHeight="false" outlineLevel="0" collapsed="false">
      <c r="B71" s="3" t="s">
        <v>216</v>
      </c>
      <c r="D71" s="38" t="n">
        <f aca="false">D70*Supuestos!$C$8</f>
        <v>2.375</v>
      </c>
      <c r="E71" s="38" t="n">
        <f aca="false">E70*Supuestos!$C$8</f>
        <v>2.375</v>
      </c>
      <c r="F71" s="38" t="n">
        <f aca="false">F70*Supuestos!$C$8</f>
        <v>2.375</v>
      </c>
      <c r="G71" s="38" t="n">
        <f aca="false">G70*Supuestos!$C$8</f>
        <v>2.375</v>
      </c>
      <c r="H71" s="38" t="n">
        <f aca="false">H70*Supuestos!$C$8</f>
        <v>2.375</v>
      </c>
      <c r="I71" s="38" t="n">
        <f aca="false">I70*Supuestos!$C$8</f>
        <v>2.375</v>
      </c>
      <c r="J71" s="38" t="n">
        <f aca="false">J70*Supuestos!$C$8</f>
        <v>2.375</v>
      </c>
      <c r="K71" s="38" t="n">
        <f aca="false">K70*Supuestos!$C$8</f>
        <v>2.375</v>
      </c>
      <c r="L71" s="38" t="n">
        <f aca="false">L70*Supuestos!$C$8</f>
        <v>2.375</v>
      </c>
      <c r="M71" s="38" t="n">
        <f aca="false">M70*Supuestos!$C$8</f>
        <v>2.375</v>
      </c>
      <c r="N71" s="38" t="n">
        <f aca="false">N70*Supuestos!$C$8</f>
        <v>2.03801899244074</v>
      </c>
      <c r="O71" s="38" t="n">
        <f aca="false">O70*Supuestos!$C$8</f>
        <v>0.699808729247764</v>
      </c>
      <c r="P71" s="38" t="n">
        <f aca="false">P70*Supuestos!$C$8</f>
        <v>0</v>
      </c>
      <c r="Q71" s="38" t="n">
        <f aca="false">Q70*Supuestos!$C$8</f>
        <v>0</v>
      </c>
      <c r="R71" s="38" t="n">
        <f aca="false">R70*Supuestos!$C$8</f>
        <v>0</v>
      </c>
      <c r="S71" s="38" t="n">
        <f aca="false">S70*Supuestos!$C$8</f>
        <v>0</v>
      </c>
      <c r="T71" s="38" t="n">
        <f aca="false">T70*Supuestos!$C$8</f>
        <v>0</v>
      </c>
      <c r="U71" s="38" t="n">
        <f aca="false">U70*Supuestos!$C$8</f>
        <v>0</v>
      </c>
      <c r="V71" s="38" t="n">
        <f aca="false">V70*Supuestos!$C$8</f>
        <v>0</v>
      </c>
      <c r="W71" s="38" t="n">
        <f aca="false">W70*Supuestos!$C$8</f>
        <v>0</v>
      </c>
      <c r="X71" s="38" t="n">
        <f aca="false">X70*Supuestos!$C$8</f>
        <v>0</v>
      </c>
      <c r="Y71" s="38" t="n">
        <f aca="false">Y70*Supuestos!$C$8</f>
        <v>0</v>
      </c>
      <c r="Z71" s="38" t="n">
        <f aca="false">Z70*Supuestos!$C$8</f>
        <v>0</v>
      </c>
      <c r="AA71" s="38" t="n">
        <f aca="false">AA70*Supuestos!$C$8</f>
        <v>0</v>
      </c>
      <c r="AB71" s="38" t="n">
        <f aca="false">AB70*Supuestos!$C$8</f>
        <v>0</v>
      </c>
    </row>
    <row r="72" customFormat="false" ht="15" hidden="false" customHeight="false" outlineLevel="0" collapsed="false">
      <c r="B72" s="3" t="s">
        <v>217</v>
      </c>
      <c r="D72" s="38" t="n">
        <f aca="false">MAX(0,MIN(D69,D71))</f>
        <v>2.375</v>
      </c>
      <c r="E72" s="38" t="n">
        <f aca="false">MAX(0,MIN(E69,E71))</f>
        <v>2.375</v>
      </c>
      <c r="F72" s="38" t="n">
        <f aca="false">MAX(0,MIN(F69,F71))</f>
        <v>2.375</v>
      </c>
      <c r="G72" s="38" t="n">
        <f aca="false">MAX(0,MIN(G69,G71))</f>
        <v>2.375</v>
      </c>
      <c r="H72" s="38" t="n">
        <f aca="false">MAX(0,MIN(H69,H71))</f>
        <v>2.375</v>
      </c>
      <c r="I72" s="38" t="n">
        <f aca="false">MAX(0,MIN(I69,I71))</f>
        <v>2.375</v>
      </c>
      <c r="J72" s="38" t="n">
        <f aca="false">MAX(0,MIN(J69,J71))</f>
        <v>2.375</v>
      </c>
      <c r="K72" s="38" t="n">
        <f aca="false">MAX(0,MIN(K69,K71))</f>
        <v>2.375</v>
      </c>
      <c r="L72" s="38" t="n">
        <f aca="false">MAX(0,MIN(L69,L71))</f>
        <v>2.375</v>
      </c>
      <c r="M72" s="38" t="n">
        <f aca="false">MAX(0,MIN(M69,M71))</f>
        <v>2.375</v>
      </c>
      <c r="N72" s="38" t="n">
        <f aca="false">MAX(0,MIN(N69,N71))</f>
        <v>2.03801899244074</v>
      </c>
      <c r="O72" s="38" t="n">
        <f aca="false">MAX(0,MIN(O69,O71))</f>
        <v>0.699808729247764</v>
      </c>
      <c r="P72" s="38" t="n">
        <f aca="false">MAX(0,MIN(P69,P71))</f>
        <v>0</v>
      </c>
      <c r="Q72" s="38" t="n">
        <f aca="false">MAX(0,MIN(Q69,Q71))</f>
        <v>0</v>
      </c>
      <c r="R72" s="38" t="n">
        <f aca="false">MAX(0,MIN(R69,R71))</f>
        <v>0</v>
      </c>
      <c r="S72" s="38" t="n">
        <f aca="false">MAX(0,MIN(S69,S71))</f>
        <v>0</v>
      </c>
      <c r="T72" s="38" t="n">
        <f aca="false">MAX(0,MIN(T69,T71))</f>
        <v>0</v>
      </c>
      <c r="U72" s="38" t="n">
        <f aca="false">MAX(0,MIN(U69,U71))</f>
        <v>0</v>
      </c>
      <c r="V72" s="38" t="n">
        <f aca="false">MAX(0,MIN(V69,V71))</f>
        <v>0</v>
      </c>
      <c r="W72" s="38" t="n">
        <f aca="false">MAX(0,MIN(W69,W71))</f>
        <v>0</v>
      </c>
      <c r="X72" s="38" t="n">
        <f aca="false">MAX(0,MIN(X69,X71))</f>
        <v>0</v>
      </c>
      <c r="Y72" s="38" t="n">
        <f aca="false">MAX(0,MIN(Y69,Y71))</f>
        <v>0</v>
      </c>
      <c r="Z72" s="38" t="n">
        <f aca="false">MAX(0,MIN(Z69,Z71))</f>
        <v>0</v>
      </c>
      <c r="AA72" s="38" t="n">
        <f aca="false">MAX(0,MIN(AA69,AA71))</f>
        <v>0</v>
      </c>
      <c r="AB72" s="38" t="n">
        <f aca="false">MAX(0,MIN(AB69,AB71))</f>
        <v>0</v>
      </c>
    </row>
    <row r="73" customFormat="false" ht="15" hidden="false" customHeight="false" outlineLevel="0" collapsed="false">
      <c r="B73" s="3" t="s">
        <v>218</v>
      </c>
      <c r="D73" s="38" t="n">
        <f aca="false">D69-D72</f>
        <v>19.73332</v>
      </c>
      <c r="E73" s="38" t="n">
        <f aca="false">E69-E72</f>
        <v>21.2777065168</v>
      </c>
      <c r="F73" s="38" t="n">
        <f aca="false">F69-F72</f>
        <v>24.5180584165564</v>
      </c>
      <c r="G73" s="38" t="n">
        <f aca="false">G69-G72</f>
        <v>25.0160354545632</v>
      </c>
      <c r="H73" s="38" t="n">
        <f aca="false">H69-H72</f>
        <v>24.9584422739827</v>
      </c>
      <c r="I73" s="38" t="n">
        <f aca="false">I69-I72</f>
        <v>24.7824561919085</v>
      </c>
      <c r="J73" s="38" t="n">
        <f aca="false">J69-J72</f>
        <v>24.4741015206301</v>
      </c>
      <c r="K73" s="38" t="n">
        <f aca="false">K69-K72</f>
        <v>24.0220647077607</v>
      </c>
      <c r="L73" s="38" t="n">
        <f aca="false">L69-L72</f>
        <v>23.4185021885615</v>
      </c>
      <c r="M73" s="38" t="n">
        <f aca="false">M69-M72</f>
        <v>22.659891662134</v>
      </c>
      <c r="N73" s="38" t="n">
        <f aca="false">N69-N72</f>
        <v>21.8543253291313</v>
      </c>
      <c r="O73" s="38" t="n">
        <f aca="false">O69-O72</f>
        <v>21.2262323231139</v>
      </c>
      <c r="P73" s="38" t="n">
        <f aca="false">P69-P72</f>
        <v>19.8184436570917</v>
      </c>
      <c r="Q73" s="38" t="n">
        <f aca="false">Q69-Q72</f>
        <v>17.6070267694094</v>
      </c>
      <c r="R73" s="38" t="n">
        <f aca="false">R69-R72</f>
        <v>15.336069855304</v>
      </c>
      <c r="S73" s="38" t="n">
        <f aca="false">S69-S72</f>
        <v>13.0558276823719</v>
      </c>
      <c r="T73" s="38" t="n">
        <f aca="false">T69-T72</f>
        <v>10.8209523591775</v>
      </c>
      <c r="U73" s="38" t="n">
        <f aca="false">U69-U72</f>
        <v>8.68799407069187</v>
      </c>
      <c r="V73" s="38" t="n">
        <f aca="false">V69-V72</f>
        <v>6.7119087320968</v>
      </c>
      <c r="W73" s="38" t="n">
        <f aca="false">W69-W72</f>
        <v>4.94169927520282</v>
      </c>
      <c r="X73" s="38" t="n">
        <f aca="false">X69-X72</f>
        <v>3.41560897385033</v>
      </c>
      <c r="Y73" s="38" t="n">
        <f aca="false">Y69-Y72</f>
        <v>2.15661902535232</v>
      </c>
      <c r="Z73" s="38" t="n">
        <f aca="false">Z69-Z72</f>
        <v>1.16926735758752</v>
      </c>
      <c r="AA73" s="38" t="n">
        <f aca="false">AA69-AA72</f>
        <v>0.438842334844293</v>
      </c>
      <c r="AB73" s="38" t="n">
        <f aca="false">AB69-AB72</f>
        <v>0.0277636352664148</v>
      </c>
    </row>
    <row r="74" customFormat="false" ht="15" hidden="false" customHeight="false" outlineLevel="0" collapsed="false">
      <c r="B74" s="3" t="s">
        <v>219</v>
      </c>
      <c r="D74" s="38" t="n">
        <f aca="false">IF(D$3=Supuestos!$C$15,0,-D57*(1+$C$8)*Supuestos!$C$10/12)</f>
        <v>23.4165</v>
      </c>
      <c r="E74" s="38" t="n">
        <f aca="false">IF(E$3=Supuestos!$C$15,0,-E57*(1+$C$8)*Supuestos!$C$10/12)</f>
        <v>21.746161458</v>
      </c>
      <c r="F74" s="38" t="n">
        <f aca="false">IF(F$3=Supuestos!$C$15,0,-F57*(1+$C$8)*Supuestos!$C$10/12)</f>
        <v>20.0671547220241</v>
      </c>
      <c r="G74" s="38" t="n">
        <f aca="false">IF(G$3=Supuestos!$C$15,0,-G57*(1+$C$8)*Supuestos!$C$10/12)</f>
        <v>18.390826247707</v>
      </c>
      <c r="H74" s="38" t="n">
        <f aca="false">IF(H$3=Supuestos!$C$15,0,-H57*(1+$C$8)*Supuestos!$C$10/12)</f>
        <v>16.7291916317792</v>
      </c>
      <c r="I74" s="38" t="n">
        <f aca="false">IF(I$3=Supuestos!$C$15,0,-I57*(1+$C$8)*Supuestos!$C$10/12)</f>
        <v>15.0947373648469</v>
      </c>
      <c r="J74" s="38" t="n">
        <f aca="false">IF(J$3=Supuestos!$C$15,0,-J57*(1+$C$8)*Supuestos!$C$10/12)</f>
        <v>13.5001852024767</v>
      </c>
      <c r="K74" s="38" t="n">
        <f aca="false">IF(K$3=Supuestos!$C$15,0,-K57*(1+$C$8)*Supuestos!$C$10/12)</f>
        <v>11.9582232213266</v>
      </c>
      <c r="L74" s="38" t="n">
        <f aca="false">IF(L$3=Supuestos!$C$15,0,-L57*(1+$C$8)*Supuestos!$C$10/12)</f>
        <v>10.4812095044301</v>
      </c>
      <c r="M74" s="38" t="n">
        <f aca="false">IF(M$3=Supuestos!$C$15,0,-M57*(1+$C$8)*Supuestos!$C$10/12)</f>
        <v>9.08085602088268</v>
      </c>
      <c r="N74" s="38" t="n">
        <f aca="false">IF(N$3=Supuestos!$C$15,0,-N57*(1+$C$8)*Supuestos!$C$10/12)</f>
        <v>7.76790150604734</v>
      </c>
      <c r="O74" s="38" t="n">
        <f aca="false">IF(O$3=Supuestos!$C$15,0,-O57*(1+$C$8)*Supuestos!$C$10/12)</f>
        <v>6.55178299109947</v>
      </c>
      <c r="P74" s="38" t="n">
        <f aca="false">IF(P$3=Supuestos!$C$15,0,-P57*(1+$C$8)*Supuestos!$C$10/12)</f>
        <v>5.44031622185065</v>
      </c>
      <c r="Q74" s="38" t="n">
        <f aca="false">IF(Q$3=Supuestos!$C$15,0,-Q57*(1+$C$8)*Supuestos!$C$10/12)</f>
        <v>4.43939588938474</v>
      </c>
      <c r="R74" s="38" t="n">
        <f aca="false">IF(R$3=Supuestos!$C$15,0,-R57*(1+$C$8)*Supuestos!$C$10/12)</f>
        <v>3.55272787812038</v>
      </c>
      <c r="S74" s="38" t="n">
        <f aca="false">IF(S$3=Supuestos!$C$15,0,-S57*(1+$C$8)*Supuestos!$C$10/12)</f>
        <v>2.78160816228902</v>
      </c>
      <c r="T74" s="38" t="n">
        <f aca="false">IF(T$3=Supuestos!$C$15,0,-T57*(1+$C$8)*Supuestos!$C$10/12)</f>
        <v>2.1247668590965</v>
      </c>
      <c r="U74" s="38" t="n">
        <f aca="false">IF(U$3=Supuestos!$C$15,0,-U57*(1+$C$8)*Supuestos!$C$10/12)</f>
        <v>1.57830096642956</v>
      </c>
      <c r="V74" s="38" t="n">
        <f aca="false">IF(V$3=Supuestos!$C$15,0,-V57*(1+$C$8)*Supuestos!$C$10/12)</f>
        <v>1.1357241211287</v>
      </c>
      <c r="W74" s="38" t="n">
        <f aca="false">IF(W$3=Supuestos!$C$15,0,-W57*(1+$C$8)*Supuestos!$C$10/12)</f>
        <v>0.788163640248376</v>
      </c>
      <c r="X74" s="38" t="n">
        <f aca="false">IF(X$3=Supuestos!$C$15,0,-X57*(1+$C$8)*Supuestos!$C$10/12)</f>
        <v>0.524730343114623</v>
      </c>
      <c r="Y74" s="38" t="n">
        <f aca="false">IF(Y$3=Supuestos!$C$15,0,-Y57*(1+$C$8)*Supuestos!$C$10/12)</f>
        <v>0.333071208680783</v>
      </c>
      <c r="Z74" s="38" t="n">
        <f aca="false">IF(Z$3=Supuestos!$C$15,0,-Z57*(1+$C$8)*Supuestos!$C$10/12)</f>
        <v>0.200086558734911</v>
      </c>
      <c r="AA74" s="38" t="n">
        <f aca="false">IF(AA$3=Supuestos!$C$15,0,-AA57*(1+$C$8)*Supuestos!$C$10/12)</f>
        <v>0.112754287876479</v>
      </c>
      <c r="AB74" s="38" t="n">
        <f aca="false">IF(AB$3=Supuestos!$C$15,0,-AB57*(1+$C$8)*Supuestos!$C$10/12)</f>
        <v>0</v>
      </c>
    </row>
    <row r="75" customFormat="false" ht="15" hidden="false" customHeight="false" outlineLevel="0" collapsed="false">
      <c r="B75" s="3" t="s">
        <v>220</v>
      </c>
      <c r="D75" s="38" t="n">
        <f aca="false">MAX(0,MIN(D66+D67-D68,D73-D74))</f>
        <v>0</v>
      </c>
      <c r="E75" s="38" t="n">
        <f aca="false">MAX(0,MIN(E66+E67-E68,E73-E74))</f>
        <v>0</v>
      </c>
      <c r="F75" s="38" t="n">
        <f aca="false">MAX(0,MIN(F66+F67-F68,F73-F74))</f>
        <v>4.4509036945323</v>
      </c>
      <c r="G75" s="38" t="n">
        <f aca="false">MAX(0,MIN(G66+G67-G68,G73-G74))</f>
        <v>6.62520920685618</v>
      </c>
      <c r="H75" s="38" t="n">
        <f aca="false">MAX(0,MIN(H66+H67-H68,H73-H74))</f>
        <v>8.22925064220343</v>
      </c>
      <c r="I75" s="38" t="n">
        <f aca="false">MAX(0,MIN(I66+I67-I68,I73-I74))</f>
        <v>9.68771882706161</v>
      </c>
      <c r="J75" s="38" t="n">
        <f aca="false">MAX(0,MIN(J66+J67-J68,J73-J74))</f>
        <v>10.9739163181534</v>
      </c>
      <c r="K75" s="38" t="n">
        <f aca="false">MAX(0,MIN(K66+K67-K68,K73-K74))</f>
        <v>12.0638414864341</v>
      </c>
      <c r="L75" s="38" t="n">
        <f aca="false">MAX(0,MIN(L66+L67-L68,L73-L74))</f>
        <v>12.9372926841314</v>
      </c>
      <c r="M75" s="38" t="n">
        <f aca="false">MAX(0,MIN(M66+M67-M68,M73-M74))</f>
        <v>10.0318671406276</v>
      </c>
      <c r="N75" s="38" t="n">
        <f aca="false">MAX(0,MIN(N66+N67-N68,N73-N74))</f>
        <v>0</v>
      </c>
      <c r="O75" s="38" t="n">
        <f aca="false">MAX(0,MIN(O66+O67-O68,O73-O74))</f>
        <v>0</v>
      </c>
      <c r="P75" s="38" t="n">
        <f aca="false">MAX(0,MIN(P66+P67-P68,P73-P74))</f>
        <v>0</v>
      </c>
      <c r="Q75" s="38" t="n">
        <f aca="false">MAX(0,MIN(Q66+Q67-Q68,Q73-Q74))</f>
        <v>0</v>
      </c>
      <c r="R75" s="38" t="n">
        <f aca="false">MAX(0,MIN(R66+R67-R68,R73-R74))</f>
        <v>0</v>
      </c>
      <c r="S75" s="38" t="n">
        <f aca="false">MAX(0,MIN(S66+S67-S68,S73-S74))</f>
        <v>0</v>
      </c>
      <c r="T75" s="38" t="n">
        <f aca="false">MAX(0,MIN(T66+T67-T68,T73-T74))</f>
        <v>0</v>
      </c>
      <c r="U75" s="38" t="n">
        <f aca="false">MAX(0,MIN(U66+U67-U68,U73-U74))</f>
        <v>0</v>
      </c>
      <c r="V75" s="38" t="n">
        <f aca="false">MAX(0,MIN(V66+V67-V68,V73-V74))</f>
        <v>0</v>
      </c>
      <c r="W75" s="38" t="n">
        <f aca="false">MAX(0,MIN(W66+W67-W68,W73-W74))</f>
        <v>0</v>
      </c>
      <c r="X75" s="38" t="n">
        <f aca="false">MAX(0,MIN(X66+X67-X68,X73-X74))</f>
        <v>0</v>
      </c>
      <c r="Y75" s="38" t="n">
        <f aca="false">MAX(0,MIN(Y66+Y67-Y68,Y73-Y74))</f>
        <v>0</v>
      </c>
      <c r="Z75" s="38" t="n">
        <f aca="false">MAX(0,MIN(Z66+Z67-Z68,Z73-Z74))</f>
        <v>0</v>
      </c>
      <c r="AA75" s="38" t="n">
        <f aca="false">MAX(0,MIN(AA66+AA67-AA68,AA73-AA74))</f>
        <v>0</v>
      </c>
      <c r="AB75" s="38" t="n">
        <f aca="false">MAX(0,MIN(AB66+AB67-AB68,AB73-AB74))</f>
        <v>0</v>
      </c>
    </row>
    <row r="76" customFormat="false" ht="15" hidden="false" customHeight="false" outlineLevel="0" collapsed="false">
      <c r="B76" s="3" t="s">
        <v>221</v>
      </c>
      <c r="D76" s="38" t="n">
        <f aca="false">D73-D75</f>
        <v>19.73332</v>
      </c>
      <c r="E76" s="38" t="n">
        <f aca="false">E73-E75</f>
        <v>21.2777065168</v>
      </c>
      <c r="F76" s="38" t="n">
        <f aca="false">F73-F75</f>
        <v>20.0671547220241</v>
      </c>
      <c r="G76" s="38" t="n">
        <f aca="false">G73-G75</f>
        <v>18.390826247707</v>
      </c>
      <c r="H76" s="38" t="n">
        <f aca="false">H73-H75</f>
        <v>16.7291916317792</v>
      </c>
      <c r="I76" s="38" t="n">
        <f aca="false">I73-I75</f>
        <v>15.0947373648469</v>
      </c>
      <c r="J76" s="38" t="n">
        <f aca="false">J73-J75</f>
        <v>13.5001852024767</v>
      </c>
      <c r="K76" s="38" t="n">
        <f aca="false">K73-K75</f>
        <v>11.9582232213266</v>
      </c>
      <c r="L76" s="38" t="n">
        <f aca="false">L73-L75</f>
        <v>10.4812095044301</v>
      </c>
      <c r="M76" s="38" t="n">
        <f aca="false">M73-M75</f>
        <v>12.6280245215064</v>
      </c>
      <c r="N76" s="38" t="n">
        <f aca="false">N73-N75</f>
        <v>21.8543253291313</v>
      </c>
      <c r="O76" s="38" t="n">
        <f aca="false">O73-O75</f>
        <v>21.2262323231139</v>
      </c>
      <c r="P76" s="38" t="n">
        <f aca="false">P73-P75</f>
        <v>19.8184436570917</v>
      </c>
      <c r="Q76" s="38" t="n">
        <f aca="false">Q73-Q75</f>
        <v>17.6070267694094</v>
      </c>
      <c r="R76" s="38" t="n">
        <f aca="false">R73-R75</f>
        <v>15.336069855304</v>
      </c>
      <c r="S76" s="38" t="n">
        <f aca="false">S73-S75</f>
        <v>13.0558276823719</v>
      </c>
      <c r="T76" s="38" t="n">
        <f aca="false">T73-T75</f>
        <v>10.8209523591775</v>
      </c>
      <c r="U76" s="38" t="n">
        <f aca="false">U73-U75</f>
        <v>8.68799407069187</v>
      </c>
      <c r="V76" s="38" t="n">
        <f aca="false">V73-V75</f>
        <v>6.7119087320968</v>
      </c>
      <c r="W76" s="38" t="n">
        <f aca="false">W73-W75</f>
        <v>4.94169927520282</v>
      </c>
      <c r="X76" s="38" t="n">
        <f aca="false">X73-X75</f>
        <v>3.41560897385033</v>
      </c>
      <c r="Y76" s="38" t="n">
        <f aca="false">Y73-Y75</f>
        <v>2.15661902535232</v>
      </c>
      <c r="Z76" s="38" t="n">
        <f aca="false">Z73-Z75</f>
        <v>1.16926735758752</v>
      </c>
      <c r="AA76" s="38" t="n">
        <f aca="false">AA73-AA75</f>
        <v>0.438842334844293</v>
      </c>
      <c r="AB76" s="38" t="n">
        <f aca="false">AB73-AB75</f>
        <v>0.0277636352664148</v>
      </c>
    </row>
    <row r="77" customFormat="false" ht="15" hidden="false" customHeight="false" outlineLevel="0" collapsed="false">
      <c r="B77" s="3" t="s">
        <v>222</v>
      </c>
      <c r="D77" s="38" t="n">
        <f aca="false">MAX(0,MIN(D70+D71-D72,D76-D74))</f>
        <v>0</v>
      </c>
      <c r="E77" s="38" t="n">
        <f aca="false">MAX(0,MIN(E70+E71-E72,E76-E74))</f>
        <v>0</v>
      </c>
      <c r="F77" s="38" t="n">
        <f aca="false">MAX(0,MIN(F70+F71-F72,F76-F74))</f>
        <v>0</v>
      </c>
      <c r="G77" s="38" t="n">
        <f aca="false">MAX(0,MIN(G70+G71-G72,G76-G74))</f>
        <v>0</v>
      </c>
      <c r="H77" s="38" t="n">
        <f aca="false">MAX(0,MIN(H70+H71-H72,H76-H74))</f>
        <v>0</v>
      </c>
      <c r="I77" s="38" t="n">
        <f aca="false">MAX(0,MIN(I70+I71-I72,I76-I74))</f>
        <v>0</v>
      </c>
      <c r="J77" s="38" t="n">
        <f aca="false">MAX(0,MIN(J70+J71-J72,J76-J74))</f>
        <v>0</v>
      </c>
      <c r="K77" s="38" t="n">
        <f aca="false">MAX(0,MIN(K70+K71-K72,K76-K74))</f>
        <v>0</v>
      </c>
      <c r="L77" s="38" t="n">
        <f aca="false">MAX(0,MIN(L70+L71-L72,L76-L74))</f>
        <v>0</v>
      </c>
      <c r="M77" s="38" t="n">
        <f aca="false">MAX(0,MIN(M70+M71-M72,M76-M74))</f>
        <v>3.54716850062375</v>
      </c>
      <c r="N77" s="38" t="n">
        <f aca="false">MAX(0,MIN(N70+N71-N72,N76-N74))</f>
        <v>14.086423823084</v>
      </c>
      <c r="O77" s="38" t="n">
        <f aca="false">MAX(0,MIN(O70+O71-O72,O76-O74))</f>
        <v>7.36640767629225</v>
      </c>
      <c r="P77" s="38" t="n">
        <f aca="false">MAX(0,MIN(P70+P71-P72,P76-P74))</f>
        <v>0</v>
      </c>
      <c r="Q77" s="38" t="n">
        <f aca="false">MAX(0,MIN(Q70+Q71-Q72,Q76-Q74))</f>
        <v>0</v>
      </c>
      <c r="R77" s="38" t="n">
        <f aca="false">MAX(0,MIN(R70+R71-R72,R76-R74))</f>
        <v>0</v>
      </c>
      <c r="S77" s="38" t="n">
        <f aca="false">MAX(0,MIN(S70+S71-S72,S76-S74))</f>
        <v>0</v>
      </c>
      <c r="T77" s="38" t="n">
        <f aca="false">MAX(0,MIN(T70+T71-T72,T76-T74))</f>
        <v>0</v>
      </c>
      <c r="U77" s="38" t="n">
        <f aca="false">MAX(0,MIN(U70+U71-U72,U76-U74))</f>
        <v>0</v>
      </c>
      <c r="V77" s="38" t="n">
        <f aca="false">MAX(0,MIN(V70+V71-V72,V76-V74))</f>
        <v>0</v>
      </c>
      <c r="W77" s="38" t="n">
        <f aca="false">MAX(0,MIN(W70+W71-W72,W76-W74))</f>
        <v>0</v>
      </c>
      <c r="X77" s="38" t="n">
        <f aca="false">MAX(0,MIN(X70+X71-X72,X76-X74))</f>
        <v>0</v>
      </c>
      <c r="Y77" s="38" t="n">
        <f aca="false">MAX(0,MIN(Y70+Y71-Y72,Y76-Y74))</f>
        <v>0</v>
      </c>
      <c r="Z77" s="38" t="n">
        <f aca="false">MAX(0,MIN(Z70+Z71-Z72,Z76-Z74))</f>
        <v>0</v>
      </c>
      <c r="AA77" s="38" t="n">
        <f aca="false">MAX(0,MIN(AA70+AA71-AA72,AA76-AA74))</f>
        <v>0</v>
      </c>
      <c r="AB77" s="38" t="n">
        <f aca="false">MAX(0,MIN(AB70+AB71-AB72,AB76-AB74))</f>
        <v>0</v>
      </c>
    </row>
    <row r="78" customFormat="false" ht="15" hidden="false" customHeight="false" outlineLevel="0" collapsed="false">
      <c r="B78" s="3" t="s">
        <v>223</v>
      </c>
      <c r="D78" s="38" t="n">
        <f aca="false">D76-D77</f>
        <v>19.73332</v>
      </c>
      <c r="E78" s="38" t="n">
        <f aca="false">E76-E77</f>
        <v>21.2777065168</v>
      </c>
      <c r="F78" s="38" t="n">
        <f aca="false">F76-F77</f>
        <v>20.0671547220241</v>
      </c>
      <c r="G78" s="38" t="n">
        <f aca="false">G76-G77</f>
        <v>18.390826247707</v>
      </c>
      <c r="H78" s="38" t="n">
        <f aca="false">H76-H77</f>
        <v>16.7291916317792</v>
      </c>
      <c r="I78" s="38" t="n">
        <f aca="false">I76-I77</f>
        <v>15.0947373648469</v>
      </c>
      <c r="J78" s="38" t="n">
        <f aca="false">J76-J77</f>
        <v>13.5001852024767</v>
      </c>
      <c r="K78" s="38" t="n">
        <f aca="false">K76-K77</f>
        <v>11.9582232213266</v>
      </c>
      <c r="L78" s="38" t="n">
        <f aca="false">L76-L77</f>
        <v>10.4812095044301</v>
      </c>
      <c r="M78" s="38" t="n">
        <f aca="false">M76-M77</f>
        <v>9.08085602088268</v>
      </c>
      <c r="N78" s="38" t="n">
        <f aca="false">N76-N77</f>
        <v>7.76790150604734</v>
      </c>
      <c r="O78" s="38" t="n">
        <f aca="false">O76-O77</f>
        <v>13.8598246468216</v>
      </c>
      <c r="P78" s="38" t="n">
        <f aca="false">P76-P77</f>
        <v>19.8184436570917</v>
      </c>
      <c r="Q78" s="38" t="n">
        <f aca="false">Q76-Q77</f>
        <v>17.6070267694094</v>
      </c>
      <c r="R78" s="38" t="n">
        <f aca="false">R76-R77</f>
        <v>15.336069855304</v>
      </c>
      <c r="S78" s="38" t="n">
        <f aca="false">S76-S77</f>
        <v>13.0558276823719</v>
      </c>
      <c r="T78" s="38" t="n">
        <f aca="false">T76-T77</f>
        <v>10.8209523591775</v>
      </c>
      <c r="U78" s="38" t="n">
        <f aca="false">U76-U77</f>
        <v>8.68799407069187</v>
      </c>
      <c r="V78" s="38" t="n">
        <f aca="false">V76-V77</f>
        <v>6.7119087320968</v>
      </c>
      <c r="W78" s="38" t="n">
        <f aca="false">W76-W77</f>
        <v>4.94169927520282</v>
      </c>
      <c r="X78" s="38" t="n">
        <f aca="false">X76-X77</f>
        <v>3.41560897385033</v>
      </c>
      <c r="Y78" s="38" t="n">
        <f aca="false">Y76-Y77</f>
        <v>2.15661902535232</v>
      </c>
      <c r="Z78" s="38" t="n">
        <f aca="false">Z76-Z77</f>
        <v>1.16926735758752</v>
      </c>
      <c r="AA78" s="38" t="n">
        <f aca="false">AA76-AA77</f>
        <v>0.438842334844293</v>
      </c>
      <c r="AB78" s="38" t="n">
        <f aca="false">AB76-AB77</f>
        <v>0.0277636352664148</v>
      </c>
    </row>
    <row r="79" customFormat="false" ht="15" hidden="false" customHeight="false" outlineLevel="0" collapsed="false">
      <c r="B79" s="3" t="s">
        <v>224</v>
      </c>
      <c r="D79" s="38" t="n">
        <f aca="false">D66+D67-D68-D75</f>
        <v>75</v>
      </c>
      <c r="E79" s="38" t="n">
        <f aca="false">E66+E67-E68-E75</f>
        <v>75</v>
      </c>
      <c r="F79" s="38" t="n">
        <f aca="false">F66+F67-F68-F75</f>
        <v>70.5490963054677</v>
      </c>
      <c r="G79" s="38" t="n">
        <f aca="false">G66+G67-G68-G75</f>
        <v>63.9238870986115</v>
      </c>
      <c r="H79" s="38" t="n">
        <f aca="false">H66+H67-H68-H75</f>
        <v>55.6946364564081</v>
      </c>
      <c r="I79" s="38" t="n">
        <f aca="false">I66+I67-I68-I75</f>
        <v>46.0069176293465</v>
      </c>
      <c r="J79" s="38" t="n">
        <f aca="false">J66+J67-J68-J75</f>
        <v>35.0330013111931</v>
      </c>
      <c r="K79" s="38" t="n">
        <f aca="false">K66+K67-K68-K75</f>
        <v>22.969159824759</v>
      </c>
      <c r="L79" s="38" t="n">
        <f aca="false">L66+L67-L68-L75</f>
        <v>10.0318671406276</v>
      </c>
      <c r="M79" s="38" t="n">
        <f aca="false">M66+M67-M68-M75</f>
        <v>0</v>
      </c>
      <c r="N79" s="38" t="n">
        <f aca="false">N66+N67-N68-N75</f>
        <v>0</v>
      </c>
      <c r="O79" s="38" t="n">
        <f aca="false">O66+O67-O68-O75</f>
        <v>0</v>
      </c>
      <c r="P79" s="38" t="n">
        <f aca="false">P66+P67-P68-P75</f>
        <v>0</v>
      </c>
      <c r="Q79" s="38" t="n">
        <f aca="false">Q66+Q67-Q68-Q75</f>
        <v>0</v>
      </c>
      <c r="R79" s="38" t="n">
        <f aca="false">R66+R67-R68-R75</f>
        <v>0</v>
      </c>
      <c r="S79" s="38" t="n">
        <f aca="false">S66+S67-S68-S75</f>
        <v>0</v>
      </c>
      <c r="T79" s="38" t="n">
        <f aca="false">T66+T67-T68-T75</f>
        <v>0</v>
      </c>
      <c r="U79" s="38" t="n">
        <f aca="false">U66+U67-U68-U75</f>
        <v>0</v>
      </c>
      <c r="V79" s="38" t="n">
        <f aca="false">V66+V67-V68-V75</f>
        <v>0</v>
      </c>
      <c r="W79" s="38" t="n">
        <f aca="false">W66+W67-W68-W75</f>
        <v>0</v>
      </c>
      <c r="X79" s="38" t="n">
        <f aca="false">X66+X67-X68-X75</f>
        <v>0</v>
      </c>
      <c r="Y79" s="38" t="n">
        <f aca="false">Y66+Y67-Y68-Y75</f>
        <v>0</v>
      </c>
      <c r="Z79" s="38" t="n">
        <f aca="false">Z66+Z67-Z68-Z75</f>
        <v>0</v>
      </c>
      <c r="AA79" s="38" t="n">
        <f aca="false">AA66+AA67-AA68-AA75</f>
        <v>0</v>
      </c>
      <c r="AB79" s="38" t="n">
        <f aca="false">AB66+AB67-AB68-AB75</f>
        <v>0</v>
      </c>
    </row>
    <row r="80" customFormat="false" ht="15" hidden="false" customHeight="false" outlineLevel="0" collapsed="false">
      <c r="B80" s="3" t="s">
        <v>225</v>
      </c>
      <c r="D80" s="38" t="n">
        <f aca="false">D70+D71-D72-D77</f>
        <v>25</v>
      </c>
      <c r="E80" s="38" t="n">
        <f aca="false">E70+E71-E72-E77</f>
        <v>25</v>
      </c>
      <c r="F80" s="38" t="n">
        <f aca="false">F70+F71-F72-F77</f>
        <v>25</v>
      </c>
      <c r="G80" s="38" t="n">
        <f aca="false">G70+G71-G72-G77</f>
        <v>25</v>
      </c>
      <c r="H80" s="38" t="n">
        <f aca="false">H70+H71-H72-H77</f>
        <v>25</v>
      </c>
      <c r="I80" s="38" t="n">
        <f aca="false">I70+I71-I72-I77</f>
        <v>25</v>
      </c>
      <c r="J80" s="38" t="n">
        <f aca="false">J70+J71-J72-J77</f>
        <v>25</v>
      </c>
      <c r="K80" s="38" t="n">
        <f aca="false">K70+K71-K72-K77</f>
        <v>25</v>
      </c>
      <c r="L80" s="38" t="n">
        <f aca="false">L70+L71-L72-L77</f>
        <v>25</v>
      </c>
      <c r="M80" s="38" t="n">
        <f aca="false">M70+M71-M72-M77</f>
        <v>21.4528314993763</v>
      </c>
      <c r="N80" s="38" t="n">
        <f aca="false">N70+N71-N72-N77</f>
        <v>7.36640767629225</v>
      </c>
      <c r="O80" s="38" t="n">
        <f aca="false">O70+O71-O72-O77</f>
        <v>0</v>
      </c>
      <c r="P80" s="38" t="n">
        <f aca="false">P70+P71-P72-P77</f>
        <v>0</v>
      </c>
      <c r="Q80" s="38" t="n">
        <f aca="false">Q70+Q71-Q72-Q77</f>
        <v>0</v>
      </c>
      <c r="R80" s="38" t="n">
        <f aca="false">R70+R71-R72-R77</f>
        <v>0</v>
      </c>
      <c r="S80" s="38" t="n">
        <f aca="false">S70+S71-S72-S77</f>
        <v>0</v>
      </c>
      <c r="T80" s="38" t="n">
        <f aca="false">T70+T71-T72-T77</f>
        <v>0</v>
      </c>
      <c r="U80" s="38" t="n">
        <f aca="false">U70+U71-U72-U77</f>
        <v>0</v>
      </c>
      <c r="V80" s="38" t="n">
        <f aca="false">V70+V71-V72-V77</f>
        <v>0</v>
      </c>
      <c r="W80" s="38" t="n">
        <f aca="false">W70+W71-W72-W77</f>
        <v>0</v>
      </c>
      <c r="X80" s="38" t="n">
        <f aca="false">X70+X71-X72-X77</f>
        <v>0</v>
      </c>
      <c r="Y80" s="38" t="n">
        <f aca="false">Y70+Y71-Y72-Y77</f>
        <v>0</v>
      </c>
      <c r="Z80" s="38" t="n">
        <f aca="false">Z70+Z71-Z72-Z77</f>
        <v>0</v>
      </c>
      <c r="AA80" s="38" t="n">
        <f aca="false">AA70+AA71-AA72-AA77</f>
        <v>0</v>
      </c>
      <c r="AB80" s="38" t="n">
        <f aca="false">AB70+AB71-AB72-AB77</f>
        <v>0</v>
      </c>
    </row>
    <row r="81" customFormat="false" ht="15" hidden="false" customHeight="false" outlineLevel="0" collapsed="false">
      <c r="B81" s="3" t="s">
        <v>226</v>
      </c>
      <c r="D81" s="38" t="n">
        <f aca="false">IF(D79+D80&lt;0.000001,MAX(0,D78-D74),0)</f>
        <v>0</v>
      </c>
      <c r="E81" s="38" t="n">
        <f aca="false">IF(E79+E80&lt;0.000001,MAX(0,E78-E74),0)</f>
        <v>0</v>
      </c>
      <c r="F81" s="38" t="n">
        <f aca="false">IF(F79+F80&lt;0.000001,MAX(0,F78-F74),0)</f>
        <v>0</v>
      </c>
      <c r="G81" s="38" t="n">
        <f aca="false">IF(G79+G80&lt;0.000001,MAX(0,G78-G74),0)</f>
        <v>0</v>
      </c>
      <c r="H81" s="38" t="n">
        <f aca="false">IF(H79+H80&lt;0.000001,MAX(0,H78-H74),0)</f>
        <v>0</v>
      </c>
      <c r="I81" s="38" t="n">
        <f aca="false">IF(I79+I80&lt;0.000001,MAX(0,I78-I74),0)</f>
        <v>0</v>
      </c>
      <c r="J81" s="38" t="n">
        <f aca="false">IF(J79+J80&lt;0.000001,MAX(0,J78-J74),0)</f>
        <v>0</v>
      </c>
      <c r="K81" s="38" t="n">
        <f aca="false">IF(K79+K80&lt;0.000001,MAX(0,K78-K74),0)</f>
        <v>0</v>
      </c>
      <c r="L81" s="38" t="n">
        <f aca="false">IF(L79+L80&lt;0.000001,MAX(0,L78-L74),0)</f>
        <v>0</v>
      </c>
      <c r="M81" s="38" t="n">
        <f aca="false">IF(M79+M80&lt;0.000001,MAX(0,M78-M74),0)</f>
        <v>0</v>
      </c>
      <c r="N81" s="38" t="n">
        <f aca="false">IF(N79+N80&lt;0.000001,MAX(0,N78-N74),0)</f>
        <v>0</v>
      </c>
      <c r="O81" s="38" t="n">
        <f aca="false">IF(O79+O80&lt;0.000001,MAX(0,O78-O74),0)</f>
        <v>7.30804165572218</v>
      </c>
      <c r="P81" s="38" t="n">
        <f aca="false">IF(P79+P80&lt;0.000001,MAX(0,P78-P74),0)</f>
        <v>14.3781274352411</v>
      </c>
      <c r="Q81" s="38" t="n">
        <f aca="false">IF(Q79+Q80&lt;0.000001,MAX(0,Q78-Q74),0)</f>
        <v>13.1676308800246</v>
      </c>
      <c r="R81" s="38" t="n">
        <f aca="false">IF(R79+R80&lt;0.000001,MAX(0,R78-R74),0)</f>
        <v>11.7833419771836</v>
      </c>
      <c r="S81" s="38" t="n">
        <f aca="false">IF(S79+S80&lt;0.000001,MAX(0,S78-S74),0)</f>
        <v>10.2742195200829</v>
      </c>
      <c r="T81" s="38" t="n">
        <f aca="false">IF(T79+T80&lt;0.000001,MAX(0,T78-T74),0)</f>
        <v>8.69618550008101</v>
      </c>
      <c r="U81" s="38" t="n">
        <f aca="false">IF(U79+U80&lt;0.000001,MAX(0,U78-U74),0)</f>
        <v>7.1096931042623</v>
      </c>
      <c r="V81" s="38" t="n">
        <f aca="false">IF(V79+V80&lt;0.000001,MAX(0,V78-V74),0)</f>
        <v>5.5761846109681</v>
      </c>
      <c r="W81" s="38" t="n">
        <f aca="false">IF(W79+W80&lt;0.000001,MAX(0,W78-W74),0)</f>
        <v>4.15353563495444</v>
      </c>
      <c r="X81" s="38" t="n">
        <f aca="false">IF(X79+X80&lt;0.000001,MAX(0,X78-X74),0)</f>
        <v>2.89087863073571</v>
      </c>
      <c r="Y81" s="38" t="n">
        <f aca="false">IF(Y79+Y80&lt;0.000001,MAX(0,Y78-Y74),0)</f>
        <v>1.82354781667153</v>
      </c>
      <c r="Z81" s="38" t="n">
        <f aca="false">IF(Z79+Z80&lt;0.000001,MAX(0,Z78-Z74),0)</f>
        <v>0.969180798852612</v>
      </c>
      <c r="AA81" s="38" t="n">
        <f aca="false">IF(AA79+AA80&lt;0.000001,MAX(0,AA78-AA74),0)</f>
        <v>0.326088046967814</v>
      </c>
      <c r="AB81" s="38" t="n">
        <f aca="false">IF(AB79+AB80&lt;0.000001,MAX(0,AB78-AB74),0)</f>
        <v>0.0277636352664148</v>
      </c>
    </row>
    <row r="82" customFormat="false" ht="15" hidden="false" customHeight="false" outlineLevel="0" collapsed="false">
      <c r="B82" s="2" t="s">
        <v>227</v>
      </c>
      <c r="D82" s="38" t="n">
        <f aca="false">D78-D81</f>
        <v>19.73332</v>
      </c>
      <c r="E82" s="38" t="n">
        <f aca="false">E78-E81</f>
        <v>21.2777065168</v>
      </c>
      <c r="F82" s="38" t="n">
        <f aca="false">F78-F81</f>
        <v>20.0671547220241</v>
      </c>
      <c r="G82" s="38" t="n">
        <f aca="false">G78-G81</f>
        <v>18.390826247707</v>
      </c>
      <c r="H82" s="38" t="n">
        <f aca="false">H78-H81</f>
        <v>16.7291916317792</v>
      </c>
      <c r="I82" s="38" t="n">
        <f aca="false">I78-I81</f>
        <v>15.0947373648469</v>
      </c>
      <c r="J82" s="38" t="n">
        <f aca="false">J78-J81</f>
        <v>13.5001852024767</v>
      </c>
      <c r="K82" s="38" t="n">
        <f aca="false">K78-K81</f>
        <v>11.9582232213266</v>
      </c>
      <c r="L82" s="38" t="n">
        <f aca="false">L78-L81</f>
        <v>10.4812095044301</v>
      </c>
      <c r="M82" s="38" t="n">
        <f aca="false">M78-M81</f>
        <v>9.08085602088268</v>
      </c>
      <c r="N82" s="38" t="n">
        <f aca="false">N78-N81</f>
        <v>7.76790150604734</v>
      </c>
      <c r="O82" s="38" t="n">
        <f aca="false">O78-O81</f>
        <v>6.55178299109947</v>
      </c>
      <c r="P82" s="38" t="n">
        <f aca="false">P78-P81</f>
        <v>5.44031622185065</v>
      </c>
      <c r="Q82" s="38" t="n">
        <f aca="false">Q78-Q81</f>
        <v>4.43939588938474</v>
      </c>
      <c r="R82" s="38" t="n">
        <f aca="false">R78-R81</f>
        <v>3.55272787812038</v>
      </c>
      <c r="S82" s="38" t="n">
        <f aca="false">S78-S81</f>
        <v>2.78160816228902</v>
      </c>
      <c r="T82" s="38" t="n">
        <f aca="false">T78-T81</f>
        <v>2.1247668590965</v>
      </c>
      <c r="U82" s="38" t="n">
        <f aca="false">U78-U81</f>
        <v>1.57830096642956</v>
      </c>
      <c r="V82" s="38" t="n">
        <f aca="false">V78-V81</f>
        <v>1.1357241211287</v>
      </c>
      <c r="W82" s="38" t="n">
        <f aca="false">W78-W81</f>
        <v>0.788163640248376</v>
      </c>
      <c r="X82" s="38" t="n">
        <f aca="false">X78-X81</f>
        <v>0.524730343114623</v>
      </c>
      <c r="Y82" s="38" t="n">
        <f aca="false">Y78-Y81</f>
        <v>0.333071208680783</v>
      </c>
      <c r="Z82" s="38" t="n">
        <f aca="false">Z78-Z81</f>
        <v>0.200086558734911</v>
      </c>
      <c r="AA82" s="38" t="n">
        <f aca="false">AA78-AA81</f>
        <v>0.112754287876479</v>
      </c>
      <c r="AB82" s="38" t="n">
        <f aca="false">AB78-AB81</f>
        <v>0</v>
      </c>
    </row>
    <row r="83" customFormat="false" ht="15" hidden="false" customHeight="false" outlineLevel="0" collapsed="false">
      <c r="B83" s="3" t="s">
        <v>228</v>
      </c>
      <c r="D83" s="10" t="n">
        <f aca="false">IF(AND(D65&lt;0,D66+D70&gt;0.000001),1,0)</f>
        <v>0</v>
      </c>
      <c r="E83" s="10" t="n">
        <f aca="false">IF(AND(E65&lt;0,E66+E70&gt;0.000001),1,0)</f>
        <v>0</v>
      </c>
      <c r="F83" s="10" t="n">
        <f aca="false">IF(AND(F65&lt;0,F66+F70&gt;0.000001),1,0)</f>
        <v>0</v>
      </c>
      <c r="G83" s="10" t="n">
        <f aca="false">IF(AND(G65&lt;0,G66+G70&gt;0.000001),1,0)</f>
        <v>0</v>
      </c>
      <c r="H83" s="10" t="n">
        <f aca="false">IF(AND(H65&lt;0,H66+H70&gt;0.000001),1,0)</f>
        <v>0</v>
      </c>
      <c r="I83" s="10" t="n">
        <f aca="false">IF(AND(I65&lt;0,I66+I70&gt;0.000001),1,0)</f>
        <v>0</v>
      </c>
      <c r="J83" s="10" t="n">
        <f aca="false">IF(AND(J65&lt;0,J66+J70&gt;0.000001),1,0)</f>
        <v>0</v>
      </c>
      <c r="K83" s="10" t="n">
        <f aca="false">IF(AND(K65&lt;0,K66+K70&gt;0.000001),1,0)</f>
        <v>0</v>
      </c>
      <c r="L83" s="10" t="n">
        <f aca="false">IF(AND(L65&lt;0,L66+L70&gt;0.000001),1,0)</f>
        <v>0</v>
      </c>
      <c r="M83" s="10" t="n">
        <f aca="false">IF(AND(M65&lt;0,M66+M70&gt;0.000001),1,0)</f>
        <v>0</v>
      </c>
      <c r="N83" s="10" t="n">
        <f aca="false">IF(AND(N65&lt;0,N66+N70&gt;0.000001),1,0)</f>
        <v>0</v>
      </c>
      <c r="O83" s="10" t="n">
        <f aca="false">IF(AND(O65&lt;0,O66+O70&gt;0.000001),1,0)</f>
        <v>0</v>
      </c>
      <c r="P83" s="10" t="n">
        <f aca="false">IF(AND(P65&lt;0,P66+P70&gt;0.000001),1,0)</f>
        <v>0</v>
      </c>
      <c r="Q83" s="10" t="n">
        <f aca="false">IF(AND(Q65&lt;0,Q66+Q70&gt;0.000001),1,0)</f>
        <v>0</v>
      </c>
      <c r="R83" s="10" t="n">
        <f aca="false">IF(AND(R65&lt;0,R66+R70&gt;0.000001),1,0)</f>
        <v>0</v>
      </c>
      <c r="S83" s="10" t="n">
        <f aca="false">IF(AND(S65&lt;0,S66+S70&gt;0.000001),1,0)</f>
        <v>0</v>
      </c>
      <c r="T83" s="10" t="n">
        <f aca="false">IF(AND(T65&lt;0,T66+T70&gt;0.000001),1,0)</f>
        <v>0</v>
      </c>
      <c r="U83" s="10" t="n">
        <f aca="false">IF(AND(U65&lt;0,U66+U70&gt;0.000001),1,0)</f>
        <v>0</v>
      </c>
      <c r="V83" s="10" t="n">
        <f aca="false">IF(AND(V65&lt;0,V66+V70&gt;0.000001),1,0)</f>
        <v>0</v>
      </c>
      <c r="W83" s="10" t="n">
        <f aca="false">IF(AND(W65&lt;0,W66+W70&gt;0.000001),1,0)</f>
        <v>0</v>
      </c>
      <c r="X83" s="10" t="n">
        <f aca="false">IF(AND(X65&lt;0,X66+X70&gt;0.000001),1,0)</f>
        <v>0</v>
      </c>
      <c r="Y83" s="10" t="n">
        <f aca="false">IF(AND(Y65&lt;0,Y66+Y70&gt;0.000001),1,0)</f>
        <v>0</v>
      </c>
      <c r="Z83" s="10" t="n">
        <f aca="false">IF(AND(Z65&lt;0,Z66+Z70&gt;0.000001),1,0)</f>
        <v>0</v>
      </c>
      <c r="AA83" s="10" t="n">
        <f aca="false">IF(AND(AA65&lt;0,AA66+AA70&gt;0.000001),1,0)</f>
        <v>0</v>
      </c>
      <c r="AB83" s="10" t="n">
        <f aca="false">IF(AND(AB65&lt;0,AB66+AB70&gt;0.000001),1,0)</f>
        <v>0</v>
      </c>
    </row>
    <row r="85" customFormat="false" ht="15" hidden="false" customHeight="false" outlineLevel="0" collapsed="false">
      <c r="A85" s="2" t="s">
        <v>229</v>
      </c>
    </row>
    <row r="86" customFormat="false" ht="15" hidden="false" customHeight="false" outlineLevel="0" collapsed="false">
      <c r="B86" s="3" t="s">
        <v>230</v>
      </c>
      <c r="C86" s="31" t="n">
        <f aca="false">MIN(1,AB79/Supuestos!C5)</f>
        <v>0</v>
      </c>
    </row>
    <row r="87" customFormat="false" ht="15" hidden="false" customHeight="false" outlineLevel="0" collapsed="false">
      <c r="B87" s="3" t="s">
        <v>231</v>
      </c>
      <c r="C87" s="31" t="n">
        <f aca="false">MIN(1,AB80/Supuestos!C7)</f>
        <v>0</v>
      </c>
    </row>
    <row r="88" customFormat="false" ht="15" hidden="false" customHeight="false" outlineLevel="0" collapsed="false">
      <c r="B88" s="3" t="s">
        <v>232</v>
      </c>
      <c r="C88" s="38" t="n">
        <f aca="false">SUM(D67:AB67)-SUM(D68:AB68)</f>
        <v>0</v>
      </c>
    </row>
    <row r="89" customFormat="false" ht="15" hidden="false" customHeight="false" outlineLevel="0" collapsed="false">
      <c r="B89" s="3" t="s">
        <v>233</v>
      </c>
      <c r="C89" s="38" t="n">
        <f aca="false">MIN(IF(D66+D70&gt;0.000001,D65,1000000000),IF(E66+E70&gt;0.000001,E65,1000000000),IF(F66+F70&gt;0.000001,F65,1000000000),IF(G66+G70&gt;0.000001,G65,1000000000),IF(H66+H70&gt;0.000001,H65,1000000000),IF(I66+I70&gt;0.000001,I65,1000000000),IF(J66+J70&gt;0.000001,J65,1000000000),IF(K66+K70&gt;0.000001,K65,1000000000),IF(L66+L70&gt;0.000001,L65,1000000000),IF(M66+M70&gt;0.000001,M65,1000000000),IF(N66+N70&gt;0.000001,N65,1000000000),IF(O66+O70&gt;0.000001,O65,1000000000),IF(P66+P70&gt;0.000001,P65,1000000000),IF(Q66+Q70&gt;0.000001,Q65,1000000000),IF(R66+R70&gt;0.000001,R65,1000000000),IF(S66+S70&gt;0.000001,S65,1000000000),IF(T66+T70&gt;0.000001,T65,1000000000),IF(U66+U70&gt;0.000001,U65,1000000000),IF(V66+V70&gt;0.000001,V65,1000000000),IF(W66+W70&gt;0.000001,W65,1000000000),IF(X66+X70&gt;0.000001,X65,1000000000),IF(Y66+Y70&gt;0.000001,Y65,1000000000),IF(Z66+Z70&gt;0.000001,Z65,1000000000),IF(AA66+AA70&gt;0.000001,AA65,1000000000),IF(AB66+AB70&gt;0.000001,AB65,1000000000))</f>
        <v>21.9260410523617</v>
      </c>
    </row>
    <row r="90" customFormat="false" ht="15" hidden="false" customHeight="false" outlineLevel="0" collapsed="false">
      <c r="B90" s="3" t="s">
        <v>234</v>
      </c>
      <c r="C90" s="10" t="n">
        <f aca="false">SUM(D83:AB83)</f>
        <v>0</v>
      </c>
    </row>
    <row r="91" customFormat="false" ht="15" hidden="false" customHeight="false" outlineLevel="0" collapsed="false">
      <c r="B91" s="3" t="s">
        <v>235</v>
      </c>
      <c r="C91" s="33" t="n">
        <f aca="false">IFERROR(SUMPRODUCT(D75:AB75,D3:AB3)/SUM(D75:AB75),0)</f>
        <v>7.05611421021885</v>
      </c>
    </row>
    <row r="92" customFormat="false" ht="15" hidden="false" customHeight="false" outlineLevel="0" collapsed="false">
      <c r="B92" s="3" t="s">
        <v>236</v>
      </c>
      <c r="C92" s="33" t="n">
        <f aca="false">IFERROR(SUMPRODUCT(D77:AB77,D3:AB3)/SUM(D77:AB77),0)</f>
        <v>11.1527695670267</v>
      </c>
    </row>
    <row r="93" customFormat="false" ht="15" hidden="false" customHeight="false" outlineLevel="0" collapsed="false">
      <c r="B93" s="3" t="s">
        <v>237</v>
      </c>
      <c r="C93" s="33" t="n">
        <f aca="false">(C18*Cartera!D5+C26*Cartera!D6+C34*Cartera!D7+C42*Cartera!D8+C50*Cartera!D9)/Cartera!D10</f>
        <v>8.10258765402886</v>
      </c>
    </row>
    <row r="94" customFormat="false" ht="15" hidden="false" customHeight="false" outlineLevel="0" collapsed="false">
      <c r="B94" s="3" t="s">
        <v>238</v>
      </c>
      <c r="C94" s="10" t="n">
        <f aca="false">IF(AND(C86&lt;=Supuestos!C20+0.000001,C88&lt;0.000001),1,0)</f>
        <v>1</v>
      </c>
    </row>
    <row r="95" customFormat="false" ht="15" hidden="false" customHeight="false" outlineLevel="0" collapsed="false">
      <c r="B95" s="3" t="s">
        <v>239</v>
      </c>
      <c r="C95" s="10" t="n">
        <f aca="false">IF(C87&lt;=Supuestos!C20+0.000001,1,0)</f>
        <v>1</v>
      </c>
    </row>
    <row r="96" customFormat="false" ht="15" hidden="false" customHeight="false" outlineLevel="0" collapsed="false">
      <c r="B96" s="3" t="s">
        <v>240</v>
      </c>
      <c r="C96" s="38" t="n">
        <f aca="false">SUM(D81:AB81)+MAX(0,AB82)</f>
        <v>88.4844192470142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28" min="4" style="0" width="10"/>
  </cols>
  <sheetData>
    <row r="1" customFormat="false" ht="17.35" hidden="false" customHeight="false" outlineLevel="0" collapsed="false">
      <c r="A1" s="1" t="s">
        <v>244</v>
      </c>
    </row>
    <row r="2" customFormat="false" ht="15" hidden="false" customHeight="false" outlineLevel="0" collapsed="false">
      <c r="A2" s="3" t="s">
        <v>21</v>
      </c>
      <c r="C2" s="2" t="s">
        <v>36</v>
      </c>
    </row>
    <row r="3" customFormat="false" ht="15" hidden="false" customHeight="false" outlineLevel="0" collapsed="false">
      <c r="A3" s="2" t="s">
        <v>185</v>
      </c>
      <c r="D3" s="35" t="n">
        <v>1</v>
      </c>
      <c r="E3" s="35" t="n">
        <v>2</v>
      </c>
      <c r="F3" s="35" t="n">
        <v>3</v>
      </c>
      <c r="G3" s="35" t="n">
        <v>4</v>
      </c>
      <c r="H3" s="35" t="n">
        <v>5</v>
      </c>
      <c r="I3" s="35" t="n">
        <v>6</v>
      </c>
      <c r="J3" s="35" t="n">
        <v>7</v>
      </c>
      <c r="K3" s="35" t="n">
        <v>8</v>
      </c>
      <c r="L3" s="35" t="n">
        <v>9</v>
      </c>
      <c r="M3" s="35" t="n">
        <v>10</v>
      </c>
      <c r="N3" s="35" t="n">
        <v>11</v>
      </c>
      <c r="O3" s="35" t="n">
        <v>12</v>
      </c>
      <c r="P3" s="35" t="n">
        <v>13</v>
      </c>
      <c r="Q3" s="35" t="n">
        <v>14</v>
      </c>
      <c r="R3" s="35" t="n">
        <v>15</v>
      </c>
      <c r="S3" s="35" t="n">
        <v>16</v>
      </c>
      <c r="T3" s="35" t="n">
        <v>17</v>
      </c>
      <c r="U3" s="35" t="n">
        <v>18</v>
      </c>
      <c r="V3" s="35" t="n">
        <v>19</v>
      </c>
      <c r="W3" s="35" t="n">
        <v>20</v>
      </c>
      <c r="X3" s="35" t="n">
        <v>21</v>
      </c>
      <c r="Y3" s="35" t="n">
        <v>22</v>
      </c>
      <c r="Z3" s="35" t="n">
        <v>23</v>
      </c>
      <c r="AA3" s="35" t="n">
        <v>24</v>
      </c>
      <c r="AB3" s="35" t="n">
        <v>25</v>
      </c>
    </row>
    <row r="5" customFormat="false" ht="15" hidden="false" customHeight="false" outlineLevel="0" collapsed="false">
      <c r="A5" s="3" t="s">
        <v>186</v>
      </c>
      <c r="C5" s="5" t="n">
        <f aca="false">Supuestos!C28</f>
        <v>0.94</v>
      </c>
    </row>
    <row r="6" customFormat="false" ht="15" hidden="false" customHeight="false" outlineLevel="0" collapsed="false">
      <c r="A6" s="3" t="s">
        <v>187</v>
      </c>
      <c r="C6" s="5" t="n">
        <f aca="false">Supuestos!D28</f>
        <v>0.01</v>
      </c>
    </row>
    <row r="7" customFormat="false" ht="15" hidden="false" customHeight="false" outlineLevel="0" collapsed="false">
      <c r="A7" s="3" t="s">
        <v>188</v>
      </c>
      <c r="C7" s="12" t="n">
        <f aca="false">Supuestos!E28</f>
        <v>0.01</v>
      </c>
    </row>
    <row r="8" customFormat="false" ht="15" hidden="false" customHeight="false" outlineLevel="0" collapsed="false">
      <c r="A8" s="3" t="s">
        <v>189</v>
      </c>
      <c r="C8" s="7" t="n">
        <f aca="false">Supuestos!F28</f>
        <v>0.0025</v>
      </c>
    </row>
    <row r="9" customFormat="false" ht="15" hidden="false" customHeight="false" outlineLevel="0" collapsed="false">
      <c r="A9" s="3" t="s">
        <v>104</v>
      </c>
      <c r="C9" s="12" t="n">
        <f aca="false">Supuestos!G28</f>
        <v>0.1</v>
      </c>
    </row>
    <row r="10" customFormat="false" ht="15" hidden="false" customHeight="false" outlineLevel="0" collapsed="false">
      <c r="A10" s="2" t="s">
        <v>190</v>
      </c>
      <c r="C10" s="36" t="n">
        <f aca="false">MAX(0,C5-IF(Cartera!C10&lt;Supuestos!C16,C6,0))</f>
        <v>0.94</v>
      </c>
    </row>
    <row r="12" customFormat="false" ht="15" hidden="false" customHeight="false" outlineLevel="0" collapsed="false">
      <c r="A12" s="37" t="str">
        <f aca="false">Cartera!A5&amp;" – "&amp;Cartera!B5</f>
        <v>C1 – Edad 75–79, salud estándar</v>
      </c>
    </row>
    <row r="13" customFormat="false" ht="15" hidden="false" customHeight="false" outlineLevel="0" collapsed="false">
      <c r="B13" s="3" t="s">
        <v>191</v>
      </c>
      <c r="D13" s="34" t="n">
        <f aca="false">MIN(1,Cartera!$F$5*(1+Cartera!$G$5)^(D$3-1)*$C$10)</f>
        <v>0.0423</v>
      </c>
      <c r="E13" s="34" t="n">
        <f aca="false">MIN(1,Cartera!$F$5*(1+Cartera!$G$5)^(E$3-1)*$C$10)</f>
        <v>0.046953</v>
      </c>
      <c r="F13" s="34" t="n">
        <f aca="false">MIN(1,Cartera!$F$5*(1+Cartera!$G$5)^(F$3-1)*$C$10)</f>
        <v>0.05211783</v>
      </c>
      <c r="G13" s="34" t="n">
        <f aca="false">MIN(1,Cartera!$F$5*(1+Cartera!$G$5)^(G$3-1)*$C$10)</f>
        <v>0.0578507913</v>
      </c>
      <c r="H13" s="34" t="n">
        <f aca="false">MIN(1,Cartera!$F$5*(1+Cartera!$G$5)^(H$3-1)*$C$10)</f>
        <v>0.064214378343</v>
      </c>
      <c r="I13" s="34" t="n">
        <f aca="false">MIN(1,Cartera!$F$5*(1+Cartera!$G$5)^(I$3-1)*$C$10)</f>
        <v>0.07127795996073</v>
      </c>
      <c r="J13" s="34" t="n">
        <f aca="false">MIN(1,Cartera!$F$5*(1+Cartera!$G$5)^(J$3-1)*$C$10)</f>
        <v>0.0791185355564103</v>
      </c>
      <c r="K13" s="34" t="n">
        <f aca="false">MIN(1,Cartera!$F$5*(1+Cartera!$G$5)^(K$3-1)*$C$10)</f>
        <v>0.0878215744676155</v>
      </c>
      <c r="L13" s="34" t="n">
        <f aca="false">MIN(1,Cartera!$F$5*(1+Cartera!$G$5)^(L$3-1)*$C$10)</f>
        <v>0.0974819476590532</v>
      </c>
      <c r="M13" s="34" t="n">
        <f aca="false">MIN(1,Cartera!$F$5*(1+Cartera!$G$5)^(M$3-1)*$C$10)</f>
        <v>0.108204961901549</v>
      </c>
      <c r="N13" s="34" t="n">
        <f aca="false">MIN(1,Cartera!$F$5*(1+Cartera!$G$5)^(N$3-1)*$C$10)</f>
        <v>0.120107507710719</v>
      </c>
      <c r="O13" s="34" t="n">
        <f aca="false">MIN(1,Cartera!$F$5*(1+Cartera!$G$5)^(O$3-1)*$C$10)</f>
        <v>0.133319333558899</v>
      </c>
      <c r="P13" s="34" t="n">
        <f aca="false">MIN(1,Cartera!$F$5*(1+Cartera!$G$5)^(P$3-1)*$C$10)</f>
        <v>0.147984460250377</v>
      </c>
      <c r="Q13" s="34" t="n">
        <f aca="false">MIN(1,Cartera!$F$5*(1+Cartera!$G$5)^(Q$3-1)*$C$10)</f>
        <v>0.164262750877919</v>
      </c>
      <c r="R13" s="34" t="n">
        <f aca="false">MIN(1,Cartera!$F$5*(1+Cartera!$G$5)^(R$3-1)*$C$10)</f>
        <v>0.18233165347449</v>
      </c>
      <c r="S13" s="34" t="n">
        <f aca="false">MIN(1,Cartera!$F$5*(1+Cartera!$G$5)^(S$3-1)*$C$10)</f>
        <v>0.202388135356684</v>
      </c>
      <c r="T13" s="34" t="n">
        <f aca="false">MIN(1,Cartera!$F$5*(1+Cartera!$G$5)^(T$3-1)*$C$10)</f>
        <v>0.224650830245919</v>
      </c>
      <c r="U13" s="34" t="n">
        <f aca="false">MIN(1,Cartera!$F$5*(1+Cartera!$G$5)^(U$3-1)*$C$10)</f>
        <v>0.24936242157297</v>
      </c>
      <c r="V13" s="34" t="n">
        <f aca="false">MIN(1,Cartera!$F$5*(1+Cartera!$G$5)^(V$3-1)*$C$10)</f>
        <v>0.276792287945997</v>
      </c>
      <c r="W13" s="34" t="n">
        <f aca="false">MIN(1,Cartera!$F$5*(1+Cartera!$G$5)^(W$3-1)*$C$10)</f>
        <v>0.307239439620057</v>
      </c>
      <c r="X13" s="34" t="n">
        <f aca="false">MIN(1,Cartera!$F$5*(1+Cartera!$G$5)^(X$3-1)*$C$10)</f>
        <v>0.341035777978263</v>
      </c>
      <c r="Y13" s="34" t="n">
        <f aca="false">MIN(1,Cartera!$F$5*(1+Cartera!$G$5)^(Y$3-1)*$C$10)</f>
        <v>0.378549713555872</v>
      </c>
      <c r="Z13" s="34" t="n">
        <f aca="false">MIN(1,Cartera!$F$5*(1+Cartera!$G$5)^(Z$3-1)*$C$10)</f>
        <v>0.420190182047018</v>
      </c>
      <c r="AA13" s="34" t="n">
        <f aca="false">MIN(1,Cartera!$F$5*(1+Cartera!$G$5)^(AA$3-1)*$C$10)</f>
        <v>0.46641110207219</v>
      </c>
      <c r="AB13" s="34" t="n">
        <f aca="false">MIN(1,Cartera!$F$5*(1+Cartera!$G$5)^(AB$3-1)*$C$10)</f>
        <v>0.517716323300131</v>
      </c>
    </row>
    <row r="14" customFormat="false" ht="15" hidden="false" customHeight="false" outlineLevel="0" collapsed="false">
      <c r="B14" s="3" t="s">
        <v>192</v>
      </c>
      <c r="C14" s="3" t="s">
        <v>193</v>
      </c>
      <c r="D14" s="34" t="n">
        <f aca="false">1</f>
        <v>1</v>
      </c>
      <c r="E14" s="34" t="n">
        <f aca="false">D18</f>
        <v>0.9577</v>
      </c>
      <c r="F14" s="34" t="n">
        <f aca="false">E18</f>
        <v>0.9127331119</v>
      </c>
      <c r="G14" s="34" t="n">
        <f aca="false">F18</f>
        <v>0.865163442738625</v>
      </c>
      <c r="H14" s="34" t="n">
        <f aca="false">G18</f>
        <v>0.815113052972363</v>
      </c>
      <c r="I14" s="34" t="n">
        <f aca="false">H18</f>
        <v>0.762771074996478</v>
      </c>
      <c r="J14" s="34" t="n">
        <f aca="false">I18</f>
        <v>0.708402308853676</v>
      </c>
      <c r="K14" s="34" t="n">
        <f aca="false">J18</f>
        <v>0.652354555592393</v>
      </c>
      <c r="L14" s="34" t="n">
        <f aca="false">K18</f>
        <v>0.595063751409148</v>
      </c>
      <c r="M14" s="34" t="n">
        <f aca="false">L18</f>
        <v>0.537055777940481</v>
      </c>
      <c r="N14" s="34" t="n">
        <f aca="false">M18</f>
        <v>0.478943677949425</v>
      </c>
      <c r="O14" s="34" t="n">
        <f aca="false">N18</f>
        <v>0.421418946457114</v>
      </c>
      <c r="P14" s="34" t="n">
        <f aca="false">O18</f>
        <v>0.365235653366358</v>
      </c>
      <c r="Q14" s="34" t="n">
        <f aca="false">P18</f>
        <v>0.311186452338744</v>
      </c>
      <c r="R14" s="34" t="n">
        <f aca="false">Q18</f>
        <v>0.260070109641641</v>
      </c>
      <c r="S14" s="34" t="n">
        <f aca="false">R18</f>
        <v>0.212651096531389</v>
      </c>
      <c r="T14" s="34" t="n">
        <f aca="false">S18</f>
        <v>0.169613037622847</v>
      </c>
      <c r="U14" s="34" t="n">
        <f aca="false">T18</f>
        <v>0.131509327900342</v>
      </c>
      <c r="V14" s="34" t="n">
        <f aca="false">U18</f>
        <v>0.0987158434356789</v>
      </c>
      <c r="W14" s="34" t="n">
        <f aca="false">V18</f>
        <v>0.0713920592745985</v>
      </c>
      <c r="X14" s="34" t="n">
        <f aca="false">W18</f>
        <v>0.049457602989749</v>
      </c>
      <c r="Y14" s="34" t="n">
        <f aca="false">X18</f>
        <v>0.0325907908771999</v>
      </c>
      <c r="Z14" s="34" t="n">
        <f aca="false">Y18</f>
        <v>0.0202535563260765</v>
      </c>
      <c r="AA14" s="34" t="n">
        <f aca="false">Z18</f>
        <v>0.0117432108063229</v>
      </c>
      <c r="AB14" s="34" t="n">
        <f aca="false">AA18</f>
        <v>0.00626604691227977</v>
      </c>
    </row>
    <row r="15" customFormat="false" ht="15" hidden="false" customHeight="false" outlineLevel="0" collapsed="false">
      <c r="B15" s="3" t="s">
        <v>194</v>
      </c>
      <c r="D15" s="34" t="n">
        <f aca="false">D14*D13</f>
        <v>0.0423</v>
      </c>
      <c r="E15" s="34" t="n">
        <f aca="false">E14*E13</f>
        <v>0.0449668881</v>
      </c>
      <c r="F15" s="34" t="n">
        <f aca="false">F14*F13</f>
        <v>0.0475696691613752</v>
      </c>
      <c r="G15" s="34" t="n">
        <f aca="false">G14*G13</f>
        <v>0.0500503897662617</v>
      </c>
      <c r="H15" s="34" t="n">
        <f aca="false">H14*H13</f>
        <v>0.0523419779758851</v>
      </c>
      <c r="I15" s="34" t="n">
        <f aca="false">I14*I13</f>
        <v>0.054368766142802</v>
      </c>
      <c r="J15" s="34" t="n">
        <f aca="false">J14*J13</f>
        <v>0.0560477532612827</v>
      </c>
      <c r="K15" s="34" t="n">
        <f aca="false">K14*K13</f>
        <v>0.0572908041832456</v>
      </c>
      <c r="L15" s="34" t="n">
        <f aca="false">L14*L13</f>
        <v>0.0580079734686664</v>
      </c>
      <c r="M15" s="34" t="n">
        <f aca="false">M14*M13</f>
        <v>0.0581120999910566</v>
      </c>
      <c r="N15" s="34" t="n">
        <f aca="false">N14*N13</f>
        <v>0.0575247314923109</v>
      </c>
      <c r="O15" s="34" t="n">
        <f aca="false">O14*O13</f>
        <v>0.0561832930907556</v>
      </c>
      <c r="P15" s="34" t="n">
        <f aca="false">P14*P13</f>
        <v>0.0540492010276145</v>
      </c>
      <c r="Q15" s="34" t="n">
        <f aca="false">Q14*Q13</f>
        <v>0.0511163426971025</v>
      </c>
      <c r="R15" s="34" t="n">
        <f aca="false">R14*R13</f>
        <v>0.0474190131102524</v>
      </c>
      <c r="S15" s="34" t="n">
        <f aca="false">S14*S13</f>
        <v>0.043038058908542</v>
      </c>
      <c r="T15" s="34" t="n">
        <f aca="false">T14*T13</f>
        <v>0.0381037097225049</v>
      </c>
      <c r="U15" s="34" t="n">
        <f aca="false">U14*U13</f>
        <v>0.0327934844646631</v>
      </c>
      <c r="V15" s="34" t="n">
        <f aca="false">V14*V13</f>
        <v>0.0273237841610804</v>
      </c>
      <c r="W15" s="34" t="n">
        <f aca="false">W14*W13</f>
        <v>0.0219344562848495</v>
      </c>
      <c r="X15" s="34" t="n">
        <f aca="false">X14*X13</f>
        <v>0.0168668121125491</v>
      </c>
      <c r="Y15" s="34" t="n">
        <f aca="false">Y14*Y13</f>
        <v>0.0123372345511233</v>
      </c>
      <c r="Z15" s="34" t="n">
        <f aca="false">Z14*Z13</f>
        <v>0.00851034551975363</v>
      </c>
      <c r="AA15" s="34" t="n">
        <f aca="false">AA14*AA13</f>
        <v>0.00547716389404311</v>
      </c>
      <c r="AB15" s="34" t="n">
        <f aca="false">AB14*AB13</f>
        <v>0.00324403476905162</v>
      </c>
    </row>
    <row r="16" customFormat="false" ht="15" hidden="false" customHeight="false" outlineLevel="0" collapsed="false">
      <c r="B16" s="3" t="s">
        <v>195</v>
      </c>
      <c r="D16" s="38" t="n">
        <f aca="false">D15*Cartera!$D$5</f>
        <v>3.807</v>
      </c>
      <c r="E16" s="38" t="n">
        <f aca="false">E15*Cartera!$D$5</f>
        <v>4.047019929</v>
      </c>
      <c r="F16" s="38" t="n">
        <f aca="false">F15*Cartera!$D$5</f>
        <v>4.28127022452377</v>
      </c>
      <c r="G16" s="38" t="n">
        <f aca="false">G15*Cartera!$D$5</f>
        <v>4.50453507896355</v>
      </c>
      <c r="H16" s="38" t="n">
        <f aca="false">H15*Cartera!$D$5</f>
        <v>4.71077801782966</v>
      </c>
      <c r="I16" s="38" t="n">
        <f aca="false">I15*Cartera!$D$5</f>
        <v>4.89318895285218</v>
      </c>
      <c r="J16" s="38" t="n">
        <f aca="false">J15*Cartera!$D$5</f>
        <v>5.04429779351545</v>
      </c>
      <c r="K16" s="38" t="n">
        <f aca="false">K15*Cartera!$D$5</f>
        <v>5.1561723764921</v>
      </c>
      <c r="L16" s="38" t="n">
        <f aca="false">L15*Cartera!$D$5</f>
        <v>5.22071761217997</v>
      </c>
      <c r="M16" s="38" t="n">
        <f aca="false">M15*Cartera!$D$5</f>
        <v>5.23008899919509</v>
      </c>
      <c r="N16" s="38" t="n">
        <f aca="false">N15*Cartera!$D$5</f>
        <v>5.17722583430798</v>
      </c>
      <c r="O16" s="38" t="n">
        <f aca="false">O15*Cartera!$D$5</f>
        <v>5.05649637816801</v>
      </c>
      <c r="P16" s="38" t="n">
        <f aca="false">P15*Cartera!$D$5</f>
        <v>4.86442809248531</v>
      </c>
      <c r="Q16" s="38" t="n">
        <f aca="false">Q15*Cartera!$D$5</f>
        <v>4.60047084273922</v>
      </c>
      <c r="R16" s="38" t="n">
        <f aca="false">R15*Cartera!$D$5</f>
        <v>4.26771117992272</v>
      </c>
      <c r="S16" s="38" t="n">
        <f aca="false">S15*Cartera!$D$5</f>
        <v>3.87342530176878</v>
      </c>
      <c r="T16" s="38" t="n">
        <f aca="false">T15*Cartera!$D$5</f>
        <v>3.42933387502544</v>
      </c>
      <c r="U16" s="38" t="n">
        <f aca="false">U15*Cartera!$D$5</f>
        <v>2.95141360181968</v>
      </c>
      <c r="V16" s="38" t="n">
        <f aca="false">V15*Cartera!$D$5</f>
        <v>2.45914057449724</v>
      </c>
      <c r="W16" s="38" t="n">
        <f aca="false">W15*Cartera!$D$5</f>
        <v>1.97410106563646</v>
      </c>
      <c r="X16" s="38" t="n">
        <f aca="false">X15*Cartera!$D$5</f>
        <v>1.51801309012942</v>
      </c>
      <c r="Y16" s="38" t="n">
        <f aca="false">Y15*Cartera!$D$5</f>
        <v>1.1103511096011</v>
      </c>
      <c r="Z16" s="38" t="n">
        <f aca="false">Z15*Cartera!$D$5</f>
        <v>0.765931096777827</v>
      </c>
      <c r="AA16" s="38" t="n">
        <f aca="false">AA15*Cartera!$D$5</f>
        <v>0.49294475046388</v>
      </c>
      <c r="AB16" s="38" t="n">
        <f aca="false">AB15*Cartera!$D$5</f>
        <v>0.291963129214646</v>
      </c>
    </row>
    <row r="17" customFormat="false" ht="15" hidden="false" customHeight="false" outlineLevel="0" collapsed="false">
      <c r="B17" s="3" t="s">
        <v>196</v>
      </c>
      <c r="D17" s="38" t="n">
        <f aca="false">D14*Cartera!$D$5*Cartera!$H$5*(1+$C$8)^(D$3-1)</f>
        <v>3.6</v>
      </c>
      <c r="E17" s="38" t="n">
        <f aca="false">E14*Cartera!$D$5*Cartera!$H$5*(1+$C$8)^(E$3-1)</f>
        <v>3.4563393</v>
      </c>
      <c r="F17" s="38" t="n">
        <f aca="false">F14*Cartera!$D$5*Cartera!$H$5*(1+$C$8)^(F$3-1)</f>
        <v>3.30228893534922</v>
      </c>
      <c r="G17" s="38" t="n">
        <f aca="false">G14*Cartera!$D$5*Cartera!$H$5*(1+$C$8)^(G$3-1)</f>
        <v>3.13800625401082</v>
      </c>
      <c r="H17" s="38" t="n">
        <f aca="false">H14*Cartera!$D$5*Cartera!$H$5*(1+$C$8)^(H$3-1)</f>
        <v>2.96386128438473</v>
      </c>
      <c r="I17" s="38" t="n">
        <f aca="false">I14*Cartera!$D$5*Cartera!$H$5*(1+$C$8)^(I$3-1)</f>
        <v>2.78047262144936</v>
      </c>
      <c r="J17" s="38" t="n">
        <f aca="false">J14*Cartera!$D$5*Cartera!$H$5*(1+$C$8)^(J$3-1)</f>
        <v>2.58874192077895</v>
      </c>
      <c r="K17" s="38" t="n">
        <f aca="false">K14*Cartera!$D$5*Cartera!$H$5*(1+$C$8)^(K$3-1)</f>
        <v>2.38988426220111</v>
      </c>
      <c r="L17" s="38" t="n">
        <f aca="false">L14*Cartera!$D$5*Cartera!$H$5*(1+$C$8)^(L$3-1)</f>
        <v>2.18545086565798</v>
      </c>
      <c r="M17" s="38" t="n">
        <f aca="false">M14*Cartera!$D$5*Cartera!$H$5*(1+$C$8)^(M$3-1)</f>
        <v>1.97733988090738</v>
      </c>
      <c r="N17" s="38" t="n">
        <f aca="false">N14*Cartera!$D$5*Cartera!$H$5*(1+$C$8)^(N$3-1)</f>
        <v>1.76779034916345</v>
      </c>
      <c r="O17" s="38" t="n">
        <f aca="false">O14*Cartera!$D$5*Cartera!$H$5*(1+$C$8)^(O$3-1)</f>
        <v>1.55935411981079</v>
      </c>
      <c r="P17" s="38" t="n">
        <f aca="false">P14*Cartera!$D$5*Cartera!$H$5*(1+$C$8)^(P$3-1)</f>
        <v>1.35484072294473</v>
      </c>
      <c r="Q17" s="38" t="n">
        <f aca="false">Q14*Cartera!$D$5*Cartera!$H$5*(1+$C$8)^(Q$3-1)</f>
        <v>1.15723121320911</v>
      </c>
      <c r="R17" s="38" t="n">
        <f aca="false">R14*Cartera!$D$5*Cartera!$H$5*(1+$C$8)^(R$3-1)</f>
        <v>0.969559083802406</v>
      </c>
      <c r="S17" s="38" t="n">
        <f aca="false">S14*Cartera!$D$5*Cartera!$H$5*(1+$C$8)^(S$3-1)</f>
        <v>0.79475971734378</v>
      </c>
      <c r="T17" s="38" t="n">
        <f aca="false">T14*Cartera!$D$5*Cartera!$H$5*(1+$C$8)^(T$3-1)</f>
        <v>0.635494554544202</v>
      </c>
      <c r="U17" s="38" t="n">
        <f aca="false">U14*Cartera!$D$5*Cartera!$H$5*(1+$C$8)^(U$3-1)</f>
        <v>0.493962000687209</v>
      </c>
      <c r="V17" s="38" t="n">
        <f aca="false">V14*Cartera!$D$5*Cartera!$H$5*(1+$C$8)^(V$3-1)</f>
        <v>0.371713406130894</v>
      </c>
      <c r="W17" s="38" t="n">
        <f aca="false">W14*Cartera!$D$5*Cartera!$H$5*(1+$C$8)^(W$3-1)</f>
        <v>0.269498066992694</v>
      </c>
      <c r="X17" s="38" t="n">
        <f aca="false">X14*Cartera!$D$5*Cartera!$H$5*(1+$C$8)^(X$3-1)</f>
        <v>0.187164375990948</v>
      </c>
      <c r="Y17" s="38" t="n">
        <f aca="false">Y14*Cartera!$D$5*Cartera!$H$5*(1+$C$8)^(Y$3-1)</f>
        <v>0.123642963983596</v>
      </c>
      <c r="Z17" s="38" t="n">
        <f aca="false">Z14*Cartera!$D$5*Cartera!$H$5*(1+$C$8)^(Z$3-1)</f>
        <v>0.077030050272868</v>
      </c>
      <c r="AA17" s="38" t="n">
        <f aca="false">AA14*Cartera!$D$5*Cartera!$H$5*(1+$C$8)^(AA$3-1)</f>
        <v>0.0447744363741847</v>
      </c>
      <c r="AB17" s="38" t="n">
        <f aca="false">AB14*Cartera!$D$5*Cartera!$H$5*(1+$C$8)^(AB$3-1)</f>
        <v>0.0239508700156406</v>
      </c>
    </row>
    <row r="18" customFormat="false" ht="15" hidden="false" customHeight="false" outlineLevel="0" collapsed="false">
      <c r="B18" s="3" t="s">
        <v>197</v>
      </c>
      <c r="C18" s="33" t="n">
        <f aca="false">SUM(D18:AB18)+0.5</f>
        <v>9.95042650097616</v>
      </c>
      <c r="D18" s="34" t="n">
        <f aca="false">D14-D15</f>
        <v>0.9577</v>
      </c>
      <c r="E18" s="34" t="n">
        <f aca="false">E14-E15</f>
        <v>0.9127331119</v>
      </c>
      <c r="F18" s="34" t="n">
        <f aca="false">F14-F15</f>
        <v>0.865163442738625</v>
      </c>
      <c r="G18" s="34" t="n">
        <f aca="false">G14-G15</f>
        <v>0.815113052972363</v>
      </c>
      <c r="H18" s="34" t="n">
        <f aca="false">H14-H15</f>
        <v>0.762771074996478</v>
      </c>
      <c r="I18" s="34" t="n">
        <f aca="false">I14-I15</f>
        <v>0.708402308853676</v>
      </c>
      <c r="J18" s="34" t="n">
        <f aca="false">J14-J15</f>
        <v>0.652354555592393</v>
      </c>
      <c r="K18" s="34" t="n">
        <f aca="false">K14-K15</f>
        <v>0.595063751409148</v>
      </c>
      <c r="L18" s="34" t="n">
        <f aca="false">L14-L15</f>
        <v>0.537055777940481</v>
      </c>
      <c r="M18" s="34" t="n">
        <f aca="false">M14-M15</f>
        <v>0.478943677949425</v>
      </c>
      <c r="N18" s="34" t="n">
        <f aca="false">N14-N15</f>
        <v>0.421418946457114</v>
      </c>
      <c r="O18" s="34" t="n">
        <f aca="false">O14-O15</f>
        <v>0.365235653366358</v>
      </c>
      <c r="P18" s="34" t="n">
        <f aca="false">P14-P15</f>
        <v>0.311186452338744</v>
      </c>
      <c r="Q18" s="34" t="n">
        <f aca="false">Q14-Q15</f>
        <v>0.260070109641641</v>
      </c>
      <c r="R18" s="34" t="n">
        <f aca="false">R14-R15</f>
        <v>0.212651096531389</v>
      </c>
      <c r="S18" s="34" t="n">
        <f aca="false">S14-S15</f>
        <v>0.169613037622847</v>
      </c>
      <c r="T18" s="34" t="n">
        <f aca="false">T14-T15</f>
        <v>0.131509327900342</v>
      </c>
      <c r="U18" s="34" t="n">
        <f aca="false">U14-U15</f>
        <v>0.0987158434356789</v>
      </c>
      <c r="V18" s="34" t="n">
        <f aca="false">V14-V15</f>
        <v>0.0713920592745985</v>
      </c>
      <c r="W18" s="34" t="n">
        <f aca="false">W14-W15</f>
        <v>0.049457602989749</v>
      </c>
      <c r="X18" s="34" t="n">
        <f aca="false">X14-X15</f>
        <v>0.0325907908771999</v>
      </c>
      <c r="Y18" s="34" t="n">
        <f aca="false">Y14-Y15</f>
        <v>0.0202535563260765</v>
      </c>
      <c r="Z18" s="34" t="n">
        <f aca="false">Z14-Z15</f>
        <v>0.0117432108063229</v>
      </c>
      <c r="AA18" s="34" t="n">
        <f aca="false">AA14-AA15</f>
        <v>0.00626604691227977</v>
      </c>
      <c r="AB18" s="34" t="n">
        <f aca="false">AB14-AB15</f>
        <v>0.00302201214322815</v>
      </c>
    </row>
    <row r="20" customFormat="false" ht="15" hidden="false" customHeight="false" outlineLevel="0" collapsed="false">
      <c r="A20" s="37" t="str">
        <f aca="false">Cartera!A6&amp;" – "&amp;Cartera!B6</f>
        <v>C2 – Edad 80–84, deterioro moderado</v>
      </c>
    </row>
    <row r="21" customFormat="false" ht="15" hidden="false" customHeight="false" outlineLevel="0" collapsed="false">
      <c r="B21" s="3" t="s">
        <v>191</v>
      </c>
      <c r="D21" s="34" t="n">
        <f aca="false">MIN(1,Cartera!$F$6*(1+Cartera!$G$6)^(D$3-1)*$C$10)</f>
        <v>0.0611</v>
      </c>
      <c r="E21" s="34" t="n">
        <f aca="false">MIN(1,Cartera!$F$6*(1+Cartera!$G$6)^(E$3-1)*$C$10)</f>
        <v>0.06721</v>
      </c>
      <c r="F21" s="34" t="n">
        <f aca="false">MIN(1,Cartera!$F$6*(1+Cartera!$G$6)^(F$3-1)*$C$10)</f>
        <v>0.073931</v>
      </c>
      <c r="G21" s="34" t="n">
        <f aca="false">MIN(1,Cartera!$F$6*(1+Cartera!$G$6)^(G$3-1)*$C$10)</f>
        <v>0.0813241</v>
      </c>
      <c r="H21" s="34" t="n">
        <f aca="false">MIN(1,Cartera!$F$6*(1+Cartera!$G$6)^(H$3-1)*$C$10)</f>
        <v>0.08945651</v>
      </c>
      <c r="I21" s="34" t="n">
        <f aca="false">MIN(1,Cartera!$F$6*(1+Cartera!$G$6)^(I$3-1)*$C$10)</f>
        <v>0.098402161</v>
      </c>
      <c r="J21" s="34" t="n">
        <f aca="false">MIN(1,Cartera!$F$6*(1+Cartera!$G$6)^(J$3-1)*$C$10)</f>
        <v>0.1082423771</v>
      </c>
      <c r="K21" s="34" t="n">
        <f aca="false">MIN(1,Cartera!$F$6*(1+Cartera!$G$6)^(K$3-1)*$C$10)</f>
        <v>0.11906661481</v>
      </c>
      <c r="L21" s="34" t="n">
        <f aca="false">MIN(1,Cartera!$F$6*(1+Cartera!$G$6)^(L$3-1)*$C$10)</f>
        <v>0.130973276291</v>
      </c>
      <c r="M21" s="34" t="n">
        <f aca="false">MIN(1,Cartera!$F$6*(1+Cartera!$G$6)^(M$3-1)*$C$10)</f>
        <v>0.1440706039201</v>
      </c>
      <c r="N21" s="34" t="n">
        <f aca="false">MIN(1,Cartera!$F$6*(1+Cartera!$G$6)^(N$3-1)*$C$10)</f>
        <v>0.15847766431211</v>
      </c>
      <c r="O21" s="34" t="n">
        <f aca="false">MIN(1,Cartera!$F$6*(1+Cartera!$G$6)^(O$3-1)*$C$10)</f>
        <v>0.174325430743321</v>
      </c>
      <c r="P21" s="34" t="n">
        <f aca="false">MIN(1,Cartera!$F$6*(1+Cartera!$G$6)^(P$3-1)*$C$10)</f>
        <v>0.191757973817653</v>
      </c>
      <c r="Q21" s="34" t="n">
        <f aca="false">MIN(1,Cartera!$F$6*(1+Cartera!$G$6)^(Q$3-1)*$C$10)</f>
        <v>0.210933771199419</v>
      </c>
      <c r="R21" s="34" t="n">
        <f aca="false">MIN(1,Cartera!$F$6*(1+Cartera!$G$6)^(R$3-1)*$C$10)</f>
        <v>0.232027148319361</v>
      </c>
      <c r="S21" s="34" t="n">
        <f aca="false">MIN(1,Cartera!$F$6*(1+Cartera!$G$6)^(S$3-1)*$C$10)</f>
        <v>0.255229863151297</v>
      </c>
      <c r="T21" s="34" t="n">
        <f aca="false">MIN(1,Cartera!$F$6*(1+Cartera!$G$6)^(T$3-1)*$C$10)</f>
        <v>0.280752849466426</v>
      </c>
      <c r="U21" s="34" t="n">
        <f aca="false">MIN(1,Cartera!$F$6*(1+Cartera!$G$6)^(U$3-1)*$C$10)</f>
        <v>0.308828134413069</v>
      </c>
      <c r="V21" s="34" t="n">
        <f aca="false">MIN(1,Cartera!$F$6*(1+Cartera!$G$6)^(V$3-1)*$C$10)</f>
        <v>0.339710947854376</v>
      </c>
      <c r="W21" s="34" t="n">
        <f aca="false">MIN(1,Cartera!$F$6*(1+Cartera!$G$6)^(W$3-1)*$C$10)</f>
        <v>0.373682042639813</v>
      </c>
      <c r="X21" s="34" t="n">
        <f aca="false">MIN(1,Cartera!$F$6*(1+Cartera!$G$6)^(X$3-1)*$C$10)</f>
        <v>0.411050246903795</v>
      </c>
      <c r="Y21" s="34" t="n">
        <f aca="false">MIN(1,Cartera!$F$6*(1+Cartera!$G$6)^(Y$3-1)*$C$10)</f>
        <v>0.452155271594174</v>
      </c>
      <c r="Z21" s="34" t="n">
        <f aca="false">MIN(1,Cartera!$F$6*(1+Cartera!$G$6)^(Z$3-1)*$C$10)</f>
        <v>0.497370798753592</v>
      </c>
      <c r="AA21" s="34" t="n">
        <f aca="false">MIN(1,Cartera!$F$6*(1+Cartera!$G$6)^(AA$3-1)*$C$10)</f>
        <v>0.547107878628951</v>
      </c>
      <c r="AB21" s="34" t="n">
        <f aca="false">MIN(1,Cartera!$F$6*(1+Cartera!$G$6)^(AB$3-1)*$C$10)</f>
        <v>0.601818666491846</v>
      </c>
    </row>
    <row r="22" customFormat="false" ht="15" hidden="false" customHeight="false" outlineLevel="0" collapsed="false">
      <c r="B22" s="3" t="s">
        <v>192</v>
      </c>
      <c r="C22" s="3" t="s">
        <v>193</v>
      </c>
      <c r="D22" s="34" t="n">
        <f aca="false">1</f>
        <v>1</v>
      </c>
      <c r="E22" s="34" t="n">
        <f aca="false">D26</f>
        <v>0.9389</v>
      </c>
      <c r="F22" s="34" t="n">
        <f aca="false">E26</f>
        <v>0.875796531</v>
      </c>
      <c r="G22" s="34" t="n">
        <f aca="false">F26</f>
        <v>0.811048017666639</v>
      </c>
      <c r="H22" s="34" t="n">
        <f aca="false">G26</f>
        <v>0.745090267573116</v>
      </c>
      <c r="I22" s="34" t="n">
        <f aca="false">H26</f>
        <v>0.678437092601058</v>
      </c>
      <c r="J22" s="34" t="n">
        <f aca="false">I26</f>
        <v>0.611677416586557</v>
      </c>
      <c r="K22" s="34" t="n">
        <f aca="false">J26</f>
        <v>0.545467998996841</v>
      </c>
      <c r="L22" s="34" t="n">
        <f aca="false">K26</f>
        <v>0.480520970869103</v>
      </c>
      <c r="M22" s="34" t="n">
        <f aca="false">L26</f>
        <v>0.417585564987844</v>
      </c>
      <c r="N22" s="34" t="n">
        <f aca="false">M26</f>
        <v>0.357423760451729</v>
      </c>
      <c r="O22" s="34" t="n">
        <f aca="false">N26</f>
        <v>0.300780077725688</v>
      </c>
      <c r="P22" s="34" t="n">
        <f aca="false">O26</f>
        <v>0.248346461117148</v>
      </c>
      <c r="Q22" s="34" t="n">
        <f aca="false">P26</f>
        <v>0.200724046928539</v>
      </c>
      <c r="R22" s="34" t="n">
        <f aca="false">Q26</f>
        <v>0.158384566739493</v>
      </c>
      <c r="S22" s="34" t="n">
        <f aca="false">R26</f>
        <v>0.121635047381131</v>
      </c>
      <c r="T22" s="34" t="n">
        <f aca="false">S26</f>
        <v>0.0905901508836436</v>
      </c>
      <c r="U22" s="34" t="n">
        <f aca="false">T26</f>
        <v>0.0651567078894671</v>
      </c>
      <c r="V22" s="34" t="n">
        <f aca="false">U26</f>
        <v>0.0450344833474657</v>
      </c>
      <c r="W22" s="34" t="n">
        <f aca="false">V26</f>
        <v>0.029735776323366</v>
      </c>
      <c r="X22" s="34" t="n">
        <f aca="false">W26</f>
        <v>0.01862405068737</v>
      </c>
      <c r="Y22" s="34" t="n">
        <f aca="false">X26</f>
        <v>0.0109686300539778</v>
      </c>
      <c r="Z22" s="34" t="n">
        <f aca="false">Y26</f>
        <v>0.00600910615290543</v>
      </c>
      <c r="AA22" s="34" t="n">
        <f aca="false">Z26</f>
        <v>0.00302035222583973</v>
      </c>
      <c r="AB22" s="34" t="n">
        <f aca="false">AA26</f>
        <v>0.00136789372684833</v>
      </c>
    </row>
    <row r="23" customFormat="false" ht="15" hidden="false" customHeight="false" outlineLevel="0" collapsed="false">
      <c r="B23" s="3" t="s">
        <v>194</v>
      </c>
      <c r="D23" s="34" t="n">
        <f aca="false">D22*D21</f>
        <v>0.0611</v>
      </c>
      <c r="E23" s="34" t="n">
        <f aca="false">E22*E21</f>
        <v>0.063103469</v>
      </c>
      <c r="F23" s="34" t="n">
        <f aca="false">F22*F21</f>
        <v>0.064748513333361</v>
      </c>
      <c r="G23" s="34" t="n">
        <f aca="false">G22*G21</f>
        <v>0.0659577500935235</v>
      </c>
      <c r="H23" s="34" t="n">
        <f aca="false">H22*H21</f>
        <v>0.0666531749720571</v>
      </c>
      <c r="I23" s="34" t="n">
        <f aca="false">I22*I21</f>
        <v>0.0667596760145013</v>
      </c>
      <c r="J23" s="34" t="n">
        <f aca="false">J22*J21</f>
        <v>0.0662094175897159</v>
      </c>
      <c r="K23" s="34" t="n">
        <f aca="false">K22*K21</f>
        <v>0.0649470281277384</v>
      </c>
      <c r="L23" s="34" t="n">
        <f aca="false">L22*L21</f>
        <v>0.0629354058812586</v>
      </c>
      <c r="M23" s="34" t="n">
        <f aca="false">M22*M21</f>
        <v>0.0601618045361149</v>
      </c>
      <c r="N23" s="34" t="n">
        <f aca="false">N22*N21</f>
        <v>0.0566436827260412</v>
      </c>
      <c r="O23" s="34" t="n">
        <f aca="false">O22*O21</f>
        <v>0.0524336166085402</v>
      </c>
      <c r="P23" s="34" t="n">
        <f aca="false">P22*P21</f>
        <v>0.0476224141886089</v>
      </c>
      <c r="Q23" s="34" t="n">
        <f aca="false">Q22*Q21</f>
        <v>0.0423394801890458</v>
      </c>
      <c r="R23" s="34" t="n">
        <f aca="false">R22*R21</f>
        <v>0.036749519358362</v>
      </c>
      <c r="S23" s="34" t="n">
        <f aca="false">S22*S21</f>
        <v>0.0310448964974876</v>
      </c>
      <c r="T23" s="34" t="n">
        <f aca="false">T22*T21</f>
        <v>0.0254334429941764</v>
      </c>
      <c r="U23" s="34" t="n">
        <f aca="false">U22*U21</f>
        <v>0.0201222245420014</v>
      </c>
      <c r="V23" s="34" t="n">
        <f aca="false">V22*V21</f>
        <v>0.0152987070240997</v>
      </c>
      <c r="W23" s="34" t="n">
        <f aca="false">W22*W21</f>
        <v>0.011111725635996</v>
      </c>
      <c r="X23" s="34" t="n">
        <f aca="false">X22*X21</f>
        <v>0.00765542063339223</v>
      </c>
      <c r="Y23" s="34" t="n">
        <f aca="false">Y22*Y21</f>
        <v>0.00495952390107235</v>
      </c>
      <c r="Z23" s="34" t="n">
        <f aca="false">Z22*Z21</f>
        <v>0.0029887539270657</v>
      </c>
      <c r="AA23" s="34" t="n">
        <f aca="false">AA22*AA21</f>
        <v>0.00165245849899141</v>
      </c>
      <c r="AB23" s="34" t="n">
        <f aca="false">AB22*AB21</f>
        <v>0.000823223978594422</v>
      </c>
    </row>
    <row r="24" customFormat="false" ht="15" hidden="false" customHeight="false" outlineLevel="0" collapsed="false">
      <c r="B24" s="3" t="s">
        <v>195</v>
      </c>
      <c r="D24" s="38" t="n">
        <f aca="false">D23*Cartera!$D$6</f>
        <v>7.332</v>
      </c>
      <c r="E24" s="38" t="n">
        <f aca="false">E23*Cartera!$D$6</f>
        <v>7.57241628</v>
      </c>
      <c r="F24" s="38" t="n">
        <f aca="false">F23*Cartera!$D$6</f>
        <v>7.76982160000332</v>
      </c>
      <c r="G24" s="38" t="n">
        <f aca="false">G23*Cartera!$D$6</f>
        <v>7.91493001122282</v>
      </c>
      <c r="H24" s="38" t="n">
        <f aca="false">H23*Cartera!$D$6</f>
        <v>7.99838099664685</v>
      </c>
      <c r="I24" s="38" t="n">
        <f aca="false">I23*Cartera!$D$6</f>
        <v>8.01116112174015</v>
      </c>
      <c r="J24" s="38" t="n">
        <f aca="false">J23*Cartera!$D$6</f>
        <v>7.94513011076591</v>
      </c>
      <c r="K24" s="38" t="n">
        <f aca="false">K23*Cartera!$D$6</f>
        <v>7.79364337532861</v>
      </c>
      <c r="L24" s="38" t="n">
        <f aca="false">L23*Cartera!$D$6</f>
        <v>7.55224870575104</v>
      </c>
      <c r="M24" s="38" t="n">
        <f aca="false">M23*Cartera!$D$6</f>
        <v>7.21941654433379</v>
      </c>
      <c r="N24" s="38" t="n">
        <f aca="false">N23*Cartera!$D$6</f>
        <v>6.79724192712495</v>
      </c>
      <c r="O24" s="38" t="n">
        <f aca="false">O23*Cartera!$D$6</f>
        <v>6.29203399302482</v>
      </c>
      <c r="P24" s="38" t="n">
        <f aca="false">P23*Cartera!$D$6</f>
        <v>5.71468970263307</v>
      </c>
      <c r="Q24" s="38" t="n">
        <f aca="false">Q23*Cartera!$D$6</f>
        <v>5.0807376226855</v>
      </c>
      <c r="R24" s="38" t="n">
        <f aca="false">R23*Cartera!$D$6</f>
        <v>4.40994232300344</v>
      </c>
      <c r="S24" s="38" t="n">
        <f aca="false">S23*Cartera!$D$6</f>
        <v>3.72538757969851</v>
      </c>
      <c r="T24" s="38" t="n">
        <f aca="false">T23*Cartera!$D$6</f>
        <v>3.05201315930117</v>
      </c>
      <c r="U24" s="38" t="n">
        <f aca="false">U23*Cartera!$D$6</f>
        <v>2.41466694504017</v>
      </c>
      <c r="V24" s="38" t="n">
        <f aca="false">V23*Cartera!$D$6</f>
        <v>1.83584484289196</v>
      </c>
      <c r="W24" s="38" t="n">
        <f aca="false">W23*Cartera!$D$6</f>
        <v>1.33340707631952</v>
      </c>
      <c r="X24" s="38" t="n">
        <f aca="false">X23*Cartera!$D$6</f>
        <v>0.918650476007068</v>
      </c>
      <c r="Y24" s="38" t="n">
        <f aca="false">Y23*Cartera!$D$6</f>
        <v>0.595142868128681</v>
      </c>
      <c r="Z24" s="38" t="n">
        <f aca="false">Z23*Cartera!$D$6</f>
        <v>0.358650471247884</v>
      </c>
      <c r="AA24" s="38" t="n">
        <f aca="false">AA23*Cartera!$D$6</f>
        <v>0.198295019878969</v>
      </c>
      <c r="AB24" s="38" t="n">
        <f aca="false">AB23*Cartera!$D$6</f>
        <v>0.0987868774313306</v>
      </c>
    </row>
    <row r="25" customFormat="false" ht="15" hidden="false" customHeight="false" outlineLevel="0" collapsed="false">
      <c r="B25" s="3" t="s">
        <v>196</v>
      </c>
      <c r="D25" s="38" t="n">
        <f aca="false">D22*Cartera!$D$6*Cartera!$H$6*(1+$C$8)^(D$3-1)</f>
        <v>6</v>
      </c>
      <c r="E25" s="38" t="n">
        <f aca="false">E22*Cartera!$D$6*Cartera!$H$6*(1+$C$8)^(E$3-1)</f>
        <v>5.6474835</v>
      </c>
      <c r="F25" s="38" t="n">
        <f aca="false">F22*Cartera!$D$6*Cartera!$H$6*(1+$C$8)^(F$3-1)</f>
        <v>5.28108592429991</v>
      </c>
      <c r="G25" s="38" t="n">
        <f aca="false">G22*Cartera!$D$6*Cartera!$H$6*(1+$C$8)^(G$3-1)</f>
        <v>4.90287658573257</v>
      </c>
      <c r="H25" s="38" t="n">
        <f aca="false">H22*Cartera!$D$6*Cartera!$H$6*(1+$C$8)^(H$3-1)</f>
        <v>4.51541494638676</v>
      </c>
      <c r="I25" s="38" t="n">
        <f aca="false">I22*Cartera!$D$6*Cartera!$H$6*(1+$C$8)^(I$3-1)</f>
        <v>4.12176038829137</v>
      </c>
      <c r="J25" s="38" t="n">
        <f aca="false">J22*Cartera!$D$6*Cartera!$H$6*(1+$C$8)^(J$3-1)</f>
        <v>3.7254606846067</v>
      </c>
      <c r="K25" s="38" t="n">
        <f aca="false">K22*Cartera!$D$6*Cartera!$H$6*(1+$C$8)^(K$3-1)</f>
        <v>3.33051348422306</v>
      </c>
      <c r="L25" s="38" t="n">
        <f aca="false">L22*Cartera!$D$6*Cartera!$H$6*(1+$C$8)^(L$3-1)</f>
        <v>2.94129541937275</v>
      </c>
      <c r="M25" s="38" t="n">
        <f aca="false">M22*Cartera!$D$6*Cartera!$H$6*(1+$C$8)^(M$3-1)</f>
        <v>2.56245448256219</v>
      </c>
      <c r="N25" s="38" t="n">
        <f aca="false">N22*Cartera!$D$6*Cartera!$H$6*(1+$C$8)^(N$3-1)</f>
        <v>2.19876331803604</v>
      </c>
      <c r="O25" s="38" t="n">
        <f aca="false">O22*Cartera!$D$6*Cartera!$H$6*(1+$C$8)^(O$3-1)</f>
        <v>1.85493421412609</v>
      </c>
      <c r="P25" s="38" t="n">
        <f aca="false">P22*Cartera!$D$6*Cartera!$H$6*(1+$C$8)^(P$3-1)</f>
        <v>1.53540093826865</v>
      </c>
      <c r="Q25" s="38" t="n">
        <f aca="false">Q22*Cartera!$D$6*Cartera!$H$6*(1+$C$8)^(Q$3-1)</f>
        <v>1.2440780042619</v>
      </c>
      <c r="R25" s="38" t="n">
        <f aca="false">R22*Cartera!$D$6*Cartera!$H$6*(1+$C$8)^(R$3-1)</f>
        <v>0.984114089004586</v>
      </c>
      <c r="S25" s="38" t="n">
        <f aca="false">S22*Cartera!$D$6*Cartera!$H$6*(1+$C$8)^(S$3-1)</f>
        <v>0.757662335570226</v>
      </c>
      <c r="T25" s="38" t="n">
        <f aca="false">T22*Cartera!$D$6*Cartera!$H$6*(1+$C$8)^(T$3-1)</f>
        <v>0.565694992051115</v>
      </c>
      <c r="U25" s="38" t="n">
        <f aca="false">U22*Cartera!$D$6*Cartera!$H$6*(1+$C$8)^(U$3-1)</f>
        <v>0.407891697381637</v>
      </c>
      <c r="V25" s="38" t="n">
        <f aca="false">V22*Cartera!$D$6*Cartera!$H$6*(1+$C$8)^(V$3-1)</f>
        <v>0.282628073600278</v>
      </c>
      <c r="W25" s="38" t="n">
        <f aca="false">W22*Cartera!$D$6*Cartera!$H$6*(1+$C$8)^(W$3-1)</f>
        <v>0.187082763384339</v>
      </c>
      <c r="X25" s="38" t="n">
        <f aca="false">X22*Cartera!$D$6*Cartera!$H$6*(1+$C$8)^(X$3-1)</f>
        <v>0.117466227455729</v>
      </c>
      <c r="Y25" s="38" t="n">
        <f aca="false">Y22*Cartera!$D$6*Cartera!$H$6*(1+$C$8)^(Y$3-1)</f>
        <v>0.0693546599213371</v>
      </c>
      <c r="Z25" s="38" t="n">
        <f aca="false">Z22*Cartera!$D$6*Cartera!$H$6*(1+$C$8)^(Z$3-1)</f>
        <v>0.0380905737903541</v>
      </c>
      <c r="AA25" s="38" t="n">
        <f aca="false">AA22*Cartera!$D$6*Cartera!$H$6*(1+$C$8)^(AA$3-1)</f>
        <v>0.0191932982659612</v>
      </c>
      <c r="AB25" s="38" t="n">
        <f aca="false">AB22*Cartera!$D$6*Cartera!$H$6*(1+$C$8)^(AB$3-1)</f>
        <v>0.00871422480169789</v>
      </c>
    </row>
    <row r="26" customFormat="false" ht="15" hidden="false" customHeight="false" outlineLevel="0" collapsed="false">
      <c r="B26" s="3" t="s">
        <v>197</v>
      </c>
      <c r="C26" s="33" t="n">
        <f aca="false">SUM(D26:AB26)+0.5</f>
        <v>8.26286964166402</v>
      </c>
      <c r="D26" s="34" t="n">
        <f aca="false">D22-D23</f>
        <v>0.9389</v>
      </c>
      <c r="E26" s="34" t="n">
        <f aca="false">E22-E23</f>
        <v>0.875796531</v>
      </c>
      <c r="F26" s="34" t="n">
        <f aca="false">F22-F23</f>
        <v>0.811048017666639</v>
      </c>
      <c r="G26" s="34" t="n">
        <f aca="false">G22-G23</f>
        <v>0.745090267573116</v>
      </c>
      <c r="H26" s="34" t="n">
        <f aca="false">H22-H23</f>
        <v>0.678437092601058</v>
      </c>
      <c r="I26" s="34" t="n">
        <f aca="false">I22-I23</f>
        <v>0.611677416586557</v>
      </c>
      <c r="J26" s="34" t="n">
        <f aca="false">J22-J23</f>
        <v>0.545467998996841</v>
      </c>
      <c r="K26" s="34" t="n">
        <f aca="false">K22-K23</f>
        <v>0.480520970869103</v>
      </c>
      <c r="L26" s="34" t="n">
        <f aca="false">L22-L23</f>
        <v>0.417585564987844</v>
      </c>
      <c r="M26" s="34" t="n">
        <f aca="false">M22-M23</f>
        <v>0.357423760451729</v>
      </c>
      <c r="N26" s="34" t="n">
        <f aca="false">N22-N23</f>
        <v>0.300780077725688</v>
      </c>
      <c r="O26" s="34" t="n">
        <f aca="false">O22-O23</f>
        <v>0.248346461117148</v>
      </c>
      <c r="P26" s="34" t="n">
        <f aca="false">P22-P23</f>
        <v>0.200724046928539</v>
      </c>
      <c r="Q26" s="34" t="n">
        <f aca="false">Q22-Q23</f>
        <v>0.158384566739493</v>
      </c>
      <c r="R26" s="34" t="n">
        <f aca="false">R22-R23</f>
        <v>0.121635047381131</v>
      </c>
      <c r="S26" s="34" t="n">
        <f aca="false">S22-S23</f>
        <v>0.0905901508836436</v>
      </c>
      <c r="T26" s="34" t="n">
        <f aca="false">T22-T23</f>
        <v>0.0651567078894671</v>
      </c>
      <c r="U26" s="34" t="n">
        <f aca="false">U22-U23</f>
        <v>0.0450344833474657</v>
      </c>
      <c r="V26" s="34" t="n">
        <f aca="false">V22-V23</f>
        <v>0.029735776323366</v>
      </c>
      <c r="W26" s="34" t="n">
        <f aca="false">W22-W23</f>
        <v>0.01862405068737</v>
      </c>
      <c r="X26" s="34" t="n">
        <f aca="false">X22-X23</f>
        <v>0.0109686300539778</v>
      </c>
      <c r="Y26" s="34" t="n">
        <f aca="false">Y22-Y23</f>
        <v>0.00600910615290543</v>
      </c>
      <c r="Z26" s="34" t="n">
        <f aca="false">Z22-Z23</f>
        <v>0.00302035222583973</v>
      </c>
      <c r="AA26" s="34" t="n">
        <f aca="false">AA22-AA23</f>
        <v>0.00136789372684833</v>
      </c>
      <c r="AB26" s="34" t="n">
        <f aca="false">AB22-AB23</f>
        <v>0.000544669748253905</v>
      </c>
    </row>
    <row r="28" customFormat="false" ht="15" hidden="false" customHeight="false" outlineLevel="0" collapsed="false">
      <c r="A28" s="37" t="str">
        <f aca="false">Cartera!A7&amp;" – "&amp;Cartera!B7</f>
        <v>C3 – Edad 85–89, deterioro significativo</v>
      </c>
    </row>
    <row r="29" customFormat="false" ht="15" hidden="false" customHeight="false" outlineLevel="0" collapsed="false">
      <c r="B29" s="3" t="s">
        <v>191</v>
      </c>
      <c r="D29" s="34" t="n">
        <f aca="false">MIN(1,Cartera!$F$7*(1+Cartera!$G$7)^(D$3-1)*$C$10)</f>
        <v>0.0893</v>
      </c>
      <c r="E29" s="34" t="n">
        <f aca="false">MIN(1,Cartera!$F$7*(1+Cartera!$G$7)^(E$3-1)*$C$10)</f>
        <v>0.097337</v>
      </c>
      <c r="F29" s="34" t="n">
        <f aca="false">MIN(1,Cartera!$F$7*(1+Cartera!$G$7)^(F$3-1)*$C$10)</f>
        <v>0.10609733</v>
      </c>
      <c r="G29" s="34" t="n">
        <f aca="false">MIN(1,Cartera!$F$7*(1+Cartera!$G$7)^(G$3-1)*$C$10)</f>
        <v>0.1156460897</v>
      </c>
      <c r="H29" s="34" t="n">
        <f aca="false">MIN(1,Cartera!$F$7*(1+Cartera!$G$7)^(H$3-1)*$C$10)</f>
        <v>0.126054237773</v>
      </c>
      <c r="I29" s="34" t="n">
        <f aca="false">MIN(1,Cartera!$F$7*(1+Cartera!$G$7)^(I$3-1)*$C$10)</f>
        <v>0.13739911917257</v>
      </c>
      <c r="J29" s="34" t="n">
        <f aca="false">MIN(1,Cartera!$F$7*(1+Cartera!$G$7)^(J$3-1)*$C$10)</f>
        <v>0.149765039898101</v>
      </c>
      <c r="K29" s="34" t="n">
        <f aca="false">MIN(1,Cartera!$F$7*(1+Cartera!$G$7)^(K$3-1)*$C$10)</f>
        <v>0.16324389348893</v>
      </c>
      <c r="L29" s="34" t="n">
        <f aca="false">MIN(1,Cartera!$F$7*(1+Cartera!$G$7)^(L$3-1)*$C$10)</f>
        <v>0.177935843902934</v>
      </c>
      <c r="M29" s="34" t="n">
        <f aca="false">MIN(1,Cartera!$F$7*(1+Cartera!$G$7)^(M$3-1)*$C$10)</f>
        <v>0.193950069854198</v>
      </c>
      <c r="N29" s="34" t="n">
        <f aca="false">MIN(1,Cartera!$F$7*(1+Cartera!$G$7)^(N$3-1)*$C$10)</f>
        <v>0.211405576141076</v>
      </c>
      <c r="O29" s="34" t="n">
        <f aca="false">MIN(1,Cartera!$F$7*(1+Cartera!$G$7)^(O$3-1)*$C$10)</f>
        <v>0.230432077993773</v>
      </c>
      <c r="P29" s="34" t="n">
        <f aca="false">MIN(1,Cartera!$F$7*(1+Cartera!$G$7)^(P$3-1)*$C$10)</f>
        <v>0.251170965013213</v>
      </c>
      <c r="Q29" s="34" t="n">
        <f aca="false">MIN(1,Cartera!$F$7*(1+Cartera!$G$7)^(Q$3-1)*$C$10)</f>
        <v>0.273776351864402</v>
      </c>
      <c r="R29" s="34" t="n">
        <f aca="false">MIN(1,Cartera!$F$7*(1+Cartera!$G$7)^(R$3-1)*$C$10)</f>
        <v>0.298416223532198</v>
      </c>
      <c r="S29" s="34" t="n">
        <f aca="false">MIN(1,Cartera!$F$7*(1+Cartera!$G$7)^(S$3-1)*$C$10)</f>
        <v>0.325273683650096</v>
      </c>
      <c r="T29" s="34" t="n">
        <f aca="false">MIN(1,Cartera!$F$7*(1+Cartera!$G$7)^(T$3-1)*$C$10)</f>
        <v>0.354548315178605</v>
      </c>
      <c r="U29" s="34" t="n">
        <f aca="false">MIN(1,Cartera!$F$7*(1+Cartera!$G$7)^(U$3-1)*$C$10)</f>
        <v>0.386457663544679</v>
      </c>
      <c r="V29" s="34" t="n">
        <f aca="false">MIN(1,Cartera!$F$7*(1+Cartera!$G$7)^(V$3-1)*$C$10)</f>
        <v>0.4212388532637</v>
      </c>
      <c r="W29" s="34" t="n">
        <f aca="false">MIN(1,Cartera!$F$7*(1+Cartera!$G$7)^(W$3-1)*$C$10)</f>
        <v>0.459150350057433</v>
      </c>
      <c r="X29" s="34" t="n">
        <f aca="false">MIN(1,Cartera!$F$7*(1+Cartera!$G$7)^(X$3-1)*$C$10)</f>
        <v>0.500473881562602</v>
      </c>
      <c r="Y29" s="34" t="n">
        <f aca="false">MIN(1,Cartera!$F$7*(1+Cartera!$G$7)^(Y$3-1)*$C$10)</f>
        <v>0.545516530903236</v>
      </c>
      <c r="Z29" s="34" t="n">
        <f aca="false">MIN(1,Cartera!$F$7*(1+Cartera!$G$7)^(Z$3-1)*$C$10)</f>
        <v>0.594613018684528</v>
      </c>
      <c r="AA29" s="34" t="n">
        <f aca="false">MIN(1,Cartera!$F$7*(1+Cartera!$G$7)^(AA$3-1)*$C$10)</f>
        <v>0.648128190366135</v>
      </c>
      <c r="AB29" s="34" t="n">
        <f aca="false">MIN(1,Cartera!$F$7*(1+Cartera!$G$7)^(AB$3-1)*$C$10)</f>
        <v>0.706459727499088</v>
      </c>
    </row>
    <row r="30" customFormat="false" ht="15" hidden="false" customHeight="false" outlineLevel="0" collapsed="false">
      <c r="B30" s="3" t="s">
        <v>192</v>
      </c>
      <c r="C30" s="3" t="s">
        <v>193</v>
      </c>
      <c r="D30" s="34" t="n">
        <f aca="false">1</f>
        <v>1</v>
      </c>
      <c r="E30" s="34" t="n">
        <f aca="false">D34</f>
        <v>0.9107</v>
      </c>
      <c r="F30" s="34" t="n">
        <f aca="false">E34</f>
        <v>0.8220551941</v>
      </c>
      <c r="G30" s="34" t="n">
        <f aca="false">F34</f>
        <v>0.734837332893358</v>
      </c>
      <c r="H30" s="34" t="n">
        <f aca="false">G34</f>
        <v>0.649856268778664</v>
      </c>
      <c r="I30" s="34" t="n">
        <f aca="false">H34</f>
        <v>0.567939132155764</v>
      </c>
      <c r="J30" s="34" t="n">
        <f aca="false">I34</f>
        <v>0.489904795653928</v>
      </c>
      <c r="K30" s="34" t="n">
        <f aca="false">J34</f>
        <v>0.416534184386546</v>
      </c>
      <c r="L30" s="34" t="n">
        <f aca="false">K34</f>
        <v>0.34853752235605</v>
      </c>
      <c r="M30" s="34" t="n">
        <f aca="false">L34</f>
        <v>0.286520204183789</v>
      </c>
      <c r="N30" s="34" t="n">
        <f aca="false">M34</f>
        <v>0.230949590567704</v>
      </c>
      <c r="O30" s="34" t="n">
        <f aca="false">N34</f>
        <v>0.182125559314193</v>
      </c>
      <c r="P30" s="34" t="n">
        <f aca="false">O34</f>
        <v>0.140157988225645</v>
      </c>
      <c r="Q30" s="34" t="n">
        <f aca="false">P34</f>
        <v>0.104954371068699</v>
      </c>
      <c r="R30" s="34" t="n">
        <f aca="false">Q34</f>
        <v>0.0762203462452881</v>
      </c>
      <c r="S30" s="34" t="n">
        <f aca="false">R34</f>
        <v>0.0534749583624527</v>
      </c>
      <c r="T30" s="34" t="n">
        <f aca="false">S34</f>
        <v>0.0360809616728622</v>
      </c>
      <c r="U30" s="34" t="n">
        <f aca="false">T34</f>
        <v>0.0232885175017251</v>
      </c>
      <c r="V30" s="34" t="n">
        <f aca="false">U34</f>
        <v>0.014288491440589</v>
      </c>
      <c r="W30" s="34" t="n">
        <f aca="false">V34</f>
        <v>0.00826962369128712</v>
      </c>
      <c r="X30" s="34" t="n">
        <f aca="false">W34</f>
        <v>0.0044726230785894</v>
      </c>
      <c r="Y30" s="34" t="n">
        <f aca="false">X34</f>
        <v>0.00223419204568129</v>
      </c>
      <c r="Z30" s="34" t="n">
        <f aca="false">Y34</f>
        <v>0.00101540335154963</v>
      </c>
      <c r="AA30" s="34" t="n">
        <f aca="false">Z34</f>
        <v>0.000411631299502316</v>
      </c>
      <c r="AB30" s="34" t="n">
        <f aca="false">AA34</f>
        <v>0.000144841450257819</v>
      </c>
    </row>
    <row r="31" customFormat="false" ht="15" hidden="false" customHeight="false" outlineLevel="0" collapsed="false">
      <c r="B31" s="3" t="s">
        <v>194</v>
      </c>
      <c r="D31" s="34" t="n">
        <f aca="false">D30*D29</f>
        <v>0.0893</v>
      </c>
      <c r="E31" s="34" t="n">
        <f aca="false">E30*E29</f>
        <v>0.0886448059</v>
      </c>
      <c r="F31" s="34" t="n">
        <f aca="false">F30*F29</f>
        <v>0.0872178612066418</v>
      </c>
      <c r="G31" s="34" t="n">
        <f aca="false">G30*G29</f>
        <v>0.0849810641146941</v>
      </c>
      <c r="H31" s="34" t="n">
        <f aca="false">H30*H29</f>
        <v>0.0819171366229004</v>
      </c>
      <c r="I31" s="34" t="n">
        <f aca="false">I30*I29</f>
        <v>0.0780343365018358</v>
      </c>
      <c r="J31" s="34" t="n">
        <f aca="false">J30*J29</f>
        <v>0.0733706112673817</v>
      </c>
      <c r="K31" s="34" t="n">
        <f aca="false">K30*K29</f>
        <v>0.0679966620304959</v>
      </c>
      <c r="L31" s="34" t="n">
        <f aca="false">L30*L29</f>
        <v>0.0620173181722616</v>
      </c>
      <c r="M31" s="34" t="n">
        <f aca="false">M30*M29</f>
        <v>0.055570613616085</v>
      </c>
      <c r="N31" s="34" t="n">
        <f aca="false">N30*N29</f>
        <v>0.0488240312535111</v>
      </c>
      <c r="O31" s="34" t="n">
        <f aca="false">O30*O29</f>
        <v>0.0419675710885476</v>
      </c>
      <c r="P31" s="34" t="n">
        <f aca="false">P30*P29</f>
        <v>0.0352036171569458</v>
      </c>
      <c r="Q31" s="34" t="n">
        <f aca="false">Q30*Q29</f>
        <v>0.0287340248234112</v>
      </c>
      <c r="R31" s="34" t="n">
        <f aca="false">R30*R29</f>
        <v>0.0227453878828354</v>
      </c>
      <c r="S31" s="34" t="n">
        <f aca="false">S30*S29</f>
        <v>0.0173939966895905</v>
      </c>
      <c r="T31" s="34" t="n">
        <f aca="false">T30*T29</f>
        <v>0.0127924441711371</v>
      </c>
      <c r="U31" s="34" t="n">
        <f aca="false">U30*U29</f>
        <v>0.00900002606113604</v>
      </c>
      <c r="V31" s="34" t="n">
        <f aca="false">V30*V29</f>
        <v>0.00601886774930192</v>
      </c>
      <c r="W31" s="34" t="n">
        <f aca="false">W30*W29</f>
        <v>0.00379700061269773</v>
      </c>
      <c r="X31" s="34" t="n">
        <f aca="false">X30*X29</f>
        <v>0.00223843103290811</v>
      </c>
      <c r="Y31" s="34" t="n">
        <f aca="false">Y30*Y29</f>
        <v>0.00121878869413166</v>
      </c>
      <c r="Z31" s="34" t="n">
        <f aca="false">Z30*Z29</f>
        <v>0.00060377205204731</v>
      </c>
      <c r="AA31" s="34" t="n">
        <f aca="false">AA30*AA29</f>
        <v>0.000266789849244497</v>
      </c>
      <c r="AB31" s="34" t="n">
        <f aca="false">AB30*AB29</f>
        <v>0.000102324651479712</v>
      </c>
    </row>
    <row r="32" customFormat="false" ht="15" hidden="false" customHeight="false" outlineLevel="0" collapsed="false">
      <c r="B32" s="3" t="s">
        <v>195</v>
      </c>
      <c r="D32" s="38" t="n">
        <f aca="false">D31*Cartera!$D$7</f>
        <v>8.93</v>
      </c>
      <c r="E32" s="38" t="n">
        <f aca="false">E31*Cartera!$D$7</f>
        <v>8.86448059</v>
      </c>
      <c r="F32" s="38" t="n">
        <f aca="false">F31*Cartera!$D$7</f>
        <v>8.72178612066418</v>
      </c>
      <c r="G32" s="38" t="n">
        <f aca="false">G31*Cartera!$D$7</f>
        <v>8.49810641146941</v>
      </c>
      <c r="H32" s="38" t="n">
        <f aca="false">H31*Cartera!$D$7</f>
        <v>8.19171366229004</v>
      </c>
      <c r="I32" s="38" t="n">
        <f aca="false">I31*Cartera!$D$7</f>
        <v>7.80343365018358</v>
      </c>
      <c r="J32" s="38" t="n">
        <f aca="false">J31*Cartera!$D$7</f>
        <v>7.33706112673817</v>
      </c>
      <c r="K32" s="38" t="n">
        <f aca="false">K31*Cartera!$D$7</f>
        <v>6.79966620304959</v>
      </c>
      <c r="L32" s="38" t="n">
        <f aca="false">L31*Cartera!$D$7</f>
        <v>6.20173181722617</v>
      </c>
      <c r="M32" s="38" t="n">
        <f aca="false">M31*Cartera!$D$7</f>
        <v>5.5570613616085</v>
      </c>
      <c r="N32" s="38" t="n">
        <f aca="false">N31*Cartera!$D$7</f>
        <v>4.88240312535111</v>
      </c>
      <c r="O32" s="38" t="n">
        <f aca="false">O31*Cartera!$D$7</f>
        <v>4.19675710885476</v>
      </c>
      <c r="P32" s="38" t="n">
        <f aca="false">P31*Cartera!$D$7</f>
        <v>3.52036171569458</v>
      </c>
      <c r="Q32" s="38" t="n">
        <f aca="false">Q31*Cartera!$D$7</f>
        <v>2.87340248234112</v>
      </c>
      <c r="R32" s="38" t="n">
        <f aca="false">R31*Cartera!$D$7</f>
        <v>2.27453878828354</v>
      </c>
      <c r="S32" s="38" t="n">
        <f aca="false">S31*Cartera!$D$7</f>
        <v>1.73939966895905</v>
      </c>
      <c r="T32" s="38" t="n">
        <f aca="false">T31*Cartera!$D$7</f>
        <v>1.27924441711371</v>
      </c>
      <c r="U32" s="38" t="n">
        <f aca="false">U31*Cartera!$D$7</f>
        <v>0.900002606113604</v>
      </c>
      <c r="V32" s="38" t="n">
        <f aca="false">V31*Cartera!$D$7</f>
        <v>0.601886774930192</v>
      </c>
      <c r="W32" s="38" t="n">
        <f aca="false">W31*Cartera!$D$7</f>
        <v>0.379700061269773</v>
      </c>
      <c r="X32" s="38" t="n">
        <f aca="false">X31*Cartera!$D$7</f>
        <v>0.223843103290811</v>
      </c>
      <c r="Y32" s="38" t="n">
        <f aca="false">Y31*Cartera!$D$7</f>
        <v>0.121878869413166</v>
      </c>
      <c r="Z32" s="38" t="n">
        <f aca="false">Z31*Cartera!$D$7</f>
        <v>0.060377205204731</v>
      </c>
      <c r="AA32" s="38" t="n">
        <f aca="false">AA31*Cartera!$D$7</f>
        <v>0.0266789849244497</v>
      </c>
      <c r="AB32" s="38" t="n">
        <f aca="false">AB31*Cartera!$D$7</f>
        <v>0.0102324651479712</v>
      </c>
    </row>
    <row r="33" customFormat="false" ht="15" hidden="false" customHeight="false" outlineLevel="0" collapsed="false">
      <c r="B33" s="3" t="s">
        <v>196</v>
      </c>
      <c r="D33" s="38" t="n">
        <f aca="false">D30*Cartera!$D$7*Cartera!$H$7*(1+$C$8)^(D$3-1)</f>
        <v>6</v>
      </c>
      <c r="E33" s="38" t="n">
        <f aca="false">E30*Cartera!$D$7*Cartera!$H$7*(1+$C$8)^(E$3-1)</f>
        <v>5.4778605</v>
      </c>
      <c r="F33" s="38" t="n">
        <f aca="false">F30*Cartera!$D$7*Cartera!$H$7*(1+$C$8)^(F$3-1)</f>
        <v>4.95702364749278</v>
      </c>
      <c r="G33" s="38" t="n">
        <f aca="false">G30*Cartera!$D$7*Cartera!$H$7*(1+$C$8)^(G$3-1)</f>
        <v>4.4421744154313</v>
      </c>
      <c r="H33" s="38" t="n">
        <f aca="false">H30*Cartera!$D$7*Cartera!$H$7*(1+$C$8)^(H$3-1)</f>
        <v>3.93827545030759</v>
      </c>
      <c r="I33" s="38" t="n">
        <f aca="false">I30*Cartera!$D$7*Cartera!$H$7*(1+$C$8)^(I$3-1)</f>
        <v>3.45044373812965</v>
      </c>
      <c r="J33" s="38" t="n">
        <f aca="false">J30*Cartera!$D$7*Cartera!$H$7*(1+$C$8)^(J$3-1)</f>
        <v>2.98379669727551</v>
      </c>
      <c r="K33" s="38" t="n">
        <f aca="false">K30*Cartera!$D$7*Cartera!$H$7*(1+$C$8)^(K$3-1)</f>
        <v>2.54327058652487</v>
      </c>
      <c r="L33" s="38" t="n">
        <f aca="false">L30*Cartera!$D$7*Cartera!$H$7*(1+$C$8)^(L$3-1)</f>
        <v>2.13341743676914</v>
      </c>
      <c r="M33" s="38" t="n">
        <f aca="false">M30*Cartera!$D$7*Cartera!$H$7*(1+$C$8)^(M$3-1)</f>
        <v>1.75819051977229</v>
      </c>
      <c r="N33" s="38" t="n">
        <f aca="false">N30*Cartera!$D$7*Cartera!$H$7*(1+$C$8)^(N$3-1)</f>
        <v>1.42073231900958</v>
      </c>
      <c r="O33" s="38" t="n">
        <f aca="false">O30*Cartera!$D$7*Cartera!$H$7*(1+$C$8)^(O$3-1)</f>
        <v>1.12318253852853</v>
      </c>
      <c r="P33" s="38" t="n">
        <f aca="false">P30*Cartera!$D$7*Cartera!$H$7*(1+$C$8)^(P$3-1)</f>
        <v>0.866526165339601</v>
      </c>
      <c r="Q33" s="38" t="n">
        <f aca="false">Q30*Cartera!$D$7*Cartera!$H$7*(1+$C$8)^(Q$3-1)</f>
        <v>0.650502152062509</v>
      </c>
      <c r="R33" s="38" t="n">
        <f aca="false">R30*Cartera!$D$7*Cartera!$H$7*(1+$C$8)^(R$3-1)</f>
        <v>0.47359107110587</v>
      </c>
      <c r="S33" s="38" t="n">
        <f aca="false">S30*Cartera!$D$7*Cartera!$H$7*(1+$C$8)^(S$3-1)</f>
        <v>0.333094471698307</v>
      </c>
      <c r="T33" s="38" t="n">
        <f aca="false">T30*Cartera!$D$7*Cartera!$H$7*(1+$C$8)^(T$3-1)</f>
        <v>0.22530947490023</v>
      </c>
      <c r="U33" s="38" t="n">
        <f aca="false">U30*Cartera!$D$7*Cartera!$H$7*(1+$C$8)^(U$3-1)</f>
        <v>0.145789946131029</v>
      </c>
      <c r="V33" s="38" t="n">
        <f aca="false">V30*Cartera!$D$7*Cartera!$H$7*(1+$C$8)^(V$3-1)</f>
        <v>0.0896719249413792</v>
      </c>
      <c r="W33" s="38" t="n">
        <f aca="false">W30*Cartera!$D$7*Cartera!$H$7*(1+$C$8)^(W$3-1)</f>
        <v>0.0520283726743968</v>
      </c>
      <c r="X33" s="38" t="n">
        <f aca="false">X30*Cartera!$D$7*Cartera!$H$7*(1+$C$8)^(X$3-1)</f>
        <v>0.028209875965899</v>
      </c>
      <c r="Y33" s="38" t="n">
        <f aca="false">Y30*Cartera!$D$7*Cartera!$H$7*(1+$C$8)^(Y$3-1)</f>
        <v>0.0141267987674531</v>
      </c>
      <c r="Z33" s="38" t="n">
        <f aca="false">Z30*Cartera!$D$7*Cartera!$H$7*(1+$C$8)^(Z$3-1)</f>
        <v>0.00643644750234162</v>
      </c>
      <c r="AA33" s="38" t="n">
        <f aca="false">AA30*Cartera!$D$7*Cartera!$H$7*(1+$C$8)^(AA$3-1)</f>
        <v>0.00261577515342821</v>
      </c>
      <c r="AB33" s="38" t="n">
        <f aca="false">AB30*Cartera!$D$7*Cartera!$H$7*(1+$C$8)^(AB$3-1)</f>
        <v>0.000922718580674163</v>
      </c>
    </row>
    <row r="34" customFormat="false" ht="15" hidden="false" customHeight="false" outlineLevel="0" collapsed="false">
      <c r="B34" s="3" t="s">
        <v>197</v>
      </c>
      <c r="C34" s="33" t="n">
        <f aca="false">SUM(D34:AB34)+0.5</f>
        <v>6.6050162506229</v>
      </c>
      <c r="D34" s="34" t="n">
        <f aca="false">D30-D31</f>
        <v>0.9107</v>
      </c>
      <c r="E34" s="34" t="n">
        <f aca="false">E30-E31</f>
        <v>0.8220551941</v>
      </c>
      <c r="F34" s="34" t="n">
        <f aca="false">F30-F31</f>
        <v>0.734837332893358</v>
      </c>
      <c r="G34" s="34" t="n">
        <f aca="false">G30-G31</f>
        <v>0.649856268778664</v>
      </c>
      <c r="H34" s="34" t="n">
        <f aca="false">H30-H31</f>
        <v>0.567939132155764</v>
      </c>
      <c r="I34" s="34" t="n">
        <f aca="false">I30-I31</f>
        <v>0.489904795653928</v>
      </c>
      <c r="J34" s="34" t="n">
        <f aca="false">J30-J31</f>
        <v>0.416534184386546</v>
      </c>
      <c r="K34" s="34" t="n">
        <f aca="false">K30-K31</f>
        <v>0.34853752235605</v>
      </c>
      <c r="L34" s="34" t="n">
        <f aca="false">L30-L31</f>
        <v>0.286520204183789</v>
      </c>
      <c r="M34" s="34" t="n">
        <f aca="false">M30-M31</f>
        <v>0.230949590567704</v>
      </c>
      <c r="N34" s="34" t="n">
        <f aca="false">N30-N31</f>
        <v>0.182125559314193</v>
      </c>
      <c r="O34" s="34" t="n">
        <f aca="false">O30-O31</f>
        <v>0.140157988225645</v>
      </c>
      <c r="P34" s="34" t="n">
        <f aca="false">P30-P31</f>
        <v>0.104954371068699</v>
      </c>
      <c r="Q34" s="34" t="n">
        <f aca="false">Q30-Q31</f>
        <v>0.0762203462452881</v>
      </c>
      <c r="R34" s="34" t="n">
        <f aca="false">R30-R31</f>
        <v>0.0534749583624527</v>
      </c>
      <c r="S34" s="34" t="n">
        <f aca="false">S30-S31</f>
        <v>0.0360809616728622</v>
      </c>
      <c r="T34" s="34" t="n">
        <f aca="false">T30-T31</f>
        <v>0.0232885175017251</v>
      </c>
      <c r="U34" s="34" t="n">
        <f aca="false">U30-U31</f>
        <v>0.014288491440589</v>
      </c>
      <c r="V34" s="34" t="n">
        <f aca="false">V30-V31</f>
        <v>0.00826962369128712</v>
      </c>
      <c r="W34" s="34" t="n">
        <f aca="false">W30-W31</f>
        <v>0.0044726230785894</v>
      </c>
      <c r="X34" s="34" t="n">
        <f aca="false">X30-X31</f>
        <v>0.00223419204568129</v>
      </c>
      <c r="Y34" s="34" t="n">
        <f aca="false">Y30-Y31</f>
        <v>0.00101540335154963</v>
      </c>
      <c r="Z34" s="34" t="n">
        <f aca="false">Z30-Z31</f>
        <v>0.000411631299502316</v>
      </c>
      <c r="AA34" s="34" t="n">
        <f aca="false">AA30-AA31</f>
        <v>0.000144841450257819</v>
      </c>
      <c r="AB34" s="34" t="n">
        <f aca="false">AB30-AB31</f>
        <v>4.25167987781077E-005</v>
      </c>
    </row>
    <row r="36" customFormat="false" ht="15" hidden="false" customHeight="false" outlineLevel="0" collapsed="false">
      <c r="A36" s="37" t="str">
        <f aca="false">Cartera!A8&amp;" – "&amp;Cartera!B8</f>
        <v>C4 – Edad 90+, deterioro severo</v>
      </c>
    </row>
    <row r="37" customFormat="false" ht="15" hidden="false" customHeight="false" outlineLevel="0" collapsed="false">
      <c r="B37" s="3" t="s">
        <v>191</v>
      </c>
      <c r="D37" s="34" t="n">
        <f aca="false">MIN(1,Cartera!$F$8*(1+Cartera!$G$8)^(D$3-1)*$C$10)</f>
        <v>0.1316</v>
      </c>
      <c r="E37" s="34" t="n">
        <f aca="false">MIN(1,Cartera!$F$8*(1+Cartera!$G$8)^(E$3-1)*$C$10)</f>
        <v>0.142128</v>
      </c>
      <c r="F37" s="34" t="n">
        <f aca="false">MIN(1,Cartera!$F$8*(1+Cartera!$G$8)^(F$3-1)*$C$10)</f>
        <v>0.15349824</v>
      </c>
      <c r="G37" s="34" t="n">
        <f aca="false">MIN(1,Cartera!$F$8*(1+Cartera!$G$8)^(G$3-1)*$C$10)</f>
        <v>0.1657780992</v>
      </c>
      <c r="H37" s="34" t="n">
        <f aca="false">MIN(1,Cartera!$F$8*(1+Cartera!$G$8)^(H$3-1)*$C$10)</f>
        <v>0.179040347136</v>
      </c>
      <c r="I37" s="34" t="n">
        <f aca="false">MIN(1,Cartera!$F$8*(1+Cartera!$G$8)^(I$3-1)*$C$10)</f>
        <v>0.19336357490688</v>
      </c>
      <c r="J37" s="34" t="n">
        <f aca="false">MIN(1,Cartera!$F$8*(1+Cartera!$G$8)^(J$3-1)*$C$10)</f>
        <v>0.20883266089943</v>
      </c>
      <c r="K37" s="34" t="n">
        <f aca="false">MIN(1,Cartera!$F$8*(1+Cartera!$G$8)^(K$3-1)*$C$10)</f>
        <v>0.225539273771385</v>
      </c>
      <c r="L37" s="34" t="n">
        <f aca="false">MIN(1,Cartera!$F$8*(1+Cartera!$G$8)^(L$3-1)*$C$10)</f>
        <v>0.243582415673096</v>
      </c>
      <c r="M37" s="34" t="n">
        <f aca="false">MIN(1,Cartera!$F$8*(1+Cartera!$G$8)^(M$3-1)*$C$10)</f>
        <v>0.263069008926943</v>
      </c>
      <c r="N37" s="34" t="n">
        <f aca="false">MIN(1,Cartera!$F$8*(1+Cartera!$G$8)^(N$3-1)*$C$10)</f>
        <v>0.284114529641099</v>
      </c>
      <c r="O37" s="34" t="n">
        <f aca="false">MIN(1,Cartera!$F$8*(1+Cartera!$G$8)^(O$3-1)*$C$10)</f>
        <v>0.306843692012387</v>
      </c>
      <c r="P37" s="34" t="n">
        <f aca="false">MIN(1,Cartera!$F$8*(1+Cartera!$G$8)^(P$3-1)*$C$10)</f>
        <v>0.331391187373378</v>
      </c>
      <c r="Q37" s="34" t="n">
        <f aca="false">MIN(1,Cartera!$F$8*(1+Cartera!$G$8)^(Q$3-1)*$C$10)</f>
        <v>0.357902482363248</v>
      </c>
      <c r="R37" s="34" t="n">
        <f aca="false">MIN(1,Cartera!$F$8*(1+Cartera!$G$8)^(R$3-1)*$C$10)</f>
        <v>0.386534680952308</v>
      </c>
      <c r="S37" s="34" t="n">
        <f aca="false">MIN(1,Cartera!$F$8*(1+Cartera!$G$8)^(S$3-1)*$C$10)</f>
        <v>0.417457455428493</v>
      </c>
      <c r="T37" s="34" t="n">
        <f aca="false">MIN(1,Cartera!$F$8*(1+Cartera!$G$8)^(T$3-1)*$C$10)</f>
        <v>0.450854051862772</v>
      </c>
      <c r="U37" s="34" t="n">
        <f aca="false">MIN(1,Cartera!$F$8*(1+Cartera!$G$8)^(U$3-1)*$C$10)</f>
        <v>0.486922376011794</v>
      </c>
      <c r="V37" s="34" t="n">
        <f aca="false">MIN(1,Cartera!$F$8*(1+Cartera!$G$8)^(V$3-1)*$C$10)</f>
        <v>0.525876166092737</v>
      </c>
      <c r="W37" s="34" t="n">
        <f aca="false">MIN(1,Cartera!$F$8*(1+Cartera!$G$8)^(W$3-1)*$C$10)</f>
        <v>0.567946259380156</v>
      </c>
      <c r="X37" s="34" t="n">
        <f aca="false">MIN(1,Cartera!$F$8*(1+Cartera!$G$8)^(X$3-1)*$C$10)</f>
        <v>0.613381960130569</v>
      </c>
      <c r="Y37" s="34" t="n">
        <f aca="false">MIN(1,Cartera!$F$8*(1+Cartera!$G$8)^(Y$3-1)*$C$10)</f>
        <v>0.662452516941015</v>
      </c>
      <c r="Z37" s="34" t="n">
        <f aca="false">MIN(1,Cartera!$F$8*(1+Cartera!$G$8)^(Z$3-1)*$C$10)</f>
        <v>0.715448718296296</v>
      </c>
      <c r="AA37" s="34" t="n">
        <f aca="false">MIN(1,Cartera!$F$8*(1+Cartera!$G$8)^(AA$3-1)*$C$10)</f>
        <v>0.77268461576</v>
      </c>
      <c r="AB37" s="34" t="n">
        <f aca="false">MIN(1,Cartera!$F$8*(1+Cartera!$G$8)^(AB$3-1)*$C$10)</f>
        <v>0.8344993850208</v>
      </c>
    </row>
    <row r="38" customFormat="false" ht="15" hidden="false" customHeight="false" outlineLevel="0" collapsed="false">
      <c r="B38" s="3" t="s">
        <v>192</v>
      </c>
      <c r="C38" s="3" t="s">
        <v>193</v>
      </c>
      <c r="D38" s="34" t="n">
        <f aca="false">1</f>
        <v>1</v>
      </c>
      <c r="E38" s="34" t="n">
        <f aca="false">D42</f>
        <v>0.8684</v>
      </c>
      <c r="F38" s="34" t="n">
        <f aca="false">E42</f>
        <v>0.7449760448</v>
      </c>
      <c r="G38" s="34" t="n">
        <f aca="false">F42</f>
        <v>0.630623533081039</v>
      </c>
      <c r="H38" s="34" t="n">
        <f aca="false">G42</f>
        <v>0.526079962456076</v>
      </c>
      <c r="I38" s="34" t="n">
        <f aca="false">H42</f>
        <v>0.431890423356646</v>
      </c>
      <c r="J38" s="34" t="n">
        <f aca="false">I42</f>
        <v>0.348378547128359</v>
      </c>
      <c r="K38" s="34" t="n">
        <f aca="false">J42</f>
        <v>0.275625728131266</v>
      </c>
      <c r="L38" s="34" t="n">
        <f aca="false">K42</f>
        <v>0.213461301575831</v>
      </c>
      <c r="M38" s="34" t="n">
        <f aca="false">L42</f>
        <v>0.161465882085267</v>
      </c>
      <c r="N38" s="34" t="n">
        <f aca="false">M42</f>
        <v>0.118989212509581</v>
      </c>
      <c r="O38" s="34" t="n">
        <f aca="false">N42</f>
        <v>0.0851826483650568</v>
      </c>
      <c r="P38" s="34" t="n">
        <f aca="false">O42</f>
        <v>0.0590448900453298</v>
      </c>
      <c r="Q38" s="34" t="n">
        <f aca="false">P42</f>
        <v>0.0394779338248775</v>
      </c>
      <c r="R38" s="34" t="n">
        <f aca="false">Q42</f>
        <v>0.0253486833103818</v>
      </c>
      <c r="S38" s="34" t="n">
        <f aca="false">R42</f>
        <v>0.0155505380944423</v>
      </c>
      <c r="T38" s="34" t="n">
        <f aca="false">S42</f>
        <v>0.00905885003099256</v>
      </c>
      <c r="U38" s="34" t="n">
        <f aca="false">T42</f>
        <v>0.00497463078930236</v>
      </c>
      <c r="V38" s="34" t="n">
        <f aca="false">U42</f>
        <v>0.00255237174559383</v>
      </c>
      <c r="W38" s="34" t="n">
        <f aca="false">V42</f>
        <v>0.00121014027757752</v>
      </c>
      <c r="X38" s="34" t="n">
        <f aca="false">W42</f>
        <v>0.000522845633602103</v>
      </c>
      <c r="Y38" s="34" t="n">
        <f aca="false">X42</f>
        <v>0.000202141554017536</v>
      </c>
      <c r="Z38" s="34" t="n">
        <f aca="false">Y42</f>
        <v>6.82323727802512E-005</v>
      </c>
      <c r="AA38" s="34" t="n">
        <f aca="false">Z42</f>
        <v>1.94156091283054E-005</v>
      </c>
      <c r="AB38" s="34" t="n">
        <f aca="false">AA42</f>
        <v>4.41346664925441E-006</v>
      </c>
    </row>
    <row r="39" customFormat="false" ht="15" hidden="false" customHeight="false" outlineLevel="0" collapsed="false">
      <c r="B39" s="3" t="s">
        <v>194</v>
      </c>
      <c r="D39" s="34" t="n">
        <f aca="false">D38*D37</f>
        <v>0.1316</v>
      </c>
      <c r="E39" s="34" t="n">
        <f aca="false">E38*E37</f>
        <v>0.1234239552</v>
      </c>
      <c r="F39" s="34" t="n">
        <f aca="false">F38*F37</f>
        <v>0.114352511718961</v>
      </c>
      <c r="G39" s="34" t="n">
        <f aca="false">G38*G37</f>
        <v>0.104543570624963</v>
      </c>
      <c r="H39" s="34" t="n">
        <f aca="false">H38*H37</f>
        <v>0.0941895390994297</v>
      </c>
      <c r="I39" s="34" t="n">
        <f aca="false">I38*I37</f>
        <v>0.083511876228287</v>
      </c>
      <c r="J39" s="34" t="n">
        <f aca="false">J38*J37</f>
        <v>0.0727528189970929</v>
      </c>
      <c r="K39" s="34" t="n">
        <f aca="false">K38*K37</f>
        <v>0.062164426555435</v>
      </c>
      <c r="L39" s="34" t="n">
        <f aca="false">L38*L37</f>
        <v>0.0519954194905642</v>
      </c>
      <c r="M39" s="34" t="n">
        <f aca="false">M38*M37</f>
        <v>0.0424766695756859</v>
      </c>
      <c r="N39" s="34" t="n">
        <f aca="false">N38*N37</f>
        <v>0.0338065641445244</v>
      </c>
      <c r="O39" s="34" t="n">
        <f aca="false">O38*O37</f>
        <v>0.0261377583197269</v>
      </c>
      <c r="P39" s="34" t="n">
        <f aca="false">P38*P37</f>
        <v>0.0195669562204524</v>
      </c>
      <c r="Q39" s="34" t="n">
        <f aca="false">Q38*Q37</f>
        <v>0.0141292505144957</v>
      </c>
      <c r="R39" s="34" t="n">
        <f aca="false">R38*R37</f>
        <v>0.00979814521593951</v>
      </c>
      <c r="S39" s="34" t="n">
        <f aca="false">S38*S37</f>
        <v>0.00649168806344971</v>
      </c>
      <c r="T39" s="34" t="n">
        <f aca="false">T38*T37</f>
        <v>0.00408421924169019</v>
      </c>
      <c r="U39" s="34" t="n">
        <f aca="false">U38*U37</f>
        <v>0.00242225904370853</v>
      </c>
      <c r="V39" s="34" t="n">
        <f aca="false">V38*V37</f>
        <v>0.00134223146801631</v>
      </c>
      <c r="W39" s="34" t="n">
        <f aca="false">W38*W37</f>
        <v>0.000687294643975417</v>
      </c>
      <c r="X39" s="34" t="n">
        <f aca="false">X38*X37</f>
        <v>0.000320704079584567</v>
      </c>
      <c r="Y39" s="34" t="n">
        <f aca="false">Y38*Y37</f>
        <v>0.000133909181237285</v>
      </c>
      <c r="Z39" s="34" t="n">
        <f aca="false">Z38*Z37</f>
        <v>4.88167636519458E-005</v>
      </c>
      <c r="AA39" s="34" t="n">
        <f aca="false">AA38*AA37</f>
        <v>1.5002142479051E-005</v>
      </c>
      <c r="AB39" s="34" t="n">
        <f aca="false">AB38*AB37</f>
        <v>3.68303520461261E-006</v>
      </c>
    </row>
    <row r="40" customFormat="false" ht="15" hidden="false" customHeight="false" outlineLevel="0" collapsed="false">
      <c r="B40" s="3" t="s">
        <v>195</v>
      </c>
      <c r="D40" s="38" t="n">
        <f aca="false">D39*Cartera!$D$8</f>
        <v>10.528</v>
      </c>
      <c r="E40" s="38" t="n">
        <f aca="false">E39*Cartera!$D$8</f>
        <v>9.873916416</v>
      </c>
      <c r="F40" s="38" t="n">
        <f aca="false">F39*Cartera!$D$8</f>
        <v>9.14820093751689</v>
      </c>
      <c r="G40" s="38" t="n">
        <f aca="false">G39*Cartera!$D$8</f>
        <v>8.36348564999704</v>
      </c>
      <c r="H40" s="38" t="n">
        <f aca="false">H39*Cartera!$D$8</f>
        <v>7.53516312795438</v>
      </c>
      <c r="I40" s="38" t="n">
        <f aca="false">I39*Cartera!$D$8</f>
        <v>6.68095009826296</v>
      </c>
      <c r="J40" s="38" t="n">
        <f aca="false">J39*Cartera!$D$8</f>
        <v>5.82022551976743</v>
      </c>
      <c r="K40" s="38" t="n">
        <f aca="false">K39*Cartera!$D$8</f>
        <v>4.9731541244348</v>
      </c>
      <c r="L40" s="38" t="n">
        <f aca="false">L39*Cartera!$D$8</f>
        <v>4.15963355924514</v>
      </c>
      <c r="M40" s="38" t="n">
        <f aca="false">M39*Cartera!$D$8</f>
        <v>3.39813356605487</v>
      </c>
      <c r="N40" s="38" t="n">
        <f aca="false">N39*Cartera!$D$8</f>
        <v>2.70452513156195</v>
      </c>
      <c r="O40" s="38" t="n">
        <f aca="false">O39*Cartera!$D$8</f>
        <v>2.09102066557815</v>
      </c>
      <c r="P40" s="38" t="n">
        <f aca="false">P39*Cartera!$D$8</f>
        <v>1.56535649763619</v>
      </c>
      <c r="Q40" s="38" t="n">
        <f aca="false">Q39*Cartera!$D$8</f>
        <v>1.13034004115965</v>
      </c>
      <c r="R40" s="38" t="n">
        <f aca="false">R39*Cartera!$D$8</f>
        <v>0.783851617275161</v>
      </c>
      <c r="S40" s="38" t="n">
        <f aca="false">S39*Cartera!$D$8</f>
        <v>0.519335045075977</v>
      </c>
      <c r="T40" s="38" t="n">
        <f aca="false">T39*Cartera!$D$8</f>
        <v>0.326737539335215</v>
      </c>
      <c r="U40" s="38" t="n">
        <f aca="false">U39*Cartera!$D$8</f>
        <v>0.193780723496683</v>
      </c>
      <c r="V40" s="38" t="n">
        <f aca="false">V39*Cartera!$D$8</f>
        <v>0.107378517441305</v>
      </c>
      <c r="W40" s="38" t="n">
        <f aca="false">W39*Cartera!$D$8</f>
        <v>0.0549835715180333</v>
      </c>
      <c r="X40" s="38" t="n">
        <f aca="false">X39*Cartera!$D$8</f>
        <v>0.0256563263667654</v>
      </c>
      <c r="Y40" s="38" t="n">
        <f aca="false">Y39*Cartera!$D$8</f>
        <v>0.0107127344989828</v>
      </c>
      <c r="Z40" s="38" t="n">
        <f aca="false">Z39*Cartera!$D$8</f>
        <v>0.00390534109215566</v>
      </c>
      <c r="AA40" s="38" t="n">
        <f aca="false">AA39*Cartera!$D$8</f>
        <v>0.00120017139832408</v>
      </c>
      <c r="AB40" s="38" t="n">
        <f aca="false">AB39*Cartera!$D$8</f>
        <v>0.000294642816369009</v>
      </c>
    </row>
    <row r="41" customFormat="false" ht="15" hidden="false" customHeight="false" outlineLevel="0" collapsed="false">
      <c r="B41" s="3" t="s">
        <v>196</v>
      </c>
      <c r="D41" s="38" t="n">
        <f aca="false">D38*Cartera!$D$8*Cartera!$H$8*(1+$C$8)^(D$3-1)</f>
        <v>5.6</v>
      </c>
      <c r="E41" s="38" t="n">
        <f aca="false">E38*Cartera!$D$8*Cartera!$H$8*(1+$C$8)^(E$3-1)</f>
        <v>4.8751976</v>
      </c>
      <c r="F41" s="38" t="n">
        <f aca="false">F38*Cartera!$D$8*Cartera!$H$8*(1+$C$8)^(F$3-1)</f>
        <v>4.19275125429597</v>
      </c>
      <c r="G41" s="38" t="n">
        <f aca="false">G38*Cartera!$D$8*Cartera!$H$8*(1+$C$8)^(G$3-1)</f>
        <v>3.55804424429375</v>
      </c>
      <c r="H41" s="38" t="n">
        <f aca="false">H38*Cartera!$D$8*Cartera!$H$8*(1+$C$8)^(H$3-1)</f>
        <v>2.97561892868675</v>
      </c>
      <c r="I41" s="38" t="n">
        <f aca="false">I38*Cartera!$D$8*Cartera!$H$8*(1+$C$8)^(I$3-1)</f>
        <v>2.4489702404571</v>
      </c>
      <c r="J41" s="38" t="n">
        <f aca="false">J38*Cartera!$D$8*Cartera!$H$8*(1+$C$8)^(J$3-1)</f>
        <v>1.98036717142155</v>
      </c>
      <c r="K41" s="38" t="n">
        <f aca="false">K38*Cartera!$D$8*Cartera!$H$8*(1+$C$8)^(K$3-1)</f>
        <v>1.57071883001935</v>
      </c>
      <c r="L41" s="38" t="n">
        <f aca="false">L38*Cartera!$D$8*Cartera!$H$8*(1+$C$8)^(L$3-1)</f>
        <v>1.21950119591224</v>
      </c>
      <c r="M41" s="38" t="n">
        <f aca="false">M38*Cartera!$D$8*Cartera!$H$8*(1+$C$8)^(M$3-1)</f>
        <v>0.924758279067448</v>
      </c>
      <c r="N41" s="38" t="n">
        <f aca="false">N38*Cartera!$D$8*Cartera!$H$8*(1+$C$8)^(N$3-1)</f>
        <v>0.683186742683929</v>
      </c>
      <c r="O41" s="38" t="n">
        <f aca="false">O38*Cartera!$D$8*Cartera!$H$8*(1+$C$8)^(O$3-1)</f>
        <v>0.490306171285823</v>
      </c>
      <c r="P41" s="38" t="n">
        <f aca="false">P38*Cartera!$D$8*Cartera!$H$8*(1+$C$8)^(P$3-1)</f>
        <v>0.340708462510704</v>
      </c>
      <c r="Q41" s="38" t="n">
        <f aca="false">Q38*Cartera!$D$8*Cartera!$H$8*(1+$C$8)^(Q$3-1)</f>
        <v>0.228370182272551</v>
      </c>
      <c r="R41" s="38" t="n">
        <f aca="false">R38*Cartera!$D$8*Cartera!$H$8*(1+$C$8)^(R$3-1)</f>
        <v>0.147002516957306</v>
      </c>
      <c r="S41" s="38" t="n">
        <f aca="false">S38*Cartera!$D$8*Cartera!$H$8*(1+$C$8)^(S$3-1)</f>
        <v>0.0904063983309428</v>
      </c>
      <c r="T41" s="38" t="n">
        <f aca="false">T38*Cartera!$D$8*Cartera!$H$8*(1+$C$8)^(T$3-1)</f>
        <v>0.0527972372625758</v>
      </c>
      <c r="U41" s="38" t="n">
        <f aca="false">U38*Cartera!$D$8*Cartera!$H$8*(1+$C$8)^(U$3-1)</f>
        <v>0.0290658723878723</v>
      </c>
      <c r="V41" s="38" t="n">
        <f aca="false">V38*Cartera!$D$8*Cartera!$H$8*(1+$C$8)^(V$3-1)</f>
        <v>0.0149503313657737</v>
      </c>
      <c r="W41" s="38" t="n">
        <f aca="false">W38*Cartera!$D$8*Cartera!$H$8*(1+$C$8)^(W$3-1)</f>
        <v>0.00710602919638796</v>
      </c>
      <c r="X41" s="38" t="n">
        <f aca="false">X38*Cartera!$D$8*Cartera!$H$8*(1+$C$8)^(X$3-1)</f>
        <v>0.00307786196149137</v>
      </c>
      <c r="Y41" s="38" t="n">
        <f aca="false">Y38*Cartera!$D$8*Cartera!$H$8*(1+$C$8)^(Y$3-1)</f>
        <v>0.00119293185093683</v>
      </c>
      <c r="Z41" s="38" t="n">
        <f aca="false">Z38*Cartera!$D$8*Cartera!$H$8*(1+$C$8)^(Z$3-1)</f>
        <v>0.000403677821603984</v>
      </c>
      <c r="AA41" s="38" t="n">
        <f aca="false">AA38*Cartera!$D$8*Cartera!$H$8*(1+$C$8)^(AA$3-1)</f>
        <v>0.000115154209136605</v>
      </c>
      <c r="AB41" s="38" t="n">
        <f aca="false">AB38*Cartera!$D$8*Cartera!$H$8*(1+$C$8)^(AB$3-1)</f>
        <v>2.62417641049826E-005</v>
      </c>
    </row>
    <row r="42" customFormat="false" ht="15" hidden="false" customHeight="false" outlineLevel="0" collapsed="false">
      <c r="B42" s="3" t="s">
        <v>197</v>
      </c>
      <c r="C42" s="33" t="n">
        <f aca="false">SUM(D42:AB42)+0.5</f>
        <v>5.06310910067524</v>
      </c>
      <c r="D42" s="34" t="n">
        <f aca="false">D38-D39</f>
        <v>0.8684</v>
      </c>
      <c r="E42" s="34" t="n">
        <f aca="false">E38-E39</f>
        <v>0.7449760448</v>
      </c>
      <c r="F42" s="34" t="n">
        <f aca="false">F38-F39</f>
        <v>0.630623533081039</v>
      </c>
      <c r="G42" s="34" t="n">
        <f aca="false">G38-G39</f>
        <v>0.526079962456076</v>
      </c>
      <c r="H42" s="34" t="n">
        <f aca="false">H38-H39</f>
        <v>0.431890423356646</v>
      </c>
      <c r="I42" s="34" t="n">
        <f aca="false">I38-I39</f>
        <v>0.348378547128359</v>
      </c>
      <c r="J42" s="34" t="n">
        <f aca="false">J38-J39</f>
        <v>0.275625728131266</v>
      </c>
      <c r="K42" s="34" t="n">
        <f aca="false">K38-K39</f>
        <v>0.213461301575831</v>
      </c>
      <c r="L42" s="34" t="n">
        <f aca="false">L38-L39</f>
        <v>0.161465882085267</v>
      </c>
      <c r="M42" s="34" t="n">
        <f aca="false">M38-M39</f>
        <v>0.118989212509581</v>
      </c>
      <c r="N42" s="34" t="n">
        <f aca="false">N38-N39</f>
        <v>0.0851826483650568</v>
      </c>
      <c r="O42" s="34" t="n">
        <f aca="false">O38-O39</f>
        <v>0.0590448900453298</v>
      </c>
      <c r="P42" s="34" t="n">
        <f aca="false">P38-P39</f>
        <v>0.0394779338248775</v>
      </c>
      <c r="Q42" s="34" t="n">
        <f aca="false">Q38-Q39</f>
        <v>0.0253486833103818</v>
      </c>
      <c r="R42" s="34" t="n">
        <f aca="false">R38-R39</f>
        <v>0.0155505380944423</v>
      </c>
      <c r="S42" s="34" t="n">
        <f aca="false">S38-S39</f>
        <v>0.00905885003099256</v>
      </c>
      <c r="T42" s="34" t="n">
        <f aca="false">T38-T39</f>
        <v>0.00497463078930236</v>
      </c>
      <c r="U42" s="34" t="n">
        <f aca="false">U38-U39</f>
        <v>0.00255237174559383</v>
      </c>
      <c r="V42" s="34" t="n">
        <f aca="false">V38-V39</f>
        <v>0.00121014027757752</v>
      </c>
      <c r="W42" s="34" t="n">
        <f aca="false">W38-W39</f>
        <v>0.000522845633602103</v>
      </c>
      <c r="X42" s="34" t="n">
        <f aca="false">X38-X39</f>
        <v>0.000202141554017536</v>
      </c>
      <c r="Y42" s="34" t="n">
        <f aca="false">Y38-Y39</f>
        <v>6.82323727802512E-005</v>
      </c>
      <c r="Z42" s="34" t="n">
        <f aca="false">Z38-Z39</f>
        <v>1.94156091283054E-005</v>
      </c>
      <c r="AA42" s="34" t="n">
        <f aca="false">AA38-AA39</f>
        <v>4.41346664925441E-006</v>
      </c>
      <c r="AB42" s="34" t="n">
        <f aca="false">AB38-AB39</f>
        <v>7.30431444641796E-007</v>
      </c>
    </row>
    <row r="44" customFormat="false" ht="15" hidden="false" customHeight="false" outlineLevel="0" collapsed="false">
      <c r="A44" s="37" t="str">
        <f aca="false">Cartera!A9&amp;" – "&amp;Cartera!B9</f>
        <v>C5 – Edad 70–74, enfermedad crónica</v>
      </c>
    </row>
    <row r="45" customFormat="false" ht="15" hidden="false" customHeight="false" outlineLevel="0" collapsed="false">
      <c r="B45" s="3" t="s">
        <v>191</v>
      </c>
      <c r="D45" s="34" t="n">
        <f aca="false">MIN(1,Cartera!$F$9*(1+Cartera!$G$9)^(D$3-1)*$C$10)</f>
        <v>0.047</v>
      </c>
      <c r="E45" s="34" t="n">
        <f aca="false">MIN(1,Cartera!$F$9*(1+Cartera!$G$9)^(E$3-1)*$C$10)</f>
        <v>0.05264</v>
      </c>
      <c r="F45" s="34" t="n">
        <f aca="false">MIN(1,Cartera!$F$9*(1+Cartera!$G$9)^(F$3-1)*$C$10)</f>
        <v>0.0589568</v>
      </c>
      <c r="G45" s="34" t="n">
        <f aca="false">MIN(1,Cartera!$F$9*(1+Cartera!$G$9)^(G$3-1)*$C$10)</f>
        <v>0.066031616</v>
      </c>
      <c r="H45" s="34" t="n">
        <f aca="false">MIN(1,Cartera!$F$9*(1+Cartera!$G$9)^(H$3-1)*$C$10)</f>
        <v>0.07395540992</v>
      </c>
      <c r="I45" s="34" t="n">
        <f aca="false">MIN(1,Cartera!$F$9*(1+Cartera!$G$9)^(I$3-1)*$C$10)</f>
        <v>0.0828300591104</v>
      </c>
      <c r="J45" s="34" t="n">
        <f aca="false">MIN(1,Cartera!$F$9*(1+Cartera!$G$9)^(J$3-1)*$C$10)</f>
        <v>0.0927696662036481</v>
      </c>
      <c r="K45" s="34" t="n">
        <f aca="false">MIN(1,Cartera!$F$9*(1+Cartera!$G$9)^(K$3-1)*$C$10)</f>
        <v>0.103902026148086</v>
      </c>
      <c r="L45" s="34" t="n">
        <f aca="false">MIN(1,Cartera!$F$9*(1+Cartera!$G$9)^(L$3-1)*$C$10)</f>
        <v>0.116370269285856</v>
      </c>
      <c r="M45" s="34" t="n">
        <f aca="false">MIN(1,Cartera!$F$9*(1+Cartera!$G$9)^(M$3-1)*$C$10)</f>
        <v>0.130334701600159</v>
      </c>
      <c r="N45" s="34" t="n">
        <f aca="false">MIN(1,Cartera!$F$9*(1+Cartera!$G$9)^(N$3-1)*$C$10)</f>
        <v>0.145974865792178</v>
      </c>
      <c r="O45" s="34" t="n">
        <f aca="false">MIN(1,Cartera!$F$9*(1+Cartera!$G$9)^(O$3-1)*$C$10)</f>
        <v>0.163491849687239</v>
      </c>
      <c r="P45" s="34" t="n">
        <f aca="false">MIN(1,Cartera!$F$9*(1+Cartera!$G$9)^(P$3-1)*$C$10)</f>
        <v>0.183110871649708</v>
      </c>
      <c r="Q45" s="34" t="n">
        <f aca="false">MIN(1,Cartera!$F$9*(1+Cartera!$G$9)^(Q$3-1)*$C$10)</f>
        <v>0.205084176247673</v>
      </c>
      <c r="R45" s="34" t="n">
        <f aca="false">MIN(1,Cartera!$F$9*(1+Cartera!$G$9)^(R$3-1)*$C$10)</f>
        <v>0.229694277397394</v>
      </c>
      <c r="S45" s="34" t="n">
        <f aca="false">MIN(1,Cartera!$F$9*(1+Cartera!$G$9)^(S$3-1)*$C$10)</f>
        <v>0.257257590685081</v>
      </c>
      <c r="T45" s="34" t="n">
        <f aca="false">MIN(1,Cartera!$F$9*(1+Cartera!$G$9)^(T$3-1)*$C$10)</f>
        <v>0.288128501567291</v>
      </c>
      <c r="U45" s="34" t="n">
        <f aca="false">MIN(1,Cartera!$F$9*(1+Cartera!$G$9)^(U$3-1)*$C$10)</f>
        <v>0.322703921755366</v>
      </c>
      <c r="V45" s="34" t="n">
        <f aca="false">MIN(1,Cartera!$F$9*(1+Cartera!$G$9)^(V$3-1)*$C$10)</f>
        <v>0.36142839236601</v>
      </c>
      <c r="W45" s="34" t="n">
        <f aca="false">MIN(1,Cartera!$F$9*(1+Cartera!$G$9)^(W$3-1)*$C$10)</f>
        <v>0.404799799449931</v>
      </c>
      <c r="X45" s="34" t="n">
        <f aca="false">MIN(1,Cartera!$F$9*(1+Cartera!$G$9)^(X$3-1)*$C$10)</f>
        <v>0.453375775383923</v>
      </c>
      <c r="Y45" s="34" t="n">
        <f aca="false">MIN(1,Cartera!$F$9*(1+Cartera!$G$9)^(Y$3-1)*$C$10)</f>
        <v>0.507780868429994</v>
      </c>
      <c r="Z45" s="34" t="n">
        <f aca="false">MIN(1,Cartera!$F$9*(1+Cartera!$G$9)^(Z$3-1)*$C$10)</f>
        <v>0.568714572641593</v>
      </c>
      <c r="AA45" s="34" t="n">
        <f aca="false">MIN(1,Cartera!$F$9*(1+Cartera!$G$9)^(AA$3-1)*$C$10)</f>
        <v>0.636960321358584</v>
      </c>
      <c r="AB45" s="34" t="n">
        <f aca="false">MIN(1,Cartera!$F$9*(1+Cartera!$G$9)^(AB$3-1)*$C$10)</f>
        <v>0.713395559921614</v>
      </c>
    </row>
    <row r="46" customFormat="false" ht="15" hidden="false" customHeight="false" outlineLevel="0" collapsed="false">
      <c r="B46" s="3" t="s">
        <v>192</v>
      </c>
      <c r="C46" s="3" t="s">
        <v>193</v>
      </c>
      <c r="D46" s="34" t="n">
        <f aca="false">1</f>
        <v>1</v>
      </c>
      <c r="E46" s="34" t="n">
        <f aca="false">D50</f>
        <v>0.953</v>
      </c>
      <c r="F46" s="34" t="n">
        <f aca="false">E50</f>
        <v>0.90283408</v>
      </c>
      <c r="G46" s="34" t="n">
        <f aca="false">F50</f>
        <v>0.849605871712256</v>
      </c>
      <c r="H46" s="34" t="n">
        <f aca="false">G50</f>
        <v>0.793505023040007</v>
      </c>
      <c r="I46" s="34" t="n">
        <f aca="false">H50</f>
        <v>0.734821033787504</v>
      </c>
      <c r="J46" s="34" t="n">
        <f aca="false">I50</f>
        <v>0.67395576412332</v>
      </c>
      <c r="K46" s="34" t="n">
        <f aca="false">J50</f>
        <v>0.611433112849575</v>
      </c>
      <c r="L46" s="34" t="n">
        <f aca="false">K50</f>
        <v>0.547903973570473</v>
      </c>
      <c r="M46" s="34" t="n">
        <f aca="false">L50</f>
        <v>0.484144240623286</v>
      </c>
      <c r="N46" s="34" t="n">
        <f aca="false">M50</f>
        <v>0.421043445490215</v>
      </c>
      <c r="O46" s="34" t="n">
        <f aca="false">N50</f>
        <v>0.359581685042105</v>
      </c>
      <c r="P46" s="34" t="n">
        <f aca="false">O50</f>
        <v>0.300793010240917</v>
      </c>
      <c r="Q46" s="34" t="n">
        <f aca="false">P50</f>
        <v>0.245714539949563</v>
      </c>
      <c r="R46" s="34" t="n">
        <f aca="false">Q50</f>
        <v>0.195322375931931</v>
      </c>
      <c r="S46" s="34" t="n">
        <f aca="false">R50</f>
        <v>0.150457943932704</v>
      </c>
      <c r="T46" s="34" t="n">
        <f aca="false">S50</f>
        <v>0.111751495777145</v>
      </c>
      <c r="U46" s="34" t="n">
        <f aca="false">T50</f>
        <v>0.079552704750973</v>
      </c>
      <c r="V46" s="34" t="n">
        <f aca="false">U50</f>
        <v>0.0538807349415873</v>
      </c>
      <c r="W46" s="34" t="n">
        <f aca="false">V50</f>
        <v>0.0344067075321503</v>
      </c>
      <c r="X46" s="34" t="n">
        <f aca="false">W50</f>
        <v>0.0204788792234034</v>
      </c>
      <c r="Y46" s="34" t="n">
        <f aca="false">X50</f>
        <v>0.0111942514764992</v>
      </c>
      <c r="Z46" s="34" t="n">
        <f aca="false">Y50</f>
        <v>0.0055100247403387</v>
      </c>
      <c r="AA46" s="34" t="n">
        <f aca="false">Z50</f>
        <v>0.00237639337489237</v>
      </c>
      <c r="AB46" s="34" t="n">
        <f aca="false">AA50</f>
        <v>0.000862725087146517</v>
      </c>
    </row>
    <row r="47" customFormat="false" ht="15" hidden="false" customHeight="false" outlineLevel="0" collapsed="false">
      <c r="B47" s="3" t="s">
        <v>194</v>
      </c>
      <c r="D47" s="34" t="n">
        <f aca="false">D46*D45</f>
        <v>0.047</v>
      </c>
      <c r="E47" s="34" t="n">
        <f aca="false">E46*E45</f>
        <v>0.05016592</v>
      </c>
      <c r="F47" s="34" t="n">
        <f aca="false">F46*F45</f>
        <v>0.053228208287744</v>
      </c>
      <c r="G47" s="34" t="n">
        <f aca="false">G46*G45</f>
        <v>0.056100848672249</v>
      </c>
      <c r="H47" s="34" t="n">
        <f aca="false">H46*H45</f>
        <v>0.0586839892525028</v>
      </c>
      <c r="I47" s="34" t="n">
        <f aca="false">I46*I45</f>
        <v>0.0608652696641842</v>
      </c>
      <c r="J47" s="34" t="n">
        <f aca="false">J46*J45</f>
        <v>0.062522651273745</v>
      </c>
      <c r="K47" s="34" t="n">
        <f aca="false">K46*K45</f>
        <v>0.0635291392791021</v>
      </c>
      <c r="L47" s="34" t="n">
        <f aca="false">L46*L45</f>
        <v>0.0637597329471865</v>
      </c>
      <c r="M47" s="34" t="n">
        <f aca="false">M46*M45</f>
        <v>0.0631007951330716</v>
      </c>
      <c r="N47" s="34" t="n">
        <f aca="false">N46*N45</f>
        <v>0.0614617604481103</v>
      </c>
      <c r="O47" s="34" t="n">
        <f aca="false">O46*O45</f>
        <v>0.058788674801188</v>
      </c>
      <c r="P47" s="34" t="n">
        <f aca="false">P46*P45</f>
        <v>0.0550784702913538</v>
      </c>
      <c r="Q47" s="34" t="n">
        <f aca="false">Q46*Q45</f>
        <v>0.050392164017632</v>
      </c>
      <c r="R47" s="34" t="n">
        <f aca="false">R46*R45</f>
        <v>0.044864431999227</v>
      </c>
      <c r="S47" s="34" t="n">
        <f aca="false">S46*S45</f>
        <v>0.0387064481555584</v>
      </c>
      <c r="T47" s="34" t="n">
        <f aca="false">T46*T45</f>
        <v>0.0321987910261723</v>
      </c>
      <c r="U47" s="34" t="n">
        <f aca="false">U46*U45</f>
        <v>0.0256719698093857</v>
      </c>
      <c r="V47" s="34" t="n">
        <f aca="false">V46*V45</f>
        <v>0.019474027409437</v>
      </c>
      <c r="W47" s="34" t="n">
        <f aca="false">W46*W45</f>
        <v>0.0139278283087469</v>
      </c>
      <c r="X47" s="34" t="n">
        <f aca="false">X46*X45</f>
        <v>0.00928462774690424</v>
      </c>
      <c r="Y47" s="34" t="n">
        <f aca="false">Y46*Y45</f>
        <v>0.0056842267361605</v>
      </c>
      <c r="Z47" s="34" t="n">
        <f aca="false">Z46*Z45</f>
        <v>0.00313363136544633</v>
      </c>
      <c r="AA47" s="34" t="n">
        <f aca="false">AA46*AA45</f>
        <v>0.00151366828774586</v>
      </c>
      <c r="AB47" s="34" t="n">
        <f aca="false">AB46*AB45</f>
        <v>0.000615464246603313</v>
      </c>
    </row>
    <row r="48" customFormat="false" ht="15" hidden="false" customHeight="false" outlineLevel="0" collapsed="false">
      <c r="B48" s="3" t="s">
        <v>195</v>
      </c>
      <c r="D48" s="38" t="n">
        <f aca="false">D47*Cartera!$D$9</f>
        <v>2.82</v>
      </c>
      <c r="E48" s="38" t="n">
        <f aca="false">E47*Cartera!$D$9</f>
        <v>3.0099552</v>
      </c>
      <c r="F48" s="38" t="n">
        <f aca="false">F47*Cartera!$D$9</f>
        <v>3.19369249726464</v>
      </c>
      <c r="G48" s="38" t="n">
        <f aca="false">G47*Cartera!$D$9</f>
        <v>3.36605092033494</v>
      </c>
      <c r="H48" s="38" t="n">
        <f aca="false">H47*Cartera!$D$9</f>
        <v>3.52103935515017</v>
      </c>
      <c r="I48" s="38" t="n">
        <f aca="false">I47*Cartera!$D$9</f>
        <v>3.65191617985105</v>
      </c>
      <c r="J48" s="38" t="n">
        <f aca="false">J47*Cartera!$D$9</f>
        <v>3.7513590764247</v>
      </c>
      <c r="K48" s="38" t="n">
        <f aca="false">K47*Cartera!$D$9</f>
        <v>3.81174835674612</v>
      </c>
      <c r="L48" s="38" t="n">
        <f aca="false">L47*Cartera!$D$9</f>
        <v>3.82558397683119</v>
      </c>
      <c r="M48" s="38" t="n">
        <f aca="false">M47*Cartera!$D$9</f>
        <v>3.78604770798429</v>
      </c>
      <c r="N48" s="38" t="n">
        <f aca="false">N47*Cartera!$D$9</f>
        <v>3.68770562688662</v>
      </c>
      <c r="O48" s="38" t="n">
        <f aca="false">O47*Cartera!$D$9</f>
        <v>3.52732048807128</v>
      </c>
      <c r="P48" s="38" t="n">
        <f aca="false">P47*Cartera!$D$9</f>
        <v>3.30470821748123</v>
      </c>
      <c r="Q48" s="38" t="n">
        <f aca="false">Q47*Cartera!$D$9</f>
        <v>3.02352984105792</v>
      </c>
      <c r="R48" s="38" t="n">
        <f aca="false">R47*Cartera!$D$9</f>
        <v>2.69186591995362</v>
      </c>
      <c r="S48" s="38" t="n">
        <f aca="false">S47*Cartera!$D$9</f>
        <v>2.3223868893335</v>
      </c>
      <c r="T48" s="38" t="n">
        <f aca="false">T47*Cartera!$D$9</f>
        <v>1.93192746157034</v>
      </c>
      <c r="U48" s="38" t="n">
        <f aca="false">U47*Cartera!$D$9</f>
        <v>1.54031818856314</v>
      </c>
      <c r="V48" s="38" t="n">
        <f aca="false">V47*Cartera!$D$9</f>
        <v>1.16844164456622</v>
      </c>
      <c r="W48" s="38" t="n">
        <f aca="false">W47*Cartera!$D$9</f>
        <v>0.835669698524813</v>
      </c>
      <c r="X48" s="38" t="n">
        <f aca="false">X47*Cartera!$D$9</f>
        <v>0.557077664814254</v>
      </c>
      <c r="Y48" s="38" t="n">
        <f aca="false">Y47*Cartera!$D$9</f>
        <v>0.34105360416963</v>
      </c>
      <c r="Z48" s="38" t="n">
        <f aca="false">Z47*Cartera!$D$9</f>
        <v>0.18801788192678</v>
      </c>
      <c r="AA48" s="38" t="n">
        <f aca="false">AA47*Cartera!$D$9</f>
        <v>0.0908200972647514</v>
      </c>
      <c r="AB48" s="38" t="n">
        <f aca="false">AB47*Cartera!$D$9</f>
        <v>0.0369278547961988</v>
      </c>
    </row>
    <row r="49" customFormat="false" ht="15" hidden="false" customHeight="false" outlineLevel="0" collapsed="false">
      <c r="B49" s="3" t="s">
        <v>196</v>
      </c>
      <c r="D49" s="38" t="n">
        <f aca="false">D46*Cartera!$D$9*Cartera!$H$9*(1+$C$8)^(D$3-1)</f>
        <v>2.1</v>
      </c>
      <c r="E49" s="38" t="n">
        <f aca="false">E46*Cartera!$D$9*Cartera!$H$9*(1+$C$8)^(E$3-1)</f>
        <v>2.00630325</v>
      </c>
      <c r="F49" s="38" t="n">
        <f aca="false">F46*Cartera!$D$9*Cartera!$H$9*(1+$C$8)^(F$3-1)</f>
        <v>1.9054431755373</v>
      </c>
      <c r="G49" s="38" t="n">
        <f aca="false">G46*Cartera!$D$9*Cartera!$H$9*(1+$C$8)^(G$3-1)</f>
        <v>1.7975871041841</v>
      </c>
      <c r="H49" s="38" t="n">
        <f aca="false">H46*Cartera!$D$9*Cartera!$H$9*(1+$C$8)^(H$3-1)</f>
        <v>1.68308674660105</v>
      </c>
      <c r="I49" s="38" t="n">
        <f aca="false">I46*Cartera!$D$9*Cartera!$H$9*(1+$C$8)^(I$3-1)</f>
        <v>1.56250990976606</v>
      </c>
      <c r="J49" s="38" t="n">
        <f aca="false">J46*Cartera!$D$9*Cartera!$H$9*(1+$C$8)^(J$3-1)</f>
        <v>1.4366698393835</v>
      </c>
      <c r="K49" s="38" t="n">
        <f aca="false">K46*Cartera!$D$9*Cartera!$H$9*(1+$C$8)^(K$3-1)</f>
        <v>1.30664893408389</v>
      </c>
      <c r="L49" s="38" t="n">
        <f aca="false">L46*Cartera!$D$9*Cartera!$H$9*(1+$C$8)^(L$3-1)</f>
        <v>1.17381267602426</v>
      </c>
      <c r="M49" s="38" t="n">
        <f aca="false">M46*Cartera!$D$9*Cartera!$H$9*(1+$C$8)^(M$3-1)</f>
        <v>1.03980881827122</v>
      </c>
      <c r="N49" s="38" t="n">
        <f aca="false">N46*Cartera!$D$9*Cartera!$H$9*(1+$C$8)^(N$3-1)</f>
        <v>0.906546360336182</v>
      </c>
      <c r="O49" s="38" t="n">
        <f aca="false">O46*Cartera!$D$9*Cartera!$H$9*(1+$C$8)^(O$3-1)</f>
        <v>0.77614891049435</v>
      </c>
      <c r="P49" s="38" t="n">
        <f aca="false">P46*Cartera!$D$9*Cartera!$H$9*(1+$C$8)^(P$3-1)</f>
        <v>0.650878026708606</v>
      </c>
      <c r="Q49" s="38" t="n">
        <f aca="false">Q46*Cartera!$D$9*Cartera!$H$9*(1+$C$8)^(Q$3-1)</f>
        <v>0.533024421860102</v>
      </c>
      <c r="R49" s="38" t="n">
        <f aca="false">R46*Cartera!$D$9*Cartera!$H$9*(1+$C$8)^(R$3-1)</f>
        <v>0.424768821251488</v>
      </c>
      <c r="S49" s="38" t="n">
        <f aca="false">S46*Cartera!$D$9*Cartera!$H$9*(1+$C$8)^(S$3-1)</f>
        <v>0.328019858427668</v>
      </c>
      <c r="T49" s="38" t="n">
        <f aca="false">T46*Cartera!$D$9*Cartera!$H$9*(1+$C$8)^(T$3-1)</f>
        <v>0.244243345601584</v>
      </c>
      <c r="U49" s="38" t="n">
        <f aca="false">U46*Cartera!$D$9*Cartera!$H$9*(1+$C$8)^(U$3-1)</f>
        <v>0.174304551106656</v>
      </c>
      <c r="V49" s="38" t="n">
        <f aca="false">V46*Cartera!$D$9*Cartera!$H$9*(1+$C$8)^(V$3-1)</f>
        <v>0.118350928356942</v>
      </c>
      <c r="W49" s="38" t="n">
        <f aca="false">W46*Cartera!$D$9*Cartera!$H$9*(1+$C$8)^(W$3-1)</f>
        <v>0.0757644814423321</v>
      </c>
      <c r="X49" s="38" t="n">
        <f aca="false">X46*Cartera!$D$9*Cartera!$H$9*(1+$C$8)^(X$3-1)</f>
        <v>0.0452077721354207</v>
      </c>
      <c r="Y49" s="38" t="n">
        <f aca="false">Y46*Cartera!$D$9*Cartera!$H$9*(1+$C$8)^(Y$3-1)</f>
        <v>0.02477344254862</v>
      </c>
      <c r="Z49" s="38" t="n">
        <f aca="false">Z46*Cartera!$D$9*Cartera!$H$9*(1+$C$8)^(Z$3-1)</f>
        <v>0.0122244472832244</v>
      </c>
      <c r="AA49" s="38" t="n">
        <f aca="false">AA46*Cartera!$D$9*Cartera!$H$9*(1+$C$8)^(AA$3-1)</f>
        <v>0.00528540653569266</v>
      </c>
      <c r="AB49" s="38" t="n">
        <f aca="false">AB46*Cartera!$D$9*Cartera!$H$9*(1+$C$8)^(AB$3-1)</f>
        <v>0.00192360932093262</v>
      </c>
    </row>
    <row r="50" customFormat="false" ht="15" hidden="false" customHeight="false" outlineLevel="0" collapsed="false">
      <c r="B50" s="3" t="s">
        <v>197</v>
      </c>
      <c r="C50" s="33" t="n">
        <f aca="false">SUM(D50:AB50)+0.5</f>
        <v>9.04437727803854</v>
      </c>
      <c r="D50" s="34" t="n">
        <f aca="false">D46-D47</f>
        <v>0.953</v>
      </c>
      <c r="E50" s="34" t="n">
        <f aca="false">E46-E47</f>
        <v>0.90283408</v>
      </c>
      <c r="F50" s="34" t="n">
        <f aca="false">F46-F47</f>
        <v>0.849605871712256</v>
      </c>
      <c r="G50" s="34" t="n">
        <f aca="false">G46-G47</f>
        <v>0.793505023040007</v>
      </c>
      <c r="H50" s="34" t="n">
        <f aca="false">H46-H47</f>
        <v>0.734821033787504</v>
      </c>
      <c r="I50" s="34" t="n">
        <f aca="false">I46-I47</f>
        <v>0.67395576412332</v>
      </c>
      <c r="J50" s="34" t="n">
        <f aca="false">J46-J47</f>
        <v>0.611433112849575</v>
      </c>
      <c r="K50" s="34" t="n">
        <f aca="false">K46-K47</f>
        <v>0.547903973570473</v>
      </c>
      <c r="L50" s="34" t="n">
        <f aca="false">L46-L47</f>
        <v>0.484144240623286</v>
      </c>
      <c r="M50" s="34" t="n">
        <f aca="false">M46-M47</f>
        <v>0.421043445490215</v>
      </c>
      <c r="N50" s="34" t="n">
        <f aca="false">N46-N47</f>
        <v>0.359581685042105</v>
      </c>
      <c r="O50" s="34" t="n">
        <f aca="false">O46-O47</f>
        <v>0.300793010240917</v>
      </c>
      <c r="P50" s="34" t="n">
        <f aca="false">P46-P47</f>
        <v>0.245714539949563</v>
      </c>
      <c r="Q50" s="34" t="n">
        <f aca="false">Q46-Q47</f>
        <v>0.195322375931931</v>
      </c>
      <c r="R50" s="34" t="n">
        <f aca="false">R46-R47</f>
        <v>0.150457943932704</v>
      </c>
      <c r="S50" s="34" t="n">
        <f aca="false">S46-S47</f>
        <v>0.111751495777145</v>
      </c>
      <c r="T50" s="34" t="n">
        <f aca="false">T46-T47</f>
        <v>0.079552704750973</v>
      </c>
      <c r="U50" s="34" t="n">
        <f aca="false">U46-U47</f>
        <v>0.0538807349415873</v>
      </c>
      <c r="V50" s="34" t="n">
        <f aca="false">V46-V47</f>
        <v>0.0344067075321503</v>
      </c>
      <c r="W50" s="34" t="n">
        <f aca="false">W46-W47</f>
        <v>0.0204788792234034</v>
      </c>
      <c r="X50" s="34" t="n">
        <f aca="false">X46-X47</f>
        <v>0.0111942514764992</v>
      </c>
      <c r="Y50" s="34" t="n">
        <f aca="false">Y46-Y47</f>
        <v>0.0055100247403387</v>
      </c>
      <c r="Z50" s="34" t="n">
        <f aca="false">Z46-Z47</f>
        <v>0.00237639337489237</v>
      </c>
      <c r="AA50" s="34" t="n">
        <f aca="false">AA46-AA47</f>
        <v>0.000862725087146517</v>
      </c>
      <c r="AB50" s="34" t="n">
        <f aca="false">AB46-AB47</f>
        <v>0.000247260840543204</v>
      </c>
    </row>
    <row r="52" customFormat="false" ht="15" hidden="false" customHeight="false" outlineLevel="0" collapsed="false">
      <c r="A52" s="2" t="s">
        <v>198</v>
      </c>
    </row>
    <row r="53" customFormat="false" ht="15" hidden="false" customHeight="false" outlineLevel="0" collapsed="false">
      <c r="B53" s="3" t="s">
        <v>199</v>
      </c>
      <c r="D53" s="38" t="n">
        <f aca="false">D14*Cartera!$D$5+D22*Cartera!$D$6+D30*Cartera!$D$7+D38*Cartera!$D$8+D46*Cartera!$D$9</f>
        <v>450</v>
      </c>
      <c r="E53" s="38" t="n">
        <f aca="false">E14*Cartera!$D$5+E22*Cartera!$D$6+E30*Cartera!$D$7+E38*Cartera!$D$8+E46*Cartera!$D$9</f>
        <v>416.583</v>
      </c>
      <c r="F53" s="38" t="n">
        <f aca="false">F14*Cartera!$D$5+F22*Cartera!$D$6+F30*Cartera!$D$7+F38*Cartera!$D$8+F46*Cartera!$D$9</f>
        <v>383.215211585</v>
      </c>
      <c r="G53" s="38" t="n">
        <f aca="false">G14*Cartera!$D$5+G22*Cartera!$D$6+G30*Cartera!$D$7+G38*Cartera!$D$8+G46*Cartera!$D$9</f>
        <v>350.100440205027</v>
      </c>
      <c r="H53" s="38" t="n">
        <f aca="false">H14*Cartera!$D$5+H22*Cartera!$D$6+H30*Cartera!$D$7+H38*Cartera!$D$8+H46*Cartera!$D$9</f>
        <v>317.453332133039</v>
      </c>
      <c r="I53" s="38" t="n">
        <f aca="false">I14*Cartera!$D$5+I22*Cartera!$D$6+I30*Cartera!$D$7+I38*Cartera!$D$8+I46*Cartera!$D$9</f>
        <v>285.496256973168</v>
      </c>
      <c r="J53" s="38" t="n">
        <f aca="false">J14*Cartera!$D$5+J22*Cartera!$D$6+J30*Cartera!$D$7+J38*Cartera!$D$8+J46*Cartera!$D$9</f>
        <v>254.455606970278</v>
      </c>
      <c r="K53" s="38" t="n">
        <f aca="false">K14*Cartera!$D$5+K22*Cartera!$D$6+K30*Cartera!$D$7+K38*Cartera!$D$8+K46*Cartera!$D$9</f>
        <v>224.557533343067</v>
      </c>
      <c r="L53" s="38" t="n">
        <f aca="false">L14*Cartera!$D$5+L22*Cartera!$D$6+L30*Cartera!$D$7+L38*Cartera!$D$8+L46*Cartera!$D$9</f>
        <v>196.023148907016</v>
      </c>
      <c r="M53" s="38" t="n">
        <f aca="false">M14*Cartera!$D$5+M22*Cartera!$D$6+M30*Cartera!$D$7+M38*Cartera!$D$8+M46*Cartera!$D$9</f>
        <v>169.063233235782</v>
      </c>
      <c r="N53" s="38" t="n">
        <f aca="false">N14*Cartera!$D$5+N22*Cartera!$D$6+N30*Cartera!$D$7+N38*Cartera!$D$8+N46*Cartera!$D$9</f>
        <v>143.872485056606</v>
      </c>
      <c r="O53" s="38" t="n">
        <f aca="false">O14*Cartera!$D$5+O22*Cartera!$D$6+O30*Cartera!$D$7+O38*Cartera!$D$8+O46*Cartera!$D$9</f>
        <v>120.623383411373</v>
      </c>
      <c r="P53" s="38" t="n">
        <f aca="false">P14*Cartera!$D$5+P22*Cartera!$D$6+P30*Cartera!$D$7+P38*Cartera!$D$8+P46*Cartera!$D$9</f>
        <v>99.4597547776759</v>
      </c>
      <c r="Q53" s="38" t="n">
        <f aca="false">Q14*Cartera!$D$5+Q22*Cartera!$D$6+Q30*Cartera!$D$7+Q38*Cartera!$D$8+Q46*Cartera!$D$9</f>
        <v>80.4902105517455</v>
      </c>
      <c r="R53" s="38" t="n">
        <f aca="false">R14*Cartera!$D$5+R22*Cartera!$D$6+R30*Cartera!$D$7+R38*Cartera!$D$8+R46*Cartera!$D$9</f>
        <v>63.7817297217621</v>
      </c>
      <c r="S53" s="38" t="n">
        <f aca="false">S14*Cartera!$D$5+S22*Cartera!$D$6+S30*Cartera!$D$7+S38*Cartera!$D$8+S46*Cartera!$D$9</f>
        <v>49.3538198933236</v>
      </c>
      <c r="T53" s="38" t="n">
        <f aca="false">T14*Cartera!$D$5+T22*Cartera!$D$6+T30*Cartera!$D$7+T38*Cartera!$D$8+T46*Cartera!$D$9</f>
        <v>37.1738854084878</v>
      </c>
      <c r="U53" s="38" t="n">
        <f aca="false">U14*Cartera!$D$5+U22*Cartera!$D$6+U30*Cartera!$D$7+U38*Cartera!$D$8+U46*Cartera!$D$9</f>
        <v>27.1546289561419</v>
      </c>
      <c r="V53" s="38" t="n">
        <f aca="false">V14*Cartera!$D$5+V22*Cartera!$D$6+V30*Cartera!$D$7+V38*Cartera!$D$8+V46*Cartera!$D$9</f>
        <v>19.1544468911086</v>
      </c>
      <c r="W53" s="38" t="n">
        <f aca="false">W14*Cartera!$D$5+W22*Cartera!$D$6+W30*Cartera!$D$7+W38*Cartera!$D$8+W46*Cartera!$D$9</f>
        <v>12.9817545367817</v>
      </c>
      <c r="X53" s="38" t="n">
        <f aca="false">X14*Cartera!$D$5+X22*Cartera!$D$6+X30*Cartera!$D$7+X38*Cartera!$D$8+X46*Cartera!$D$9</f>
        <v>8.40389306351312</v>
      </c>
      <c r="Y53" s="38" t="n">
        <f aca="false">Y14*Cartera!$D$5+Y22*Cartera!$D$6+Y30*Cartera!$D$7+Y38*Cartera!$D$8+Y46*Cartera!$D$9</f>
        <v>5.1606524029048</v>
      </c>
      <c r="Z53" s="38" t="n">
        <f aca="false">Z14*Cartera!$D$5+Z22*Cartera!$D$6+Z30*Cartera!$D$7+Z38*Cartera!$D$8+Z46*Cartera!$D$9</f>
        <v>2.98151321709324</v>
      </c>
      <c r="AA53" s="38" t="n">
        <f aca="false">AA14*Cartera!$D$5+AA22*Cartera!$D$6+AA30*Cartera!$D$7+AA38*Cartera!$D$8+AA46*Cartera!$D$9</f>
        <v>1.60463122084387</v>
      </c>
      <c r="AB53" s="38" t="n">
        <f aca="false">AB14*Cartera!$D$5+AB22*Cartera!$D$6+AB30*Cartera!$D$7+AB38*Cartera!$D$8+AB46*Cartera!$D$9</f>
        <v>0.794692196913492</v>
      </c>
    </row>
    <row r="54" customFormat="false" ht="15" hidden="false" customHeight="false" outlineLevel="0" collapsed="false">
      <c r="B54" s="3" t="s">
        <v>200</v>
      </c>
      <c r="D54" s="38" t="n">
        <f aca="false">D16+D24+D32+D40+D48</f>
        <v>33.417</v>
      </c>
      <c r="E54" s="38" t="n">
        <f aca="false">E16+E24+E32+E40+E48</f>
        <v>33.367788415</v>
      </c>
      <c r="F54" s="38" t="n">
        <f aca="false">F16+F24+F32+F40+F48</f>
        <v>33.1147713799728</v>
      </c>
      <c r="G54" s="38" t="n">
        <f aca="false">G16+G24+G32+G40+G48</f>
        <v>32.6471080719878</v>
      </c>
      <c r="H54" s="38" t="n">
        <f aca="false">H16+H24+H32+H40+H48</f>
        <v>31.9570751598711</v>
      </c>
      <c r="I54" s="38" t="n">
        <f aca="false">I16+I24+I32+I40+I48</f>
        <v>31.0406500028899</v>
      </c>
      <c r="J54" s="38" t="n">
        <f aca="false">J16+J24+J32+J40+J48</f>
        <v>29.8980736272117</v>
      </c>
      <c r="K54" s="38" t="n">
        <f aca="false">K16+K24+K32+K40+K48</f>
        <v>28.5343844360512</v>
      </c>
      <c r="L54" s="38" t="n">
        <f aca="false">L16+L24+L32+L40+L48</f>
        <v>26.9599156712335</v>
      </c>
      <c r="M54" s="38" t="n">
        <f aca="false">M16+M24+M32+M40+M48</f>
        <v>25.1907481791766</v>
      </c>
      <c r="N54" s="38" t="n">
        <f aca="false">N16+N24+N32+N40+N48</f>
        <v>23.2491016452326</v>
      </c>
      <c r="O54" s="38" t="n">
        <f aca="false">O16+O24+O32+O40+O48</f>
        <v>21.163628633697</v>
      </c>
      <c r="P54" s="38" t="n">
        <f aca="false">P16+P24+P32+P40+P48</f>
        <v>18.9695442259304</v>
      </c>
      <c r="Q54" s="38" t="n">
        <f aca="false">Q16+Q24+Q32+Q40+Q48</f>
        <v>16.7084808299834</v>
      </c>
      <c r="R54" s="38" t="n">
        <f aca="false">R16+R24+R32+R40+R48</f>
        <v>14.4279098284385</v>
      </c>
      <c r="S54" s="38" t="n">
        <f aca="false">S16+S24+S32+S40+S48</f>
        <v>12.1799344848358</v>
      </c>
      <c r="T54" s="38" t="n">
        <f aca="false">T16+T24+T32+T40+T48</f>
        <v>10.0192564523459</v>
      </c>
      <c r="U54" s="38" t="n">
        <f aca="false">U16+U24+U32+U40+U48</f>
        <v>8.00018206503328</v>
      </c>
      <c r="V54" s="38" t="n">
        <f aca="false">V16+V24+V32+V40+V48</f>
        <v>6.17269235432692</v>
      </c>
      <c r="W54" s="38" t="n">
        <f aca="false">W16+W24+W32+W40+W48</f>
        <v>4.5778614732686</v>
      </c>
      <c r="X54" s="38" t="n">
        <f aca="false">X16+X24+X32+X40+X48</f>
        <v>3.24324066060832</v>
      </c>
      <c r="Y54" s="38" t="n">
        <f aca="false">Y16+Y24+Y32+Y40+Y48</f>
        <v>2.17913918581156</v>
      </c>
      <c r="Z54" s="38" t="n">
        <f aca="false">Z16+Z24+Z32+Z40+Z48</f>
        <v>1.37688199624938</v>
      </c>
      <c r="AA54" s="38" t="n">
        <f aca="false">AA16+AA24+AA32+AA40+AA48</f>
        <v>0.809939023930374</v>
      </c>
      <c r="AB54" s="38" t="n">
        <f aca="false">AB16+AB24+AB32+AB40+AB48</f>
        <v>0.438204969406516</v>
      </c>
    </row>
    <row r="55" customFormat="false" ht="15" hidden="false" customHeight="false" outlineLevel="0" collapsed="false">
      <c r="B55" s="3" t="s">
        <v>201</v>
      </c>
      <c r="D55" s="38" t="n">
        <f aca="false">-D54*$C$7</f>
        <v>-0.33417</v>
      </c>
      <c r="E55" s="38" t="n">
        <f aca="false">-E54*$C$7</f>
        <v>-0.33367788415</v>
      </c>
      <c r="F55" s="38" t="n">
        <f aca="false">-F54*$C$7</f>
        <v>-0.331147713799728</v>
      </c>
      <c r="G55" s="38" t="n">
        <f aca="false">-G54*$C$7</f>
        <v>-0.326471080719878</v>
      </c>
      <c r="H55" s="38" t="n">
        <f aca="false">-H54*$C$7</f>
        <v>-0.319570751598711</v>
      </c>
      <c r="I55" s="38" t="n">
        <f aca="false">-I54*$C$7</f>
        <v>-0.310406500028899</v>
      </c>
      <c r="J55" s="38" t="n">
        <f aca="false">-J54*$C$7</f>
        <v>-0.298980736272117</v>
      </c>
      <c r="K55" s="38" t="n">
        <f aca="false">-K54*$C$7</f>
        <v>-0.285343844360512</v>
      </c>
      <c r="L55" s="38" t="n">
        <f aca="false">-L54*$C$7</f>
        <v>-0.269599156712335</v>
      </c>
      <c r="M55" s="38" t="n">
        <f aca="false">-M54*$C$7</f>
        <v>-0.251907481791766</v>
      </c>
      <c r="N55" s="38" t="n">
        <f aca="false">-N54*$C$7</f>
        <v>-0.232491016452326</v>
      </c>
      <c r="O55" s="38" t="n">
        <f aca="false">-O54*$C$7</f>
        <v>-0.21163628633697</v>
      </c>
      <c r="P55" s="38" t="n">
        <f aca="false">-P54*$C$7</f>
        <v>-0.189695442259304</v>
      </c>
      <c r="Q55" s="38" t="n">
        <f aca="false">-Q54*$C$7</f>
        <v>-0.167084808299834</v>
      </c>
      <c r="R55" s="38" t="n">
        <f aca="false">-R54*$C$7</f>
        <v>-0.144279098284385</v>
      </c>
      <c r="S55" s="38" t="n">
        <f aca="false">-S54*$C$7</f>
        <v>-0.121799344848358</v>
      </c>
      <c r="T55" s="38" t="n">
        <f aca="false">-T54*$C$7</f>
        <v>-0.100192564523459</v>
      </c>
      <c r="U55" s="38" t="n">
        <f aca="false">-U54*$C$7</f>
        <v>-0.0800018206503328</v>
      </c>
      <c r="V55" s="38" t="n">
        <f aca="false">-V54*$C$7</f>
        <v>-0.0617269235432692</v>
      </c>
      <c r="W55" s="38" t="n">
        <f aca="false">-W54*$C$7</f>
        <v>-0.045778614732686</v>
      </c>
      <c r="X55" s="38" t="n">
        <f aca="false">-X54*$C$7</f>
        <v>-0.0324324066060832</v>
      </c>
      <c r="Y55" s="38" t="n">
        <f aca="false">-Y54*$C$7</f>
        <v>-0.0217913918581156</v>
      </c>
      <c r="Z55" s="38" t="n">
        <f aca="false">-Z54*$C$7</f>
        <v>-0.0137688199624938</v>
      </c>
      <c r="AA55" s="38" t="n">
        <f aca="false">-AA54*$C$7</f>
        <v>-0.00809939023930374</v>
      </c>
      <c r="AB55" s="38" t="n">
        <f aca="false">-AB54*$C$7</f>
        <v>-0.00438204969406516</v>
      </c>
    </row>
    <row r="56" customFormat="false" ht="15" hidden="false" customHeight="false" outlineLevel="0" collapsed="false">
      <c r="B56" s="3" t="s">
        <v>202</v>
      </c>
      <c r="D56" s="38" t="n">
        <f aca="false">D54+D55</f>
        <v>33.08283</v>
      </c>
      <c r="E56" s="38" t="n">
        <f aca="false">E54+E55</f>
        <v>33.03411053085</v>
      </c>
      <c r="F56" s="38" t="n">
        <f aca="false">F54+F55</f>
        <v>32.7836236661731</v>
      </c>
      <c r="G56" s="38" t="n">
        <f aca="false">G54+G55</f>
        <v>32.3206369912679</v>
      </c>
      <c r="H56" s="38" t="n">
        <f aca="false">H54+H55</f>
        <v>31.6375044082724</v>
      </c>
      <c r="I56" s="38" t="n">
        <f aca="false">I54+I55</f>
        <v>30.730243502861</v>
      </c>
      <c r="J56" s="38" t="n">
        <f aca="false">J54+J55</f>
        <v>29.5990928909396</v>
      </c>
      <c r="K56" s="38" t="n">
        <f aca="false">K54+K55</f>
        <v>28.2490405916907</v>
      </c>
      <c r="L56" s="38" t="n">
        <f aca="false">L54+L55</f>
        <v>26.6903165145212</v>
      </c>
      <c r="M56" s="38" t="n">
        <f aca="false">M54+M55</f>
        <v>24.9388406973848</v>
      </c>
      <c r="N56" s="38" t="n">
        <f aca="false">N54+N55</f>
        <v>23.0166106287803</v>
      </c>
      <c r="O56" s="38" t="n">
        <f aca="false">O54+O55</f>
        <v>20.95199234736</v>
      </c>
      <c r="P56" s="38" t="n">
        <f aca="false">P54+P55</f>
        <v>18.7798487836711</v>
      </c>
      <c r="Q56" s="38" t="n">
        <f aca="false">Q54+Q55</f>
        <v>16.5413960216836</v>
      </c>
      <c r="R56" s="38" t="n">
        <f aca="false">R54+R55</f>
        <v>14.2836307301541</v>
      </c>
      <c r="S56" s="38" t="n">
        <f aca="false">S54+S55</f>
        <v>12.0581351399875</v>
      </c>
      <c r="T56" s="38" t="n">
        <f aca="false">T54+T55</f>
        <v>9.91906388782242</v>
      </c>
      <c r="U56" s="38" t="n">
        <f aca="false">U54+U55</f>
        <v>7.92018024438295</v>
      </c>
      <c r="V56" s="38" t="n">
        <f aca="false">V54+V55</f>
        <v>6.11096543078365</v>
      </c>
      <c r="W56" s="38" t="n">
        <f aca="false">W54+W55</f>
        <v>4.53208285853591</v>
      </c>
      <c r="X56" s="38" t="n">
        <f aca="false">X54+X55</f>
        <v>3.21080825400224</v>
      </c>
      <c r="Y56" s="38" t="n">
        <f aca="false">Y54+Y55</f>
        <v>2.15734779395344</v>
      </c>
      <c r="Z56" s="38" t="n">
        <f aca="false">Z54+Z55</f>
        <v>1.36311317628688</v>
      </c>
      <c r="AA56" s="38" t="n">
        <f aca="false">AA54+AA55</f>
        <v>0.80183963369107</v>
      </c>
      <c r="AB56" s="38" t="n">
        <f aca="false">AB54+AB55</f>
        <v>0.433822919712451</v>
      </c>
    </row>
    <row r="57" customFormat="false" ht="15" hidden="false" customHeight="false" outlineLevel="0" collapsed="false">
      <c r="B57" s="3" t="s">
        <v>203</v>
      </c>
      <c r="D57" s="38" t="n">
        <f aca="false">-(D17+D25+D33+D41+D49)</f>
        <v>-23.3</v>
      </c>
      <c r="E57" s="38" t="n">
        <f aca="false">-(E17+E25+E33+E41+E49)</f>
        <v>-21.46318415</v>
      </c>
      <c r="F57" s="38" t="n">
        <f aca="false">-(F17+F25+F33+F41+F49)</f>
        <v>-19.6385929369752</v>
      </c>
      <c r="G57" s="38" t="n">
        <f aca="false">-(G17+G25+G33+G41+G49)</f>
        <v>-17.8386886036525</v>
      </c>
      <c r="H57" s="38" t="n">
        <f aca="false">-(H17+H25+H33+H41+H49)</f>
        <v>-16.0762573563669</v>
      </c>
      <c r="I57" s="38" t="n">
        <f aca="false">-(I17+I25+I33+I41+I49)</f>
        <v>-14.3641568980935</v>
      </c>
      <c r="J57" s="38" t="n">
        <f aca="false">-(J17+J25+J33+J41+J49)</f>
        <v>-12.7150363134662</v>
      </c>
      <c r="K57" s="38" t="n">
        <f aca="false">-(K17+K25+K33+K41+K49)</f>
        <v>-11.1410360970523</v>
      </c>
      <c r="L57" s="38" t="n">
        <f aca="false">-(L17+L25+L33+L41+L49)</f>
        <v>-9.65347759373637</v>
      </c>
      <c r="M57" s="38" t="n">
        <f aca="false">-(M17+M25+M33+M41+M49)</f>
        <v>-8.26255198058053</v>
      </c>
      <c r="N57" s="38" t="n">
        <f aca="false">-(N17+N25+N33+N41+N49)</f>
        <v>-6.97701908922918</v>
      </c>
      <c r="O57" s="38" t="n">
        <f aca="false">-(O17+O25+O33+O41+O49)</f>
        <v>-5.80392595424558</v>
      </c>
      <c r="P57" s="38" t="n">
        <f aca="false">-(P17+P25+P33+P41+P49)</f>
        <v>-4.7483543157723</v>
      </c>
      <c r="Q57" s="38" t="n">
        <f aca="false">-(Q17+Q25+Q33+Q41+Q49)</f>
        <v>-3.81320597366618</v>
      </c>
      <c r="R57" s="38" t="n">
        <f aca="false">-(R17+R25+R33+R41+R49)</f>
        <v>-2.99903558212166</v>
      </c>
      <c r="S57" s="38" t="n">
        <f aca="false">-(S17+S25+S33+S41+S49)</f>
        <v>-2.30394278137092</v>
      </c>
      <c r="T57" s="38" t="n">
        <f aca="false">-(T17+T25+T33+T41+T49)</f>
        <v>-1.72353960435971</v>
      </c>
      <c r="U57" s="38" t="n">
        <f aca="false">-(U17+U25+U33+U41+U49)</f>
        <v>-1.2510140676944</v>
      </c>
      <c r="V57" s="38" t="n">
        <f aca="false">-(V17+V25+V33+V41+V49)</f>
        <v>-0.877314664395266</v>
      </c>
      <c r="W57" s="38" t="n">
        <f aca="false">-(W17+W25+W33+W41+W49)</f>
        <v>-0.59147971369015</v>
      </c>
      <c r="X57" s="38" t="n">
        <f aca="false">-(X17+X25+X33+X41+X49)</f>
        <v>-0.381126113509488</v>
      </c>
      <c r="Y57" s="38" t="n">
        <f aca="false">-(Y17+Y25+Y33+Y41+Y49)</f>
        <v>-0.233090797071943</v>
      </c>
      <c r="Z57" s="38" t="n">
        <f aca="false">-(Z17+Z25+Z33+Z41+Z49)</f>
        <v>-0.134185196670392</v>
      </c>
      <c r="AA57" s="38" t="n">
        <f aca="false">-(AA17+AA25+AA33+AA41+AA49)</f>
        <v>-0.0719840705384033</v>
      </c>
      <c r="AB57" s="38" t="n">
        <f aca="false">-(AB17+AB25+AB33+AB41+AB49)</f>
        <v>-0.0355376644830503</v>
      </c>
    </row>
    <row r="58" customFormat="false" ht="15" hidden="false" customHeight="false" outlineLevel="0" collapsed="false">
      <c r="B58" s="3" t="s">
        <v>204</v>
      </c>
      <c r="D58" s="38" t="n">
        <f aca="false">-(Supuestos!$C$12+Supuestos!$C$13*D53)</f>
        <v>-0.975</v>
      </c>
      <c r="E58" s="38" t="n">
        <f aca="false">-(Supuestos!$C$12+Supuestos!$C$13*E53)</f>
        <v>-0.9582915</v>
      </c>
      <c r="F58" s="38" t="n">
        <f aca="false">-(Supuestos!$C$12+Supuestos!$C$13*F53)</f>
        <v>-0.9416076057925</v>
      </c>
      <c r="G58" s="38" t="n">
        <f aca="false">-(Supuestos!$C$12+Supuestos!$C$13*G53)</f>
        <v>-0.925050220102514</v>
      </c>
      <c r="H58" s="38" t="n">
        <f aca="false">-(Supuestos!$C$12+Supuestos!$C$13*H53)</f>
        <v>-0.90872666606652</v>
      </c>
      <c r="I58" s="38" t="n">
        <f aca="false">-(Supuestos!$C$12+Supuestos!$C$13*I53)</f>
        <v>-0.892748128486584</v>
      </c>
      <c r="J58" s="38" t="n">
        <f aca="false">-(Supuestos!$C$12+Supuestos!$C$13*J53)</f>
        <v>-0.877227803485139</v>
      </c>
      <c r="K58" s="38" t="n">
        <f aca="false">-(Supuestos!$C$12+Supuestos!$C$13*K53)</f>
        <v>-0.862278766671533</v>
      </c>
      <c r="L58" s="38" t="n">
        <f aca="false">-(Supuestos!$C$12+Supuestos!$C$13*L53)</f>
        <v>-0.848011574453508</v>
      </c>
      <c r="M58" s="38" t="n">
        <f aca="false">-(Supuestos!$C$12+Supuestos!$C$13*M53)</f>
        <v>-0.834531616617891</v>
      </c>
      <c r="N58" s="38" t="n">
        <f aca="false">-(Supuestos!$C$12+Supuestos!$C$13*N53)</f>
        <v>-0.821936242528303</v>
      </c>
      <c r="O58" s="38" t="n">
        <f aca="false">-(Supuestos!$C$12+Supuestos!$C$13*O53)</f>
        <v>-0.810311691705687</v>
      </c>
      <c r="P58" s="38" t="n">
        <f aca="false">-(Supuestos!$C$12+Supuestos!$C$13*P53)</f>
        <v>-0.799729877388838</v>
      </c>
      <c r="Q58" s="38" t="n">
        <f aca="false">-(Supuestos!$C$12+Supuestos!$C$13*Q53)</f>
        <v>-0.790245105275873</v>
      </c>
      <c r="R58" s="38" t="n">
        <f aca="false">-(Supuestos!$C$12+Supuestos!$C$13*R53)</f>
        <v>-0.781890864860881</v>
      </c>
      <c r="S58" s="38" t="n">
        <f aca="false">-(Supuestos!$C$12+Supuestos!$C$13*S53)</f>
        <v>-0.774676909946662</v>
      </c>
      <c r="T58" s="38" t="n">
        <f aca="false">-(Supuestos!$C$12+Supuestos!$C$13*T53)</f>
        <v>-0.768586942704244</v>
      </c>
      <c r="U58" s="38" t="n">
        <f aca="false">-(Supuestos!$C$12+Supuestos!$C$13*U53)</f>
        <v>-0.763577314478071</v>
      </c>
      <c r="V58" s="38" t="n">
        <f aca="false">-(Supuestos!$C$12+Supuestos!$C$13*V53)</f>
        <v>-0.759577223445554</v>
      </c>
      <c r="W58" s="38" t="n">
        <f aca="false">-(Supuestos!$C$12+Supuestos!$C$13*W53)</f>
        <v>-0.756490877268391</v>
      </c>
      <c r="X58" s="38" t="n">
        <f aca="false">-(Supuestos!$C$12+Supuestos!$C$13*X53)</f>
        <v>-0.754201946531757</v>
      </c>
      <c r="Y58" s="38" t="n">
        <f aca="false">-(Supuestos!$C$12+Supuestos!$C$13*Y53)</f>
        <v>-0.752580326201452</v>
      </c>
      <c r="Z58" s="38" t="n">
        <f aca="false">-(Supuestos!$C$12+Supuestos!$C$13*Z53)</f>
        <v>-0.751490756608547</v>
      </c>
      <c r="AA58" s="38" t="n">
        <f aca="false">-(Supuestos!$C$12+Supuestos!$C$13*AA53)</f>
        <v>-0.750802315610422</v>
      </c>
      <c r="AB58" s="38" t="n">
        <f aca="false">-(Supuestos!$C$12+Supuestos!$C$13*AB53)</f>
        <v>-0.750397346098457</v>
      </c>
    </row>
    <row r="59" customFormat="false" ht="15" hidden="false" customHeight="false" outlineLevel="0" collapsed="false">
      <c r="B59" s="3" t="s">
        <v>205</v>
      </c>
      <c r="D59" s="38" t="n">
        <f aca="false">IF(D$3=Supuestos!$C$15,(D18*Cartera!$D$5+D26*Cartera!$D$6+D34*Cartera!$D$7+D42*Cartera!$D$8+D50*Cartera!$D$9)*Supuestos!$C$14*(1-$C$9),0)</f>
        <v>0</v>
      </c>
      <c r="E59" s="38" t="n">
        <f aca="false">IF(E$3=Supuestos!$C$15,(E18*Cartera!$D$5+E26*Cartera!$D$6+E34*Cartera!$D$7+E42*Cartera!$D$8+E50*Cartera!$D$9)*Supuestos!$C$14*(1-$C$9),0)</f>
        <v>0</v>
      </c>
      <c r="F59" s="38" t="n">
        <f aca="false">IF(F$3=Supuestos!$C$15,(F18*Cartera!$D$5+F26*Cartera!$D$6+F34*Cartera!$D$7+F42*Cartera!$D$8+F50*Cartera!$D$9)*Supuestos!$C$14*(1-$C$9),0)</f>
        <v>0</v>
      </c>
      <c r="G59" s="38" t="n">
        <f aca="false">IF(G$3=Supuestos!$C$15,(G18*Cartera!$D$5+G26*Cartera!$D$6+G34*Cartera!$D$7+G42*Cartera!$D$8+G50*Cartera!$D$9)*Supuestos!$C$14*(1-$C$9),0)</f>
        <v>0</v>
      </c>
      <c r="H59" s="38" t="n">
        <f aca="false">IF(H$3=Supuestos!$C$15,(H18*Cartera!$D$5+H26*Cartera!$D$6+H34*Cartera!$D$7+H42*Cartera!$D$8+H50*Cartera!$D$9)*Supuestos!$C$14*(1-$C$9),0)</f>
        <v>0</v>
      </c>
      <c r="I59" s="38" t="n">
        <f aca="false">IF(I$3=Supuestos!$C$15,(I18*Cartera!$D$5+I26*Cartera!$D$6+I34*Cartera!$D$7+I42*Cartera!$D$8+I50*Cartera!$D$9)*Supuestos!$C$14*(1-$C$9),0)</f>
        <v>0</v>
      </c>
      <c r="J59" s="38" t="n">
        <f aca="false">IF(J$3=Supuestos!$C$15,(J18*Cartera!$D$5+J26*Cartera!$D$6+J34*Cartera!$D$7+J42*Cartera!$D$8+J50*Cartera!$D$9)*Supuestos!$C$14*(1-$C$9),0)</f>
        <v>0</v>
      </c>
      <c r="K59" s="38" t="n">
        <f aca="false">IF(K$3=Supuestos!$C$15,(K18*Cartera!$D$5+K26*Cartera!$D$6+K34*Cartera!$D$7+K42*Cartera!$D$8+K50*Cartera!$D$9)*Supuestos!$C$14*(1-$C$9),0)</f>
        <v>0</v>
      </c>
      <c r="L59" s="38" t="n">
        <f aca="false">IF(L$3=Supuestos!$C$15,(L18*Cartera!$D$5+L26*Cartera!$D$6+L34*Cartera!$D$7+L42*Cartera!$D$8+L50*Cartera!$D$9)*Supuestos!$C$14*(1-$C$9),0)</f>
        <v>0</v>
      </c>
      <c r="M59" s="38" t="n">
        <f aca="false">IF(M$3=Supuestos!$C$15,(M18*Cartera!$D$5+M26*Cartera!$D$6+M34*Cartera!$D$7+M42*Cartera!$D$8+M50*Cartera!$D$9)*Supuestos!$C$14*(1-$C$9),0)</f>
        <v>0</v>
      </c>
      <c r="N59" s="38" t="n">
        <f aca="false">IF(N$3=Supuestos!$C$15,(N18*Cartera!$D$5+N26*Cartera!$D$6+N34*Cartera!$D$7+N42*Cartera!$D$8+N50*Cartera!$D$9)*Supuestos!$C$14*(1-$C$9),0)</f>
        <v>0</v>
      </c>
      <c r="O59" s="38" t="n">
        <f aca="false">IF(O$3=Supuestos!$C$15,(O18*Cartera!$D$5+O26*Cartera!$D$6+O34*Cartera!$D$7+O42*Cartera!$D$8+O50*Cartera!$D$9)*Supuestos!$C$14*(1-$C$9),0)</f>
        <v>0</v>
      </c>
      <c r="P59" s="38" t="n">
        <f aca="false">IF(P$3=Supuestos!$C$15,(P18*Cartera!$D$5+P26*Cartera!$D$6+P34*Cartera!$D$7+P42*Cartera!$D$8+P50*Cartera!$D$9)*Supuestos!$C$14*(1-$C$9),0)</f>
        <v>0</v>
      </c>
      <c r="Q59" s="38" t="n">
        <f aca="false">IF(Q$3=Supuestos!$C$15,(Q18*Cartera!$D$5+Q26*Cartera!$D$6+Q34*Cartera!$D$7+Q42*Cartera!$D$8+Q50*Cartera!$D$9)*Supuestos!$C$14*(1-$C$9),0)</f>
        <v>0</v>
      </c>
      <c r="R59" s="38" t="n">
        <f aca="false">IF(R$3=Supuestos!$C$15,(R18*Cartera!$D$5+R26*Cartera!$D$6+R34*Cartera!$D$7+R42*Cartera!$D$8+R50*Cartera!$D$9)*Supuestos!$C$14*(1-$C$9),0)</f>
        <v>0</v>
      </c>
      <c r="S59" s="38" t="n">
        <f aca="false">IF(S$3=Supuestos!$C$15,(S18*Cartera!$D$5+S26*Cartera!$D$6+S34*Cartera!$D$7+S42*Cartera!$D$8+S50*Cartera!$D$9)*Supuestos!$C$14*(1-$C$9),0)</f>
        <v>0</v>
      </c>
      <c r="T59" s="38" t="n">
        <f aca="false">IF(T$3=Supuestos!$C$15,(T18*Cartera!$D$5+T26*Cartera!$D$6+T34*Cartera!$D$7+T42*Cartera!$D$8+T50*Cartera!$D$9)*Supuestos!$C$14*(1-$C$9),0)</f>
        <v>0</v>
      </c>
      <c r="U59" s="38" t="n">
        <f aca="false">IF(U$3=Supuestos!$C$15,(U18*Cartera!$D$5+U26*Cartera!$D$6+U34*Cartera!$D$7+U42*Cartera!$D$8+U50*Cartera!$D$9)*Supuestos!$C$14*(1-$C$9),0)</f>
        <v>0</v>
      </c>
      <c r="V59" s="38" t="n">
        <f aca="false">IF(V$3=Supuestos!$C$15,(V18*Cartera!$D$5+V26*Cartera!$D$6+V34*Cartera!$D$7+V42*Cartera!$D$8+V50*Cartera!$D$9)*Supuestos!$C$14*(1-$C$9),0)</f>
        <v>0</v>
      </c>
      <c r="W59" s="38" t="n">
        <f aca="false">IF(W$3=Supuestos!$C$15,(W18*Cartera!$D$5+W26*Cartera!$D$6+W34*Cartera!$D$7+W42*Cartera!$D$8+W50*Cartera!$D$9)*Supuestos!$C$14*(1-$C$9),0)</f>
        <v>0</v>
      </c>
      <c r="X59" s="38" t="n">
        <f aca="false">IF(X$3=Supuestos!$C$15,(X18*Cartera!$D$5+X26*Cartera!$D$6+X34*Cartera!$D$7+X42*Cartera!$D$8+X50*Cartera!$D$9)*Supuestos!$C$14*(1-$C$9),0)</f>
        <v>0</v>
      </c>
      <c r="Y59" s="38" t="n">
        <f aca="false">IF(Y$3=Supuestos!$C$15,(Y18*Cartera!$D$5+Y26*Cartera!$D$6+Y34*Cartera!$D$7+Y42*Cartera!$D$8+Y50*Cartera!$D$9)*Supuestos!$C$14*(1-$C$9),0)</f>
        <v>0</v>
      </c>
      <c r="Z59" s="38" t="n">
        <f aca="false">IF(Z$3=Supuestos!$C$15,(Z18*Cartera!$D$5+Z26*Cartera!$D$6+Z34*Cartera!$D$7+Z42*Cartera!$D$8+Z50*Cartera!$D$9)*Supuestos!$C$14*(1-$C$9),0)</f>
        <v>0</v>
      </c>
      <c r="AA59" s="38" t="n">
        <f aca="false">IF(AA$3=Supuestos!$C$15,(AA18*Cartera!$D$5+AA26*Cartera!$D$6+AA34*Cartera!$D$7+AA42*Cartera!$D$8+AA50*Cartera!$D$9)*Supuestos!$C$14*(1-$C$9),0)</f>
        <v>0</v>
      </c>
      <c r="AB59" s="38" t="n">
        <f aca="false">IF(AB$3=Supuestos!$C$15,(AB18*Cartera!$D$5+AB26*Cartera!$D$6+AB34*Cartera!$D$7+AB42*Cartera!$D$8+AB50*Cartera!$D$9)*Supuestos!$C$14*(1-$C$9),0)</f>
        <v>0.0641677009512558</v>
      </c>
    </row>
    <row r="60" customFormat="false" ht="15" hidden="false" customHeight="false" outlineLevel="0" collapsed="false">
      <c r="B60" s="2" t="s">
        <v>206</v>
      </c>
      <c r="D60" s="38" t="n">
        <f aca="false">D56+D57+D58+D59</f>
        <v>8.80782999999999</v>
      </c>
      <c r="E60" s="38" t="n">
        <f aca="false">E56+E57+E58+E59</f>
        <v>10.61263488085</v>
      </c>
      <c r="F60" s="38" t="n">
        <f aca="false">F56+F57+F58+F59</f>
        <v>12.2034231234054</v>
      </c>
      <c r="G60" s="38" t="n">
        <f aca="false">G56+G57+G58+G59</f>
        <v>13.5568981675128</v>
      </c>
      <c r="H60" s="38" t="n">
        <f aca="false">H56+H57+H58+H59</f>
        <v>14.652520385839</v>
      </c>
      <c r="I60" s="38" t="n">
        <f aca="false">I56+I57+I58+I59</f>
        <v>15.4733384762809</v>
      </c>
      <c r="J60" s="38" t="n">
        <f aca="false">J56+J57+J58+J59</f>
        <v>16.0068287739882</v>
      </c>
      <c r="K60" s="38" t="n">
        <f aca="false">K56+K57+K58+K59</f>
        <v>16.2457257279669</v>
      </c>
      <c r="L60" s="38" t="n">
        <f aca="false">L56+L57+L58+L59</f>
        <v>16.1888273463313</v>
      </c>
      <c r="M60" s="38" t="n">
        <f aca="false">M56+M57+M58+M59</f>
        <v>15.8417571001864</v>
      </c>
      <c r="N60" s="38" t="n">
        <f aca="false">N56+N57+N58+N59</f>
        <v>15.2176552970228</v>
      </c>
      <c r="O60" s="38" t="n">
        <f aca="false">O56+O57+O58+O59</f>
        <v>14.3377547014088</v>
      </c>
      <c r="P60" s="38" t="n">
        <f aca="false">P56+P57+P58+P59</f>
        <v>13.2317645905099</v>
      </c>
      <c r="Q60" s="38" t="n">
        <f aca="false">Q56+Q57+Q58+Q59</f>
        <v>11.9379449427415</v>
      </c>
      <c r="R60" s="38" t="n">
        <f aca="false">R56+R57+R58+R59</f>
        <v>10.5027042831716</v>
      </c>
      <c r="S60" s="38" t="n">
        <f aca="false">S56+S57+S58+S59</f>
        <v>8.97951544866987</v>
      </c>
      <c r="T60" s="38" t="n">
        <f aca="false">T56+T57+T58+T59</f>
        <v>7.42693734075847</v>
      </c>
      <c r="U60" s="38" t="n">
        <f aca="false">U56+U57+U58+U59</f>
        <v>5.90558886221047</v>
      </c>
      <c r="V60" s="38" t="n">
        <f aca="false">V56+V57+V58+V59</f>
        <v>4.47407354294283</v>
      </c>
      <c r="W60" s="38" t="n">
        <f aca="false">W56+W57+W58+W59</f>
        <v>3.18411226757737</v>
      </c>
      <c r="X60" s="38" t="n">
        <f aca="false">X56+X57+X58+X59</f>
        <v>2.07548019396099</v>
      </c>
      <c r="Y60" s="38" t="n">
        <f aca="false">Y56+Y57+Y58+Y59</f>
        <v>1.17167667068005</v>
      </c>
      <c r="Z60" s="38" t="n">
        <f aca="false">Z56+Z57+Z58+Z59</f>
        <v>0.477437223007944</v>
      </c>
      <c r="AA60" s="38" t="n">
        <f aca="false">AA56+AA57+AA58+AA59</f>
        <v>-0.020946752457755</v>
      </c>
      <c r="AB60" s="38" t="n">
        <f aca="false">AB56+AB57+AB58+AB59</f>
        <v>-0.287944389917801</v>
      </c>
    </row>
    <row r="62" customFormat="false" ht="15" hidden="false" customHeight="false" outlineLevel="0" collapsed="false">
      <c r="B62" s="2" t="s">
        <v>207</v>
      </c>
    </row>
    <row r="63" customFormat="false" ht="15" hidden="false" customHeight="false" outlineLevel="0" collapsed="false">
      <c r="B63" s="3" t="s">
        <v>208</v>
      </c>
      <c r="D63" s="38" t="n">
        <f aca="false">Supuestos!$C$9</f>
        <v>20</v>
      </c>
      <c r="E63" s="38" t="n">
        <f aca="false">D82</f>
        <v>22.15783</v>
      </c>
      <c r="F63" s="38" t="n">
        <f aca="false">E82</f>
        <v>21.516842110375</v>
      </c>
      <c r="G63" s="38" t="n">
        <f aca="false">F82</f>
        <v>19.6876894193176</v>
      </c>
      <c r="H63" s="38" t="n">
        <f aca="false">G82</f>
        <v>17.8832853251617</v>
      </c>
      <c r="I63" s="38" t="n">
        <f aca="false">H82</f>
        <v>16.1164479997578</v>
      </c>
      <c r="J63" s="38" t="n">
        <f aca="false">I82</f>
        <v>14.4000672903388</v>
      </c>
      <c r="K63" s="38" t="n">
        <f aca="false">J82</f>
        <v>12.7468239042499</v>
      </c>
      <c r="L63" s="38" t="n">
        <f aca="false">K82</f>
        <v>11.1688886872949</v>
      </c>
      <c r="M63" s="38" t="n">
        <f aca="false">L82</f>
        <v>9.67761128772071</v>
      </c>
      <c r="N63" s="38" t="n">
        <f aca="false">M82</f>
        <v>8.28320836053198</v>
      </c>
      <c r="O63" s="38" t="n">
        <f aca="false">N82</f>
        <v>6.99446163695225</v>
      </c>
      <c r="P63" s="38" t="n">
        <f aca="false">O82</f>
        <v>5.8184357691312</v>
      </c>
      <c r="Q63" s="38" t="n">
        <f aca="false">P82</f>
        <v>4.76022520156173</v>
      </c>
      <c r="R63" s="38" t="n">
        <f aca="false">Q82</f>
        <v>3.82273898860034</v>
      </c>
      <c r="S63" s="38" t="n">
        <f aca="false">R82</f>
        <v>3.00653317107696</v>
      </c>
      <c r="T63" s="38" t="n">
        <f aca="false">S82</f>
        <v>2.30970263832435</v>
      </c>
      <c r="U63" s="38" t="n">
        <f aca="false">T82</f>
        <v>1.7278484533706</v>
      </c>
      <c r="V63" s="38" t="n">
        <f aca="false">U82</f>
        <v>1.25414160286364</v>
      </c>
      <c r="W63" s="38" t="n">
        <f aca="false">V82</f>
        <v>0.879507951056255</v>
      </c>
      <c r="X63" s="38" t="n">
        <f aca="false">W82</f>
        <v>0.592958412974375</v>
      </c>
      <c r="Y63" s="38" t="n">
        <f aca="false">X82</f>
        <v>0.382078928793261</v>
      </c>
      <c r="Z63" s="38" t="n">
        <f aca="false">Y82</f>
        <v>0.233673524064623</v>
      </c>
      <c r="AA63" s="38" t="n">
        <f aca="false">Z82</f>
        <v>0.134520659662068</v>
      </c>
      <c r="AB63" s="38" t="n">
        <f aca="false">AA82</f>
        <v>0.0721640307147493</v>
      </c>
    </row>
    <row r="64" customFormat="false" ht="15" hidden="false" customHeight="false" outlineLevel="0" collapsed="false">
      <c r="B64" s="3" t="s">
        <v>209</v>
      </c>
      <c r="D64" s="38" t="n">
        <f aca="false">MAX(0,D63)*Supuestos!$C$11</f>
        <v>0.6</v>
      </c>
      <c r="E64" s="38" t="n">
        <f aca="false">MAX(0,E63)*Supuestos!$C$11</f>
        <v>0.6647349</v>
      </c>
      <c r="F64" s="38" t="n">
        <f aca="false">MAX(0,F63)*Supuestos!$C$11</f>
        <v>0.64550526331125</v>
      </c>
      <c r="G64" s="38" t="n">
        <f aca="false">MAX(0,G63)*Supuestos!$C$11</f>
        <v>0.590630682579528</v>
      </c>
      <c r="H64" s="38" t="n">
        <f aca="false">MAX(0,H63)*Supuestos!$C$11</f>
        <v>0.53649855975485</v>
      </c>
      <c r="I64" s="38" t="n">
        <f aca="false">MAX(0,I63)*Supuestos!$C$11</f>
        <v>0.483493439992734</v>
      </c>
      <c r="J64" s="38" t="n">
        <f aca="false">MAX(0,J63)*Supuestos!$C$11</f>
        <v>0.432002018710163</v>
      </c>
      <c r="K64" s="38" t="n">
        <f aca="false">MAX(0,K63)*Supuestos!$C$11</f>
        <v>0.382404717127496</v>
      </c>
      <c r="L64" s="38" t="n">
        <f aca="false">MAX(0,L63)*Supuestos!$C$11</f>
        <v>0.335066660618847</v>
      </c>
      <c r="M64" s="38" t="n">
        <f aca="false">MAX(0,M63)*Supuestos!$C$11</f>
        <v>0.290328338631621</v>
      </c>
      <c r="N64" s="38" t="n">
        <f aca="false">MAX(0,N63)*Supuestos!$C$11</f>
        <v>0.248496250815959</v>
      </c>
      <c r="O64" s="38" t="n">
        <f aca="false">MAX(0,O63)*Supuestos!$C$11</f>
        <v>0.209833849108568</v>
      </c>
      <c r="P64" s="38" t="n">
        <f aca="false">MAX(0,P63)*Supuestos!$C$11</f>
        <v>0.174553073073936</v>
      </c>
      <c r="Q64" s="38" t="n">
        <f aca="false">MAX(0,Q63)*Supuestos!$C$11</f>
        <v>0.142806756046852</v>
      </c>
      <c r="R64" s="38" t="n">
        <f aca="false">MAX(0,R63)*Supuestos!$C$11</f>
        <v>0.11468216965801</v>
      </c>
      <c r="S64" s="38" t="n">
        <f aca="false">MAX(0,S63)*Supuestos!$C$11</f>
        <v>0.0901959951323088</v>
      </c>
      <c r="T64" s="38" t="n">
        <f aca="false">MAX(0,T63)*Supuestos!$C$11</f>
        <v>0.0692910791497305</v>
      </c>
      <c r="U64" s="38" t="n">
        <f aca="false">MAX(0,U63)*Supuestos!$C$11</f>
        <v>0.0518354536011181</v>
      </c>
      <c r="V64" s="38" t="n">
        <f aca="false">MAX(0,V63)*Supuestos!$C$11</f>
        <v>0.0376242480859092</v>
      </c>
      <c r="W64" s="38" t="n">
        <f aca="false">MAX(0,W63)*Supuestos!$C$11</f>
        <v>0.0263852385316876</v>
      </c>
      <c r="X64" s="38" t="n">
        <f aca="false">MAX(0,X63)*Supuestos!$C$11</f>
        <v>0.0177887523892313</v>
      </c>
      <c r="Y64" s="38" t="n">
        <f aca="false">MAX(0,Y63)*Supuestos!$C$11</f>
        <v>0.0114623678637978</v>
      </c>
      <c r="Z64" s="38" t="n">
        <f aca="false">MAX(0,Z63)*Supuestos!$C$11</f>
        <v>0.0070102057219387</v>
      </c>
      <c r="AA64" s="38" t="n">
        <f aca="false">MAX(0,AA63)*Supuestos!$C$11</f>
        <v>0.00403561978986204</v>
      </c>
      <c r="AB64" s="38" t="n">
        <f aca="false">MAX(0,AB63)*Supuestos!$C$11</f>
        <v>0.00216492092144248</v>
      </c>
    </row>
    <row r="65" customFormat="false" ht="15" hidden="false" customHeight="false" outlineLevel="0" collapsed="false">
      <c r="B65" s="3" t="s">
        <v>210</v>
      </c>
      <c r="D65" s="38" t="n">
        <f aca="false">D63+D64+D60</f>
        <v>29.40783</v>
      </c>
      <c r="E65" s="38" t="n">
        <f aca="false">E63+E64+E60</f>
        <v>33.43519978085</v>
      </c>
      <c r="F65" s="38" t="n">
        <f aca="false">F63+F64+F60</f>
        <v>34.3657704970916</v>
      </c>
      <c r="G65" s="38" t="n">
        <f aca="false">G63+G64+G60</f>
        <v>33.83521826941</v>
      </c>
      <c r="H65" s="38" t="n">
        <f aca="false">H63+H64+H60</f>
        <v>33.0723042707555</v>
      </c>
      <c r="I65" s="38" t="n">
        <f aca="false">I63+I64+I60</f>
        <v>32.0732799160314</v>
      </c>
      <c r="J65" s="38" t="n">
        <f aca="false">J63+J64+J60</f>
        <v>30.8388980830371</v>
      </c>
      <c r="K65" s="38" t="n">
        <f aca="false">K63+K64+K60</f>
        <v>29.3749543493443</v>
      </c>
      <c r="L65" s="38" t="n">
        <f aca="false">L63+L64+L60</f>
        <v>27.692782694245</v>
      </c>
      <c r="M65" s="38" t="n">
        <f aca="false">M63+M64+M60</f>
        <v>25.8096967265387</v>
      </c>
      <c r="N65" s="38" t="n">
        <f aca="false">N63+N64+N60</f>
        <v>23.7493599083707</v>
      </c>
      <c r="O65" s="38" t="n">
        <f aca="false">O63+O64+O60</f>
        <v>21.5420501874696</v>
      </c>
      <c r="P65" s="38" t="n">
        <f aca="false">P63+P64+P60</f>
        <v>19.2247534327151</v>
      </c>
      <c r="Q65" s="38" t="n">
        <f aca="false">Q63+Q64+Q60</f>
        <v>16.8409769003501</v>
      </c>
      <c r="R65" s="38" t="n">
        <f aca="false">R63+R64+R60</f>
        <v>14.4401254414299</v>
      </c>
      <c r="S65" s="38" t="n">
        <f aca="false">S63+S64+S60</f>
        <v>12.0762446148791</v>
      </c>
      <c r="T65" s="38" t="n">
        <f aca="false">T63+T64+T60</f>
        <v>9.80593105823255</v>
      </c>
      <c r="U65" s="38" t="n">
        <f aca="false">U63+U64+U60</f>
        <v>7.6852727691822</v>
      </c>
      <c r="V65" s="38" t="n">
        <f aca="false">V63+V64+V60</f>
        <v>5.76583939389237</v>
      </c>
      <c r="W65" s="38" t="n">
        <f aca="false">W63+W64+W60</f>
        <v>4.09000545716531</v>
      </c>
      <c r="X65" s="38" t="n">
        <f aca="false">X63+X64+X60</f>
        <v>2.6862273593246</v>
      </c>
      <c r="Y65" s="38" t="n">
        <f aca="false">Y63+Y64+Y60</f>
        <v>1.56521796733711</v>
      </c>
      <c r="Z65" s="38" t="n">
        <f aca="false">Z63+Z64+Z60</f>
        <v>0.718120952794506</v>
      </c>
      <c r="AA65" s="38" t="n">
        <f aca="false">AA63+AA64+AA60</f>
        <v>0.117609526994175</v>
      </c>
      <c r="AB65" s="38" t="n">
        <f aca="false">AB63+AB64+AB60</f>
        <v>-0.213615438281609</v>
      </c>
    </row>
    <row r="66" customFormat="false" ht="15" hidden="false" customHeight="false" outlineLevel="0" collapsed="false">
      <c r="B66" s="3" t="s">
        <v>211</v>
      </c>
      <c r="D66" s="38" t="n">
        <f aca="false">Supuestos!$C$5</f>
        <v>75</v>
      </c>
      <c r="E66" s="38" t="n">
        <f aca="false">D79</f>
        <v>75</v>
      </c>
      <c r="F66" s="38" t="n">
        <f aca="false">E79</f>
        <v>70.331642329525</v>
      </c>
      <c r="G66" s="38" t="n">
        <f aca="false">F79</f>
        <v>62.6001180031701</v>
      </c>
      <c r="H66" s="38" t="n">
        <f aca="false">G79</f>
        <v>53.0921927291278</v>
      </c>
      <c r="I66" s="38" t="n">
        <f aca="false">H79</f>
        <v>41.9623289855234</v>
      </c>
      <c r="J66" s="38" t="n">
        <f aca="false">I79</f>
        <v>29.3916677438898</v>
      </c>
      <c r="K66" s="38" t="n">
        <f aca="false">J79</f>
        <v>15.5850519684554</v>
      </c>
      <c r="L66" s="38" t="n">
        <f aca="false">K79</f>
        <v>0.76701468435561</v>
      </c>
      <c r="M66" s="38" t="n">
        <f aca="false">L79</f>
        <v>0</v>
      </c>
      <c r="N66" s="38" t="n">
        <f aca="false">M79</f>
        <v>0</v>
      </c>
      <c r="O66" s="38" t="n">
        <f aca="false">N79</f>
        <v>0</v>
      </c>
      <c r="P66" s="38" t="n">
        <f aca="false">O79</f>
        <v>0</v>
      </c>
      <c r="Q66" s="38" t="n">
        <f aca="false">P79</f>
        <v>0</v>
      </c>
      <c r="R66" s="38" t="n">
        <f aca="false">Q79</f>
        <v>0</v>
      </c>
      <c r="S66" s="38" t="n">
        <f aca="false">R79</f>
        <v>0</v>
      </c>
      <c r="T66" s="38" t="n">
        <f aca="false">S79</f>
        <v>0</v>
      </c>
      <c r="U66" s="38" t="n">
        <f aca="false">T79</f>
        <v>0</v>
      </c>
      <c r="V66" s="38" t="n">
        <f aca="false">U79</f>
        <v>0</v>
      </c>
      <c r="W66" s="38" t="n">
        <f aca="false">V79</f>
        <v>0</v>
      </c>
      <c r="X66" s="38" t="n">
        <f aca="false">W79</f>
        <v>0</v>
      </c>
      <c r="Y66" s="38" t="n">
        <f aca="false">X79</f>
        <v>0</v>
      </c>
      <c r="Z66" s="38" t="n">
        <f aca="false">Y79</f>
        <v>0</v>
      </c>
      <c r="AA66" s="38" t="n">
        <f aca="false">Z79</f>
        <v>0</v>
      </c>
      <c r="AB66" s="38" t="n">
        <f aca="false">AA79</f>
        <v>0</v>
      </c>
    </row>
    <row r="67" customFormat="false" ht="15" hidden="false" customHeight="false" outlineLevel="0" collapsed="false">
      <c r="B67" s="3" t="s">
        <v>212</v>
      </c>
      <c r="D67" s="38" t="n">
        <f aca="false">D66*Supuestos!$C$6</f>
        <v>4.875</v>
      </c>
      <c r="E67" s="38" t="n">
        <f aca="false">E66*Supuestos!$C$6</f>
        <v>4.875</v>
      </c>
      <c r="F67" s="38" t="n">
        <f aca="false">F66*Supuestos!$C$6</f>
        <v>4.57155675141913</v>
      </c>
      <c r="G67" s="38" t="n">
        <f aca="false">G66*Supuestos!$C$6</f>
        <v>4.06900767020606</v>
      </c>
      <c r="H67" s="38" t="n">
        <f aca="false">H66*Supuestos!$C$6</f>
        <v>3.45099252739331</v>
      </c>
      <c r="I67" s="38" t="n">
        <f aca="false">I66*Supuestos!$C$6</f>
        <v>2.72755138405902</v>
      </c>
      <c r="J67" s="38" t="n">
        <f aca="false">J66*Supuestos!$C$6</f>
        <v>1.91045840335284</v>
      </c>
      <c r="K67" s="38" t="n">
        <f aca="false">K66*Supuestos!$C$6</f>
        <v>1.0130283779496</v>
      </c>
      <c r="L67" s="38" t="n">
        <f aca="false">L66*Supuestos!$C$6</f>
        <v>0.0498559544831147</v>
      </c>
      <c r="M67" s="38" t="n">
        <f aca="false">M66*Supuestos!$C$6</f>
        <v>0</v>
      </c>
      <c r="N67" s="38" t="n">
        <f aca="false">N66*Supuestos!$C$6</f>
        <v>0</v>
      </c>
      <c r="O67" s="38" t="n">
        <f aca="false">O66*Supuestos!$C$6</f>
        <v>0</v>
      </c>
      <c r="P67" s="38" t="n">
        <f aca="false">P66*Supuestos!$C$6</f>
        <v>0</v>
      </c>
      <c r="Q67" s="38" t="n">
        <f aca="false">Q66*Supuestos!$C$6</f>
        <v>0</v>
      </c>
      <c r="R67" s="38" t="n">
        <f aca="false">R66*Supuestos!$C$6</f>
        <v>0</v>
      </c>
      <c r="S67" s="38" t="n">
        <f aca="false">S66*Supuestos!$C$6</f>
        <v>0</v>
      </c>
      <c r="T67" s="38" t="n">
        <f aca="false">T66*Supuestos!$C$6</f>
        <v>0</v>
      </c>
      <c r="U67" s="38" t="n">
        <f aca="false">U66*Supuestos!$C$6</f>
        <v>0</v>
      </c>
      <c r="V67" s="38" t="n">
        <f aca="false">V66*Supuestos!$C$6</f>
        <v>0</v>
      </c>
      <c r="W67" s="38" t="n">
        <f aca="false">W66*Supuestos!$C$6</f>
        <v>0</v>
      </c>
      <c r="X67" s="38" t="n">
        <f aca="false">X66*Supuestos!$C$6</f>
        <v>0</v>
      </c>
      <c r="Y67" s="38" t="n">
        <f aca="false">Y66*Supuestos!$C$6</f>
        <v>0</v>
      </c>
      <c r="Z67" s="38" t="n">
        <f aca="false">Z66*Supuestos!$C$6</f>
        <v>0</v>
      </c>
      <c r="AA67" s="38" t="n">
        <f aca="false">AA66*Supuestos!$C$6</f>
        <v>0</v>
      </c>
      <c r="AB67" s="38" t="n">
        <f aca="false">AB66*Supuestos!$C$6</f>
        <v>0</v>
      </c>
    </row>
    <row r="68" customFormat="false" ht="15" hidden="false" customHeight="false" outlineLevel="0" collapsed="false">
      <c r="B68" s="3" t="s">
        <v>213</v>
      </c>
      <c r="D68" s="38" t="n">
        <f aca="false">MAX(0,MIN(D65,D67))</f>
        <v>4.875</v>
      </c>
      <c r="E68" s="38" t="n">
        <f aca="false">MAX(0,MIN(E65,E67))</f>
        <v>4.875</v>
      </c>
      <c r="F68" s="38" t="n">
        <f aca="false">MAX(0,MIN(F65,F67))</f>
        <v>4.57155675141913</v>
      </c>
      <c r="G68" s="38" t="n">
        <f aca="false">MAX(0,MIN(G65,G67))</f>
        <v>4.06900767020606</v>
      </c>
      <c r="H68" s="38" t="n">
        <f aca="false">MAX(0,MIN(H65,H67))</f>
        <v>3.45099252739331</v>
      </c>
      <c r="I68" s="38" t="n">
        <f aca="false">MAX(0,MIN(I65,I67))</f>
        <v>2.72755138405902</v>
      </c>
      <c r="J68" s="38" t="n">
        <f aca="false">MAX(0,MIN(J65,J67))</f>
        <v>1.91045840335284</v>
      </c>
      <c r="K68" s="38" t="n">
        <f aca="false">MAX(0,MIN(K65,K67))</f>
        <v>1.0130283779496</v>
      </c>
      <c r="L68" s="38" t="n">
        <f aca="false">MAX(0,MIN(L65,L67))</f>
        <v>0.0498559544831147</v>
      </c>
      <c r="M68" s="38" t="n">
        <f aca="false">MAX(0,MIN(M65,M67))</f>
        <v>0</v>
      </c>
      <c r="N68" s="38" t="n">
        <f aca="false">MAX(0,MIN(N65,N67))</f>
        <v>0</v>
      </c>
      <c r="O68" s="38" t="n">
        <f aca="false">MAX(0,MIN(O65,O67))</f>
        <v>0</v>
      </c>
      <c r="P68" s="38" t="n">
        <f aca="false">MAX(0,MIN(P65,P67))</f>
        <v>0</v>
      </c>
      <c r="Q68" s="38" t="n">
        <f aca="false">MAX(0,MIN(Q65,Q67))</f>
        <v>0</v>
      </c>
      <c r="R68" s="38" t="n">
        <f aca="false">MAX(0,MIN(R65,R67))</f>
        <v>0</v>
      </c>
      <c r="S68" s="38" t="n">
        <f aca="false">MAX(0,MIN(S65,S67))</f>
        <v>0</v>
      </c>
      <c r="T68" s="38" t="n">
        <f aca="false">MAX(0,MIN(T65,T67))</f>
        <v>0</v>
      </c>
      <c r="U68" s="38" t="n">
        <f aca="false">MAX(0,MIN(U65,U67))</f>
        <v>0</v>
      </c>
      <c r="V68" s="38" t="n">
        <f aca="false">MAX(0,MIN(V65,V67))</f>
        <v>0</v>
      </c>
      <c r="W68" s="38" t="n">
        <f aca="false">MAX(0,MIN(W65,W67))</f>
        <v>0</v>
      </c>
      <c r="X68" s="38" t="n">
        <f aca="false">MAX(0,MIN(X65,X67))</f>
        <v>0</v>
      </c>
      <c r="Y68" s="38" t="n">
        <f aca="false">MAX(0,MIN(Y65,Y67))</f>
        <v>0</v>
      </c>
      <c r="Z68" s="38" t="n">
        <f aca="false">MAX(0,MIN(Z65,Z67))</f>
        <v>0</v>
      </c>
      <c r="AA68" s="38" t="n">
        <f aca="false">MAX(0,MIN(AA65,AA67))</f>
        <v>0</v>
      </c>
      <c r="AB68" s="38" t="n">
        <f aca="false">MAX(0,MIN(AB65,AB67))</f>
        <v>0</v>
      </c>
    </row>
    <row r="69" customFormat="false" ht="15" hidden="false" customHeight="false" outlineLevel="0" collapsed="false">
      <c r="B69" s="3" t="s">
        <v>214</v>
      </c>
      <c r="D69" s="38" t="n">
        <f aca="false">D65-D68</f>
        <v>24.53283</v>
      </c>
      <c r="E69" s="38" t="n">
        <f aca="false">E65-E68</f>
        <v>28.56019978085</v>
      </c>
      <c r="F69" s="38" t="n">
        <f aca="false">F65-F68</f>
        <v>29.7942137456725</v>
      </c>
      <c r="G69" s="38" t="n">
        <f aca="false">G65-G68</f>
        <v>29.7662105992039</v>
      </c>
      <c r="H69" s="38" t="n">
        <f aca="false">H65-H68</f>
        <v>29.6213117433622</v>
      </c>
      <c r="I69" s="38" t="n">
        <f aca="false">I65-I68</f>
        <v>29.3457285319724</v>
      </c>
      <c r="J69" s="38" t="n">
        <f aca="false">J65-J68</f>
        <v>28.9284396796843</v>
      </c>
      <c r="K69" s="38" t="n">
        <f aca="false">K65-K68</f>
        <v>28.3619259713947</v>
      </c>
      <c r="L69" s="38" t="n">
        <f aca="false">L65-L68</f>
        <v>27.6429267397619</v>
      </c>
      <c r="M69" s="38" t="n">
        <f aca="false">M65-M68</f>
        <v>25.8096967265387</v>
      </c>
      <c r="N69" s="38" t="n">
        <f aca="false">N65-N68</f>
        <v>23.7493599083707</v>
      </c>
      <c r="O69" s="38" t="n">
        <f aca="false">O65-O68</f>
        <v>21.5420501874696</v>
      </c>
      <c r="P69" s="38" t="n">
        <f aca="false">P65-P68</f>
        <v>19.2247534327151</v>
      </c>
      <c r="Q69" s="38" t="n">
        <f aca="false">Q65-Q68</f>
        <v>16.8409769003501</v>
      </c>
      <c r="R69" s="38" t="n">
        <f aca="false">R65-R68</f>
        <v>14.4401254414299</v>
      </c>
      <c r="S69" s="38" t="n">
        <f aca="false">S65-S68</f>
        <v>12.0762446148791</v>
      </c>
      <c r="T69" s="38" t="n">
        <f aca="false">T65-T68</f>
        <v>9.80593105823255</v>
      </c>
      <c r="U69" s="38" t="n">
        <f aca="false">U65-U68</f>
        <v>7.6852727691822</v>
      </c>
      <c r="V69" s="38" t="n">
        <f aca="false">V65-V68</f>
        <v>5.76583939389237</v>
      </c>
      <c r="W69" s="38" t="n">
        <f aca="false">W65-W68</f>
        <v>4.09000545716531</v>
      </c>
      <c r="X69" s="38" t="n">
        <f aca="false">X65-X68</f>
        <v>2.6862273593246</v>
      </c>
      <c r="Y69" s="38" t="n">
        <f aca="false">Y65-Y68</f>
        <v>1.56521796733711</v>
      </c>
      <c r="Z69" s="38" t="n">
        <f aca="false">Z65-Z68</f>
        <v>0.718120952794506</v>
      </c>
      <c r="AA69" s="38" t="n">
        <f aca="false">AA65-AA68</f>
        <v>0.117609526994175</v>
      </c>
      <c r="AB69" s="38" t="n">
        <f aca="false">AB65-AB68</f>
        <v>-0.213615438281609</v>
      </c>
    </row>
    <row r="70" customFormat="false" ht="15" hidden="false" customHeight="false" outlineLevel="0" collapsed="false">
      <c r="B70" s="3" t="s">
        <v>215</v>
      </c>
      <c r="D70" s="38" t="n">
        <f aca="false">Supuestos!$C$7</f>
        <v>25</v>
      </c>
      <c r="E70" s="38" t="n">
        <f aca="false">D80</f>
        <v>25</v>
      </c>
      <c r="F70" s="38" t="n">
        <f aca="false">E80</f>
        <v>25</v>
      </c>
      <c r="G70" s="38" t="n">
        <f aca="false">F80</f>
        <v>25</v>
      </c>
      <c r="H70" s="38" t="n">
        <f aca="false">G80</f>
        <v>25</v>
      </c>
      <c r="I70" s="38" t="n">
        <f aca="false">H80</f>
        <v>25</v>
      </c>
      <c r="J70" s="38" t="n">
        <f aca="false">I80</f>
        <v>25</v>
      </c>
      <c r="K70" s="38" t="n">
        <f aca="false">J80</f>
        <v>25</v>
      </c>
      <c r="L70" s="38" t="n">
        <f aca="false">K80</f>
        <v>25</v>
      </c>
      <c r="M70" s="38" t="n">
        <f aca="false">L80</f>
        <v>10.1766992323144</v>
      </c>
      <c r="N70" s="38" t="n">
        <f aca="false">M80</f>
        <v>0</v>
      </c>
      <c r="O70" s="38" t="n">
        <f aca="false">N80</f>
        <v>0</v>
      </c>
      <c r="P70" s="38" t="n">
        <f aca="false">O80</f>
        <v>0</v>
      </c>
      <c r="Q70" s="38" t="n">
        <f aca="false">P80</f>
        <v>0</v>
      </c>
      <c r="R70" s="38" t="n">
        <f aca="false">Q80</f>
        <v>0</v>
      </c>
      <c r="S70" s="38" t="n">
        <f aca="false">R80</f>
        <v>0</v>
      </c>
      <c r="T70" s="38" t="n">
        <f aca="false">S80</f>
        <v>0</v>
      </c>
      <c r="U70" s="38" t="n">
        <f aca="false">T80</f>
        <v>0</v>
      </c>
      <c r="V70" s="38" t="n">
        <f aca="false">U80</f>
        <v>0</v>
      </c>
      <c r="W70" s="38" t="n">
        <f aca="false">V80</f>
        <v>0</v>
      </c>
      <c r="X70" s="38" t="n">
        <f aca="false">W80</f>
        <v>0</v>
      </c>
      <c r="Y70" s="38" t="n">
        <f aca="false">X80</f>
        <v>0</v>
      </c>
      <c r="Z70" s="38" t="n">
        <f aca="false">Y80</f>
        <v>0</v>
      </c>
      <c r="AA70" s="38" t="n">
        <f aca="false">Z80</f>
        <v>0</v>
      </c>
      <c r="AB70" s="38" t="n">
        <f aca="false">AA80</f>
        <v>0</v>
      </c>
    </row>
    <row r="71" customFormat="false" ht="15" hidden="false" customHeight="false" outlineLevel="0" collapsed="false">
      <c r="B71" s="3" t="s">
        <v>216</v>
      </c>
      <c r="D71" s="38" t="n">
        <f aca="false">D70*Supuestos!$C$8</f>
        <v>2.375</v>
      </c>
      <c r="E71" s="38" t="n">
        <f aca="false">E70*Supuestos!$C$8</f>
        <v>2.375</v>
      </c>
      <c r="F71" s="38" t="n">
        <f aca="false">F70*Supuestos!$C$8</f>
        <v>2.375</v>
      </c>
      <c r="G71" s="38" t="n">
        <f aca="false">G70*Supuestos!$C$8</f>
        <v>2.375</v>
      </c>
      <c r="H71" s="38" t="n">
        <f aca="false">H70*Supuestos!$C$8</f>
        <v>2.375</v>
      </c>
      <c r="I71" s="38" t="n">
        <f aca="false">I70*Supuestos!$C$8</f>
        <v>2.375</v>
      </c>
      <c r="J71" s="38" t="n">
        <f aca="false">J70*Supuestos!$C$8</f>
        <v>2.375</v>
      </c>
      <c r="K71" s="38" t="n">
        <f aca="false">K70*Supuestos!$C$8</f>
        <v>2.375</v>
      </c>
      <c r="L71" s="38" t="n">
        <f aca="false">L70*Supuestos!$C$8</f>
        <v>2.375</v>
      </c>
      <c r="M71" s="38" t="n">
        <f aca="false">M70*Supuestos!$C$8</f>
        <v>0.966786427069867</v>
      </c>
      <c r="N71" s="38" t="n">
        <f aca="false">N70*Supuestos!$C$8</f>
        <v>0</v>
      </c>
      <c r="O71" s="38" t="n">
        <f aca="false">O70*Supuestos!$C$8</f>
        <v>0</v>
      </c>
      <c r="P71" s="38" t="n">
        <f aca="false">P70*Supuestos!$C$8</f>
        <v>0</v>
      </c>
      <c r="Q71" s="38" t="n">
        <f aca="false">Q70*Supuestos!$C$8</f>
        <v>0</v>
      </c>
      <c r="R71" s="38" t="n">
        <f aca="false">R70*Supuestos!$C$8</f>
        <v>0</v>
      </c>
      <c r="S71" s="38" t="n">
        <f aca="false">S70*Supuestos!$C$8</f>
        <v>0</v>
      </c>
      <c r="T71" s="38" t="n">
        <f aca="false">T70*Supuestos!$C$8</f>
        <v>0</v>
      </c>
      <c r="U71" s="38" t="n">
        <f aca="false">U70*Supuestos!$C$8</f>
        <v>0</v>
      </c>
      <c r="V71" s="38" t="n">
        <f aca="false">V70*Supuestos!$C$8</f>
        <v>0</v>
      </c>
      <c r="W71" s="38" t="n">
        <f aca="false">W70*Supuestos!$C$8</f>
        <v>0</v>
      </c>
      <c r="X71" s="38" t="n">
        <f aca="false">X70*Supuestos!$C$8</f>
        <v>0</v>
      </c>
      <c r="Y71" s="38" t="n">
        <f aca="false">Y70*Supuestos!$C$8</f>
        <v>0</v>
      </c>
      <c r="Z71" s="38" t="n">
        <f aca="false">Z70*Supuestos!$C$8</f>
        <v>0</v>
      </c>
      <c r="AA71" s="38" t="n">
        <f aca="false">AA70*Supuestos!$C$8</f>
        <v>0</v>
      </c>
      <c r="AB71" s="38" t="n">
        <f aca="false">AB70*Supuestos!$C$8</f>
        <v>0</v>
      </c>
    </row>
    <row r="72" customFormat="false" ht="15" hidden="false" customHeight="false" outlineLevel="0" collapsed="false">
      <c r="B72" s="3" t="s">
        <v>217</v>
      </c>
      <c r="D72" s="38" t="n">
        <f aca="false">MAX(0,MIN(D69,D71))</f>
        <v>2.375</v>
      </c>
      <c r="E72" s="38" t="n">
        <f aca="false">MAX(0,MIN(E69,E71))</f>
        <v>2.375</v>
      </c>
      <c r="F72" s="38" t="n">
        <f aca="false">MAX(0,MIN(F69,F71))</f>
        <v>2.375</v>
      </c>
      <c r="G72" s="38" t="n">
        <f aca="false">MAX(0,MIN(G69,G71))</f>
        <v>2.375</v>
      </c>
      <c r="H72" s="38" t="n">
        <f aca="false">MAX(0,MIN(H69,H71))</f>
        <v>2.375</v>
      </c>
      <c r="I72" s="38" t="n">
        <f aca="false">MAX(0,MIN(I69,I71))</f>
        <v>2.375</v>
      </c>
      <c r="J72" s="38" t="n">
        <f aca="false">MAX(0,MIN(J69,J71))</f>
        <v>2.375</v>
      </c>
      <c r="K72" s="38" t="n">
        <f aca="false">MAX(0,MIN(K69,K71))</f>
        <v>2.375</v>
      </c>
      <c r="L72" s="38" t="n">
        <f aca="false">MAX(0,MIN(L69,L71))</f>
        <v>2.375</v>
      </c>
      <c r="M72" s="38" t="n">
        <f aca="false">MAX(0,MIN(M69,M71))</f>
        <v>0.966786427069867</v>
      </c>
      <c r="N72" s="38" t="n">
        <f aca="false">MAX(0,MIN(N69,N71))</f>
        <v>0</v>
      </c>
      <c r="O72" s="38" t="n">
        <f aca="false">MAX(0,MIN(O69,O71))</f>
        <v>0</v>
      </c>
      <c r="P72" s="38" t="n">
        <f aca="false">MAX(0,MIN(P69,P71))</f>
        <v>0</v>
      </c>
      <c r="Q72" s="38" t="n">
        <f aca="false">MAX(0,MIN(Q69,Q71))</f>
        <v>0</v>
      </c>
      <c r="R72" s="38" t="n">
        <f aca="false">MAX(0,MIN(R69,R71))</f>
        <v>0</v>
      </c>
      <c r="S72" s="38" t="n">
        <f aca="false">MAX(0,MIN(S69,S71))</f>
        <v>0</v>
      </c>
      <c r="T72" s="38" t="n">
        <f aca="false">MAX(0,MIN(T69,T71))</f>
        <v>0</v>
      </c>
      <c r="U72" s="38" t="n">
        <f aca="false">MAX(0,MIN(U69,U71))</f>
        <v>0</v>
      </c>
      <c r="V72" s="38" t="n">
        <f aca="false">MAX(0,MIN(V69,V71))</f>
        <v>0</v>
      </c>
      <c r="W72" s="38" t="n">
        <f aca="false">MAX(0,MIN(W69,W71))</f>
        <v>0</v>
      </c>
      <c r="X72" s="38" t="n">
        <f aca="false">MAX(0,MIN(X69,X71))</f>
        <v>0</v>
      </c>
      <c r="Y72" s="38" t="n">
        <f aca="false">MAX(0,MIN(Y69,Y71))</f>
        <v>0</v>
      </c>
      <c r="Z72" s="38" t="n">
        <f aca="false">MAX(0,MIN(Z69,Z71))</f>
        <v>0</v>
      </c>
      <c r="AA72" s="38" t="n">
        <f aca="false">MAX(0,MIN(AA69,AA71))</f>
        <v>0</v>
      </c>
      <c r="AB72" s="38" t="n">
        <f aca="false">MAX(0,MIN(AB69,AB71))</f>
        <v>0</v>
      </c>
    </row>
    <row r="73" customFormat="false" ht="15" hidden="false" customHeight="false" outlineLevel="0" collapsed="false">
      <c r="B73" s="3" t="s">
        <v>218</v>
      </c>
      <c r="D73" s="38" t="n">
        <f aca="false">D69-D72</f>
        <v>22.15783</v>
      </c>
      <c r="E73" s="38" t="n">
        <f aca="false">E69-E72</f>
        <v>26.18519978085</v>
      </c>
      <c r="F73" s="38" t="n">
        <f aca="false">F69-F72</f>
        <v>27.4192137456725</v>
      </c>
      <c r="G73" s="38" t="n">
        <f aca="false">G69-G72</f>
        <v>27.3912105992039</v>
      </c>
      <c r="H73" s="38" t="n">
        <f aca="false">H69-H72</f>
        <v>27.2463117433622</v>
      </c>
      <c r="I73" s="38" t="n">
        <f aca="false">I69-I72</f>
        <v>26.9707285319724</v>
      </c>
      <c r="J73" s="38" t="n">
        <f aca="false">J69-J72</f>
        <v>26.5534396796843</v>
      </c>
      <c r="K73" s="38" t="n">
        <f aca="false">K69-K72</f>
        <v>25.9869259713947</v>
      </c>
      <c r="L73" s="38" t="n">
        <f aca="false">L69-L72</f>
        <v>25.2679267397619</v>
      </c>
      <c r="M73" s="38" t="n">
        <f aca="false">M69-M72</f>
        <v>24.8429102994688</v>
      </c>
      <c r="N73" s="38" t="n">
        <f aca="false">N69-N72</f>
        <v>23.7493599083707</v>
      </c>
      <c r="O73" s="38" t="n">
        <f aca="false">O69-O72</f>
        <v>21.5420501874696</v>
      </c>
      <c r="P73" s="38" t="n">
        <f aca="false">P69-P72</f>
        <v>19.2247534327151</v>
      </c>
      <c r="Q73" s="38" t="n">
        <f aca="false">Q69-Q72</f>
        <v>16.8409769003501</v>
      </c>
      <c r="R73" s="38" t="n">
        <f aca="false">R69-R72</f>
        <v>14.4401254414299</v>
      </c>
      <c r="S73" s="38" t="n">
        <f aca="false">S69-S72</f>
        <v>12.0762446148791</v>
      </c>
      <c r="T73" s="38" t="n">
        <f aca="false">T69-T72</f>
        <v>9.80593105823255</v>
      </c>
      <c r="U73" s="38" t="n">
        <f aca="false">U69-U72</f>
        <v>7.6852727691822</v>
      </c>
      <c r="V73" s="38" t="n">
        <f aca="false">V69-V72</f>
        <v>5.76583939389237</v>
      </c>
      <c r="W73" s="38" t="n">
        <f aca="false">W69-W72</f>
        <v>4.09000545716531</v>
      </c>
      <c r="X73" s="38" t="n">
        <f aca="false">X69-X72</f>
        <v>2.6862273593246</v>
      </c>
      <c r="Y73" s="38" t="n">
        <f aca="false">Y69-Y72</f>
        <v>1.56521796733711</v>
      </c>
      <c r="Z73" s="38" t="n">
        <f aca="false">Z69-Z72</f>
        <v>0.718120952794506</v>
      </c>
      <c r="AA73" s="38" t="n">
        <f aca="false">AA69-AA72</f>
        <v>0.117609526994175</v>
      </c>
      <c r="AB73" s="38" t="n">
        <f aca="false">AB69-AB72</f>
        <v>-0.213615438281609</v>
      </c>
    </row>
    <row r="74" customFormat="false" ht="15" hidden="false" customHeight="false" outlineLevel="0" collapsed="false">
      <c r="B74" s="3" t="s">
        <v>219</v>
      </c>
      <c r="D74" s="38" t="n">
        <f aca="false">IF(D$3=Supuestos!$C$15,0,-D57*(1+$C$8)*Supuestos!$C$10/12)</f>
        <v>23.35825</v>
      </c>
      <c r="E74" s="38" t="n">
        <f aca="false">IF(E$3=Supuestos!$C$15,0,-E57*(1+$C$8)*Supuestos!$C$10/12)</f>
        <v>21.516842110375</v>
      </c>
      <c r="F74" s="38" t="n">
        <f aca="false">IF(F$3=Supuestos!$C$15,0,-F57*(1+$C$8)*Supuestos!$C$10/12)</f>
        <v>19.6876894193176</v>
      </c>
      <c r="G74" s="38" t="n">
        <f aca="false">IF(G$3=Supuestos!$C$15,0,-G57*(1+$C$8)*Supuestos!$C$10/12)</f>
        <v>17.8832853251617</v>
      </c>
      <c r="H74" s="38" t="n">
        <f aca="false">IF(H$3=Supuestos!$C$15,0,-H57*(1+$C$8)*Supuestos!$C$10/12)</f>
        <v>16.1164479997578</v>
      </c>
      <c r="I74" s="38" t="n">
        <f aca="false">IF(I$3=Supuestos!$C$15,0,-I57*(1+$C$8)*Supuestos!$C$10/12)</f>
        <v>14.4000672903388</v>
      </c>
      <c r="J74" s="38" t="n">
        <f aca="false">IF(J$3=Supuestos!$C$15,0,-J57*(1+$C$8)*Supuestos!$C$10/12)</f>
        <v>12.7468239042499</v>
      </c>
      <c r="K74" s="38" t="n">
        <f aca="false">IF(K$3=Supuestos!$C$15,0,-K57*(1+$C$8)*Supuestos!$C$10/12)</f>
        <v>11.1688886872949</v>
      </c>
      <c r="L74" s="38" t="n">
        <f aca="false">IF(L$3=Supuestos!$C$15,0,-L57*(1+$C$8)*Supuestos!$C$10/12)</f>
        <v>9.67761128772071</v>
      </c>
      <c r="M74" s="38" t="n">
        <f aca="false">IF(M$3=Supuestos!$C$15,0,-M57*(1+$C$8)*Supuestos!$C$10/12)</f>
        <v>8.28320836053198</v>
      </c>
      <c r="N74" s="38" t="n">
        <f aca="false">IF(N$3=Supuestos!$C$15,0,-N57*(1+$C$8)*Supuestos!$C$10/12)</f>
        <v>6.99446163695225</v>
      </c>
      <c r="O74" s="38" t="n">
        <f aca="false">IF(O$3=Supuestos!$C$15,0,-O57*(1+$C$8)*Supuestos!$C$10/12)</f>
        <v>5.81843576913119</v>
      </c>
      <c r="P74" s="38" t="n">
        <f aca="false">IF(P$3=Supuestos!$C$15,0,-P57*(1+$C$8)*Supuestos!$C$10/12)</f>
        <v>4.76022520156173</v>
      </c>
      <c r="Q74" s="38" t="n">
        <f aca="false">IF(Q$3=Supuestos!$C$15,0,-Q57*(1+$C$8)*Supuestos!$C$10/12)</f>
        <v>3.82273898860034</v>
      </c>
      <c r="R74" s="38" t="n">
        <f aca="false">IF(R$3=Supuestos!$C$15,0,-R57*(1+$C$8)*Supuestos!$C$10/12)</f>
        <v>3.00653317107696</v>
      </c>
      <c r="S74" s="38" t="n">
        <f aca="false">IF(S$3=Supuestos!$C$15,0,-S57*(1+$C$8)*Supuestos!$C$10/12)</f>
        <v>2.30970263832435</v>
      </c>
      <c r="T74" s="38" t="n">
        <f aca="false">IF(T$3=Supuestos!$C$15,0,-T57*(1+$C$8)*Supuestos!$C$10/12)</f>
        <v>1.72784845337061</v>
      </c>
      <c r="U74" s="38" t="n">
        <f aca="false">IF(U$3=Supuestos!$C$15,0,-U57*(1+$C$8)*Supuestos!$C$10/12)</f>
        <v>1.25414160286364</v>
      </c>
      <c r="V74" s="38" t="n">
        <f aca="false">IF(V$3=Supuestos!$C$15,0,-V57*(1+$C$8)*Supuestos!$C$10/12)</f>
        <v>0.879507951056255</v>
      </c>
      <c r="W74" s="38" t="n">
        <f aca="false">IF(W$3=Supuestos!$C$15,0,-W57*(1+$C$8)*Supuestos!$C$10/12)</f>
        <v>0.592958412974375</v>
      </c>
      <c r="X74" s="38" t="n">
        <f aca="false">IF(X$3=Supuestos!$C$15,0,-X57*(1+$C$8)*Supuestos!$C$10/12)</f>
        <v>0.382078928793261</v>
      </c>
      <c r="Y74" s="38" t="n">
        <f aca="false">IF(Y$3=Supuestos!$C$15,0,-Y57*(1+$C$8)*Supuestos!$C$10/12)</f>
        <v>0.233673524064623</v>
      </c>
      <c r="Z74" s="38" t="n">
        <f aca="false">IF(Z$3=Supuestos!$C$15,0,-Z57*(1+$C$8)*Supuestos!$C$10/12)</f>
        <v>0.134520659662068</v>
      </c>
      <c r="AA74" s="38" t="n">
        <f aca="false">IF(AA$3=Supuestos!$C$15,0,-AA57*(1+$C$8)*Supuestos!$C$10/12)</f>
        <v>0.0721640307147493</v>
      </c>
      <c r="AB74" s="38" t="n">
        <f aca="false">IF(AB$3=Supuestos!$C$15,0,-AB57*(1+$C$8)*Supuestos!$C$10/12)</f>
        <v>0</v>
      </c>
    </row>
    <row r="75" customFormat="false" ht="15" hidden="false" customHeight="false" outlineLevel="0" collapsed="false">
      <c r="B75" s="3" t="s">
        <v>220</v>
      </c>
      <c r="D75" s="38" t="n">
        <f aca="false">MAX(0,MIN(D66+D67-D68,D73-D74))</f>
        <v>0</v>
      </c>
      <c r="E75" s="38" t="n">
        <f aca="false">MAX(0,MIN(E66+E67-E68,E73-E74))</f>
        <v>4.668357670475</v>
      </c>
      <c r="F75" s="38" t="n">
        <f aca="false">MAX(0,MIN(F66+F67-F68,F73-F74))</f>
        <v>7.7315243263549</v>
      </c>
      <c r="G75" s="38" t="n">
        <f aca="false">MAX(0,MIN(G66+G67-G68,G73-G74))</f>
        <v>9.50792527404225</v>
      </c>
      <c r="H75" s="38" t="n">
        <f aca="false">MAX(0,MIN(H66+H67-H68,H73-H74))</f>
        <v>11.1298637436044</v>
      </c>
      <c r="I75" s="38" t="n">
        <f aca="false">MAX(0,MIN(I66+I67-I68,I73-I74))</f>
        <v>12.5706612416337</v>
      </c>
      <c r="J75" s="38" t="n">
        <f aca="false">MAX(0,MIN(J66+J67-J68,J73-J74))</f>
        <v>13.8066157754344</v>
      </c>
      <c r="K75" s="38" t="n">
        <f aca="false">MAX(0,MIN(K66+K67-K68,K73-K74))</f>
        <v>14.8180372840998</v>
      </c>
      <c r="L75" s="38" t="n">
        <f aca="false">MAX(0,MIN(L66+L67-L68,L73-L74))</f>
        <v>0.76701468435561</v>
      </c>
      <c r="M75" s="38" t="n">
        <f aca="false">MAX(0,MIN(M66+M67-M68,M73-M74))</f>
        <v>0</v>
      </c>
      <c r="N75" s="38" t="n">
        <f aca="false">MAX(0,MIN(N66+N67-N68,N73-N74))</f>
        <v>0</v>
      </c>
      <c r="O75" s="38" t="n">
        <f aca="false">MAX(0,MIN(O66+O67-O68,O73-O74))</f>
        <v>0</v>
      </c>
      <c r="P75" s="38" t="n">
        <f aca="false">MAX(0,MIN(P66+P67-P68,P73-P74))</f>
        <v>0</v>
      </c>
      <c r="Q75" s="38" t="n">
        <f aca="false">MAX(0,MIN(Q66+Q67-Q68,Q73-Q74))</f>
        <v>0</v>
      </c>
      <c r="R75" s="38" t="n">
        <f aca="false">MAX(0,MIN(R66+R67-R68,R73-R74))</f>
        <v>0</v>
      </c>
      <c r="S75" s="38" t="n">
        <f aca="false">MAX(0,MIN(S66+S67-S68,S73-S74))</f>
        <v>0</v>
      </c>
      <c r="T75" s="38" t="n">
        <f aca="false">MAX(0,MIN(T66+T67-T68,T73-T74))</f>
        <v>0</v>
      </c>
      <c r="U75" s="38" t="n">
        <f aca="false">MAX(0,MIN(U66+U67-U68,U73-U74))</f>
        <v>0</v>
      </c>
      <c r="V75" s="38" t="n">
        <f aca="false">MAX(0,MIN(V66+V67-V68,V73-V74))</f>
        <v>0</v>
      </c>
      <c r="W75" s="38" t="n">
        <f aca="false">MAX(0,MIN(W66+W67-W68,W73-W74))</f>
        <v>0</v>
      </c>
      <c r="X75" s="38" t="n">
        <f aca="false">MAX(0,MIN(X66+X67-X68,X73-X74))</f>
        <v>0</v>
      </c>
      <c r="Y75" s="38" t="n">
        <f aca="false">MAX(0,MIN(Y66+Y67-Y68,Y73-Y74))</f>
        <v>0</v>
      </c>
      <c r="Z75" s="38" t="n">
        <f aca="false">MAX(0,MIN(Z66+Z67-Z68,Z73-Z74))</f>
        <v>0</v>
      </c>
      <c r="AA75" s="38" t="n">
        <f aca="false">MAX(0,MIN(AA66+AA67-AA68,AA73-AA74))</f>
        <v>0</v>
      </c>
      <c r="AB75" s="38" t="n">
        <f aca="false">MAX(0,MIN(AB66+AB67-AB68,AB73-AB74))</f>
        <v>0</v>
      </c>
    </row>
    <row r="76" customFormat="false" ht="15" hidden="false" customHeight="false" outlineLevel="0" collapsed="false">
      <c r="B76" s="3" t="s">
        <v>221</v>
      </c>
      <c r="D76" s="38" t="n">
        <f aca="false">D73-D75</f>
        <v>22.15783</v>
      </c>
      <c r="E76" s="38" t="n">
        <f aca="false">E73-E75</f>
        <v>21.516842110375</v>
      </c>
      <c r="F76" s="38" t="n">
        <f aca="false">F73-F75</f>
        <v>19.6876894193176</v>
      </c>
      <c r="G76" s="38" t="n">
        <f aca="false">G73-G75</f>
        <v>17.8832853251617</v>
      </c>
      <c r="H76" s="38" t="n">
        <f aca="false">H73-H75</f>
        <v>16.1164479997578</v>
      </c>
      <c r="I76" s="38" t="n">
        <f aca="false">I73-I75</f>
        <v>14.4000672903388</v>
      </c>
      <c r="J76" s="38" t="n">
        <f aca="false">J73-J75</f>
        <v>12.7468239042499</v>
      </c>
      <c r="K76" s="38" t="n">
        <f aca="false">K73-K75</f>
        <v>11.1688886872949</v>
      </c>
      <c r="L76" s="38" t="n">
        <f aca="false">L73-L75</f>
        <v>24.5009120554063</v>
      </c>
      <c r="M76" s="38" t="n">
        <f aca="false">M73-M75</f>
        <v>24.8429102994688</v>
      </c>
      <c r="N76" s="38" t="n">
        <f aca="false">N73-N75</f>
        <v>23.7493599083707</v>
      </c>
      <c r="O76" s="38" t="n">
        <f aca="false">O73-O75</f>
        <v>21.5420501874696</v>
      </c>
      <c r="P76" s="38" t="n">
        <f aca="false">P73-P75</f>
        <v>19.2247534327151</v>
      </c>
      <c r="Q76" s="38" t="n">
        <f aca="false">Q73-Q75</f>
        <v>16.8409769003501</v>
      </c>
      <c r="R76" s="38" t="n">
        <f aca="false">R73-R75</f>
        <v>14.4401254414299</v>
      </c>
      <c r="S76" s="38" t="n">
        <f aca="false">S73-S75</f>
        <v>12.0762446148791</v>
      </c>
      <c r="T76" s="38" t="n">
        <f aca="false">T73-T75</f>
        <v>9.80593105823255</v>
      </c>
      <c r="U76" s="38" t="n">
        <f aca="false">U73-U75</f>
        <v>7.6852727691822</v>
      </c>
      <c r="V76" s="38" t="n">
        <f aca="false">V73-V75</f>
        <v>5.76583939389237</v>
      </c>
      <c r="W76" s="38" t="n">
        <f aca="false">W73-W75</f>
        <v>4.09000545716531</v>
      </c>
      <c r="X76" s="38" t="n">
        <f aca="false">X73-X75</f>
        <v>2.6862273593246</v>
      </c>
      <c r="Y76" s="38" t="n">
        <f aca="false">Y73-Y75</f>
        <v>1.56521796733711</v>
      </c>
      <c r="Z76" s="38" t="n">
        <f aca="false">Z73-Z75</f>
        <v>0.718120952794506</v>
      </c>
      <c r="AA76" s="38" t="n">
        <f aca="false">AA73-AA75</f>
        <v>0.117609526994175</v>
      </c>
      <c r="AB76" s="38" t="n">
        <f aca="false">AB73-AB75</f>
        <v>-0.213615438281609</v>
      </c>
    </row>
    <row r="77" customFormat="false" ht="15" hidden="false" customHeight="false" outlineLevel="0" collapsed="false">
      <c r="B77" s="3" t="s">
        <v>222</v>
      </c>
      <c r="D77" s="38" t="n">
        <f aca="false">MAX(0,MIN(D70+D71-D72,D76-D74))</f>
        <v>0</v>
      </c>
      <c r="E77" s="38" t="n">
        <f aca="false">MAX(0,MIN(E70+E71-E72,E76-E74))</f>
        <v>0</v>
      </c>
      <c r="F77" s="38" t="n">
        <f aca="false">MAX(0,MIN(F70+F71-F72,F76-F74))</f>
        <v>0</v>
      </c>
      <c r="G77" s="38" t="n">
        <f aca="false">MAX(0,MIN(G70+G71-G72,G76-G74))</f>
        <v>0</v>
      </c>
      <c r="H77" s="38" t="n">
        <f aca="false">MAX(0,MIN(H70+H71-H72,H76-H74))</f>
        <v>0</v>
      </c>
      <c r="I77" s="38" t="n">
        <f aca="false">MAX(0,MIN(I70+I71-I72,I76-I74))</f>
        <v>0</v>
      </c>
      <c r="J77" s="38" t="n">
        <f aca="false">MAX(0,MIN(J70+J71-J72,J76-J74))</f>
        <v>0</v>
      </c>
      <c r="K77" s="38" t="n">
        <f aca="false">MAX(0,MIN(K70+K71-K72,K76-K74))</f>
        <v>0</v>
      </c>
      <c r="L77" s="38" t="n">
        <f aca="false">MAX(0,MIN(L70+L71-L72,L76-L74))</f>
        <v>14.8233007676856</v>
      </c>
      <c r="M77" s="38" t="n">
        <f aca="false">MAX(0,MIN(M70+M71-M72,M76-M74))</f>
        <v>10.1766992323144</v>
      </c>
      <c r="N77" s="38" t="n">
        <f aca="false">MAX(0,MIN(N70+N71-N72,N76-N74))</f>
        <v>0</v>
      </c>
      <c r="O77" s="38" t="n">
        <f aca="false">MAX(0,MIN(O70+O71-O72,O76-O74))</f>
        <v>0</v>
      </c>
      <c r="P77" s="38" t="n">
        <f aca="false">MAX(0,MIN(P70+P71-P72,P76-P74))</f>
        <v>0</v>
      </c>
      <c r="Q77" s="38" t="n">
        <f aca="false">MAX(0,MIN(Q70+Q71-Q72,Q76-Q74))</f>
        <v>0</v>
      </c>
      <c r="R77" s="38" t="n">
        <f aca="false">MAX(0,MIN(R70+R71-R72,R76-R74))</f>
        <v>0</v>
      </c>
      <c r="S77" s="38" t="n">
        <f aca="false">MAX(0,MIN(S70+S71-S72,S76-S74))</f>
        <v>0</v>
      </c>
      <c r="T77" s="38" t="n">
        <f aca="false">MAX(0,MIN(T70+T71-T72,T76-T74))</f>
        <v>0</v>
      </c>
      <c r="U77" s="38" t="n">
        <f aca="false">MAX(0,MIN(U70+U71-U72,U76-U74))</f>
        <v>0</v>
      </c>
      <c r="V77" s="38" t="n">
        <f aca="false">MAX(0,MIN(V70+V71-V72,V76-V74))</f>
        <v>0</v>
      </c>
      <c r="W77" s="38" t="n">
        <f aca="false">MAX(0,MIN(W70+W71-W72,W76-W74))</f>
        <v>0</v>
      </c>
      <c r="X77" s="38" t="n">
        <f aca="false">MAX(0,MIN(X70+X71-X72,X76-X74))</f>
        <v>0</v>
      </c>
      <c r="Y77" s="38" t="n">
        <f aca="false">MAX(0,MIN(Y70+Y71-Y72,Y76-Y74))</f>
        <v>0</v>
      </c>
      <c r="Z77" s="38" t="n">
        <f aca="false">MAX(0,MIN(Z70+Z71-Z72,Z76-Z74))</f>
        <v>0</v>
      </c>
      <c r="AA77" s="38" t="n">
        <f aca="false">MAX(0,MIN(AA70+AA71-AA72,AA76-AA74))</f>
        <v>0</v>
      </c>
      <c r="AB77" s="38" t="n">
        <f aca="false">MAX(0,MIN(AB70+AB71-AB72,AB76-AB74))</f>
        <v>0</v>
      </c>
    </row>
    <row r="78" customFormat="false" ht="15" hidden="false" customHeight="false" outlineLevel="0" collapsed="false">
      <c r="B78" s="3" t="s">
        <v>223</v>
      </c>
      <c r="D78" s="38" t="n">
        <f aca="false">D76-D77</f>
        <v>22.15783</v>
      </c>
      <c r="E78" s="38" t="n">
        <f aca="false">E76-E77</f>
        <v>21.516842110375</v>
      </c>
      <c r="F78" s="38" t="n">
        <f aca="false">F76-F77</f>
        <v>19.6876894193176</v>
      </c>
      <c r="G78" s="38" t="n">
        <f aca="false">G76-G77</f>
        <v>17.8832853251617</v>
      </c>
      <c r="H78" s="38" t="n">
        <f aca="false">H76-H77</f>
        <v>16.1164479997578</v>
      </c>
      <c r="I78" s="38" t="n">
        <f aca="false">I76-I77</f>
        <v>14.4000672903388</v>
      </c>
      <c r="J78" s="38" t="n">
        <f aca="false">J76-J77</f>
        <v>12.7468239042499</v>
      </c>
      <c r="K78" s="38" t="n">
        <f aca="false">K76-K77</f>
        <v>11.1688886872949</v>
      </c>
      <c r="L78" s="38" t="n">
        <f aca="false">L76-L77</f>
        <v>9.67761128772071</v>
      </c>
      <c r="M78" s="38" t="n">
        <f aca="false">M76-M77</f>
        <v>14.6662110671544</v>
      </c>
      <c r="N78" s="38" t="n">
        <f aca="false">N76-N77</f>
        <v>23.7493599083707</v>
      </c>
      <c r="O78" s="38" t="n">
        <f aca="false">O76-O77</f>
        <v>21.5420501874696</v>
      </c>
      <c r="P78" s="38" t="n">
        <f aca="false">P76-P77</f>
        <v>19.2247534327151</v>
      </c>
      <c r="Q78" s="38" t="n">
        <f aca="false">Q76-Q77</f>
        <v>16.8409769003501</v>
      </c>
      <c r="R78" s="38" t="n">
        <f aca="false">R76-R77</f>
        <v>14.4401254414299</v>
      </c>
      <c r="S78" s="38" t="n">
        <f aca="false">S76-S77</f>
        <v>12.0762446148791</v>
      </c>
      <c r="T78" s="38" t="n">
        <f aca="false">T76-T77</f>
        <v>9.80593105823255</v>
      </c>
      <c r="U78" s="38" t="n">
        <f aca="false">U76-U77</f>
        <v>7.6852727691822</v>
      </c>
      <c r="V78" s="38" t="n">
        <f aca="false">V76-V77</f>
        <v>5.76583939389237</v>
      </c>
      <c r="W78" s="38" t="n">
        <f aca="false">W76-W77</f>
        <v>4.09000545716531</v>
      </c>
      <c r="X78" s="38" t="n">
        <f aca="false">X76-X77</f>
        <v>2.6862273593246</v>
      </c>
      <c r="Y78" s="38" t="n">
        <f aca="false">Y76-Y77</f>
        <v>1.56521796733711</v>
      </c>
      <c r="Z78" s="38" t="n">
        <f aca="false">Z76-Z77</f>
        <v>0.718120952794506</v>
      </c>
      <c r="AA78" s="38" t="n">
        <f aca="false">AA76-AA77</f>
        <v>0.117609526994175</v>
      </c>
      <c r="AB78" s="38" t="n">
        <f aca="false">AB76-AB77</f>
        <v>-0.213615438281609</v>
      </c>
    </row>
    <row r="79" customFormat="false" ht="15" hidden="false" customHeight="false" outlineLevel="0" collapsed="false">
      <c r="B79" s="3" t="s">
        <v>224</v>
      </c>
      <c r="D79" s="38" t="n">
        <f aca="false">D66+D67-D68-D75</f>
        <v>75</v>
      </c>
      <c r="E79" s="38" t="n">
        <f aca="false">E66+E67-E68-E75</f>
        <v>70.331642329525</v>
      </c>
      <c r="F79" s="38" t="n">
        <f aca="false">F66+F67-F68-F75</f>
        <v>62.6001180031701</v>
      </c>
      <c r="G79" s="38" t="n">
        <f aca="false">G66+G67-G68-G75</f>
        <v>53.0921927291278</v>
      </c>
      <c r="H79" s="38" t="n">
        <f aca="false">H66+H67-H68-H75</f>
        <v>41.9623289855234</v>
      </c>
      <c r="I79" s="38" t="n">
        <f aca="false">I66+I67-I68-I75</f>
        <v>29.3916677438898</v>
      </c>
      <c r="J79" s="38" t="n">
        <f aca="false">J66+J67-J68-J75</f>
        <v>15.5850519684554</v>
      </c>
      <c r="K79" s="38" t="n">
        <f aca="false">K66+K67-K68-K75</f>
        <v>0.76701468435561</v>
      </c>
      <c r="L79" s="38" t="n">
        <f aca="false">L66+L67-L68-L75</f>
        <v>0</v>
      </c>
      <c r="M79" s="38" t="n">
        <f aca="false">M66+M67-M68-M75</f>
        <v>0</v>
      </c>
      <c r="N79" s="38" t="n">
        <f aca="false">N66+N67-N68-N75</f>
        <v>0</v>
      </c>
      <c r="O79" s="38" t="n">
        <f aca="false">O66+O67-O68-O75</f>
        <v>0</v>
      </c>
      <c r="P79" s="38" t="n">
        <f aca="false">P66+P67-P68-P75</f>
        <v>0</v>
      </c>
      <c r="Q79" s="38" t="n">
        <f aca="false">Q66+Q67-Q68-Q75</f>
        <v>0</v>
      </c>
      <c r="R79" s="38" t="n">
        <f aca="false">R66+R67-R68-R75</f>
        <v>0</v>
      </c>
      <c r="S79" s="38" t="n">
        <f aca="false">S66+S67-S68-S75</f>
        <v>0</v>
      </c>
      <c r="T79" s="38" t="n">
        <f aca="false">T66+T67-T68-T75</f>
        <v>0</v>
      </c>
      <c r="U79" s="38" t="n">
        <f aca="false">U66+U67-U68-U75</f>
        <v>0</v>
      </c>
      <c r="V79" s="38" t="n">
        <f aca="false">V66+V67-V68-V75</f>
        <v>0</v>
      </c>
      <c r="W79" s="38" t="n">
        <f aca="false">W66+W67-W68-W75</f>
        <v>0</v>
      </c>
      <c r="X79" s="38" t="n">
        <f aca="false">X66+X67-X68-X75</f>
        <v>0</v>
      </c>
      <c r="Y79" s="38" t="n">
        <f aca="false">Y66+Y67-Y68-Y75</f>
        <v>0</v>
      </c>
      <c r="Z79" s="38" t="n">
        <f aca="false">Z66+Z67-Z68-Z75</f>
        <v>0</v>
      </c>
      <c r="AA79" s="38" t="n">
        <f aca="false">AA66+AA67-AA68-AA75</f>
        <v>0</v>
      </c>
      <c r="AB79" s="38" t="n">
        <f aca="false">AB66+AB67-AB68-AB75</f>
        <v>0</v>
      </c>
    </row>
    <row r="80" customFormat="false" ht="15" hidden="false" customHeight="false" outlineLevel="0" collapsed="false">
      <c r="B80" s="3" t="s">
        <v>225</v>
      </c>
      <c r="D80" s="38" t="n">
        <f aca="false">D70+D71-D72-D77</f>
        <v>25</v>
      </c>
      <c r="E80" s="38" t="n">
        <f aca="false">E70+E71-E72-E77</f>
        <v>25</v>
      </c>
      <c r="F80" s="38" t="n">
        <f aca="false">F70+F71-F72-F77</f>
        <v>25</v>
      </c>
      <c r="G80" s="38" t="n">
        <f aca="false">G70+G71-G72-G77</f>
        <v>25</v>
      </c>
      <c r="H80" s="38" t="n">
        <f aca="false">H70+H71-H72-H77</f>
        <v>25</v>
      </c>
      <c r="I80" s="38" t="n">
        <f aca="false">I70+I71-I72-I77</f>
        <v>25</v>
      </c>
      <c r="J80" s="38" t="n">
        <f aca="false">J70+J71-J72-J77</f>
        <v>25</v>
      </c>
      <c r="K80" s="38" t="n">
        <f aca="false">K70+K71-K72-K77</f>
        <v>25</v>
      </c>
      <c r="L80" s="38" t="n">
        <f aca="false">L70+L71-L72-L77</f>
        <v>10.1766992323144</v>
      </c>
      <c r="M80" s="38" t="n">
        <f aca="false">M70+M71-M72-M77</f>
        <v>0</v>
      </c>
      <c r="N80" s="38" t="n">
        <f aca="false">N70+N71-N72-N77</f>
        <v>0</v>
      </c>
      <c r="O80" s="38" t="n">
        <f aca="false">O70+O71-O72-O77</f>
        <v>0</v>
      </c>
      <c r="P80" s="38" t="n">
        <f aca="false">P70+P71-P72-P77</f>
        <v>0</v>
      </c>
      <c r="Q80" s="38" t="n">
        <f aca="false">Q70+Q71-Q72-Q77</f>
        <v>0</v>
      </c>
      <c r="R80" s="38" t="n">
        <f aca="false">R70+R71-R72-R77</f>
        <v>0</v>
      </c>
      <c r="S80" s="38" t="n">
        <f aca="false">S70+S71-S72-S77</f>
        <v>0</v>
      </c>
      <c r="T80" s="38" t="n">
        <f aca="false">T70+T71-T72-T77</f>
        <v>0</v>
      </c>
      <c r="U80" s="38" t="n">
        <f aca="false">U70+U71-U72-U77</f>
        <v>0</v>
      </c>
      <c r="V80" s="38" t="n">
        <f aca="false">V70+V71-V72-V77</f>
        <v>0</v>
      </c>
      <c r="W80" s="38" t="n">
        <f aca="false">W70+W71-W72-W77</f>
        <v>0</v>
      </c>
      <c r="X80" s="38" t="n">
        <f aca="false">X70+X71-X72-X77</f>
        <v>0</v>
      </c>
      <c r="Y80" s="38" t="n">
        <f aca="false">Y70+Y71-Y72-Y77</f>
        <v>0</v>
      </c>
      <c r="Z80" s="38" t="n">
        <f aca="false">Z70+Z71-Z72-Z77</f>
        <v>0</v>
      </c>
      <c r="AA80" s="38" t="n">
        <f aca="false">AA70+AA71-AA72-AA77</f>
        <v>0</v>
      </c>
      <c r="AB80" s="38" t="n">
        <f aca="false">AB70+AB71-AB72-AB77</f>
        <v>0</v>
      </c>
    </row>
    <row r="81" customFormat="false" ht="15" hidden="false" customHeight="false" outlineLevel="0" collapsed="false">
      <c r="B81" s="3" t="s">
        <v>226</v>
      </c>
      <c r="D81" s="38" t="n">
        <f aca="false">IF(D79+D80&lt;0.000001,MAX(0,D78-D74),0)</f>
        <v>0</v>
      </c>
      <c r="E81" s="38" t="n">
        <f aca="false">IF(E79+E80&lt;0.000001,MAX(0,E78-E74),0)</f>
        <v>0</v>
      </c>
      <c r="F81" s="38" t="n">
        <f aca="false">IF(F79+F80&lt;0.000001,MAX(0,F78-F74),0)</f>
        <v>0</v>
      </c>
      <c r="G81" s="38" t="n">
        <f aca="false">IF(G79+G80&lt;0.000001,MAX(0,G78-G74),0)</f>
        <v>0</v>
      </c>
      <c r="H81" s="38" t="n">
        <f aca="false">IF(H79+H80&lt;0.000001,MAX(0,H78-H74),0)</f>
        <v>0</v>
      </c>
      <c r="I81" s="38" t="n">
        <f aca="false">IF(I79+I80&lt;0.000001,MAX(0,I78-I74),0)</f>
        <v>0</v>
      </c>
      <c r="J81" s="38" t="n">
        <f aca="false">IF(J79+J80&lt;0.000001,MAX(0,J78-J74),0)</f>
        <v>0</v>
      </c>
      <c r="K81" s="38" t="n">
        <f aca="false">IF(K79+K80&lt;0.000001,MAX(0,K78-K74),0)</f>
        <v>0</v>
      </c>
      <c r="L81" s="38" t="n">
        <f aca="false">IF(L79+L80&lt;0.000001,MAX(0,L78-L74),0)</f>
        <v>0</v>
      </c>
      <c r="M81" s="38" t="n">
        <f aca="false">IF(M79+M80&lt;0.000001,MAX(0,M78-M74),0)</f>
        <v>6.38300270662247</v>
      </c>
      <c r="N81" s="38" t="n">
        <f aca="false">IF(N79+N80&lt;0.000001,MAX(0,N78-N74),0)</f>
        <v>16.7548982714185</v>
      </c>
      <c r="O81" s="38" t="n">
        <f aca="false">IF(O79+O80&lt;0.000001,MAX(0,O78-O74),0)</f>
        <v>15.7236144183384</v>
      </c>
      <c r="P81" s="38" t="n">
        <f aca="false">IF(P79+P80&lt;0.000001,MAX(0,P78-P74),0)</f>
        <v>14.4645282311533</v>
      </c>
      <c r="Q81" s="38" t="n">
        <f aca="false">IF(Q79+Q80&lt;0.000001,MAX(0,Q78-Q74),0)</f>
        <v>13.0182379117498</v>
      </c>
      <c r="R81" s="38" t="n">
        <f aca="false">IF(R79+R80&lt;0.000001,MAX(0,R78-R74),0)</f>
        <v>11.433592270353</v>
      </c>
      <c r="S81" s="38" t="n">
        <f aca="false">IF(S79+S80&lt;0.000001,MAX(0,S78-S74),0)</f>
        <v>9.76654197655479</v>
      </c>
      <c r="T81" s="38" t="n">
        <f aca="false">IF(T79+T80&lt;0.000001,MAX(0,T78-T74),0)</f>
        <v>8.07808260486195</v>
      </c>
      <c r="U81" s="38" t="n">
        <f aca="false">IF(U79+U80&lt;0.000001,MAX(0,U78-U74),0)</f>
        <v>6.43113116631856</v>
      </c>
      <c r="V81" s="38" t="n">
        <f aca="false">IF(V79+V80&lt;0.000001,MAX(0,V78-V74),0)</f>
        <v>4.88633144283612</v>
      </c>
      <c r="W81" s="38" t="n">
        <f aca="false">IF(W79+W80&lt;0.000001,MAX(0,W78-W74),0)</f>
        <v>3.49704704419094</v>
      </c>
      <c r="X81" s="38" t="n">
        <f aca="false">IF(X79+X80&lt;0.000001,MAX(0,X78-X74),0)</f>
        <v>2.30414843053134</v>
      </c>
      <c r="Y81" s="38" t="n">
        <f aca="false">IF(Y79+Y80&lt;0.000001,MAX(0,Y78-Y74),0)</f>
        <v>1.33154444327248</v>
      </c>
      <c r="Z81" s="38" t="n">
        <f aca="false">IF(Z79+Z80&lt;0.000001,MAX(0,Z78-Z74),0)</f>
        <v>0.583600293132438</v>
      </c>
      <c r="AA81" s="38" t="n">
        <f aca="false">IF(AA79+AA80&lt;0.000001,MAX(0,AA78-AA74),0)</f>
        <v>0.0454454962794258</v>
      </c>
      <c r="AB81" s="38" t="n">
        <f aca="false">IF(AB79+AB80&lt;0.000001,MAX(0,AB78-AB74),0)</f>
        <v>0</v>
      </c>
    </row>
    <row r="82" customFormat="false" ht="15" hidden="false" customHeight="false" outlineLevel="0" collapsed="false">
      <c r="B82" s="2" t="s">
        <v>227</v>
      </c>
      <c r="D82" s="38" t="n">
        <f aca="false">D78-D81</f>
        <v>22.15783</v>
      </c>
      <c r="E82" s="38" t="n">
        <f aca="false">E78-E81</f>
        <v>21.516842110375</v>
      </c>
      <c r="F82" s="38" t="n">
        <f aca="false">F78-F81</f>
        <v>19.6876894193176</v>
      </c>
      <c r="G82" s="38" t="n">
        <f aca="false">G78-G81</f>
        <v>17.8832853251617</v>
      </c>
      <c r="H82" s="38" t="n">
        <f aca="false">H78-H81</f>
        <v>16.1164479997578</v>
      </c>
      <c r="I82" s="38" t="n">
        <f aca="false">I78-I81</f>
        <v>14.4000672903388</v>
      </c>
      <c r="J82" s="38" t="n">
        <f aca="false">J78-J81</f>
        <v>12.7468239042499</v>
      </c>
      <c r="K82" s="38" t="n">
        <f aca="false">K78-K81</f>
        <v>11.1688886872949</v>
      </c>
      <c r="L82" s="38" t="n">
        <f aca="false">L78-L81</f>
        <v>9.67761128772071</v>
      </c>
      <c r="M82" s="38" t="n">
        <f aca="false">M78-M81</f>
        <v>8.28320836053198</v>
      </c>
      <c r="N82" s="38" t="n">
        <f aca="false">N78-N81</f>
        <v>6.99446163695225</v>
      </c>
      <c r="O82" s="38" t="n">
        <f aca="false">O78-O81</f>
        <v>5.8184357691312</v>
      </c>
      <c r="P82" s="38" t="n">
        <f aca="false">P78-P81</f>
        <v>4.76022520156173</v>
      </c>
      <c r="Q82" s="38" t="n">
        <f aca="false">Q78-Q81</f>
        <v>3.82273898860034</v>
      </c>
      <c r="R82" s="38" t="n">
        <f aca="false">R78-R81</f>
        <v>3.00653317107696</v>
      </c>
      <c r="S82" s="38" t="n">
        <f aca="false">S78-S81</f>
        <v>2.30970263832435</v>
      </c>
      <c r="T82" s="38" t="n">
        <f aca="false">T78-T81</f>
        <v>1.7278484533706</v>
      </c>
      <c r="U82" s="38" t="n">
        <f aca="false">U78-U81</f>
        <v>1.25414160286364</v>
      </c>
      <c r="V82" s="38" t="n">
        <f aca="false">V78-V81</f>
        <v>0.879507951056255</v>
      </c>
      <c r="W82" s="38" t="n">
        <f aca="false">W78-W81</f>
        <v>0.592958412974375</v>
      </c>
      <c r="X82" s="38" t="n">
        <f aca="false">X78-X81</f>
        <v>0.382078928793261</v>
      </c>
      <c r="Y82" s="38" t="n">
        <f aca="false">Y78-Y81</f>
        <v>0.233673524064623</v>
      </c>
      <c r="Z82" s="38" t="n">
        <f aca="false">Z78-Z81</f>
        <v>0.134520659662068</v>
      </c>
      <c r="AA82" s="38" t="n">
        <f aca="false">AA78-AA81</f>
        <v>0.0721640307147493</v>
      </c>
      <c r="AB82" s="38" t="n">
        <f aca="false">AB78-AB81</f>
        <v>-0.213615438281609</v>
      </c>
    </row>
    <row r="83" customFormat="false" ht="15" hidden="false" customHeight="false" outlineLevel="0" collapsed="false">
      <c r="B83" s="3" t="s">
        <v>228</v>
      </c>
      <c r="D83" s="10" t="n">
        <f aca="false">IF(AND(D65&lt;0,D66+D70&gt;0.000001),1,0)</f>
        <v>0</v>
      </c>
      <c r="E83" s="10" t="n">
        <f aca="false">IF(AND(E65&lt;0,E66+E70&gt;0.000001),1,0)</f>
        <v>0</v>
      </c>
      <c r="F83" s="10" t="n">
        <f aca="false">IF(AND(F65&lt;0,F66+F70&gt;0.000001),1,0)</f>
        <v>0</v>
      </c>
      <c r="G83" s="10" t="n">
        <f aca="false">IF(AND(G65&lt;0,G66+G70&gt;0.000001),1,0)</f>
        <v>0</v>
      </c>
      <c r="H83" s="10" t="n">
        <f aca="false">IF(AND(H65&lt;0,H66+H70&gt;0.000001),1,0)</f>
        <v>0</v>
      </c>
      <c r="I83" s="10" t="n">
        <f aca="false">IF(AND(I65&lt;0,I66+I70&gt;0.000001),1,0)</f>
        <v>0</v>
      </c>
      <c r="J83" s="10" t="n">
        <f aca="false">IF(AND(J65&lt;0,J66+J70&gt;0.000001),1,0)</f>
        <v>0</v>
      </c>
      <c r="K83" s="10" t="n">
        <f aca="false">IF(AND(K65&lt;0,K66+K70&gt;0.000001),1,0)</f>
        <v>0</v>
      </c>
      <c r="L83" s="10" t="n">
        <f aca="false">IF(AND(L65&lt;0,L66+L70&gt;0.000001),1,0)</f>
        <v>0</v>
      </c>
      <c r="M83" s="10" t="n">
        <f aca="false">IF(AND(M65&lt;0,M66+M70&gt;0.000001),1,0)</f>
        <v>0</v>
      </c>
      <c r="N83" s="10" t="n">
        <f aca="false">IF(AND(N65&lt;0,N66+N70&gt;0.000001),1,0)</f>
        <v>0</v>
      </c>
      <c r="O83" s="10" t="n">
        <f aca="false">IF(AND(O65&lt;0,O66+O70&gt;0.000001),1,0)</f>
        <v>0</v>
      </c>
      <c r="P83" s="10" t="n">
        <f aca="false">IF(AND(P65&lt;0,P66+P70&gt;0.000001),1,0)</f>
        <v>0</v>
      </c>
      <c r="Q83" s="10" t="n">
        <f aca="false">IF(AND(Q65&lt;0,Q66+Q70&gt;0.000001),1,0)</f>
        <v>0</v>
      </c>
      <c r="R83" s="10" t="n">
        <f aca="false">IF(AND(R65&lt;0,R66+R70&gt;0.000001),1,0)</f>
        <v>0</v>
      </c>
      <c r="S83" s="10" t="n">
        <f aca="false">IF(AND(S65&lt;0,S66+S70&gt;0.000001),1,0)</f>
        <v>0</v>
      </c>
      <c r="T83" s="10" t="n">
        <f aca="false">IF(AND(T65&lt;0,T66+T70&gt;0.000001),1,0)</f>
        <v>0</v>
      </c>
      <c r="U83" s="10" t="n">
        <f aca="false">IF(AND(U65&lt;0,U66+U70&gt;0.000001),1,0)</f>
        <v>0</v>
      </c>
      <c r="V83" s="10" t="n">
        <f aca="false">IF(AND(V65&lt;0,V66+V70&gt;0.000001),1,0)</f>
        <v>0</v>
      </c>
      <c r="W83" s="10" t="n">
        <f aca="false">IF(AND(W65&lt;0,W66+W70&gt;0.000001),1,0)</f>
        <v>0</v>
      </c>
      <c r="X83" s="10" t="n">
        <f aca="false">IF(AND(X65&lt;0,X66+X70&gt;0.000001),1,0)</f>
        <v>0</v>
      </c>
      <c r="Y83" s="10" t="n">
        <f aca="false">IF(AND(Y65&lt;0,Y66+Y70&gt;0.000001),1,0)</f>
        <v>0</v>
      </c>
      <c r="Z83" s="10" t="n">
        <f aca="false">IF(AND(Z65&lt;0,Z66+Z70&gt;0.000001),1,0)</f>
        <v>0</v>
      </c>
      <c r="AA83" s="10" t="n">
        <f aca="false">IF(AND(AA65&lt;0,AA66+AA70&gt;0.000001),1,0)</f>
        <v>0</v>
      </c>
      <c r="AB83" s="10" t="n">
        <f aca="false">IF(AND(AB65&lt;0,AB66+AB70&gt;0.000001),1,0)</f>
        <v>0</v>
      </c>
    </row>
    <row r="85" customFormat="false" ht="15" hidden="false" customHeight="false" outlineLevel="0" collapsed="false">
      <c r="A85" s="2" t="s">
        <v>229</v>
      </c>
    </row>
    <row r="86" customFormat="false" ht="15" hidden="false" customHeight="false" outlineLevel="0" collapsed="false">
      <c r="B86" s="3" t="s">
        <v>230</v>
      </c>
      <c r="C86" s="31" t="n">
        <f aca="false">MIN(1,AB79/Supuestos!C5)</f>
        <v>0</v>
      </c>
    </row>
    <row r="87" customFormat="false" ht="15" hidden="false" customHeight="false" outlineLevel="0" collapsed="false">
      <c r="B87" s="3" t="s">
        <v>231</v>
      </c>
      <c r="C87" s="31" t="n">
        <f aca="false">MIN(1,AB80/Supuestos!C7)</f>
        <v>0</v>
      </c>
    </row>
    <row r="88" customFormat="false" ht="15" hidden="false" customHeight="false" outlineLevel="0" collapsed="false">
      <c r="B88" s="3" t="s">
        <v>232</v>
      </c>
      <c r="C88" s="38" t="n">
        <f aca="false">SUM(D67:AB67)-SUM(D68:AB68)</f>
        <v>0</v>
      </c>
    </row>
    <row r="89" customFormat="false" ht="15" hidden="false" customHeight="false" outlineLevel="0" collapsed="false">
      <c r="B89" s="3" t="s">
        <v>233</v>
      </c>
      <c r="C89" s="38" t="n">
        <f aca="false">MIN(IF(D66+D70&gt;0.000001,D65,1000000000),IF(E66+E70&gt;0.000001,E65,1000000000),IF(F66+F70&gt;0.000001,F65,1000000000),IF(G66+G70&gt;0.000001,G65,1000000000),IF(H66+H70&gt;0.000001,H65,1000000000),IF(I66+I70&gt;0.000001,I65,1000000000),IF(J66+J70&gt;0.000001,J65,1000000000),IF(K66+K70&gt;0.000001,K65,1000000000),IF(L66+L70&gt;0.000001,L65,1000000000),IF(M66+M70&gt;0.000001,M65,1000000000),IF(N66+N70&gt;0.000001,N65,1000000000),IF(O66+O70&gt;0.000001,O65,1000000000),IF(P66+P70&gt;0.000001,P65,1000000000),IF(Q66+Q70&gt;0.000001,Q65,1000000000),IF(R66+R70&gt;0.000001,R65,1000000000),IF(S66+S70&gt;0.000001,S65,1000000000),IF(T66+T70&gt;0.000001,T65,1000000000),IF(U66+U70&gt;0.000001,U65,1000000000),IF(V66+V70&gt;0.000001,V65,1000000000),IF(W66+W70&gt;0.000001,W65,1000000000),IF(X66+X70&gt;0.000001,X65,1000000000),IF(Y66+Y70&gt;0.000001,Y65,1000000000),IF(Z66+Z70&gt;0.000001,Z65,1000000000),IF(AA66+AA70&gt;0.000001,AA65,1000000000),IF(AB66+AB70&gt;0.000001,AB65,1000000000))</f>
        <v>25.8096967265387</v>
      </c>
    </row>
    <row r="90" customFormat="false" ht="15" hidden="false" customHeight="false" outlineLevel="0" collapsed="false">
      <c r="B90" s="3" t="s">
        <v>234</v>
      </c>
      <c r="C90" s="10" t="n">
        <f aca="false">SUM(D83:AB83)</f>
        <v>0</v>
      </c>
    </row>
    <row r="91" customFormat="false" ht="15" hidden="false" customHeight="false" outlineLevel="0" collapsed="false">
      <c r="B91" s="3" t="s">
        <v>235</v>
      </c>
      <c r="C91" s="33" t="n">
        <f aca="false">IFERROR(SUMPRODUCT(D75:AB75,D3:AB3)/SUM(D75:AB75),0)</f>
        <v>5.6497335525873</v>
      </c>
    </row>
    <row r="92" customFormat="false" ht="15" hidden="false" customHeight="false" outlineLevel="0" collapsed="false">
      <c r="B92" s="3" t="s">
        <v>236</v>
      </c>
      <c r="C92" s="33" t="n">
        <f aca="false">IFERROR(SUMPRODUCT(D77:AB77,D3:AB3)/SUM(D77:AB77),0)</f>
        <v>9.40706796929258</v>
      </c>
    </row>
    <row r="93" customFormat="false" ht="15" hidden="false" customHeight="false" outlineLevel="0" collapsed="false">
      <c r="B93" s="3" t="s">
        <v>237</v>
      </c>
      <c r="C93" s="33" t="n">
        <f aca="false">(C18*Cartera!D5+C26*Cartera!D6+C34*Cartera!D7+C42*Cartera!D8+C50*Cartera!D9)/Cartera!D10</f>
        <v>7.76732384863591</v>
      </c>
    </row>
    <row r="94" customFormat="false" ht="15" hidden="false" customHeight="false" outlineLevel="0" collapsed="false">
      <c r="B94" s="3" t="s">
        <v>238</v>
      </c>
      <c r="C94" s="10" t="n">
        <f aca="false">IF(AND(C86&lt;=Supuestos!C20+0.000001,C88&lt;0.000001),1,0)</f>
        <v>1</v>
      </c>
    </row>
    <row r="95" customFormat="false" ht="15" hidden="false" customHeight="false" outlineLevel="0" collapsed="false">
      <c r="B95" s="3" t="s">
        <v>239</v>
      </c>
      <c r="C95" s="10" t="n">
        <f aca="false">IF(C87&lt;=Supuestos!C20+0.000001,1,0)</f>
        <v>1</v>
      </c>
    </row>
    <row r="96" customFormat="false" ht="15" hidden="false" customHeight="false" outlineLevel="0" collapsed="false">
      <c r="B96" s="3" t="s">
        <v>240</v>
      </c>
      <c r="C96" s="38" t="n">
        <f aca="false">SUM(D81:AB81)+MAX(0,AB82)</f>
        <v>114.701746707613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28" min="4" style="0" width="10"/>
  </cols>
  <sheetData>
    <row r="1" customFormat="false" ht="17.35" hidden="false" customHeight="false" outlineLevel="0" collapsed="false">
      <c r="A1" s="1" t="s">
        <v>245</v>
      </c>
    </row>
    <row r="2" customFormat="false" ht="15" hidden="false" customHeight="false" outlineLevel="0" collapsed="false">
      <c r="A2" s="3" t="s">
        <v>21</v>
      </c>
      <c r="C2" s="2" t="s">
        <v>37</v>
      </c>
    </row>
    <row r="3" customFormat="false" ht="15" hidden="false" customHeight="false" outlineLevel="0" collapsed="false">
      <c r="A3" s="2" t="s">
        <v>185</v>
      </c>
      <c r="D3" s="35" t="n">
        <v>1</v>
      </c>
      <c r="E3" s="35" t="n">
        <v>2</v>
      </c>
      <c r="F3" s="35" t="n">
        <v>3</v>
      </c>
      <c r="G3" s="35" t="n">
        <v>4</v>
      </c>
      <c r="H3" s="35" t="n">
        <v>5</v>
      </c>
      <c r="I3" s="35" t="n">
        <v>6</v>
      </c>
      <c r="J3" s="35" t="n">
        <v>7</v>
      </c>
      <c r="K3" s="35" t="n">
        <v>8</v>
      </c>
      <c r="L3" s="35" t="n">
        <v>9</v>
      </c>
      <c r="M3" s="35" t="n">
        <v>10</v>
      </c>
      <c r="N3" s="35" t="n">
        <v>11</v>
      </c>
      <c r="O3" s="35" t="n">
        <v>12</v>
      </c>
      <c r="P3" s="35" t="n">
        <v>13</v>
      </c>
      <c r="Q3" s="35" t="n">
        <v>14</v>
      </c>
      <c r="R3" s="35" t="n">
        <v>15</v>
      </c>
      <c r="S3" s="35" t="n">
        <v>16</v>
      </c>
      <c r="T3" s="35" t="n">
        <v>17</v>
      </c>
      <c r="U3" s="35" t="n">
        <v>18</v>
      </c>
      <c r="V3" s="35" t="n">
        <v>19</v>
      </c>
      <c r="W3" s="35" t="n">
        <v>20</v>
      </c>
      <c r="X3" s="35" t="n">
        <v>21</v>
      </c>
      <c r="Y3" s="35" t="n">
        <v>22</v>
      </c>
      <c r="Z3" s="35" t="n">
        <v>23</v>
      </c>
      <c r="AA3" s="35" t="n">
        <v>24</v>
      </c>
      <c r="AB3" s="35" t="n">
        <v>25</v>
      </c>
    </row>
    <row r="5" customFormat="false" ht="15" hidden="false" customHeight="false" outlineLevel="0" collapsed="false">
      <c r="A5" s="3" t="s">
        <v>186</v>
      </c>
      <c r="C5" s="5" t="n">
        <f aca="false">Supuestos!C29</f>
        <v>1</v>
      </c>
    </row>
    <row r="6" customFormat="false" ht="15" hidden="false" customHeight="false" outlineLevel="0" collapsed="false">
      <c r="A6" s="3" t="s">
        <v>187</v>
      </c>
      <c r="C6" s="5" t="n">
        <f aca="false">Supuestos!D29</f>
        <v>0</v>
      </c>
    </row>
    <row r="7" customFormat="false" ht="15" hidden="false" customHeight="false" outlineLevel="0" collapsed="false">
      <c r="A7" s="3" t="s">
        <v>188</v>
      </c>
      <c r="C7" s="12" t="n">
        <f aca="false">Supuestos!E29</f>
        <v>0.005</v>
      </c>
    </row>
    <row r="8" customFormat="false" ht="15" hidden="false" customHeight="false" outlineLevel="0" collapsed="false">
      <c r="A8" s="3" t="s">
        <v>189</v>
      </c>
      <c r="C8" s="7" t="n">
        <f aca="false">Supuestos!F29</f>
        <v>0</v>
      </c>
    </row>
    <row r="9" customFormat="false" ht="15" hidden="false" customHeight="false" outlineLevel="0" collapsed="false">
      <c r="A9" s="3" t="s">
        <v>104</v>
      </c>
      <c r="C9" s="12" t="n">
        <f aca="false">Supuestos!G29</f>
        <v>0</v>
      </c>
    </row>
    <row r="10" customFormat="false" ht="15" hidden="false" customHeight="false" outlineLevel="0" collapsed="false">
      <c r="A10" s="2" t="s">
        <v>190</v>
      </c>
      <c r="C10" s="36" t="n">
        <f aca="false">MAX(0,C5-IF(Cartera!C10&lt;Supuestos!C16,C6,0))</f>
        <v>1</v>
      </c>
    </row>
    <row r="12" customFormat="false" ht="15" hidden="false" customHeight="false" outlineLevel="0" collapsed="false">
      <c r="A12" s="37" t="str">
        <f aca="false">Cartera!A5&amp;" – "&amp;Cartera!B5</f>
        <v>C1 – Edad 75–79, salud estándar</v>
      </c>
    </row>
    <row r="13" customFormat="false" ht="15" hidden="false" customHeight="false" outlineLevel="0" collapsed="false">
      <c r="B13" s="3" t="s">
        <v>191</v>
      </c>
      <c r="D13" s="34" t="n">
        <f aca="false">MIN(1,Cartera!$F$5*(1+Cartera!$G$5)^(D$3-1)*$C$10)</f>
        <v>0.045</v>
      </c>
      <c r="E13" s="34" t="n">
        <f aca="false">MIN(1,Cartera!$F$5*(1+Cartera!$G$5)^(E$3-1)*$C$10)</f>
        <v>0.04995</v>
      </c>
      <c r="F13" s="34" t="n">
        <f aca="false">MIN(1,Cartera!$F$5*(1+Cartera!$G$5)^(F$3-1)*$C$10)</f>
        <v>0.0554445</v>
      </c>
      <c r="G13" s="34" t="n">
        <f aca="false">MIN(1,Cartera!$F$5*(1+Cartera!$G$5)^(G$3-1)*$C$10)</f>
        <v>0.061543395</v>
      </c>
      <c r="H13" s="34" t="n">
        <f aca="false">MIN(1,Cartera!$F$5*(1+Cartera!$G$5)^(H$3-1)*$C$10)</f>
        <v>0.06831316845</v>
      </c>
      <c r="I13" s="34" t="n">
        <f aca="false">MIN(1,Cartera!$F$5*(1+Cartera!$G$5)^(I$3-1)*$C$10)</f>
        <v>0.0758276169795</v>
      </c>
      <c r="J13" s="34" t="n">
        <f aca="false">MIN(1,Cartera!$F$5*(1+Cartera!$G$5)^(J$3-1)*$C$10)</f>
        <v>0.084168654847245</v>
      </c>
      <c r="K13" s="34" t="n">
        <f aca="false">MIN(1,Cartera!$F$5*(1+Cartera!$G$5)^(K$3-1)*$C$10)</f>
        <v>0.093427206880442</v>
      </c>
      <c r="L13" s="34" t="n">
        <f aca="false">MIN(1,Cartera!$F$5*(1+Cartera!$G$5)^(L$3-1)*$C$10)</f>
        <v>0.103704199637291</v>
      </c>
      <c r="M13" s="34" t="n">
        <f aca="false">MIN(1,Cartera!$F$5*(1+Cartera!$G$5)^(M$3-1)*$C$10)</f>
        <v>0.115111661597393</v>
      </c>
      <c r="N13" s="34" t="n">
        <f aca="false">MIN(1,Cartera!$F$5*(1+Cartera!$G$5)^(N$3-1)*$C$10)</f>
        <v>0.127773944373106</v>
      </c>
      <c r="O13" s="34" t="n">
        <f aca="false">MIN(1,Cartera!$F$5*(1+Cartera!$G$5)^(O$3-1)*$C$10)</f>
        <v>0.141829078254147</v>
      </c>
      <c r="P13" s="34" t="n">
        <f aca="false">MIN(1,Cartera!$F$5*(1+Cartera!$G$5)^(P$3-1)*$C$10)</f>
        <v>0.157430276862104</v>
      </c>
      <c r="Q13" s="34" t="n">
        <f aca="false">MIN(1,Cartera!$F$5*(1+Cartera!$G$5)^(Q$3-1)*$C$10)</f>
        <v>0.174747607316935</v>
      </c>
      <c r="R13" s="34" t="n">
        <f aca="false">MIN(1,Cartera!$F$5*(1+Cartera!$G$5)^(R$3-1)*$C$10)</f>
        <v>0.193969844121798</v>
      </c>
      <c r="S13" s="34" t="n">
        <f aca="false">MIN(1,Cartera!$F$5*(1+Cartera!$G$5)^(S$3-1)*$C$10)</f>
        <v>0.215306526975196</v>
      </c>
      <c r="T13" s="34" t="n">
        <f aca="false">MIN(1,Cartera!$F$5*(1+Cartera!$G$5)^(T$3-1)*$C$10)</f>
        <v>0.238990244942467</v>
      </c>
      <c r="U13" s="34" t="n">
        <f aca="false">MIN(1,Cartera!$F$5*(1+Cartera!$G$5)^(U$3-1)*$C$10)</f>
        <v>0.265279171886139</v>
      </c>
      <c r="V13" s="34" t="n">
        <f aca="false">MIN(1,Cartera!$F$5*(1+Cartera!$G$5)^(V$3-1)*$C$10)</f>
        <v>0.294459880793614</v>
      </c>
      <c r="W13" s="34" t="n">
        <f aca="false">MIN(1,Cartera!$F$5*(1+Cartera!$G$5)^(W$3-1)*$C$10)</f>
        <v>0.326850467680912</v>
      </c>
      <c r="X13" s="34" t="n">
        <f aca="false">MIN(1,Cartera!$F$5*(1+Cartera!$G$5)^(X$3-1)*$C$10)</f>
        <v>0.362804019125812</v>
      </c>
      <c r="Y13" s="34" t="n">
        <f aca="false">MIN(1,Cartera!$F$5*(1+Cartera!$G$5)^(Y$3-1)*$C$10)</f>
        <v>0.402712461229651</v>
      </c>
      <c r="Z13" s="34" t="n">
        <f aca="false">MIN(1,Cartera!$F$5*(1+Cartera!$G$5)^(Z$3-1)*$C$10)</f>
        <v>0.447010831964913</v>
      </c>
      <c r="AA13" s="34" t="n">
        <f aca="false">MIN(1,Cartera!$F$5*(1+Cartera!$G$5)^(AA$3-1)*$C$10)</f>
        <v>0.496182023481053</v>
      </c>
      <c r="AB13" s="34" t="n">
        <f aca="false">MIN(1,Cartera!$F$5*(1+Cartera!$G$5)^(AB$3-1)*$C$10)</f>
        <v>0.550762046063969</v>
      </c>
    </row>
    <row r="14" customFormat="false" ht="15" hidden="false" customHeight="false" outlineLevel="0" collapsed="false">
      <c r="B14" s="3" t="s">
        <v>192</v>
      </c>
      <c r="C14" s="3" t="s">
        <v>193</v>
      </c>
      <c r="D14" s="34" t="n">
        <f aca="false">1</f>
        <v>1</v>
      </c>
      <c r="E14" s="34" t="n">
        <f aca="false">D18</f>
        <v>0.955</v>
      </c>
      <c r="F14" s="34" t="n">
        <f aca="false">E18</f>
        <v>0.90729775</v>
      </c>
      <c r="G14" s="34" t="n">
        <f aca="false">F18</f>
        <v>0.856993079900125</v>
      </c>
      <c r="H14" s="34" t="n">
        <f aca="false">G18</f>
        <v>0.804250816271565</v>
      </c>
      <c r="I14" s="34" t="n">
        <f aca="false">H18</f>
        <v>0.749309894783556</v>
      </c>
      <c r="J14" s="34" t="n">
        <f aca="false">I18</f>
        <v>0.692491511082959</v>
      </c>
      <c r="K14" s="34" t="n">
        <f aca="false">J18</f>
        <v>0.63420543210197</v>
      </c>
      <c r="L14" s="34" t="n">
        <f aca="false">K18</f>
        <v>0.574953389992279</v>
      </c>
      <c r="M14" s="34" t="n">
        <f aca="false">L18</f>
        <v>0.515328308854383</v>
      </c>
      <c r="N14" s="34" t="n">
        <f aca="false">M18</f>
        <v>0.45600801095398</v>
      </c>
      <c r="O14" s="34" t="n">
        <f aca="false">N18</f>
        <v>0.397742068728656</v>
      </c>
      <c r="P14" s="34" t="n">
        <f aca="false">O18</f>
        <v>0.341330677737973</v>
      </c>
      <c r="Q14" s="34" t="n">
        <f aca="false">P18</f>
        <v>0.287594894640154</v>
      </c>
      <c r="R14" s="34" t="n">
        <f aca="false">Q18</f>
        <v>0.237338374925221</v>
      </c>
      <c r="S14" s="34" t="n">
        <f aca="false">R18</f>
        <v>0.191301887336855</v>
      </c>
      <c r="T14" s="34" t="n">
        <f aca="false">S18</f>
        <v>0.150113342370557</v>
      </c>
      <c r="U14" s="34" t="n">
        <f aca="false">T18</f>
        <v>0.114237717908285</v>
      </c>
      <c r="V14" s="34" t="n">
        <f aca="false">U18</f>
        <v>0.0839328307034128</v>
      </c>
      <c r="W14" s="34" t="n">
        <f aca="false">V18</f>
        <v>0.0592179793798153</v>
      </c>
      <c r="X14" s="34" t="n">
        <f aca="false">W18</f>
        <v>0.0398625551244041</v>
      </c>
      <c r="Y14" s="34" t="n">
        <f aca="false">X18</f>
        <v>0.025400259912646</v>
      </c>
      <c r="Z14" s="34" t="n">
        <f aca="false">Y18</f>
        <v>0.0151712587273515</v>
      </c>
      <c r="AA14" s="34" t="n">
        <f aca="false">Z18</f>
        <v>0.00838954174168316</v>
      </c>
      <c r="AB14" s="34" t="n">
        <f aca="false">AA18</f>
        <v>0.00422680194421605</v>
      </c>
    </row>
    <row r="15" customFormat="false" ht="15" hidden="false" customHeight="false" outlineLevel="0" collapsed="false">
      <c r="B15" s="3" t="s">
        <v>194</v>
      </c>
      <c r="D15" s="34" t="n">
        <f aca="false">D14*D13</f>
        <v>0.045</v>
      </c>
      <c r="E15" s="34" t="n">
        <f aca="false">E14*E13</f>
        <v>0.04770225</v>
      </c>
      <c r="F15" s="34" t="n">
        <f aca="false">F14*F13</f>
        <v>0.050304670099875</v>
      </c>
      <c r="G15" s="34" t="n">
        <f aca="false">G14*G13</f>
        <v>0.05274226362856</v>
      </c>
      <c r="H15" s="34" t="n">
        <f aca="false">H14*H13</f>
        <v>0.0549409214880094</v>
      </c>
      <c r="I15" s="34" t="n">
        <f aca="false">I14*I13</f>
        <v>0.0568183837005969</v>
      </c>
      <c r="J15" s="34" t="n">
        <f aca="false">J14*J13</f>
        <v>0.0582860789809887</v>
      </c>
      <c r="K15" s="34" t="n">
        <f aca="false">K14*K13</f>
        <v>0.0592520421096909</v>
      </c>
      <c r="L15" s="34" t="n">
        <f aca="false">L14*L13</f>
        <v>0.0596250811378963</v>
      </c>
      <c r="M15" s="34" t="n">
        <f aca="false">M14*M13</f>
        <v>0.0593202979004023</v>
      </c>
      <c r="N15" s="34" t="n">
        <f aca="false">N14*N13</f>
        <v>0.0582659422253245</v>
      </c>
      <c r="O15" s="34" t="n">
        <f aca="false">O14*O13</f>
        <v>0.056411390990683</v>
      </c>
      <c r="P15" s="34" t="n">
        <f aca="false">P14*P13</f>
        <v>0.0537357830978186</v>
      </c>
      <c r="Q15" s="34" t="n">
        <f aca="false">Q14*Q13</f>
        <v>0.050256519714933</v>
      </c>
      <c r="R15" s="34" t="n">
        <f aca="false">R14*R13</f>
        <v>0.046036487588366</v>
      </c>
      <c r="S15" s="34" t="n">
        <f aca="false">S14*S13</f>
        <v>0.0411885449662985</v>
      </c>
      <c r="T15" s="34" t="n">
        <f aca="false">T14*T13</f>
        <v>0.0358756244622718</v>
      </c>
      <c r="U15" s="34" t="n">
        <f aca="false">U14*U13</f>
        <v>0.0303048872048722</v>
      </c>
      <c r="V15" s="34" t="n">
        <f aca="false">V14*V13</f>
        <v>0.0247148513235975</v>
      </c>
      <c r="W15" s="34" t="n">
        <f aca="false">W14*W13</f>
        <v>0.0193554242554112</v>
      </c>
      <c r="X15" s="34" t="n">
        <f aca="false">X14*X13</f>
        <v>0.014462295211758</v>
      </c>
      <c r="Y15" s="34" t="n">
        <f aca="false">Y14*Y13</f>
        <v>0.0102290011852945</v>
      </c>
      <c r="Z15" s="34" t="n">
        <f aca="false">Z14*Z13</f>
        <v>0.00678171698566835</v>
      </c>
      <c r="AA15" s="34" t="n">
        <f aca="false">AA14*AA13</f>
        <v>0.00416273979746711</v>
      </c>
      <c r="AB15" s="34" t="n">
        <f aca="false">AB14*AB13</f>
        <v>0.0023279620871036</v>
      </c>
    </row>
    <row r="16" customFormat="false" ht="15" hidden="false" customHeight="false" outlineLevel="0" collapsed="false">
      <c r="B16" s="3" t="s">
        <v>195</v>
      </c>
      <c r="D16" s="38" t="n">
        <f aca="false">D15*Cartera!$D$5</f>
        <v>4.05</v>
      </c>
      <c r="E16" s="38" t="n">
        <f aca="false">E15*Cartera!$D$5</f>
        <v>4.2932025</v>
      </c>
      <c r="F16" s="38" t="n">
        <f aca="false">F15*Cartera!$D$5</f>
        <v>4.52742030898875</v>
      </c>
      <c r="G16" s="38" t="n">
        <f aca="false">G15*Cartera!$D$5</f>
        <v>4.7468037265704</v>
      </c>
      <c r="H16" s="38" t="n">
        <f aca="false">H15*Cartera!$D$5</f>
        <v>4.94468293392085</v>
      </c>
      <c r="I16" s="38" t="n">
        <f aca="false">I15*Cartera!$D$5</f>
        <v>5.11365453305372</v>
      </c>
      <c r="J16" s="38" t="n">
        <f aca="false">J15*Cartera!$D$5</f>
        <v>5.24574710828898</v>
      </c>
      <c r="K16" s="38" t="n">
        <f aca="false">K15*Cartera!$D$5</f>
        <v>5.33268378987218</v>
      </c>
      <c r="L16" s="38" t="n">
        <f aca="false">L15*Cartera!$D$5</f>
        <v>5.36625730241067</v>
      </c>
      <c r="M16" s="38" t="n">
        <f aca="false">M15*Cartera!$D$5</f>
        <v>5.33882681103621</v>
      </c>
      <c r="N16" s="38" t="n">
        <f aca="false">N15*Cartera!$D$5</f>
        <v>5.24393480027921</v>
      </c>
      <c r="O16" s="38" t="n">
        <f aca="false">O15*Cartera!$D$5</f>
        <v>5.07702518916147</v>
      </c>
      <c r="P16" s="38" t="n">
        <f aca="false">P15*Cartera!$D$5</f>
        <v>4.83622047880367</v>
      </c>
      <c r="Q16" s="38" t="n">
        <f aca="false">Q15*Cartera!$D$5</f>
        <v>4.52308677434397</v>
      </c>
      <c r="R16" s="38" t="n">
        <f aca="false">R15*Cartera!$D$5</f>
        <v>4.14328388295294</v>
      </c>
      <c r="S16" s="38" t="n">
        <f aca="false">S15*Cartera!$D$5</f>
        <v>3.70696904696686</v>
      </c>
      <c r="T16" s="38" t="n">
        <f aca="false">T15*Cartera!$D$5</f>
        <v>3.22880620160446</v>
      </c>
      <c r="U16" s="38" t="n">
        <f aca="false">U15*Cartera!$D$5</f>
        <v>2.72743984843849</v>
      </c>
      <c r="V16" s="38" t="n">
        <f aca="false">V15*Cartera!$D$5</f>
        <v>2.22433661912378</v>
      </c>
      <c r="W16" s="38" t="n">
        <f aca="false">W15*Cartera!$D$5</f>
        <v>1.74198818298701</v>
      </c>
      <c r="X16" s="38" t="n">
        <f aca="false">X15*Cartera!$D$5</f>
        <v>1.30160656905822</v>
      </c>
      <c r="Y16" s="38" t="n">
        <f aca="false">Y15*Cartera!$D$5</f>
        <v>0.920610106676508</v>
      </c>
      <c r="Z16" s="38" t="n">
        <f aca="false">Z15*Cartera!$D$5</f>
        <v>0.610354528710151</v>
      </c>
      <c r="AA16" s="38" t="n">
        <f aca="false">AA15*Cartera!$D$5</f>
        <v>0.37464658177204</v>
      </c>
      <c r="AB16" s="38" t="n">
        <f aca="false">AB15*Cartera!$D$5</f>
        <v>0.209516587839324</v>
      </c>
    </row>
    <row r="17" customFormat="false" ht="15" hidden="false" customHeight="false" outlineLevel="0" collapsed="false">
      <c r="B17" s="3" t="s">
        <v>196</v>
      </c>
      <c r="D17" s="38" t="n">
        <f aca="false">D14*Cartera!$D$5*Cartera!$H$5*(1+$C$8)^(D$3-1)</f>
        <v>3.6</v>
      </c>
      <c r="E17" s="38" t="n">
        <f aca="false">E14*Cartera!$D$5*Cartera!$H$5*(1+$C$8)^(E$3-1)</f>
        <v>3.438</v>
      </c>
      <c r="F17" s="38" t="n">
        <f aca="false">F14*Cartera!$D$5*Cartera!$H$5*(1+$C$8)^(F$3-1)</f>
        <v>3.2662719</v>
      </c>
      <c r="G17" s="38" t="n">
        <f aca="false">G14*Cartera!$D$5*Cartera!$H$5*(1+$C$8)^(G$3-1)</f>
        <v>3.08517508764045</v>
      </c>
      <c r="H17" s="38" t="n">
        <f aca="false">H14*Cartera!$D$5*Cartera!$H$5*(1+$C$8)^(H$3-1)</f>
        <v>2.89530293857763</v>
      </c>
      <c r="I17" s="38" t="n">
        <f aca="false">I14*Cartera!$D$5*Cartera!$H$5*(1+$C$8)^(I$3-1)</f>
        <v>2.6975156212208</v>
      </c>
      <c r="J17" s="38" t="n">
        <f aca="false">J14*Cartera!$D$5*Cartera!$H$5*(1+$C$8)^(J$3-1)</f>
        <v>2.49296943989865</v>
      </c>
      <c r="K17" s="38" t="n">
        <f aca="false">K14*Cartera!$D$5*Cartera!$H$5*(1+$C$8)^(K$3-1)</f>
        <v>2.28313955556709</v>
      </c>
      <c r="L17" s="38" t="n">
        <f aca="false">L14*Cartera!$D$5*Cartera!$H$5*(1+$C$8)^(L$3-1)</f>
        <v>2.06983220397221</v>
      </c>
      <c r="M17" s="38" t="n">
        <f aca="false">M14*Cartera!$D$5*Cartera!$H$5*(1+$C$8)^(M$3-1)</f>
        <v>1.85518191187578</v>
      </c>
      <c r="N17" s="38" t="n">
        <f aca="false">N14*Cartera!$D$5*Cartera!$H$5*(1+$C$8)^(N$3-1)</f>
        <v>1.64162883943433</v>
      </c>
      <c r="O17" s="38" t="n">
        <f aca="false">O14*Cartera!$D$5*Cartera!$H$5*(1+$C$8)^(O$3-1)</f>
        <v>1.43187144742316</v>
      </c>
      <c r="P17" s="38" t="n">
        <f aca="false">P14*Cartera!$D$5*Cartera!$H$5*(1+$C$8)^(P$3-1)</f>
        <v>1.2287904398567</v>
      </c>
      <c r="Q17" s="38" t="n">
        <f aca="false">Q14*Cartera!$D$5*Cartera!$H$5*(1+$C$8)^(Q$3-1)</f>
        <v>1.03534162070456</v>
      </c>
      <c r="R17" s="38" t="n">
        <f aca="false">R14*Cartera!$D$5*Cartera!$H$5*(1+$C$8)^(R$3-1)</f>
        <v>0.854418149730797</v>
      </c>
      <c r="S17" s="38" t="n">
        <f aca="false">S14*Cartera!$D$5*Cartera!$H$5*(1+$C$8)^(S$3-1)</f>
        <v>0.688686794412679</v>
      </c>
      <c r="T17" s="38" t="n">
        <f aca="false">T14*Cartera!$D$5*Cartera!$H$5*(1+$C$8)^(T$3-1)</f>
        <v>0.540408032534005</v>
      </c>
      <c r="U17" s="38" t="n">
        <f aca="false">U14*Cartera!$D$5*Cartera!$H$5*(1+$C$8)^(U$3-1)</f>
        <v>0.411255784469826</v>
      </c>
      <c r="V17" s="38" t="n">
        <f aca="false">V14*Cartera!$D$5*Cartera!$H$5*(1+$C$8)^(V$3-1)</f>
        <v>0.302158190532286</v>
      </c>
      <c r="W17" s="38" t="n">
        <f aca="false">W14*Cartera!$D$5*Cartera!$H$5*(1+$C$8)^(W$3-1)</f>
        <v>0.213184725767335</v>
      </c>
      <c r="X17" s="38" t="n">
        <f aca="false">X14*Cartera!$D$5*Cartera!$H$5*(1+$C$8)^(X$3-1)</f>
        <v>0.143505198447855</v>
      </c>
      <c r="Y17" s="38" t="n">
        <f aca="false">Y14*Cartera!$D$5*Cartera!$H$5*(1+$C$8)^(Y$3-1)</f>
        <v>0.0914409356855258</v>
      </c>
      <c r="Z17" s="38" t="n">
        <f aca="false">Z14*Cartera!$D$5*Cartera!$H$5*(1+$C$8)^(Z$3-1)</f>
        <v>0.0546165314184654</v>
      </c>
      <c r="AA17" s="38" t="n">
        <f aca="false">AA14*Cartera!$D$5*Cartera!$H$5*(1+$C$8)^(AA$3-1)</f>
        <v>0.0302023502700594</v>
      </c>
      <c r="AB17" s="38" t="n">
        <f aca="false">AB14*Cartera!$D$5*Cartera!$H$5*(1+$C$8)^(AB$3-1)</f>
        <v>0.0152164869991778</v>
      </c>
    </row>
    <row r="18" customFormat="false" ht="15" hidden="false" customHeight="false" outlineLevel="0" collapsed="false">
      <c r="B18" s="3" t="s">
        <v>197</v>
      </c>
      <c r="C18" s="33" t="n">
        <f aca="false">SUM(D18:AB18)+0.5</f>
        <v>9.60359722497916</v>
      </c>
      <c r="D18" s="34" t="n">
        <f aca="false">D14-D15</f>
        <v>0.955</v>
      </c>
      <c r="E18" s="34" t="n">
        <f aca="false">E14-E15</f>
        <v>0.90729775</v>
      </c>
      <c r="F18" s="34" t="n">
        <f aca="false">F14-F15</f>
        <v>0.856993079900125</v>
      </c>
      <c r="G18" s="34" t="n">
        <f aca="false">G14-G15</f>
        <v>0.804250816271565</v>
      </c>
      <c r="H18" s="34" t="n">
        <f aca="false">H14-H15</f>
        <v>0.749309894783556</v>
      </c>
      <c r="I18" s="34" t="n">
        <f aca="false">I14-I15</f>
        <v>0.692491511082959</v>
      </c>
      <c r="J18" s="34" t="n">
        <f aca="false">J14-J15</f>
        <v>0.63420543210197</v>
      </c>
      <c r="K18" s="34" t="n">
        <f aca="false">K14-K15</f>
        <v>0.574953389992279</v>
      </c>
      <c r="L18" s="34" t="n">
        <f aca="false">L14-L15</f>
        <v>0.515328308854383</v>
      </c>
      <c r="M18" s="34" t="n">
        <f aca="false">M14-M15</f>
        <v>0.45600801095398</v>
      </c>
      <c r="N18" s="34" t="n">
        <f aca="false">N14-N15</f>
        <v>0.397742068728656</v>
      </c>
      <c r="O18" s="34" t="n">
        <f aca="false">O14-O15</f>
        <v>0.341330677737973</v>
      </c>
      <c r="P18" s="34" t="n">
        <f aca="false">P14-P15</f>
        <v>0.287594894640154</v>
      </c>
      <c r="Q18" s="34" t="n">
        <f aca="false">Q14-Q15</f>
        <v>0.237338374925221</v>
      </c>
      <c r="R18" s="34" t="n">
        <f aca="false">R14-R15</f>
        <v>0.191301887336855</v>
      </c>
      <c r="S18" s="34" t="n">
        <f aca="false">S14-S15</f>
        <v>0.150113342370557</v>
      </c>
      <c r="T18" s="34" t="n">
        <f aca="false">T14-T15</f>
        <v>0.114237717908285</v>
      </c>
      <c r="U18" s="34" t="n">
        <f aca="false">U14-U15</f>
        <v>0.0839328307034128</v>
      </c>
      <c r="V18" s="34" t="n">
        <f aca="false">V14-V15</f>
        <v>0.0592179793798153</v>
      </c>
      <c r="W18" s="34" t="n">
        <f aca="false">W14-W15</f>
        <v>0.0398625551244041</v>
      </c>
      <c r="X18" s="34" t="n">
        <f aca="false">X14-X15</f>
        <v>0.025400259912646</v>
      </c>
      <c r="Y18" s="34" t="n">
        <f aca="false">Y14-Y15</f>
        <v>0.0151712587273515</v>
      </c>
      <c r="Z18" s="34" t="n">
        <f aca="false">Z14-Z15</f>
        <v>0.00838954174168316</v>
      </c>
      <c r="AA18" s="34" t="n">
        <f aca="false">AA14-AA15</f>
        <v>0.00422680194421605</v>
      </c>
      <c r="AB18" s="34" t="n">
        <f aca="false">AB14-AB15</f>
        <v>0.00189883985711245</v>
      </c>
    </row>
    <row r="20" customFormat="false" ht="15" hidden="false" customHeight="false" outlineLevel="0" collapsed="false">
      <c r="A20" s="37" t="str">
        <f aca="false">Cartera!A6&amp;" – "&amp;Cartera!B6</f>
        <v>C2 – Edad 80–84, deterioro moderado</v>
      </c>
    </row>
    <row r="21" customFormat="false" ht="15" hidden="false" customHeight="false" outlineLevel="0" collapsed="false">
      <c r="B21" s="3" t="s">
        <v>191</v>
      </c>
      <c r="D21" s="34" t="n">
        <f aca="false">MIN(1,Cartera!$F$6*(1+Cartera!$G$6)^(D$3-1)*$C$10)</f>
        <v>0.065</v>
      </c>
      <c r="E21" s="34" t="n">
        <f aca="false">MIN(1,Cartera!$F$6*(1+Cartera!$G$6)^(E$3-1)*$C$10)</f>
        <v>0.0715</v>
      </c>
      <c r="F21" s="34" t="n">
        <f aca="false">MIN(1,Cartera!$F$6*(1+Cartera!$G$6)^(F$3-1)*$C$10)</f>
        <v>0.07865</v>
      </c>
      <c r="G21" s="34" t="n">
        <f aca="false">MIN(1,Cartera!$F$6*(1+Cartera!$G$6)^(G$3-1)*$C$10)</f>
        <v>0.086515</v>
      </c>
      <c r="H21" s="34" t="n">
        <f aca="false">MIN(1,Cartera!$F$6*(1+Cartera!$G$6)^(H$3-1)*$C$10)</f>
        <v>0.0951665</v>
      </c>
      <c r="I21" s="34" t="n">
        <f aca="false">MIN(1,Cartera!$F$6*(1+Cartera!$G$6)^(I$3-1)*$C$10)</f>
        <v>0.10468315</v>
      </c>
      <c r="J21" s="34" t="n">
        <f aca="false">MIN(1,Cartera!$F$6*(1+Cartera!$G$6)^(J$3-1)*$C$10)</f>
        <v>0.115151465</v>
      </c>
      <c r="K21" s="34" t="n">
        <f aca="false">MIN(1,Cartera!$F$6*(1+Cartera!$G$6)^(K$3-1)*$C$10)</f>
        <v>0.1266666115</v>
      </c>
      <c r="L21" s="34" t="n">
        <f aca="false">MIN(1,Cartera!$F$6*(1+Cartera!$G$6)^(L$3-1)*$C$10)</f>
        <v>0.13933327265</v>
      </c>
      <c r="M21" s="34" t="n">
        <f aca="false">MIN(1,Cartera!$F$6*(1+Cartera!$G$6)^(M$3-1)*$C$10)</f>
        <v>0.153266599915</v>
      </c>
      <c r="N21" s="34" t="n">
        <f aca="false">MIN(1,Cartera!$F$6*(1+Cartera!$G$6)^(N$3-1)*$C$10)</f>
        <v>0.1685932599065</v>
      </c>
      <c r="O21" s="34" t="n">
        <f aca="false">MIN(1,Cartera!$F$6*(1+Cartera!$G$6)^(O$3-1)*$C$10)</f>
        <v>0.18545258589715</v>
      </c>
      <c r="P21" s="34" t="n">
        <f aca="false">MIN(1,Cartera!$F$6*(1+Cartera!$G$6)^(P$3-1)*$C$10)</f>
        <v>0.203997844486865</v>
      </c>
      <c r="Q21" s="34" t="n">
        <f aca="false">MIN(1,Cartera!$F$6*(1+Cartera!$G$6)^(Q$3-1)*$C$10)</f>
        <v>0.224397628935552</v>
      </c>
      <c r="R21" s="34" t="n">
        <f aca="false">MIN(1,Cartera!$F$6*(1+Cartera!$G$6)^(R$3-1)*$C$10)</f>
        <v>0.246837391829107</v>
      </c>
      <c r="S21" s="34" t="n">
        <f aca="false">MIN(1,Cartera!$F$6*(1+Cartera!$G$6)^(S$3-1)*$C$10)</f>
        <v>0.271521131012018</v>
      </c>
      <c r="T21" s="34" t="n">
        <f aca="false">MIN(1,Cartera!$F$6*(1+Cartera!$G$6)^(T$3-1)*$C$10)</f>
        <v>0.298673244113219</v>
      </c>
      <c r="U21" s="34" t="n">
        <f aca="false">MIN(1,Cartera!$F$6*(1+Cartera!$G$6)^(U$3-1)*$C$10)</f>
        <v>0.328540568524541</v>
      </c>
      <c r="V21" s="34" t="n">
        <f aca="false">MIN(1,Cartera!$F$6*(1+Cartera!$G$6)^(V$3-1)*$C$10)</f>
        <v>0.361394625376996</v>
      </c>
      <c r="W21" s="34" t="n">
        <f aca="false">MIN(1,Cartera!$F$6*(1+Cartera!$G$6)^(W$3-1)*$C$10)</f>
        <v>0.397534087914695</v>
      </c>
      <c r="X21" s="34" t="n">
        <f aca="false">MIN(1,Cartera!$F$6*(1+Cartera!$G$6)^(X$3-1)*$C$10)</f>
        <v>0.437287496706165</v>
      </c>
      <c r="Y21" s="34" t="n">
        <f aca="false">MIN(1,Cartera!$F$6*(1+Cartera!$G$6)^(Y$3-1)*$C$10)</f>
        <v>0.481016246376781</v>
      </c>
      <c r="Z21" s="34" t="n">
        <f aca="false">MIN(1,Cartera!$F$6*(1+Cartera!$G$6)^(Z$3-1)*$C$10)</f>
        <v>0.529117871014459</v>
      </c>
      <c r="AA21" s="34" t="n">
        <f aca="false">MIN(1,Cartera!$F$6*(1+Cartera!$G$6)^(AA$3-1)*$C$10)</f>
        <v>0.582029658115906</v>
      </c>
      <c r="AB21" s="34" t="n">
        <f aca="false">MIN(1,Cartera!$F$6*(1+Cartera!$G$6)^(AB$3-1)*$C$10)</f>
        <v>0.640232623927496</v>
      </c>
    </row>
    <row r="22" customFormat="false" ht="15" hidden="false" customHeight="false" outlineLevel="0" collapsed="false">
      <c r="B22" s="3" t="s">
        <v>192</v>
      </c>
      <c r="C22" s="3" t="s">
        <v>193</v>
      </c>
      <c r="D22" s="34" t="n">
        <f aca="false">1</f>
        <v>1</v>
      </c>
      <c r="E22" s="34" t="n">
        <f aca="false">D26</f>
        <v>0.935</v>
      </c>
      <c r="F22" s="34" t="n">
        <f aca="false">E26</f>
        <v>0.8681475</v>
      </c>
      <c r="G22" s="34" t="n">
        <f aca="false">F26</f>
        <v>0.799867699125</v>
      </c>
      <c r="H22" s="34" t="n">
        <f aca="false">G26</f>
        <v>0.730667145135201</v>
      </c>
      <c r="I22" s="34" t="n">
        <f aca="false">H26</f>
        <v>0.661132110267692</v>
      </c>
      <c r="J22" s="34" t="n">
        <f aca="false">I26</f>
        <v>0.591922718398722</v>
      </c>
      <c r="K22" s="34" t="n">
        <f aca="false">J26</f>
        <v>0.523761950208327</v>
      </c>
      <c r="L22" s="34" t="n">
        <f aca="false">K26</f>
        <v>0.457418798742806</v>
      </c>
      <c r="M22" s="34" t="n">
        <f aca="false">L26</f>
        <v>0.393685140542339</v>
      </c>
      <c r="N22" s="34" t="n">
        <f aca="false">M26</f>
        <v>0.333346357614356</v>
      </c>
      <c r="O22" s="34" t="n">
        <f aca="false">N26</f>
        <v>0.277146408506194</v>
      </c>
      <c r="P22" s="34" t="n">
        <f aca="false">O26</f>
        <v>0.225748890376612</v>
      </c>
      <c r="Q22" s="34" t="n">
        <f aca="false">P26</f>
        <v>0.179696603344482</v>
      </c>
      <c r="R22" s="34" t="n">
        <f aca="false">Q26</f>
        <v>0.139373111626208</v>
      </c>
      <c r="S22" s="34" t="n">
        <f aca="false">R26</f>
        <v>0.104970616261288</v>
      </c>
      <c r="T22" s="34" t="n">
        <f aca="false">S26</f>
        <v>0.0764688758109943</v>
      </c>
      <c r="U22" s="34" t="n">
        <f aca="false">T26</f>
        <v>0.0536296685988337</v>
      </c>
      <c r="V22" s="34" t="n">
        <f aca="false">U26</f>
        <v>0.0360101467875901</v>
      </c>
      <c r="W22" s="34" t="n">
        <f aca="false">V26</f>
        <v>0.0229962732795184</v>
      </c>
      <c r="X22" s="34" t="n">
        <f aca="false">W26</f>
        <v>0.013854470755908</v>
      </c>
      <c r="Y22" s="34" t="n">
        <f aca="false">X26</f>
        <v>0.0077960839208682</v>
      </c>
      <c r="Z22" s="34" t="n">
        <f aca="false">Y26</f>
        <v>0.0040460408968138</v>
      </c>
      <c r="AA22" s="34" t="n">
        <f aca="false">Z26</f>
        <v>0.00190520835145425</v>
      </c>
      <c r="AB22" s="34" t="n">
        <f aca="false">AA26</f>
        <v>0.000796320586017765</v>
      </c>
    </row>
    <row r="23" customFormat="false" ht="15" hidden="false" customHeight="false" outlineLevel="0" collapsed="false">
      <c r="B23" s="3" t="s">
        <v>194</v>
      </c>
      <c r="D23" s="34" t="n">
        <f aca="false">D22*D21</f>
        <v>0.065</v>
      </c>
      <c r="E23" s="34" t="n">
        <f aca="false">E22*E21</f>
        <v>0.0668525</v>
      </c>
      <c r="F23" s="34" t="n">
        <f aca="false">F22*F21</f>
        <v>0.068279800875</v>
      </c>
      <c r="G23" s="34" t="n">
        <f aca="false">G22*G21</f>
        <v>0.0692005539897994</v>
      </c>
      <c r="H23" s="34" t="n">
        <f aca="false">H22*H21</f>
        <v>0.0695350348675091</v>
      </c>
      <c r="I23" s="34" t="n">
        <f aca="false">I22*I21</f>
        <v>0.0692093918689693</v>
      </c>
      <c r="J23" s="34" t="n">
        <f aca="false">J22*J21</f>
        <v>0.0681607681903954</v>
      </c>
      <c r="K23" s="34" t="n">
        <f aca="false">K22*K21</f>
        <v>0.0663431514655205</v>
      </c>
      <c r="L23" s="34" t="n">
        <f aca="false">L22*L21</f>
        <v>0.063733658200467</v>
      </c>
      <c r="M23" s="34" t="n">
        <f aca="false">M22*M21</f>
        <v>0.0603387829279833</v>
      </c>
      <c r="N23" s="34" t="n">
        <f aca="false">N22*N21</f>
        <v>0.0561999491081623</v>
      </c>
      <c r="O23" s="34" t="n">
        <f aca="false">O22*O21</f>
        <v>0.0513975181295816</v>
      </c>
      <c r="P23" s="34" t="n">
        <f aca="false">P22*P21</f>
        <v>0.0460522870321305</v>
      </c>
      <c r="Q23" s="34" t="n">
        <f aca="false">Q22*Q21</f>
        <v>0.040323491718274</v>
      </c>
      <c r="R23" s="34" t="n">
        <f aca="false">R22*R21</f>
        <v>0.0344024953649201</v>
      </c>
      <c r="S23" s="34" t="n">
        <f aca="false">S22*S21</f>
        <v>0.0285017404502933</v>
      </c>
      <c r="T23" s="34" t="n">
        <f aca="false">T22*T21</f>
        <v>0.0228392072121606</v>
      </c>
      <c r="U23" s="34" t="n">
        <f aca="false">U22*U21</f>
        <v>0.0176195218112436</v>
      </c>
      <c r="V23" s="34" t="n">
        <f aca="false">V22*V21</f>
        <v>0.0130138735080718</v>
      </c>
      <c r="W23" s="34" t="n">
        <f aca="false">W22*W21</f>
        <v>0.00914180252361042</v>
      </c>
      <c r="X23" s="34" t="n">
        <f aca="false">X22*X21</f>
        <v>0.00605838683503976</v>
      </c>
      <c r="Y23" s="34" t="n">
        <f aca="false">Y22*Y21</f>
        <v>0.0037500430240544</v>
      </c>
      <c r="Z23" s="34" t="n">
        <f aca="false">Z22*Z21</f>
        <v>0.00214083254535955</v>
      </c>
      <c r="AA23" s="34" t="n">
        <f aca="false">AA22*AA21</f>
        <v>0.00110888776543648</v>
      </c>
      <c r="AB23" s="34" t="n">
        <f aca="false">AB22*AB21</f>
        <v>0.000509830418273635</v>
      </c>
    </row>
    <row r="24" customFormat="false" ht="15" hidden="false" customHeight="false" outlineLevel="0" collapsed="false">
      <c r="B24" s="3" t="s">
        <v>195</v>
      </c>
      <c r="D24" s="38" t="n">
        <f aca="false">D23*Cartera!$D$6</f>
        <v>7.8</v>
      </c>
      <c r="E24" s="38" t="n">
        <f aca="false">E23*Cartera!$D$6</f>
        <v>8.0223</v>
      </c>
      <c r="F24" s="38" t="n">
        <f aca="false">F23*Cartera!$D$6</f>
        <v>8.193576105</v>
      </c>
      <c r="G24" s="38" t="n">
        <f aca="false">G23*Cartera!$D$6</f>
        <v>8.30406647877593</v>
      </c>
      <c r="H24" s="38" t="n">
        <f aca="false">H23*Cartera!$D$6</f>
        <v>8.34420418410109</v>
      </c>
      <c r="I24" s="38" t="n">
        <f aca="false">I23*Cartera!$D$6</f>
        <v>8.30512702427632</v>
      </c>
      <c r="J24" s="38" t="n">
        <f aca="false">J23*Cartera!$D$6</f>
        <v>8.17929218284744</v>
      </c>
      <c r="K24" s="38" t="n">
        <f aca="false">K23*Cartera!$D$6</f>
        <v>7.96117817586246</v>
      </c>
      <c r="L24" s="38" t="n">
        <f aca="false">L23*Cartera!$D$6</f>
        <v>7.64803898405604</v>
      </c>
      <c r="M24" s="38" t="n">
        <f aca="false">M23*Cartera!$D$6</f>
        <v>7.240653951358</v>
      </c>
      <c r="N24" s="38" t="n">
        <f aca="false">N23*Cartera!$D$6</f>
        <v>6.74399389297947</v>
      </c>
      <c r="O24" s="38" t="n">
        <f aca="false">O23*Cartera!$D$6</f>
        <v>6.16770217554979</v>
      </c>
      <c r="P24" s="38" t="n">
        <f aca="false">P23*Cartera!$D$6</f>
        <v>5.52627444385566</v>
      </c>
      <c r="Q24" s="38" t="n">
        <f aca="false">Q23*Cartera!$D$6</f>
        <v>4.83881900619288</v>
      </c>
      <c r="R24" s="38" t="n">
        <f aca="false">R23*Cartera!$D$6</f>
        <v>4.12829944379041</v>
      </c>
      <c r="S24" s="38" t="n">
        <f aca="false">S23*Cartera!$D$6</f>
        <v>3.4202088540352</v>
      </c>
      <c r="T24" s="38" t="n">
        <f aca="false">T23*Cartera!$D$6</f>
        <v>2.74070486545927</v>
      </c>
      <c r="U24" s="38" t="n">
        <f aca="false">U23*Cartera!$D$6</f>
        <v>2.11434261734923</v>
      </c>
      <c r="V24" s="38" t="n">
        <f aca="false">V23*Cartera!$D$6</f>
        <v>1.56166482096861</v>
      </c>
      <c r="W24" s="38" t="n">
        <f aca="false">W23*Cartera!$D$6</f>
        <v>1.09701630283325</v>
      </c>
      <c r="X24" s="38" t="n">
        <f aca="false">X23*Cartera!$D$6</f>
        <v>0.727006420204771</v>
      </c>
      <c r="Y24" s="38" t="n">
        <f aca="false">Y23*Cartera!$D$6</f>
        <v>0.450005162886528</v>
      </c>
      <c r="Z24" s="38" t="n">
        <f aca="false">Z23*Cartera!$D$6</f>
        <v>0.256899905443146</v>
      </c>
      <c r="AA24" s="38" t="n">
        <f aca="false">AA23*Cartera!$D$6</f>
        <v>0.133066531852378</v>
      </c>
      <c r="AB24" s="38" t="n">
        <f aca="false">AB23*Cartera!$D$6</f>
        <v>0.0611796501928362</v>
      </c>
    </row>
    <row r="25" customFormat="false" ht="15" hidden="false" customHeight="false" outlineLevel="0" collapsed="false">
      <c r="B25" s="3" t="s">
        <v>196</v>
      </c>
      <c r="D25" s="38" t="n">
        <f aca="false">D22*Cartera!$D$6*Cartera!$H$6*(1+$C$8)^(D$3-1)</f>
        <v>6</v>
      </c>
      <c r="E25" s="38" t="n">
        <f aca="false">E22*Cartera!$D$6*Cartera!$H$6*(1+$C$8)^(E$3-1)</f>
        <v>5.61</v>
      </c>
      <c r="F25" s="38" t="n">
        <f aca="false">F22*Cartera!$D$6*Cartera!$H$6*(1+$C$8)^(F$3-1)</f>
        <v>5.208885</v>
      </c>
      <c r="G25" s="38" t="n">
        <f aca="false">G22*Cartera!$D$6*Cartera!$H$6*(1+$C$8)^(G$3-1)</f>
        <v>4.79920619475</v>
      </c>
      <c r="H25" s="38" t="n">
        <f aca="false">H22*Cartera!$D$6*Cartera!$H$6*(1+$C$8)^(H$3-1)</f>
        <v>4.3840028708112</v>
      </c>
      <c r="I25" s="38" t="n">
        <f aca="false">I22*Cartera!$D$6*Cartera!$H$6*(1+$C$8)^(I$3-1)</f>
        <v>3.96679266160615</v>
      </c>
      <c r="J25" s="38" t="n">
        <f aca="false">J22*Cartera!$D$6*Cartera!$H$6*(1+$C$8)^(J$3-1)</f>
        <v>3.55153631039233</v>
      </c>
      <c r="K25" s="38" t="n">
        <f aca="false">K22*Cartera!$D$6*Cartera!$H$6*(1+$C$8)^(K$3-1)</f>
        <v>3.14257170124996</v>
      </c>
      <c r="L25" s="38" t="n">
        <f aca="false">L22*Cartera!$D$6*Cartera!$H$6*(1+$C$8)^(L$3-1)</f>
        <v>2.74451279245684</v>
      </c>
      <c r="M25" s="38" t="n">
        <f aca="false">M22*Cartera!$D$6*Cartera!$H$6*(1+$C$8)^(M$3-1)</f>
        <v>2.36211084325404</v>
      </c>
      <c r="N25" s="38" t="n">
        <f aca="false">N22*Cartera!$D$6*Cartera!$H$6*(1+$C$8)^(N$3-1)</f>
        <v>2.00007814568614</v>
      </c>
      <c r="O25" s="38" t="n">
        <f aca="false">O22*Cartera!$D$6*Cartera!$H$6*(1+$C$8)^(O$3-1)</f>
        <v>1.66287845103716</v>
      </c>
      <c r="P25" s="38" t="n">
        <f aca="false">P22*Cartera!$D$6*Cartera!$H$6*(1+$C$8)^(P$3-1)</f>
        <v>1.35449334225967</v>
      </c>
      <c r="Q25" s="38" t="n">
        <f aca="false">Q22*Cartera!$D$6*Cartera!$H$6*(1+$C$8)^(Q$3-1)</f>
        <v>1.07817962006689</v>
      </c>
      <c r="R25" s="38" t="n">
        <f aca="false">R22*Cartera!$D$6*Cartera!$H$6*(1+$C$8)^(R$3-1)</f>
        <v>0.836238669757246</v>
      </c>
      <c r="S25" s="38" t="n">
        <f aca="false">S22*Cartera!$D$6*Cartera!$H$6*(1+$C$8)^(S$3-1)</f>
        <v>0.629823697567725</v>
      </c>
      <c r="T25" s="38" t="n">
        <f aca="false">T22*Cartera!$D$6*Cartera!$H$6*(1+$C$8)^(T$3-1)</f>
        <v>0.458813254865966</v>
      </c>
      <c r="U25" s="38" t="n">
        <f aca="false">U22*Cartera!$D$6*Cartera!$H$6*(1+$C$8)^(U$3-1)</f>
        <v>0.321778011593002</v>
      </c>
      <c r="V25" s="38" t="n">
        <f aca="false">V22*Cartera!$D$6*Cartera!$H$6*(1+$C$8)^(V$3-1)</f>
        <v>0.216060880725541</v>
      </c>
      <c r="W25" s="38" t="n">
        <f aca="false">W22*Cartera!$D$6*Cartera!$H$6*(1+$C$8)^(W$3-1)</f>
        <v>0.13797763967711</v>
      </c>
      <c r="X25" s="38" t="n">
        <f aca="false">X22*Cartera!$D$6*Cartera!$H$6*(1+$C$8)^(X$3-1)</f>
        <v>0.0831268245354478</v>
      </c>
      <c r="Y25" s="38" t="n">
        <f aca="false">Y22*Cartera!$D$6*Cartera!$H$6*(1+$C$8)^(Y$3-1)</f>
        <v>0.0467765035252092</v>
      </c>
      <c r="Z25" s="38" t="n">
        <f aca="false">Z22*Cartera!$D$6*Cartera!$H$6*(1+$C$8)^(Z$3-1)</f>
        <v>0.0242762453808828</v>
      </c>
      <c r="AA25" s="38" t="n">
        <f aca="false">AA22*Cartera!$D$6*Cartera!$H$6*(1+$C$8)^(AA$3-1)</f>
        <v>0.0114312501087255</v>
      </c>
      <c r="AB25" s="38" t="n">
        <f aca="false">AB22*Cartera!$D$6*Cartera!$H$6*(1+$C$8)^(AB$3-1)</f>
        <v>0.00477792351610659</v>
      </c>
    </row>
    <row r="26" customFormat="false" ht="15" hidden="false" customHeight="false" outlineLevel="0" collapsed="false">
      <c r="B26" s="3" t="s">
        <v>197</v>
      </c>
      <c r="C26" s="33" t="n">
        <f aca="false">SUM(D26:AB26)+0.5</f>
        <v>7.93967462930497</v>
      </c>
      <c r="D26" s="34" t="n">
        <f aca="false">D22-D23</f>
        <v>0.935</v>
      </c>
      <c r="E26" s="34" t="n">
        <f aca="false">E22-E23</f>
        <v>0.8681475</v>
      </c>
      <c r="F26" s="34" t="n">
        <f aca="false">F22-F23</f>
        <v>0.799867699125</v>
      </c>
      <c r="G26" s="34" t="n">
        <f aca="false">G22-G23</f>
        <v>0.730667145135201</v>
      </c>
      <c r="H26" s="34" t="n">
        <f aca="false">H22-H23</f>
        <v>0.661132110267692</v>
      </c>
      <c r="I26" s="34" t="n">
        <f aca="false">I22-I23</f>
        <v>0.591922718398722</v>
      </c>
      <c r="J26" s="34" t="n">
        <f aca="false">J22-J23</f>
        <v>0.523761950208327</v>
      </c>
      <c r="K26" s="34" t="n">
        <f aca="false">K22-K23</f>
        <v>0.457418798742806</v>
      </c>
      <c r="L26" s="34" t="n">
        <f aca="false">L22-L23</f>
        <v>0.393685140542339</v>
      </c>
      <c r="M26" s="34" t="n">
        <f aca="false">M22-M23</f>
        <v>0.333346357614356</v>
      </c>
      <c r="N26" s="34" t="n">
        <f aca="false">N22-N23</f>
        <v>0.277146408506194</v>
      </c>
      <c r="O26" s="34" t="n">
        <f aca="false">O22-O23</f>
        <v>0.225748890376612</v>
      </c>
      <c r="P26" s="34" t="n">
        <f aca="false">P22-P23</f>
        <v>0.179696603344482</v>
      </c>
      <c r="Q26" s="34" t="n">
        <f aca="false">Q22-Q23</f>
        <v>0.139373111626208</v>
      </c>
      <c r="R26" s="34" t="n">
        <f aca="false">R22-R23</f>
        <v>0.104970616261288</v>
      </c>
      <c r="S26" s="34" t="n">
        <f aca="false">S22-S23</f>
        <v>0.0764688758109943</v>
      </c>
      <c r="T26" s="34" t="n">
        <f aca="false">T22-T23</f>
        <v>0.0536296685988337</v>
      </c>
      <c r="U26" s="34" t="n">
        <f aca="false">U22-U23</f>
        <v>0.0360101467875901</v>
      </c>
      <c r="V26" s="34" t="n">
        <f aca="false">V22-V23</f>
        <v>0.0229962732795184</v>
      </c>
      <c r="W26" s="34" t="n">
        <f aca="false">W22-W23</f>
        <v>0.013854470755908</v>
      </c>
      <c r="X26" s="34" t="n">
        <f aca="false">X22-X23</f>
        <v>0.0077960839208682</v>
      </c>
      <c r="Y26" s="34" t="n">
        <f aca="false">Y22-Y23</f>
        <v>0.0040460408968138</v>
      </c>
      <c r="Z26" s="34" t="n">
        <f aca="false">Z22-Z23</f>
        <v>0.00190520835145425</v>
      </c>
      <c r="AA26" s="34" t="n">
        <f aca="false">AA22-AA23</f>
        <v>0.000796320586017765</v>
      </c>
      <c r="AB26" s="34" t="n">
        <f aca="false">AB22-AB23</f>
        <v>0.00028649016774413</v>
      </c>
    </row>
    <row r="28" customFormat="false" ht="15" hidden="false" customHeight="false" outlineLevel="0" collapsed="false">
      <c r="A28" s="37" t="str">
        <f aca="false">Cartera!A7&amp;" – "&amp;Cartera!B7</f>
        <v>C3 – Edad 85–89, deterioro significativo</v>
      </c>
    </row>
    <row r="29" customFormat="false" ht="15" hidden="false" customHeight="false" outlineLevel="0" collapsed="false">
      <c r="B29" s="3" t="s">
        <v>191</v>
      </c>
      <c r="D29" s="34" t="n">
        <f aca="false">MIN(1,Cartera!$F$7*(1+Cartera!$G$7)^(D$3-1)*$C$10)</f>
        <v>0.095</v>
      </c>
      <c r="E29" s="34" t="n">
        <f aca="false">MIN(1,Cartera!$F$7*(1+Cartera!$G$7)^(E$3-1)*$C$10)</f>
        <v>0.10355</v>
      </c>
      <c r="F29" s="34" t="n">
        <f aca="false">MIN(1,Cartera!$F$7*(1+Cartera!$G$7)^(F$3-1)*$C$10)</f>
        <v>0.1128695</v>
      </c>
      <c r="G29" s="34" t="n">
        <f aca="false">MIN(1,Cartera!$F$7*(1+Cartera!$G$7)^(G$3-1)*$C$10)</f>
        <v>0.123027755</v>
      </c>
      <c r="H29" s="34" t="n">
        <f aca="false">MIN(1,Cartera!$F$7*(1+Cartera!$G$7)^(H$3-1)*$C$10)</f>
        <v>0.13410025295</v>
      </c>
      <c r="I29" s="34" t="n">
        <f aca="false">MIN(1,Cartera!$F$7*(1+Cartera!$G$7)^(I$3-1)*$C$10)</f>
        <v>0.1461692757155</v>
      </c>
      <c r="J29" s="34" t="n">
        <f aca="false">MIN(1,Cartera!$F$7*(1+Cartera!$G$7)^(J$3-1)*$C$10)</f>
        <v>0.159324510529895</v>
      </c>
      <c r="K29" s="34" t="n">
        <f aca="false">MIN(1,Cartera!$F$7*(1+Cartera!$G$7)^(K$3-1)*$C$10)</f>
        <v>0.173663716477586</v>
      </c>
      <c r="L29" s="34" t="n">
        <f aca="false">MIN(1,Cartera!$F$7*(1+Cartera!$G$7)^(L$3-1)*$C$10)</f>
        <v>0.189293450960568</v>
      </c>
      <c r="M29" s="34" t="n">
        <f aca="false">MIN(1,Cartera!$F$7*(1+Cartera!$G$7)^(M$3-1)*$C$10)</f>
        <v>0.20632986154702</v>
      </c>
      <c r="N29" s="34" t="n">
        <f aca="false">MIN(1,Cartera!$F$7*(1+Cartera!$G$7)^(N$3-1)*$C$10)</f>
        <v>0.224899549086251</v>
      </c>
      <c r="O29" s="34" t="n">
        <f aca="false">MIN(1,Cartera!$F$7*(1+Cartera!$G$7)^(O$3-1)*$C$10)</f>
        <v>0.245140508504014</v>
      </c>
      <c r="P29" s="34" t="n">
        <f aca="false">MIN(1,Cartera!$F$7*(1+Cartera!$G$7)^(P$3-1)*$C$10)</f>
        <v>0.267203154269375</v>
      </c>
      <c r="Q29" s="34" t="n">
        <f aca="false">MIN(1,Cartera!$F$7*(1+Cartera!$G$7)^(Q$3-1)*$C$10)</f>
        <v>0.291251438153619</v>
      </c>
      <c r="R29" s="34" t="n">
        <f aca="false">MIN(1,Cartera!$F$7*(1+Cartera!$G$7)^(R$3-1)*$C$10)</f>
        <v>0.317464067587445</v>
      </c>
      <c r="S29" s="34" t="n">
        <f aca="false">MIN(1,Cartera!$F$7*(1+Cartera!$G$7)^(S$3-1)*$C$10)</f>
        <v>0.346035833670315</v>
      </c>
      <c r="T29" s="34" t="n">
        <f aca="false">MIN(1,Cartera!$F$7*(1+Cartera!$G$7)^(T$3-1)*$C$10)</f>
        <v>0.377179058700643</v>
      </c>
      <c r="U29" s="34" t="n">
        <f aca="false">MIN(1,Cartera!$F$7*(1+Cartera!$G$7)^(U$3-1)*$C$10)</f>
        <v>0.411125173983701</v>
      </c>
      <c r="V29" s="34" t="n">
        <f aca="false">MIN(1,Cartera!$F$7*(1+Cartera!$G$7)^(V$3-1)*$C$10)</f>
        <v>0.448126439642234</v>
      </c>
      <c r="W29" s="34" t="n">
        <f aca="false">MIN(1,Cartera!$F$7*(1+Cartera!$G$7)^(W$3-1)*$C$10)</f>
        <v>0.488457819210035</v>
      </c>
      <c r="X29" s="34" t="n">
        <f aca="false">MIN(1,Cartera!$F$7*(1+Cartera!$G$7)^(X$3-1)*$C$10)</f>
        <v>0.532419022938939</v>
      </c>
      <c r="Y29" s="34" t="n">
        <f aca="false">MIN(1,Cartera!$F$7*(1+Cartera!$G$7)^(Y$3-1)*$C$10)</f>
        <v>0.580336735003443</v>
      </c>
      <c r="Z29" s="34" t="n">
        <f aca="false">MIN(1,Cartera!$F$7*(1+Cartera!$G$7)^(Z$3-1)*$C$10)</f>
        <v>0.632567041153753</v>
      </c>
      <c r="AA29" s="34" t="n">
        <f aca="false">MIN(1,Cartera!$F$7*(1+Cartera!$G$7)^(AA$3-1)*$C$10)</f>
        <v>0.689498074857591</v>
      </c>
      <c r="AB29" s="34" t="n">
        <f aca="false">MIN(1,Cartera!$F$7*(1+Cartera!$G$7)^(AB$3-1)*$C$10)</f>
        <v>0.751552901594774</v>
      </c>
    </row>
    <row r="30" customFormat="false" ht="15" hidden="false" customHeight="false" outlineLevel="0" collapsed="false">
      <c r="B30" s="3" t="s">
        <v>192</v>
      </c>
      <c r="C30" s="3" t="s">
        <v>193</v>
      </c>
      <c r="D30" s="34" t="n">
        <f aca="false">1</f>
        <v>1</v>
      </c>
      <c r="E30" s="34" t="n">
        <f aca="false">D34</f>
        <v>0.905</v>
      </c>
      <c r="F30" s="34" t="n">
        <f aca="false">E34</f>
        <v>0.81128725</v>
      </c>
      <c r="G30" s="34" t="n">
        <f aca="false">F34</f>
        <v>0.719717663736125</v>
      </c>
      <c r="H30" s="34" t="n">
        <f aca="false">G34</f>
        <v>0.631172415332825</v>
      </c>
      <c r="I30" s="34" t="n">
        <f aca="false">H34</f>
        <v>0.54653203478163</v>
      </c>
      <c r="J30" s="34" t="n">
        <f aca="false">I34</f>
        <v>0.466645843102281</v>
      </c>
      <c r="K30" s="34" t="n">
        <f aca="false">J34</f>
        <v>0.3922977225592</v>
      </c>
      <c r="L30" s="34" t="n">
        <f aca="false">K34</f>
        <v>0.324169842093876</v>
      </c>
      <c r="M30" s="34" t="n">
        <f aca="false">L34</f>
        <v>0.262806613986584</v>
      </c>
      <c r="N30" s="34" t="n">
        <f aca="false">M34</f>
        <v>0.208581761709091</v>
      </c>
      <c r="O30" s="34" t="n">
        <f aca="false">N34</f>
        <v>0.161671817553101</v>
      </c>
      <c r="P30" s="34" t="n">
        <f aca="false">O34</f>
        <v>0.122039505987365</v>
      </c>
      <c r="Q30" s="34" t="n">
        <f aca="false">P34</f>
        <v>0.0894301650420651</v>
      </c>
      <c r="R30" s="34" t="n">
        <f aca="false">Q34</f>
        <v>0.0633835008592481</v>
      </c>
      <c r="S30" s="34" t="n">
        <f aca="false">R34</f>
        <v>0.0432615168585389</v>
      </c>
      <c r="T30" s="34" t="n">
        <f aca="false">S34</f>
        <v>0.028291481806552</v>
      </c>
      <c r="U30" s="34" t="n">
        <f aca="false">T34</f>
        <v>0.0176205273295103</v>
      </c>
      <c r="V30" s="34" t="n">
        <f aca="false">U34</f>
        <v>0.0103762849654808</v>
      </c>
      <c r="W30" s="34" t="n">
        <f aca="false">V34</f>
        <v>0.00572639732718667</v>
      </c>
      <c r="X30" s="34" t="n">
        <f aca="false">W34</f>
        <v>0.00292929377681889</v>
      </c>
      <c r="Y30" s="34" t="n">
        <f aca="false">X34</f>
        <v>0.00136968204626387</v>
      </c>
      <c r="Z30" s="34" t="n">
        <f aca="false">Y34</f>
        <v>0.000574805239542259</v>
      </c>
      <c r="AA30" s="34" t="n">
        <f aca="false">Z34</f>
        <v>0.000211202389925338</v>
      </c>
      <c r="AB30" s="34" t="n">
        <f aca="false">AA34</f>
        <v>6.55787486664953E-005</v>
      </c>
    </row>
    <row r="31" customFormat="false" ht="15" hidden="false" customHeight="false" outlineLevel="0" collapsed="false">
      <c r="B31" s="3" t="s">
        <v>194</v>
      </c>
      <c r="D31" s="34" t="n">
        <f aca="false">D30*D29</f>
        <v>0.095</v>
      </c>
      <c r="E31" s="34" t="n">
        <f aca="false">E30*E29</f>
        <v>0.09371275</v>
      </c>
      <c r="F31" s="34" t="n">
        <f aca="false">F30*F29</f>
        <v>0.091569586263875</v>
      </c>
      <c r="G31" s="34" t="n">
        <f aca="false">G30*G29</f>
        <v>0.0885452484033004</v>
      </c>
      <c r="H31" s="34" t="n">
        <f aca="false">H30*H29</f>
        <v>0.0846403805511943</v>
      </c>
      <c r="I31" s="34" t="n">
        <f aca="false">I30*I29</f>
        <v>0.0798861916793494</v>
      </c>
      <c r="J31" s="34" t="n">
        <f aca="false">J30*J29</f>
        <v>0.0743481205430811</v>
      </c>
      <c r="K31" s="34" t="n">
        <f aca="false">K30*K29</f>
        <v>0.0681278804653234</v>
      </c>
      <c r="L31" s="34" t="n">
        <f aca="false">L30*L29</f>
        <v>0.0613632281072924</v>
      </c>
      <c r="M31" s="34" t="n">
        <f aca="false">M30*M29</f>
        <v>0.0542248522774929</v>
      </c>
      <c r="N31" s="34" t="n">
        <f aca="false">N30*N29</f>
        <v>0.0469099441559905</v>
      </c>
      <c r="O31" s="34" t="n">
        <f aca="false">O30*O29</f>
        <v>0.0396323115657353</v>
      </c>
      <c r="P31" s="34" t="n">
        <f aca="false">P30*P29</f>
        <v>0.0326093409453003</v>
      </c>
      <c r="Q31" s="34" t="n">
        <f aca="false">Q30*Q29</f>
        <v>0.0260466641828169</v>
      </c>
      <c r="R31" s="34" t="n">
        <f aca="false">R30*R29</f>
        <v>0.0201219840007092</v>
      </c>
      <c r="S31" s="34" t="n">
        <f aca="false">S30*S29</f>
        <v>0.0149700350519869</v>
      </c>
      <c r="T31" s="34" t="n">
        <f aca="false">T30*T29</f>
        <v>0.0106709544770417</v>
      </c>
      <c r="U31" s="34" t="n">
        <f aca="false">U30*U29</f>
        <v>0.0072442423640295</v>
      </c>
      <c r="V31" s="34" t="n">
        <f aca="false">V30*V29</f>
        <v>0.00464988763829418</v>
      </c>
      <c r="W31" s="34" t="n">
        <f aca="false">W30*W29</f>
        <v>0.00279710355036778</v>
      </c>
      <c r="X31" s="34" t="n">
        <f aca="false">X30*X29</f>
        <v>0.00155961173055503</v>
      </c>
      <c r="Y31" s="34" t="n">
        <f aca="false">Y30*Y29</f>
        <v>0.000794876806721607</v>
      </c>
      <c r="Z31" s="34" t="n">
        <f aca="false">Z30*Z29</f>
        <v>0.000363602849616921</v>
      </c>
      <c r="AA31" s="34" t="n">
        <f aca="false">AA30*AA29</f>
        <v>0.000145623641258843</v>
      </c>
      <c r="AB31" s="34" t="n">
        <f aca="false">AB30*AB29</f>
        <v>4.92858988432589E-005</v>
      </c>
    </row>
    <row r="32" customFormat="false" ht="15" hidden="false" customHeight="false" outlineLevel="0" collapsed="false">
      <c r="B32" s="3" t="s">
        <v>195</v>
      </c>
      <c r="D32" s="38" t="n">
        <f aca="false">D31*Cartera!$D$7</f>
        <v>9.5</v>
      </c>
      <c r="E32" s="38" t="n">
        <f aca="false">E31*Cartera!$D$7</f>
        <v>9.371275</v>
      </c>
      <c r="F32" s="38" t="n">
        <f aca="false">F31*Cartera!$D$7</f>
        <v>9.1569586263875</v>
      </c>
      <c r="G32" s="38" t="n">
        <f aca="false">G31*Cartera!$D$7</f>
        <v>8.85452484033004</v>
      </c>
      <c r="H32" s="38" t="n">
        <f aca="false">H31*Cartera!$D$7</f>
        <v>8.46403805511943</v>
      </c>
      <c r="I32" s="38" t="n">
        <f aca="false">I31*Cartera!$D$7</f>
        <v>7.98861916793494</v>
      </c>
      <c r="J32" s="38" t="n">
        <f aca="false">J31*Cartera!$D$7</f>
        <v>7.43481205430811</v>
      </c>
      <c r="K32" s="38" t="n">
        <f aca="false">K31*Cartera!$D$7</f>
        <v>6.81278804653234</v>
      </c>
      <c r="L32" s="38" t="n">
        <f aca="false">L31*Cartera!$D$7</f>
        <v>6.13632281072924</v>
      </c>
      <c r="M32" s="38" t="n">
        <f aca="false">M31*Cartera!$D$7</f>
        <v>5.42248522774929</v>
      </c>
      <c r="N32" s="38" t="n">
        <f aca="false">N31*Cartera!$D$7</f>
        <v>4.69099441559905</v>
      </c>
      <c r="O32" s="38" t="n">
        <f aca="false">O31*Cartera!$D$7</f>
        <v>3.96323115657352</v>
      </c>
      <c r="P32" s="38" t="n">
        <f aca="false">P31*Cartera!$D$7</f>
        <v>3.26093409453003</v>
      </c>
      <c r="Q32" s="38" t="n">
        <f aca="false">Q31*Cartera!$D$7</f>
        <v>2.60466641828169</v>
      </c>
      <c r="R32" s="38" t="n">
        <f aca="false">R31*Cartera!$D$7</f>
        <v>2.01219840007092</v>
      </c>
      <c r="S32" s="38" t="n">
        <f aca="false">S31*Cartera!$D$7</f>
        <v>1.49700350519869</v>
      </c>
      <c r="T32" s="38" t="n">
        <f aca="false">T31*Cartera!$D$7</f>
        <v>1.06709544770417</v>
      </c>
      <c r="U32" s="38" t="n">
        <f aca="false">U31*Cartera!$D$7</f>
        <v>0.72442423640295</v>
      </c>
      <c r="V32" s="38" t="n">
        <f aca="false">V31*Cartera!$D$7</f>
        <v>0.464988763829417</v>
      </c>
      <c r="W32" s="38" t="n">
        <f aca="false">W31*Cartera!$D$7</f>
        <v>0.279710355036778</v>
      </c>
      <c r="X32" s="38" t="n">
        <f aca="false">X31*Cartera!$D$7</f>
        <v>0.155961173055503</v>
      </c>
      <c r="Y32" s="38" t="n">
        <f aca="false">Y31*Cartera!$D$7</f>
        <v>0.0794876806721607</v>
      </c>
      <c r="Z32" s="38" t="n">
        <f aca="false">Z31*Cartera!$D$7</f>
        <v>0.0363602849616921</v>
      </c>
      <c r="AA32" s="38" t="n">
        <f aca="false">AA31*Cartera!$D$7</f>
        <v>0.0145623641258843</v>
      </c>
      <c r="AB32" s="38" t="n">
        <f aca="false">AB31*Cartera!$D$7</f>
        <v>0.00492858988432589</v>
      </c>
    </row>
    <row r="33" customFormat="false" ht="15" hidden="false" customHeight="false" outlineLevel="0" collapsed="false">
      <c r="B33" s="3" t="s">
        <v>196</v>
      </c>
      <c r="D33" s="38" t="n">
        <f aca="false">D30*Cartera!$D$7*Cartera!$H$7*(1+$C$8)^(D$3-1)</f>
        <v>6</v>
      </c>
      <c r="E33" s="38" t="n">
        <f aca="false">E30*Cartera!$D$7*Cartera!$H$7*(1+$C$8)^(E$3-1)</f>
        <v>5.43</v>
      </c>
      <c r="F33" s="38" t="n">
        <f aca="false">F30*Cartera!$D$7*Cartera!$H$7*(1+$C$8)^(F$3-1)</f>
        <v>4.8677235</v>
      </c>
      <c r="G33" s="38" t="n">
        <f aca="false">G30*Cartera!$D$7*Cartera!$H$7*(1+$C$8)^(G$3-1)</f>
        <v>4.31830598241675</v>
      </c>
      <c r="H33" s="38" t="n">
        <f aca="false">H30*Cartera!$D$7*Cartera!$H$7*(1+$C$8)^(H$3-1)</f>
        <v>3.78703449199695</v>
      </c>
      <c r="I33" s="38" t="n">
        <f aca="false">I30*Cartera!$D$7*Cartera!$H$7*(1+$C$8)^(I$3-1)</f>
        <v>3.27919220868978</v>
      </c>
      <c r="J33" s="38" t="n">
        <f aca="false">J30*Cartera!$D$7*Cartera!$H$7*(1+$C$8)^(J$3-1)</f>
        <v>2.79987505861369</v>
      </c>
      <c r="K33" s="38" t="n">
        <f aca="false">K30*Cartera!$D$7*Cartera!$H$7*(1+$C$8)^(K$3-1)</f>
        <v>2.3537863353552</v>
      </c>
      <c r="L33" s="38" t="n">
        <f aca="false">L30*Cartera!$D$7*Cartera!$H$7*(1+$C$8)^(L$3-1)</f>
        <v>1.94501905256326</v>
      </c>
      <c r="M33" s="38" t="n">
        <f aca="false">M30*Cartera!$D$7*Cartera!$H$7*(1+$C$8)^(M$3-1)</f>
        <v>1.5768396839195</v>
      </c>
      <c r="N33" s="38" t="n">
        <f aca="false">N30*Cartera!$D$7*Cartera!$H$7*(1+$C$8)^(N$3-1)</f>
        <v>1.25149057025455</v>
      </c>
      <c r="O33" s="38" t="n">
        <f aca="false">O30*Cartera!$D$7*Cartera!$H$7*(1+$C$8)^(O$3-1)</f>
        <v>0.970030905318604</v>
      </c>
      <c r="P33" s="38" t="n">
        <f aca="false">P30*Cartera!$D$7*Cartera!$H$7*(1+$C$8)^(P$3-1)</f>
        <v>0.732237035924192</v>
      </c>
      <c r="Q33" s="38" t="n">
        <f aca="false">Q30*Cartera!$D$7*Cartera!$H$7*(1+$C$8)^(Q$3-1)</f>
        <v>0.53658099025239</v>
      </c>
      <c r="R33" s="38" t="n">
        <f aca="false">R30*Cartera!$D$7*Cartera!$H$7*(1+$C$8)^(R$3-1)</f>
        <v>0.380301005155489</v>
      </c>
      <c r="S33" s="38" t="n">
        <f aca="false">S30*Cartera!$D$7*Cartera!$H$7*(1+$C$8)^(S$3-1)</f>
        <v>0.259569101151233</v>
      </c>
      <c r="T33" s="38" t="n">
        <f aca="false">T30*Cartera!$D$7*Cartera!$H$7*(1+$C$8)^(T$3-1)</f>
        <v>0.169748890839312</v>
      </c>
      <c r="U33" s="38" t="n">
        <f aca="false">U30*Cartera!$D$7*Cartera!$H$7*(1+$C$8)^(U$3-1)</f>
        <v>0.105723163977062</v>
      </c>
      <c r="V33" s="38" t="n">
        <f aca="false">V30*Cartera!$D$7*Cartera!$H$7*(1+$C$8)^(V$3-1)</f>
        <v>0.0622577097928851</v>
      </c>
      <c r="W33" s="38" t="n">
        <f aca="false">W30*Cartera!$D$7*Cartera!$H$7*(1+$C$8)^(W$3-1)</f>
        <v>0.03435838396312</v>
      </c>
      <c r="X33" s="38" t="n">
        <f aca="false">X30*Cartera!$D$7*Cartera!$H$7*(1+$C$8)^(X$3-1)</f>
        <v>0.0175757626609134</v>
      </c>
      <c r="Y33" s="38" t="n">
        <f aca="false">Y30*Cartera!$D$7*Cartera!$H$7*(1+$C$8)^(Y$3-1)</f>
        <v>0.0082180922775832</v>
      </c>
      <c r="Z33" s="38" t="n">
        <f aca="false">Z30*Cartera!$D$7*Cartera!$H$7*(1+$C$8)^(Z$3-1)</f>
        <v>0.00344883143725356</v>
      </c>
      <c r="AA33" s="38" t="n">
        <f aca="false">AA30*Cartera!$D$7*Cartera!$H$7*(1+$C$8)^(AA$3-1)</f>
        <v>0.00126721433955203</v>
      </c>
      <c r="AB33" s="38" t="n">
        <f aca="false">AB30*Cartera!$D$7*Cartera!$H$7*(1+$C$8)^(AB$3-1)</f>
        <v>0.000393472491998972</v>
      </c>
    </row>
    <row r="34" customFormat="false" ht="15" hidden="false" customHeight="false" outlineLevel="0" collapsed="false">
      <c r="B34" s="3" t="s">
        <v>197</v>
      </c>
      <c r="C34" s="33" t="n">
        <f aca="false">SUM(D34:AB34)+0.5</f>
        <v>6.3151792000817</v>
      </c>
      <c r="D34" s="34" t="n">
        <f aca="false">D30-D31</f>
        <v>0.905</v>
      </c>
      <c r="E34" s="34" t="n">
        <f aca="false">E30-E31</f>
        <v>0.81128725</v>
      </c>
      <c r="F34" s="34" t="n">
        <f aca="false">F30-F31</f>
        <v>0.719717663736125</v>
      </c>
      <c r="G34" s="34" t="n">
        <f aca="false">G30-G31</f>
        <v>0.631172415332825</v>
      </c>
      <c r="H34" s="34" t="n">
        <f aca="false">H30-H31</f>
        <v>0.54653203478163</v>
      </c>
      <c r="I34" s="34" t="n">
        <f aca="false">I30-I31</f>
        <v>0.466645843102281</v>
      </c>
      <c r="J34" s="34" t="n">
        <f aca="false">J30-J31</f>
        <v>0.3922977225592</v>
      </c>
      <c r="K34" s="34" t="n">
        <f aca="false">K30-K31</f>
        <v>0.324169842093876</v>
      </c>
      <c r="L34" s="34" t="n">
        <f aca="false">L30-L31</f>
        <v>0.262806613986584</v>
      </c>
      <c r="M34" s="34" t="n">
        <f aca="false">M30-M31</f>
        <v>0.208581761709091</v>
      </c>
      <c r="N34" s="34" t="n">
        <f aca="false">N30-N31</f>
        <v>0.161671817553101</v>
      </c>
      <c r="O34" s="34" t="n">
        <f aca="false">O30-O31</f>
        <v>0.122039505987365</v>
      </c>
      <c r="P34" s="34" t="n">
        <f aca="false">P30-P31</f>
        <v>0.0894301650420651</v>
      </c>
      <c r="Q34" s="34" t="n">
        <f aca="false">Q30-Q31</f>
        <v>0.0633835008592481</v>
      </c>
      <c r="R34" s="34" t="n">
        <f aca="false">R30-R31</f>
        <v>0.0432615168585389</v>
      </c>
      <c r="S34" s="34" t="n">
        <f aca="false">S30-S31</f>
        <v>0.028291481806552</v>
      </c>
      <c r="T34" s="34" t="n">
        <f aca="false">T30-T31</f>
        <v>0.0176205273295103</v>
      </c>
      <c r="U34" s="34" t="n">
        <f aca="false">U30-U31</f>
        <v>0.0103762849654808</v>
      </c>
      <c r="V34" s="34" t="n">
        <f aca="false">V30-V31</f>
        <v>0.00572639732718667</v>
      </c>
      <c r="W34" s="34" t="n">
        <f aca="false">W30-W31</f>
        <v>0.00292929377681889</v>
      </c>
      <c r="X34" s="34" t="n">
        <f aca="false">X30-X31</f>
        <v>0.00136968204626387</v>
      </c>
      <c r="Y34" s="34" t="n">
        <f aca="false">Y30-Y31</f>
        <v>0.000574805239542259</v>
      </c>
      <c r="Z34" s="34" t="n">
        <f aca="false">Z30-Z31</f>
        <v>0.000211202389925338</v>
      </c>
      <c r="AA34" s="34" t="n">
        <f aca="false">AA30-AA31</f>
        <v>6.55787486664953E-005</v>
      </c>
      <c r="AB34" s="34" t="n">
        <f aca="false">AB30-AB31</f>
        <v>1.62928498232363E-005</v>
      </c>
    </row>
    <row r="36" customFormat="false" ht="15" hidden="false" customHeight="false" outlineLevel="0" collapsed="false">
      <c r="A36" s="37" t="str">
        <f aca="false">Cartera!A8&amp;" – "&amp;Cartera!B8</f>
        <v>C4 – Edad 90+, deterioro severo</v>
      </c>
    </row>
    <row r="37" customFormat="false" ht="15" hidden="false" customHeight="false" outlineLevel="0" collapsed="false">
      <c r="B37" s="3" t="s">
        <v>191</v>
      </c>
      <c r="D37" s="34" t="n">
        <f aca="false">MIN(1,Cartera!$F$8*(1+Cartera!$G$8)^(D$3-1)*$C$10)</f>
        <v>0.14</v>
      </c>
      <c r="E37" s="34" t="n">
        <f aca="false">MIN(1,Cartera!$F$8*(1+Cartera!$G$8)^(E$3-1)*$C$10)</f>
        <v>0.1512</v>
      </c>
      <c r="F37" s="34" t="n">
        <f aca="false">MIN(1,Cartera!$F$8*(1+Cartera!$G$8)^(F$3-1)*$C$10)</f>
        <v>0.163296</v>
      </c>
      <c r="G37" s="34" t="n">
        <f aca="false">MIN(1,Cartera!$F$8*(1+Cartera!$G$8)^(G$3-1)*$C$10)</f>
        <v>0.17635968</v>
      </c>
      <c r="H37" s="34" t="n">
        <f aca="false">MIN(1,Cartera!$F$8*(1+Cartera!$G$8)^(H$3-1)*$C$10)</f>
        <v>0.1904684544</v>
      </c>
      <c r="I37" s="34" t="n">
        <f aca="false">MIN(1,Cartera!$F$8*(1+Cartera!$G$8)^(I$3-1)*$C$10)</f>
        <v>0.205705930752</v>
      </c>
      <c r="J37" s="34" t="n">
        <f aca="false">MIN(1,Cartera!$F$8*(1+Cartera!$G$8)^(J$3-1)*$C$10)</f>
        <v>0.22216240521216</v>
      </c>
      <c r="K37" s="34" t="n">
        <f aca="false">MIN(1,Cartera!$F$8*(1+Cartera!$G$8)^(K$3-1)*$C$10)</f>
        <v>0.239935397629133</v>
      </c>
      <c r="L37" s="34" t="n">
        <f aca="false">MIN(1,Cartera!$F$8*(1+Cartera!$G$8)^(L$3-1)*$C$10)</f>
        <v>0.259130229439464</v>
      </c>
      <c r="M37" s="34" t="n">
        <f aca="false">MIN(1,Cartera!$F$8*(1+Cartera!$G$8)^(M$3-1)*$C$10)</f>
        <v>0.279860647794621</v>
      </c>
      <c r="N37" s="34" t="n">
        <f aca="false">MIN(1,Cartera!$F$8*(1+Cartera!$G$8)^(N$3-1)*$C$10)</f>
        <v>0.30224949961819</v>
      </c>
      <c r="O37" s="34" t="n">
        <f aca="false">MIN(1,Cartera!$F$8*(1+Cartera!$G$8)^(O$3-1)*$C$10)</f>
        <v>0.326429459587646</v>
      </c>
      <c r="P37" s="34" t="n">
        <f aca="false">MIN(1,Cartera!$F$8*(1+Cartera!$G$8)^(P$3-1)*$C$10)</f>
        <v>0.352543816354657</v>
      </c>
      <c r="Q37" s="34" t="n">
        <f aca="false">MIN(1,Cartera!$F$8*(1+Cartera!$G$8)^(Q$3-1)*$C$10)</f>
        <v>0.38074732166303</v>
      </c>
      <c r="R37" s="34" t="n">
        <f aca="false">MIN(1,Cartera!$F$8*(1+Cartera!$G$8)^(R$3-1)*$C$10)</f>
        <v>0.411207107396072</v>
      </c>
      <c r="S37" s="34" t="n">
        <f aca="false">MIN(1,Cartera!$F$8*(1+Cartera!$G$8)^(S$3-1)*$C$10)</f>
        <v>0.444103675987758</v>
      </c>
      <c r="T37" s="34" t="n">
        <f aca="false">MIN(1,Cartera!$F$8*(1+Cartera!$G$8)^(T$3-1)*$C$10)</f>
        <v>0.479631970066779</v>
      </c>
      <c r="U37" s="34" t="n">
        <f aca="false">MIN(1,Cartera!$F$8*(1+Cartera!$G$8)^(U$3-1)*$C$10)</f>
        <v>0.518002527672121</v>
      </c>
      <c r="V37" s="34" t="n">
        <f aca="false">MIN(1,Cartera!$F$8*(1+Cartera!$G$8)^(V$3-1)*$C$10)</f>
        <v>0.559442729885891</v>
      </c>
      <c r="W37" s="34" t="n">
        <f aca="false">MIN(1,Cartera!$F$8*(1+Cartera!$G$8)^(W$3-1)*$C$10)</f>
        <v>0.604198148276762</v>
      </c>
      <c r="X37" s="34" t="n">
        <f aca="false">MIN(1,Cartera!$F$8*(1+Cartera!$G$8)^(X$3-1)*$C$10)</f>
        <v>0.652534000138903</v>
      </c>
      <c r="Y37" s="34" t="n">
        <f aca="false">MIN(1,Cartera!$F$8*(1+Cartera!$G$8)^(Y$3-1)*$C$10)</f>
        <v>0.704736720150016</v>
      </c>
      <c r="Z37" s="34" t="n">
        <f aca="false">MIN(1,Cartera!$F$8*(1+Cartera!$G$8)^(Z$3-1)*$C$10)</f>
        <v>0.761115657762017</v>
      </c>
      <c r="AA37" s="34" t="n">
        <f aca="false">MIN(1,Cartera!$F$8*(1+Cartera!$G$8)^(AA$3-1)*$C$10)</f>
        <v>0.822004910382978</v>
      </c>
      <c r="AB37" s="34" t="n">
        <f aca="false">MIN(1,Cartera!$F$8*(1+Cartera!$G$8)^(AB$3-1)*$C$10)</f>
        <v>0.887765303213617</v>
      </c>
    </row>
    <row r="38" customFormat="false" ht="15" hidden="false" customHeight="false" outlineLevel="0" collapsed="false">
      <c r="B38" s="3" t="s">
        <v>192</v>
      </c>
      <c r="C38" s="3" t="s">
        <v>193</v>
      </c>
      <c r="D38" s="34" t="n">
        <f aca="false">1</f>
        <v>1</v>
      </c>
      <c r="E38" s="34" t="n">
        <f aca="false">D42</f>
        <v>0.86</v>
      </c>
      <c r="F38" s="34" t="n">
        <f aca="false">E42</f>
        <v>0.729968</v>
      </c>
      <c r="G38" s="34" t="n">
        <f aca="false">F42</f>
        <v>0.610767145472</v>
      </c>
      <c r="H38" s="34" t="n">
        <f aca="false">G42</f>
        <v>0.503052447142045</v>
      </c>
      <c r="I38" s="34" t="n">
        <f aca="false">H42</f>
        <v>0.407236825052762</v>
      </c>
      <c r="J38" s="34" t="n">
        <f aca="false">I42</f>
        <v>0.323465794918794</v>
      </c>
      <c r="K38" s="34" t="n">
        <f aca="false">J42</f>
        <v>0.251603855915771</v>
      </c>
      <c r="L38" s="34" t="n">
        <f aca="false">K42</f>
        <v>0.191235184701598</v>
      </c>
      <c r="M38" s="34" t="n">
        <f aca="false">L42</f>
        <v>0.141680367412974</v>
      </c>
      <c r="N38" s="34" t="n">
        <f aca="false">M42</f>
        <v>0.102029608009</v>
      </c>
      <c r="O38" s="34" t="n">
        <f aca="false">N42</f>
        <v>0.0711912100420393</v>
      </c>
      <c r="P38" s="34" t="n">
        <f aca="false">O42</f>
        <v>0.0479523018206259</v>
      </c>
      <c r="Q38" s="34" t="n">
        <f aca="false">P42</f>
        <v>0.031047014333792</v>
      </c>
      <c r="R38" s="34" t="n">
        <f aca="false">Q42</f>
        <v>0.019225946780567</v>
      </c>
      <c r="S38" s="34" t="n">
        <f aca="false">R42</f>
        <v>0.0113201008179792</v>
      </c>
      <c r="T38" s="34" t="n">
        <f aca="false">S42</f>
        <v>0.00629280243216263</v>
      </c>
      <c r="U38" s="34" t="n">
        <f aca="false">T42</f>
        <v>0.00327457320438345</v>
      </c>
      <c r="V38" s="34" t="n">
        <f aca="false">U42</f>
        <v>0.00157833600746542</v>
      </c>
      <c r="W38" s="34" t="n">
        <f aca="false">V42</f>
        <v>0.00069534740277177</v>
      </c>
      <c r="X38" s="34" t="n">
        <f aca="false">W42</f>
        <v>0.000275219789608011</v>
      </c>
      <c r="Y38" s="34" t="n">
        <f aca="false">X42</f>
        <v>9.56295193777081E-005</v>
      </c>
      <c r="Z38" s="34" t="n">
        <f aca="false">Y42</f>
        <v>2.82358855419397E-005</v>
      </c>
      <c r="AA38" s="34" t="n">
        <f aca="false">Z42</f>
        <v>6.74511094519325E-006</v>
      </c>
      <c r="AB38" s="34" t="n">
        <f aca="false">AA42</f>
        <v>1.20059662716643E-006</v>
      </c>
    </row>
    <row r="39" customFormat="false" ht="15" hidden="false" customHeight="false" outlineLevel="0" collapsed="false">
      <c r="B39" s="3" t="s">
        <v>194</v>
      </c>
      <c r="D39" s="34" t="n">
        <f aca="false">D38*D37</f>
        <v>0.14</v>
      </c>
      <c r="E39" s="34" t="n">
        <f aca="false">E38*E37</f>
        <v>0.130032</v>
      </c>
      <c r="F39" s="34" t="n">
        <f aca="false">F38*F37</f>
        <v>0.119200854528</v>
      </c>
      <c r="G39" s="34" t="n">
        <f aca="false">G38*G37</f>
        <v>0.107714698329955</v>
      </c>
      <c r="H39" s="34" t="n">
        <f aca="false">H38*H37</f>
        <v>0.095815622089283</v>
      </c>
      <c r="I39" s="34" t="n">
        <f aca="false">I38*I37</f>
        <v>0.0837710301339678</v>
      </c>
      <c r="J39" s="34" t="n">
        <f aca="false">J38*J37</f>
        <v>0.0718619390030226</v>
      </c>
      <c r="K39" s="34" t="n">
        <f aca="false">K38*K37</f>
        <v>0.0603686712141737</v>
      </c>
      <c r="L39" s="34" t="n">
        <f aca="false">L38*L37</f>
        <v>0.0495548172886232</v>
      </c>
      <c r="M39" s="34" t="n">
        <f aca="false">M38*M37</f>
        <v>0.0396507594039749</v>
      </c>
      <c r="N39" s="34" t="n">
        <f aca="false">N38*N37</f>
        <v>0.0308383979669602</v>
      </c>
      <c r="O39" s="34" t="n">
        <f aca="false">O38*O37</f>
        <v>0.0232389082214135</v>
      </c>
      <c r="P39" s="34" t="n">
        <f aca="false">P38*P37</f>
        <v>0.0169052874868338</v>
      </c>
      <c r="Q39" s="34" t="n">
        <f aca="false">Q38*Q37</f>
        <v>0.011821067553225</v>
      </c>
      <c r="R39" s="34" t="n">
        <f aca="false">R38*R37</f>
        <v>0.00790584596258779</v>
      </c>
      <c r="S39" s="34" t="n">
        <f aca="false">S38*S37</f>
        <v>0.0050272983858166</v>
      </c>
      <c r="T39" s="34" t="n">
        <f aca="false">T38*T37</f>
        <v>0.00301822922777918</v>
      </c>
      <c r="U39" s="34" t="n">
        <f aca="false">U38*U37</f>
        <v>0.00169623719691802</v>
      </c>
      <c r="V39" s="34" t="n">
        <f aca="false">V38*V37</f>
        <v>0.000882988604693655</v>
      </c>
      <c r="W39" s="34" t="n">
        <f aca="false">W38*W37</f>
        <v>0.000420127613163759</v>
      </c>
      <c r="X39" s="34" t="n">
        <f aca="false">X38*X37</f>
        <v>0.000179590270230302</v>
      </c>
      <c r="Y39" s="34" t="n">
        <f aca="false">Y38*Y37</f>
        <v>6.73936338357683E-005</v>
      </c>
      <c r="Z39" s="34" t="n">
        <f aca="false">Z38*Z37</f>
        <v>2.14907745967465E-005</v>
      </c>
      <c r="AA39" s="34" t="n">
        <f aca="false">AA38*AA37</f>
        <v>5.54451431802683E-006</v>
      </c>
      <c r="AB39" s="34" t="n">
        <f aca="false">AB38*AB37</f>
        <v>1.06584802875365E-006</v>
      </c>
    </row>
    <row r="40" customFormat="false" ht="15" hidden="false" customHeight="false" outlineLevel="0" collapsed="false">
      <c r="B40" s="3" t="s">
        <v>195</v>
      </c>
      <c r="D40" s="38" t="n">
        <f aca="false">D39*Cartera!$D$8</f>
        <v>11.2</v>
      </c>
      <c r="E40" s="38" t="n">
        <f aca="false">E39*Cartera!$D$8</f>
        <v>10.40256</v>
      </c>
      <c r="F40" s="38" t="n">
        <f aca="false">F39*Cartera!$D$8</f>
        <v>9.53606836224</v>
      </c>
      <c r="G40" s="38" t="n">
        <f aca="false">G39*Cartera!$D$8</f>
        <v>8.61717586639643</v>
      </c>
      <c r="H40" s="38" t="n">
        <f aca="false">H39*Cartera!$D$8</f>
        <v>7.66524976714264</v>
      </c>
      <c r="I40" s="38" t="n">
        <f aca="false">I39*Cartera!$D$8</f>
        <v>6.70168241071742</v>
      </c>
      <c r="J40" s="38" t="n">
        <f aca="false">J39*Cartera!$D$8</f>
        <v>5.7489551202418</v>
      </c>
      <c r="K40" s="38" t="n">
        <f aca="false">K39*Cartera!$D$8</f>
        <v>4.82949369713389</v>
      </c>
      <c r="L40" s="38" t="n">
        <f aca="false">L39*Cartera!$D$8</f>
        <v>3.96438538308985</v>
      </c>
      <c r="M40" s="38" t="n">
        <f aca="false">M39*Cartera!$D$8</f>
        <v>3.17206075231799</v>
      </c>
      <c r="N40" s="38" t="n">
        <f aca="false">N39*Cartera!$D$8</f>
        <v>2.46707183735682</v>
      </c>
      <c r="O40" s="38" t="n">
        <f aca="false">O39*Cartera!$D$8</f>
        <v>1.85911265771308</v>
      </c>
      <c r="P40" s="38" t="n">
        <f aca="false">P39*Cartera!$D$8</f>
        <v>1.35242299894671</v>
      </c>
      <c r="Q40" s="38" t="n">
        <f aca="false">Q39*Cartera!$D$8</f>
        <v>0.945685404258002</v>
      </c>
      <c r="R40" s="38" t="n">
        <f aca="false">R39*Cartera!$D$8</f>
        <v>0.632467677007024</v>
      </c>
      <c r="S40" s="38" t="n">
        <f aca="false">S39*Cartera!$D$8</f>
        <v>0.402183870865328</v>
      </c>
      <c r="T40" s="38" t="n">
        <f aca="false">T39*Cartera!$D$8</f>
        <v>0.241458338222334</v>
      </c>
      <c r="U40" s="38" t="n">
        <f aca="false">U39*Cartera!$D$8</f>
        <v>0.135698975753442</v>
      </c>
      <c r="V40" s="38" t="n">
        <f aca="false">V39*Cartera!$D$8</f>
        <v>0.0706390883754924</v>
      </c>
      <c r="W40" s="38" t="n">
        <f aca="false">W39*Cartera!$D$8</f>
        <v>0.0336102090531007</v>
      </c>
      <c r="X40" s="38" t="n">
        <f aca="false">X39*Cartera!$D$8</f>
        <v>0.0143672216184242</v>
      </c>
      <c r="Y40" s="38" t="n">
        <f aca="false">Y39*Cartera!$D$8</f>
        <v>0.00539149070686147</v>
      </c>
      <c r="Z40" s="38" t="n">
        <f aca="false">Z39*Cartera!$D$8</f>
        <v>0.00171926196773972</v>
      </c>
      <c r="AA40" s="38" t="n">
        <f aca="false">AA39*Cartera!$D$8</f>
        <v>0.000443561145442146</v>
      </c>
      <c r="AB40" s="38" t="n">
        <f aca="false">AB39*Cartera!$D$8</f>
        <v>8.52678423002919E-005</v>
      </c>
    </row>
    <row r="41" customFormat="false" ht="15" hidden="false" customHeight="false" outlineLevel="0" collapsed="false">
      <c r="B41" s="3" t="s">
        <v>196</v>
      </c>
      <c r="D41" s="38" t="n">
        <f aca="false">D38*Cartera!$D$8*Cartera!$H$8*(1+$C$8)^(D$3-1)</f>
        <v>5.6</v>
      </c>
      <c r="E41" s="38" t="n">
        <f aca="false">E38*Cartera!$D$8*Cartera!$H$8*(1+$C$8)^(E$3-1)</f>
        <v>4.816</v>
      </c>
      <c r="F41" s="38" t="n">
        <f aca="false">F38*Cartera!$D$8*Cartera!$H$8*(1+$C$8)^(F$3-1)</f>
        <v>4.0878208</v>
      </c>
      <c r="G41" s="38" t="n">
        <f aca="false">G38*Cartera!$D$8*Cartera!$H$8*(1+$C$8)^(G$3-1)</f>
        <v>3.4202960146432</v>
      </c>
      <c r="H41" s="38" t="n">
        <f aca="false">H38*Cartera!$D$8*Cartera!$H$8*(1+$C$8)^(H$3-1)</f>
        <v>2.81709370399545</v>
      </c>
      <c r="I41" s="38" t="n">
        <f aca="false">I38*Cartera!$D$8*Cartera!$H$8*(1+$C$8)^(I$3-1)</f>
        <v>2.28052622029547</v>
      </c>
      <c r="J41" s="38" t="n">
        <f aca="false">J38*Cartera!$D$8*Cartera!$H$8*(1+$C$8)^(J$3-1)</f>
        <v>1.81140845154525</v>
      </c>
      <c r="K41" s="38" t="n">
        <f aca="false">K38*Cartera!$D$8*Cartera!$H$8*(1+$C$8)^(K$3-1)</f>
        <v>1.40898159312832</v>
      </c>
      <c r="L41" s="38" t="n">
        <f aca="false">L38*Cartera!$D$8*Cartera!$H$8*(1+$C$8)^(L$3-1)</f>
        <v>1.07091703432895</v>
      </c>
      <c r="M41" s="38" t="n">
        <f aca="false">M38*Cartera!$D$8*Cartera!$H$8*(1+$C$8)^(M$3-1)</f>
        <v>0.793410057512657</v>
      </c>
      <c r="N41" s="38" t="n">
        <f aca="false">N38*Cartera!$D$8*Cartera!$H$8*(1+$C$8)^(N$3-1)</f>
        <v>0.571365804850398</v>
      </c>
      <c r="O41" s="38" t="n">
        <f aca="false">O38*Cartera!$D$8*Cartera!$H$8*(1+$C$8)^(O$3-1)</f>
        <v>0.39867077623542</v>
      </c>
      <c r="P41" s="38" t="n">
        <f aca="false">P38*Cartera!$D$8*Cartera!$H$8*(1+$C$8)^(P$3-1)</f>
        <v>0.268532890195505</v>
      </c>
      <c r="Q41" s="38" t="n">
        <f aca="false">Q38*Cartera!$D$8*Cartera!$H$8*(1+$C$8)^(Q$3-1)</f>
        <v>0.173863280269235</v>
      </c>
      <c r="R41" s="38" t="n">
        <f aca="false">R38*Cartera!$D$8*Cartera!$H$8*(1+$C$8)^(R$3-1)</f>
        <v>0.107665301971175</v>
      </c>
      <c r="S41" s="38" t="n">
        <f aca="false">S38*Cartera!$D$8*Cartera!$H$8*(1+$C$8)^(S$3-1)</f>
        <v>0.0633925645806837</v>
      </c>
      <c r="T41" s="38" t="n">
        <f aca="false">T38*Cartera!$D$8*Cartera!$H$8*(1+$C$8)^(T$3-1)</f>
        <v>0.0352396936201107</v>
      </c>
      <c r="U41" s="38" t="n">
        <f aca="false">U38*Cartera!$D$8*Cartera!$H$8*(1+$C$8)^(U$3-1)</f>
        <v>0.0183376099445473</v>
      </c>
      <c r="V41" s="38" t="n">
        <f aca="false">V38*Cartera!$D$8*Cartera!$H$8*(1+$C$8)^(V$3-1)</f>
        <v>0.00883868164180638</v>
      </c>
      <c r="W41" s="38" t="n">
        <f aca="false">W38*Cartera!$D$8*Cartera!$H$8*(1+$C$8)^(W$3-1)</f>
        <v>0.00389394545552191</v>
      </c>
      <c r="X41" s="38" t="n">
        <f aca="false">X38*Cartera!$D$8*Cartera!$H$8*(1+$C$8)^(X$3-1)</f>
        <v>0.00154123082180486</v>
      </c>
      <c r="Y41" s="38" t="n">
        <f aca="false">Y38*Cartera!$D$8*Cartera!$H$8*(1+$C$8)^(Y$3-1)</f>
        <v>0.000535525308515165</v>
      </c>
      <c r="Z41" s="38" t="n">
        <f aca="false">Z38*Cartera!$D$8*Cartera!$H$8*(1+$C$8)^(Z$3-1)</f>
        <v>0.000158120959034863</v>
      </c>
      <c r="AA41" s="38" t="n">
        <f aca="false">AA38*Cartera!$D$8*Cartera!$H$8*(1+$C$8)^(AA$3-1)</f>
        <v>3.77726212930822E-005</v>
      </c>
      <c r="AB41" s="38" t="n">
        <f aca="false">AB38*Cartera!$D$8*Cartera!$H$8*(1+$C$8)^(AB$3-1)</f>
        <v>6.72334111213199E-006</v>
      </c>
    </row>
    <row r="42" customFormat="false" ht="15" hidden="false" customHeight="false" outlineLevel="0" collapsed="false">
      <c r="B42" s="3" t="s">
        <v>197</v>
      </c>
      <c r="C42" s="33" t="n">
        <f aca="false">SUM(D42:AB42)+0.5</f>
        <v>4.81402402711743</v>
      </c>
      <c r="D42" s="34" t="n">
        <f aca="false">D38-D39</f>
        <v>0.86</v>
      </c>
      <c r="E42" s="34" t="n">
        <f aca="false">E38-E39</f>
        <v>0.729968</v>
      </c>
      <c r="F42" s="34" t="n">
        <f aca="false">F38-F39</f>
        <v>0.610767145472</v>
      </c>
      <c r="G42" s="34" t="n">
        <f aca="false">G38-G39</f>
        <v>0.503052447142045</v>
      </c>
      <c r="H42" s="34" t="n">
        <f aca="false">H38-H39</f>
        <v>0.407236825052762</v>
      </c>
      <c r="I42" s="34" t="n">
        <f aca="false">I38-I39</f>
        <v>0.323465794918794</v>
      </c>
      <c r="J42" s="34" t="n">
        <f aca="false">J38-J39</f>
        <v>0.251603855915771</v>
      </c>
      <c r="K42" s="34" t="n">
        <f aca="false">K38-K39</f>
        <v>0.191235184701598</v>
      </c>
      <c r="L42" s="34" t="n">
        <f aca="false">L38-L39</f>
        <v>0.141680367412974</v>
      </c>
      <c r="M42" s="34" t="n">
        <f aca="false">M38-M39</f>
        <v>0.102029608009</v>
      </c>
      <c r="N42" s="34" t="n">
        <f aca="false">N38-N39</f>
        <v>0.0711912100420393</v>
      </c>
      <c r="O42" s="34" t="n">
        <f aca="false">O38-O39</f>
        <v>0.0479523018206259</v>
      </c>
      <c r="P42" s="34" t="n">
        <f aca="false">P38-P39</f>
        <v>0.031047014333792</v>
      </c>
      <c r="Q42" s="34" t="n">
        <f aca="false">Q38-Q39</f>
        <v>0.019225946780567</v>
      </c>
      <c r="R42" s="34" t="n">
        <f aca="false">R38-R39</f>
        <v>0.0113201008179792</v>
      </c>
      <c r="S42" s="34" t="n">
        <f aca="false">S38-S39</f>
        <v>0.00629280243216263</v>
      </c>
      <c r="T42" s="34" t="n">
        <f aca="false">T38-T39</f>
        <v>0.00327457320438345</v>
      </c>
      <c r="U42" s="34" t="n">
        <f aca="false">U38-U39</f>
        <v>0.00157833600746542</v>
      </c>
      <c r="V42" s="34" t="n">
        <f aca="false">V38-V39</f>
        <v>0.00069534740277177</v>
      </c>
      <c r="W42" s="34" t="n">
        <f aca="false">W38-W39</f>
        <v>0.000275219789608011</v>
      </c>
      <c r="X42" s="34" t="n">
        <f aca="false">X38-X39</f>
        <v>9.56295193777081E-005</v>
      </c>
      <c r="Y42" s="34" t="n">
        <f aca="false">Y38-Y39</f>
        <v>2.82358855419397E-005</v>
      </c>
      <c r="Z42" s="34" t="n">
        <f aca="false">Z38-Z39</f>
        <v>6.74511094519325E-006</v>
      </c>
      <c r="AA42" s="34" t="n">
        <f aca="false">AA38-AA39</f>
        <v>1.20059662716643E-006</v>
      </c>
      <c r="AB42" s="34" t="n">
        <f aca="false">AB38-AB39</f>
        <v>1.34748598412779E-007</v>
      </c>
    </row>
    <row r="44" customFormat="false" ht="15" hidden="false" customHeight="false" outlineLevel="0" collapsed="false">
      <c r="A44" s="37" t="str">
        <f aca="false">Cartera!A9&amp;" – "&amp;Cartera!B9</f>
        <v>C5 – Edad 70–74, enfermedad crónica</v>
      </c>
    </row>
    <row r="45" customFormat="false" ht="15" hidden="false" customHeight="false" outlineLevel="0" collapsed="false">
      <c r="B45" s="3" t="s">
        <v>191</v>
      </c>
      <c r="D45" s="34" t="n">
        <f aca="false">MIN(1,Cartera!$F$9*(1+Cartera!$G$9)^(D$3-1)*$C$10)</f>
        <v>0.05</v>
      </c>
      <c r="E45" s="34" t="n">
        <f aca="false">MIN(1,Cartera!$F$9*(1+Cartera!$G$9)^(E$3-1)*$C$10)</f>
        <v>0.056</v>
      </c>
      <c r="F45" s="34" t="n">
        <f aca="false">MIN(1,Cartera!$F$9*(1+Cartera!$G$9)^(F$3-1)*$C$10)</f>
        <v>0.06272</v>
      </c>
      <c r="G45" s="34" t="n">
        <f aca="false">MIN(1,Cartera!$F$9*(1+Cartera!$G$9)^(G$3-1)*$C$10)</f>
        <v>0.0702464</v>
      </c>
      <c r="H45" s="34" t="n">
        <f aca="false">MIN(1,Cartera!$F$9*(1+Cartera!$G$9)^(H$3-1)*$C$10)</f>
        <v>0.078675968</v>
      </c>
      <c r="I45" s="34" t="n">
        <f aca="false">MIN(1,Cartera!$F$9*(1+Cartera!$G$9)^(I$3-1)*$C$10)</f>
        <v>0.08811708416</v>
      </c>
      <c r="J45" s="34" t="n">
        <f aca="false">MIN(1,Cartera!$F$9*(1+Cartera!$G$9)^(J$3-1)*$C$10)</f>
        <v>0.0986911342592001</v>
      </c>
      <c r="K45" s="34" t="n">
        <f aca="false">MIN(1,Cartera!$F$9*(1+Cartera!$G$9)^(K$3-1)*$C$10)</f>
        <v>0.110534070370304</v>
      </c>
      <c r="L45" s="34" t="n">
        <f aca="false">MIN(1,Cartera!$F$9*(1+Cartera!$G$9)^(L$3-1)*$C$10)</f>
        <v>0.123798158814741</v>
      </c>
      <c r="M45" s="34" t="n">
        <f aca="false">MIN(1,Cartera!$F$9*(1+Cartera!$G$9)^(M$3-1)*$C$10)</f>
        <v>0.138653937872509</v>
      </c>
      <c r="N45" s="34" t="n">
        <f aca="false">MIN(1,Cartera!$F$9*(1+Cartera!$G$9)^(N$3-1)*$C$10)</f>
        <v>0.155292410417211</v>
      </c>
      <c r="O45" s="34" t="n">
        <f aca="false">MIN(1,Cartera!$F$9*(1+Cartera!$G$9)^(O$3-1)*$C$10)</f>
        <v>0.173927499667276</v>
      </c>
      <c r="P45" s="34" t="n">
        <f aca="false">MIN(1,Cartera!$F$9*(1+Cartera!$G$9)^(P$3-1)*$C$10)</f>
        <v>0.194798799627349</v>
      </c>
      <c r="Q45" s="34" t="n">
        <f aca="false">MIN(1,Cartera!$F$9*(1+Cartera!$G$9)^(Q$3-1)*$C$10)</f>
        <v>0.218174655582631</v>
      </c>
      <c r="R45" s="34" t="n">
        <f aca="false">MIN(1,Cartera!$F$9*(1+Cartera!$G$9)^(R$3-1)*$C$10)</f>
        <v>0.244355614252547</v>
      </c>
      <c r="S45" s="34" t="n">
        <f aca="false">MIN(1,Cartera!$F$9*(1+Cartera!$G$9)^(S$3-1)*$C$10)</f>
        <v>0.273678287962852</v>
      </c>
      <c r="T45" s="34" t="n">
        <f aca="false">MIN(1,Cartera!$F$9*(1+Cartera!$G$9)^(T$3-1)*$C$10)</f>
        <v>0.306519682518395</v>
      </c>
      <c r="U45" s="34" t="n">
        <f aca="false">MIN(1,Cartera!$F$9*(1+Cartera!$G$9)^(U$3-1)*$C$10)</f>
        <v>0.343302044420602</v>
      </c>
      <c r="V45" s="34" t="n">
        <f aca="false">MIN(1,Cartera!$F$9*(1+Cartera!$G$9)^(V$3-1)*$C$10)</f>
        <v>0.384498289751074</v>
      </c>
      <c r="W45" s="34" t="n">
        <f aca="false">MIN(1,Cartera!$F$9*(1+Cartera!$G$9)^(W$3-1)*$C$10)</f>
        <v>0.430638084521203</v>
      </c>
      <c r="X45" s="34" t="n">
        <f aca="false">MIN(1,Cartera!$F$9*(1+Cartera!$G$9)^(X$3-1)*$C$10)</f>
        <v>0.482314654663748</v>
      </c>
      <c r="Y45" s="34" t="n">
        <f aca="false">MIN(1,Cartera!$F$9*(1+Cartera!$G$9)^(Y$3-1)*$C$10)</f>
        <v>0.540192413223397</v>
      </c>
      <c r="Z45" s="34" t="n">
        <f aca="false">MIN(1,Cartera!$F$9*(1+Cartera!$G$9)^(Z$3-1)*$C$10)</f>
        <v>0.605015502810205</v>
      </c>
      <c r="AA45" s="34" t="n">
        <f aca="false">MIN(1,Cartera!$F$9*(1+Cartera!$G$9)^(AA$3-1)*$C$10)</f>
        <v>0.67761736314743</v>
      </c>
      <c r="AB45" s="34" t="n">
        <f aca="false">MIN(1,Cartera!$F$9*(1+Cartera!$G$9)^(AB$3-1)*$C$10)</f>
        <v>0.758931446725122</v>
      </c>
    </row>
    <row r="46" customFormat="false" ht="15" hidden="false" customHeight="false" outlineLevel="0" collapsed="false">
      <c r="B46" s="3" t="s">
        <v>192</v>
      </c>
      <c r="C46" s="3" t="s">
        <v>193</v>
      </c>
      <c r="D46" s="34" t="n">
        <f aca="false">1</f>
        <v>1</v>
      </c>
      <c r="E46" s="34" t="n">
        <f aca="false">D50</f>
        <v>0.95</v>
      </c>
      <c r="F46" s="34" t="n">
        <f aca="false">E50</f>
        <v>0.8968</v>
      </c>
      <c r="G46" s="34" t="n">
        <f aca="false">F50</f>
        <v>0.840552704</v>
      </c>
      <c r="H46" s="34" t="n">
        <f aca="false">G50</f>
        <v>0.781506902533734</v>
      </c>
      <c r="I46" s="34" t="n">
        <f aca="false">H50</f>
        <v>0.720021090478211</v>
      </c>
      <c r="J46" s="34" t="n">
        <f aca="false">I50</f>
        <v>0.656574931451568</v>
      </c>
      <c r="K46" s="34" t="n">
        <f aca="false">J50</f>
        <v>0.591776806740456</v>
      </c>
      <c r="L46" s="34" t="n">
        <f aca="false">K50</f>
        <v>0.526365307540692</v>
      </c>
      <c r="M46" s="34" t="n">
        <f aca="false">L50</f>
        <v>0.4612022516032</v>
      </c>
      <c r="N46" s="34" t="n">
        <f aca="false">M50</f>
        <v>0.397254743262748</v>
      </c>
      <c r="O46" s="34" t="n">
        <f aca="false">N50</f>
        <v>0.335564096631806</v>
      </c>
      <c r="P46" s="34" t="n">
        <f aca="false">O50</f>
        <v>0.277200272326528</v>
      </c>
      <c r="Q46" s="34" t="n">
        <f aca="false">P50</f>
        <v>0.223201992020946</v>
      </c>
      <c r="R46" s="34" t="n">
        <f aca="false">Q50</f>
        <v>0.174504974286419</v>
      </c>
      <c r="S46" s="34" t="n">
        <f aca="false">R50</f>
        <v>0.131863704104536</v>
      </c>
      <c r="T46" s="34" t="n">
        <f aca="false">S50</f>
        <v>0.0957754713207666</v>
      </c>
      <c r="U46" s="34" t="n">
        <f aca="false">T50</f>
        <v>0.0664184042584756</v>
      </c>
      <c r="V46" s="34" t="n">
        <f aca="false">U50</f>
        <v>0.0436168302893869</v>
      </c>
      <c r="W46" s="34" t="n">
        <f aca="false">V50</f>
        <v>0.0268462336387548</v>
      </c>
      <c r="X46" s="34" t="n">
        <f aca="false">W50</f>
        <v>0.0152852230079527</v>
      </c>
      <c r="Y46" s="34" t="n">
        <f aca="false">X50</f>
        <v>0.00791293595141364</v>
      </c>
      <c r="Z46" s="34" t="n">
        <f aca="false">Y50</f>
        <v>0.00363842798413733</v>
      </c>
      <c r="AA46" s="34" t="n">
        <f aca="false">Z50</f>
        <v>0.00143712264787576</v>
      </c>
      <c r="AB46" s="34" t="n">
        <f aca="false">AA50</f>
        <v>0.000463303388702735</v>
      </c>
    </row>
    <row r="47" customFormat="false" ht="15" hidden="false" customHeight="false" outlineLevel="0" collapsed="false">
      <c r="B47" s="3" t="s">
        <v>194</v>
      </c>
      <c r="D47" s="34" t="n">
        <f aca="false">D46*D45</f>
        <v>0.05</v>
      </c>
      <c r="E47" s="34" t="n">
        <f aca="false">E46*E45</f>
        <v>0.0532</v>
      </c>
      <c r="F47" s="34" t="n">
        <f aca="false">F46*F45</f>
        <v>0.056247296</v>
      </c>
      <c r="G47" s="34" t="n">
        <f aca="false">G46*G45</f>
        <v>0.0590458014662656</v>
      </c>
      <c r="H47" s="34" t="n">
        <f aca="false">H46*H45</f>
        <v>0.0614858120555232</v>
      </c>
      <c r="I47" s="34" t="n">
        <f aca="false">I46*I45</f>
        <v>0.0634461590266435</v>
      </c>
      <c r="J47" s="34" t="n">
        <f aca="false">J46*J45</f>
        <v>0.0647981247111117</v>
      </c>
      <c r="K47" s="34" t="n">
        <f aca="false">K46*K45</f>
        <v>0.0654114991997634</v>
      </c>
      <c r="L47" s="34" t="n">
        <f aca="false">L46*L45</f>
        <v>0.0651630559374924</v>
      </c>
      <c r="M47" s="34" t="n">
        <f aca="false">M46*M45</f>
        <v>0.0639475083404516</v>
      </c>
      <c r="N47" s="34" t="n">
        <f aca="false">N46*N45</f>
        <v>0.0616906466309424</v>
      </c>
      <c r="O47" s="34" t="n">
        <f aca="false">O46*O45</f>
        <v>0.0583638243052782</v>
      </c>
      <c r="P47" s="34" t="n">
        <f aca="false">P46*P45</f>
        <v>0.0539982803055819</v>
      </c>
      <c r="Q47" s="34" t="n">
        <f aca="false">Q46*Q45</f>
        <v>0.048697017734527</v>
      </c>
      <c r="R47" s="34" t="n">
        <f aca="false">R46*R45</f>
        <v>0.0426412701818828</v>
      </c>
      <c r="S47" s="34" t="n">
        <f aca="false">S46*S45</f>
        <v>0.0360882327837696</v>
      </c>
      <c r="T47" s="34" t="n">
        <f aca="false">T46*T45</f>
        <v>0.029357067062291</v>
      </c>
      <c r="U47" s="34" t="n">
        <f aca="false">U46*U45</f>
        <v>0.0228015739690887</v>
      </c>
      <c r="V47" s="34" t="n">
        <f aca="false">V46*V45</f>
        <v>0.0167705966506321</v>
      </c>
      <c r="W47" s="34" t="n">
        <f aca="false">W46*W45</f>
        <v>0.0115610106308021</v>
      </c>
      <c r="X47" s="34" t="n">
        <f aca="false">X46*X45</f>
        <v>0.00737228705653909</v>
      </c>
      <c r="Y47" s="34" t="n">
        <f aca="false">Y46*Y45</f>
        <v>0.00427450796727632</v>
      </c>
      <c r="Z47" s="34" t="n">
        <f aca="false">Z46*Z45</f>
        <v>0.00220130533626157</v>
      </c>
      <c r="AA47" s="34" t="n">
        <f aca="false">AA46*AA45</f>
        <v>0.000973819259173025</v>
      </c>
      <c r="AB47" s="34" t="n">
        <f aca="false">AB46*AB45</f>
        <v>0.000351615511060818</v>
      </c>
    </row>
    <row r="48" customFormat="false" ht="15" hidden="false" customHeight="false" outlineLevel="0" collapsed="false">
      <c r="B48" s="3" t="s">
        <v>195</v>
      </c>
      <c r="D48" s="38" t="n">
        <f aca="false">D47*Cartera!$D$9</f>
        <v>3</v>
      </c>
      <c r="E48" s="38" t="n">
        <f aca="false">E47*Cartera!$D$9</f>
        <v>3.192</v>
      </c>
      <c r="F48" s="38" t="n">
        <f aca="false">F47*Cartera!$D$9</f>
        <v>3.37483776</v>
      </c>
      <c r="G48" s="38" t="n">
        <f aca="false">G47*Cartera!$D$9</f>
        <v>3.54274808797594</v>
      </c>
      <c r="H48" s="38" t="n">
        <f aca="false">H47*Cartera!$D$9</f>
        <v>3.68914872333139</v>
      </c>
      <c r="I48" s="38" t="n">
        <f aca="false">I47*Cartera!$D$9</f>
        <v>3.80676954159861</v>
      </c>
      <c r="J48" s="38" t="n">
        <f aca="false">J47*Cartera!$D$9</f>
        <v>3.8878874826667</v>
      </c>
      <c r="K48" s="38" t="n">
        <f aca="false">K47*Cartera!$D$9</f>
        <v>3.9246899519858</v>
      </c>
      <c r="L48" s="38" t="n">
        <f aca="false">L47*Cartera!$D$9</f>
        <v>3.90978335624954</v>
      </c>
      <c r="M48" s="38" t="n">
        <f aca="false">M47*Cartera!$D$9</f>
        <v>3.83685050042709</v>
      </c>
      <c r="N48" s="38" t="n">
        <f aca="false">N47*Cartera!$D$9</f>
        <v>3.70143879785654</v>
      </c>
      <c r="O48" s="38" t="n">
        <f aca="false">O47*Cartera!$D$9</f>
        <v>3.50182945831669</v>
      </c>
      <c r="P48" s="38" t="n">
        <f aca="false">P47*Cartera!$D$9</f>
        <v>3.23989681833491</v>
      </c>
      <c r="Q48" s="38" t="n">
        <f aca="false">Q47*Cartera!$D$9</f>
        <v>2.92182106407162</v>
      </c>
      <c r="R48" s="38" t="n">
        <f aca="false">R47*Cartera!$D$9</f>
        <v>2.55847621091297</v>
      </c>
      <c r="S48" s="38" t="n">
        <f aca="false">S47*Cartera!$D$9</f>
        <v>2.16529396702618</v>
      </c>
      <c r="T48" s="38" t="n">
        <f aca="false">T47*Cartera!$D$9</f>
        <v>1.76142402373746</v>
      </c>
      <c r="U48" s="38" t="n">
        <f aca="false">U47*Cartera!$D$9</f>
        <v>1.36809443814532</v>
      </c>
      <c r="V48" s="38" t="n">
        <f aca="false">V47*Cartera!$D$9</f>
        <v>1.00623579903793</v>
      </c>
      <c r="W48" s="38" t="n">
        <f aca="false">W47*Cartera!$D$9</f>
        <v>0.693660637848123</v>
      </c>
      <c r="X48" s="38" t="n">
        <f aca="false">X47*Cartera!$D$9</f>
        <v>0.442337223392346</v>
      </c>
      <c r="Y48" s="38" t="n">
        <f aca="false">Y47*Cartera!$D$9</f>
        <v>0.256470478036579</v>
      </c>
      <c r="Z48" s="38" t="n">
        <f aca="false">Z47*Cartera!$D$9</f>
        <v>0.132078320175694</v>
      </c>
      <c r="AA48" s="38" t="n">
        <f aca="false">AA47*Cartera!$D$9</f>
        <v>0.0584291555503815</v>
      </c>
      <c r="AB48" s="38" t="n">
        <f aca="false">AB47*Cartera!$D$9</f>
        <v>0.0210969306636491</v>
      </c>
    </row>
    <row r="49" customFormat="false" ht="15" hidden="false" customHeight="false" outlineLevel="0" collapsed="false">
      <c r="B49" s="3" t="s">
        <v>196</v>
      </c>
      <c r="D49" s="38" t="n">
        <f aca="false">D46*Cartera!$D$9*Cartera!$H$9*(1+$C$8)^(D$3-1)</f>
        <v>2.1</v>
      </c>
      <c r="E49" s="38" t="n">
        <f aca="false">E46*Cartera!$D$9*Cartera!$H$9*(1+$C$8)^(E$3-1)</f>
        <v>1.995</v>
      </c>
      <c r="F49" s="38" t="n">
        <f aca="false">F46*Cartera!$D$9*Cartera!$H$9*(1+$C$8)^(F$3-1)</f>
        <v>1.88328</v>
      </c>
      <c r="G49" s="38" t="n">
        <f aca="false">G46*Cartera!$D$9*Cartera!$H$9*(1+$C$8)^(G$3-1)</f>
        <v>1.7651606784</v>
      </c>
      <c r="H49" s="38" t="n">
        <f aca="false">H46*Cartera!$D$9*Cartera!$H$9*(1+$C$8)^(H$3-1)</f>
        <v>1.64116449532084</v>
      </c>
      <c r="I49" s="38" t="n">
        <f aca="false">I46*Cartera!$D$9*Cartera!$H$9*(1+$C$8)^(I$3-1)</f>
        <v>1.51204429000424</v>
      </c>
      <c r="J49" s="38" t="n">
        <f aca="false">J46*Cartera!$D$9*Cartera!$H$9*(1+$C$8)^(J$3-1)</f>
        <v>1.37880735604829</v>
      </c>
      <c r="K49" s="38" t="n">
        <f aca="false">K46*Cartera!$D$9*Cartera!$H$9*(1+$C$8)^(K$3-1)</f>
        <v>1.24273129415496</v>
      </c>
      <c r="L49" s="38" t="n">
        <f aca="false">L46*Cartera!$D$9*Cartera!$H$9*(1+$C$8)^(L$3-1)</f>
        <v>1.10536714583545</v>
      </c>
      <c r="M49" s="38" t="n">
        <f aca="false">M46*Cartera!$D$9*Cartera!$H$9*(1+$C$8)^(M$3-1)</f>
        <v>0.96852472836672</v>
      </c>
      <c r="N49" s="38" t="n">
        <f aca="false">N46*Cartera!$D$9*Cartera!$H$9*(1+$C$8)^(N$3-1)</f>
        <v>0.834234960851772</v>
      </c>
      <c r="O49" s="38" t="n">
        <f aca="false">O46*Cartera!$D$9*Cartera!$H$9*(1+$C$8)^(O$3-1)</f>
        <v>0.704684602926793</v>
      </c>
      <c r="P49" s="38" t="n">
        <f aca="false">P46*Cartera!$D$9*Cartera!$H$9*(1+$C$8)^(P$3-1)</f>
        <v>0.582120571885709</v>
      </c>
      <c r="Q49" s="38" t="n">
        <f aca="false">Q46*Cartera!$D$9*Cartera!$H$9*(1+$C$8)^(Q$3-1)</f>
        <v>0.468724183243987</v>
      </c>
      <c r="R49" s="38" t="n">
        <f aca="false">R46*Cartera!$D$9*Cartera!$H$9*(1+$C$8)^(R$3-1)</f>
        <v>0.36646044600148</v>
      </c>
      <c r="S49" s="38" t="n">
        <f aca="false">S46*Cartera!$D$9*Cartera!$H$9*(1+$C$8)^(S$3-1)</f>
        <v>0.276913778619526</v>
      </c>
      <c r="T49" s="38" t="n">
        <f aca="false">T46*Cartera!$D$9*Cartera!$H$9*(1+$C$8)^(T$3-1)</f>
        <v>0.20112848977361</v>
      </c>
      <c r="U49" s="38" t="n">
        <f aca="false">U46*Cartera!$D$9*Cartera!$H$9*(1+$C$8)^(U$3-1)</f>
        <v>0.139478648942799</v>
      </c>
      <c r="V49" s="38" t="n">
        <f aca="false">V46*Cartera!$D$9*Cartera!$H$9*(1+$C$8)^(V$3-1)</f>
        <v>0.0915953436077125</v>
      </c>
      <c r="W49" s="38" t="n">
        <f aca="false">W46*Cartera!$D$9*Cartera!$H$9*(1+$C$8)^(W$3-1)</f>
        <v>0.0563770906413851</v>
      </c>
      <c r="X49" s="38" t="n">
        <f aca="false">X46*Cartera!$D$9*Cartera!$H$9*(1+$C$8)^(X$3-1)</f>
        <v>0.0320989683167008</v>
      </c>
      <c r="Y49" s="38" t="n">
        <f aca="false">Y46*Cartera!$D$9*Cartera!$H$9*(1+$C$8)^(Y$3-1)</f>
        <v>0.0166171654979687</v>
      </c>
      <c r="Z49" s="38" t="n">
        <f aca="false">Z46*Cartera!$D$9*Cartera!$H$9*(1+$C$8)^(Z$3-1)</f>
        <v>0.00764069876668839</v>
      </c>
      <c r="AA49" s="38" t="n">
        <f aca="false">AA46*Cartera!$D$9*Cartera!$H$9*(1+$C$8)^(AA$3-1)</f>
        <v>0.0030179575605391</v>
      </c>
      <c r="AB49" s="38" t="n">
        <f aca="false">AB46*Cartera!$D$9*Cartera!$H$9*(1+$C$8)^(AB$3-1)</f>
        <v>0.000972937116275745</v>
      </c>
    </row>
    <row r="50" customFormat="false" ht="15" hidden="false" customHeight="false" outlineLevel="0" collapsed="false">
      <c r="B50" s="3" t="s">
        <v>197</v>
      </c>
      <c r="C50" s="33" t="n">
        <f aca="false">SUM(D50:AB50)+0.5</f>
        <v>8.72589541734595</v>
      </c>
      <c r="D50" s="34" t="n">
        <f aca="false">D46-D47</f>
        <v>0.95</v>
      </c>
      <c r="E50" s="34" t="n">
        <f aca="false">E46-E47</f>
        <v>0.8968</v>
      </c>
      <c r="F50" s="34" t="n">
        <f aca="false">F46-F47</f>
        <v>0.840552704</v>
      </c>
      <c r="G50" s="34" t="n">
        <f aca="false">G46-G47</f>
        <v>0.781506902533734</v>
      </c>
      <c r="H50" s="34" t="n">
        <f aca="false">H46-H47</f>
        <v>0.720021090478211</v>
      </c>
      <c r="I50" s="34" t="n">
        <f aca="false">I46-I47</f>
        <v>0.656574931451568</v>
      </c>
      <c r="J50" s="34" t="n">
        <f aca="false">J46-J47</f>
        <v>0.591776806740456</v>
      </c>
      <c r="K50" s="34" t="n">
        <f aca="false">K46-K47</f>
        <v>0.526365307540692</v>
      </c>
      <c r="L50" s="34" t="n">
        <f aca="false">L46-L47</f>
        <v>0.4612022516032</v>
      </c>
      <c r="M50" s="34" t="n">
        <f aca="false">M46-M47</f>
        <v>0.397254743262748</v>
      </c>
      <c r="N50" s="34" t="n">
        <f aca="false">N46-N47</f>
        <v>0.335564096631806</v>
      </c>
      <c r="O50" s="34" t="n">
        <f aca="false">O46-O47</f>
        <v>0.277200272326528</v>
      </c>
      <c r="P50" s="34" t="n">
        <f aca="false">P46-P47</f>
        <v>0.223201992020946</v>
      </c>
      <c r="Q50" s="34" t="n">
        <f aca="false">Q46-Q47</f>
        <v>0.174504974286419</v>
      </c>
      <c r="R50" s="34" t="n">
        <f aca="false">R46-R47</f>
        <v>0.131863704104536</v>
      </c>
      <c r="S50" s="34" t="n">
        <f aca="false">S46-S47</f>
        <v>0.0957754713207666</v>
      </c>
      <c r="T50" s="34" t="n">
        <f aca="false">T46-T47</f>
        <v>0.0664184042584756</v>
      </c>
      <c r="U50" s="34" t="n">
        <f aca="false">U46-U47</f>
        <v>0.0436168302893869</v>
      </c>
      <c r="V50" s="34" t="n">
        <f aca="false">V46-V47</f>
        <v>0.0268462336387548</v>
      </c>
      <c r="W50" s="34" t="n">
        <f aca="false">W46-W47</f>
        <v>0.0152852230079527</v>
      </c>
      <c r="X50" s="34" t="n">
        <f aca="false">X46-X47</f>
        <v>0.00791293595141364</v>
      </c>
      <c r="Y50" s="34" t="n">
        <f aca="false">Y46-Y47</f>
        <v>0.00363842798413733</v>
      </c>
      <c r="Z50" s="34" t="n">
        <f aca="false">Z46-Z47</f>
        <v>0.00143712264787576</v>
      </c>
      <c r="AA50" s="34" t="n">
        <f aca="false">AA46-AA47</f>
        <v>0.000463303388702735</v>
      </c>
      <c r="AB50" s="34" t="n">
        <f aca="false">AB46-AB47</f>
        <v>0.000111687877641917</v>
      </c>
    </row>
    <row r="52" customFormat="false" ht="15" hidden="false" customHeight="false" outlineLevel="0" collapsed="false">
      <c r="A52" s="2" t="s">
        <v>198</v>
      </c>
    </row>
    <row r="53" customFormat="false" ht="15" hidden="false" customHeight="false" outlineLevel="0" collapsed="false">
      <c r="B53" s="3" t="s">
        <v>199</v>
      </c>
      <c r="D53" s="38" t="n">
        <f aca="false">D14*Cartera!$D$5+D22*Cartera!$D$6+D30*Cartera!$D$7+D38*Cartera!$D$8+D46*Cartera!$D$9</f>
        <v>450</v>
      </c>
      <c r="E53" s="38" t="n">
        <f aca="false">E14*Cartera!$D$5+E22*Cartera!$D$6+E30*Cartera!$D$7+E38*Cartera!$D$8+E46*Cartera!$D$9</f>
        <v>414.45</v>
      </c>
      <c r="F53" s="38" t="n">
        <f aca="false">F14*Cartera!$D$5+F22*Cartera!$D$6+F30*Cartera!$D$7+F38*Cartera!$D$8+F46*Cartera!$D$9</f>
        <v>379.1686625</v>
      </c>
      <c r="G53" s="38" t="n">
        <f aca="false">G14*Cartera!$D$5+G22*Cartera!$D$6+G30*Cartera!$D$7+G38*Cartera!$D$8+G46*Cartera!$D$9</f>
        <v>344.379801337384</v>
      </c>
      <c r="H53" s="38" t="n">
        <f aca="false">H14*Cartera!$D$5+H22*Cartera!$D$6+H30*Cartera!$D$7+H38*Cartera!$D$8+H46*Cartera!$D$9</f>
        <v>310.314482337335</v>
      </c>
      <c r="I53" s="38" t="n">
        <f aca="false">I14*Cartera!$D$5+I22*Cartera!$D$6+I30*Cartera!$D$7+I38*Cartera!$D$8+I46*Cartera!$D$9</f>
        <v>277.20715867372</v>
      </c>
      <c r="J53" s="38" t="n">
        <f aca="false">J14*Cartera!$D$5+J22*Cartera!$D$6+J30*Cartera!$D$7+J38*Cartera!$D$8+J46*Cartera!$D$9</f>
        <v>245.291305996139</v>
      </c>
      <c r="K53" s="38" t="n">
        <f aca="false">K14*Cartera!$D$5+K22*Cartera!$D$6+K30*Cartera!$D$7+K38*Cartera!$D$8+K46*Cartera!$D$9</f>
        <v>214.794612047786</v>
      </c>
      <c r="L53" s="38" t="n">
        <f aca="false">L14*Cartera!$D$5+L22*Cartera!$D$6+L30*Cartera!$D$7+L38*Cartera!$D$8+L46*Cartera!$D$9</f>
        <v>185.933778386399</v>
      </c>
      <c r="M53" s="38" t="n">
        <f aca="false">M14*Cartera!$D$5+M22*Cartera!$D$6+M30*Cartera!$D$7+M38*Cartera!$D$8+M46*Cartera!$D$9</f>
        <v>158.908990549864</v>
      </c>
      <c r="N53" s="38" t="n">
        <f aca="false">N14*Cartera!$D$5+N22*Cartera!$D$6+N30*Cartera!$D$7+N38*Cartera!$D$8+N46*Cartera!$D$9</f>
        <v>133.898113306975</v>
      </c>
      <c r="O53" s="38" t="n">
        <f aca="false">O14*Cartera!$D$5+O22*Cartera!$D$6+O30*Cartera!$D$7+O38*Cartera!$D$8+O46*Cartera!$D$9</f>
        <v>111.050679562904</v>
      </c>
      <c r="P53" s="38" t="n">
        <f aca="false">P14*Cartera!$D$5+P22*Cartera!$D$6+P30*Cartera!$D$7+P38*Cartera!$D$8+P46*Cartera!$D$9</f>
        <v>90.4817789255893</v>
      </c>
      <c r="Q53" s="38" t="n">
        <f aca="false">Q14*Cartera!$D$5+Q22*Cartera!$D$6+Q30*Cartera!$D$7+Q38*Cartera!$D$8+Q46*Cartera!$D$9</f>
        <v>72.2660300911183</v>
      </c>
      <c r="R53" s="38" t="n">
        <f aca="false">R14*Cartera!$D$5+R22*Cartera!$D$6+R30*Cartera!$D$7+R38*Cartera!$D$8+R46*Cartera!$D$9</f>
        <v>56.4319514239702</v>
      </c>
      <c r="S53" s="38" t="n">
        <f aca="false">S14*Cartera!$D$5+S22*Cartera!$D$6+S30*Cartera!$D$7+S38*Cartera!$D$8+S46*Cartera!$D$9</f>
        <v>42.9572258092359</v>
      </c>
      <c r="T53" s="38" t="n">
        <f aca="false">T14*Cartera!$D$5+T22*Cartera!$D$6+T30*Cartera!$D$7+T38*Cartera!$D$8+T46*Cartera!$D$9</f>
        <v>31.7655665651436</v>
      </c>
      <c r="U53" s="38" t="n">
        <f aca="false">U14*Cartera!$D$5+U22*Cartera!$D$6+U30*Cartera!$D$7+U38*Cartera!$D$8+U46*Cartera!$D$9</f>
        <v>22.7260776884159</v>
      </c>
      <c r="V53" s="38" t="n">
        <f aca="false">V14*Cartera!$D$5+V22*Cartera!$D$6+V30*Cartera!$D$7+V38*Cartera!$D$8+V46*Cartera!$D$9</f>
        <v>15.6560775723265</v>
      </c>
      <c r="W53" s="38" t="n">
        <f aca="false">W14*Cartera!$D$5+W22*Cartera!$D$6+W30*Cartera!$D$7+W38*Cartera!$D$8+W46*Cartera!$D$9</f>
        <v>10.3282124809913</v>
      </c>
      <c r="X53" s="38" t="n">
        <f aca="false">X14*Cartera!$D$5+X22*Cartera!$D$6+X30*Cartera!$D$7+X38*Cartera!$D$8+X46*Cartera!$D$9</f>
        <v>6.48222679323302</v>
      </c>
      <c r="Y53" s="38" t="n">
        <f aca="false">Y14*Cartera!$D$5+Y22*Cartera!$D$6+Y30*Cartera!$D$7+Y38*Cartera!$D$8+Y46*Cartera!$D$9</f>
        <v>3.84094818590375</v>
      </c>
      <c r="Z53" s="38" t="n">
        <f aca="false">Z14*Cartera!$D$5+Z22*Cartera!$D$6+Z30*Cartera!$D$7+Z38*Cartera!$D$8+Z46*Cartera!$D$9</f>
        <v>2.12898326692511</v>
      </c>
      <c r="AA53" s="38" t="n">
        <f aca="false">AA14*Cartera!$D$5+AA22*Cartera!$D$6+AA30*Cartera!$D$7+AA38*Cartera!$D$8+AA46*Cartera!$D$9</f>
        <v>1.09157096566669</v>
      </c>
      <c r="AB53" s="38" t="n">
        <f aca="false">AB14*Cartera!$D$5+AB22*Cartera!$D$6+AB30*Cartera!$D$7+AB38*Cartera!$D$8+AB46*Cartera!$D$9</f>
        <v>0.510422771220563</v>
      </c>
    </row>
    <row r="54" customFormat="false" ht="15" hidden="false" customHeight="false" outlineLevel="0" collapsed="false">
      <c r="B54" s="3" t="s">
        <v>200</v>
      </c>
      <c r="D54" s="38" t="n">
        <f aca="false">D16+D24+D32+D40+D48</f>
        <v>35.55</v>
      </c>
      <c r="E54" s="38" t="n">
        <f aca="false">E16+E24+E32+E40+E48</f>
        <v>35.2813375</v>
      </c>
      <c r="F54" s="38" t="n">
        <f aca="false">F16+F24+F32+F40+F48</f>
        <v>34.7888611626163</v>
      </c>
      <c r="G54" s="38" t="n">
        <f aca="false">G16+G24+G32+G40+G48</f>
        <v>34.0653190000487</v>
      </c>
      <c r="H54" s="38" t="n">
        <f aca="false">H16+H24+H32+H40+H48</f>
        <v>33.1073236636154</v>
      </c>
      <c r="I54" s="38" t="n">
        <f aca="false">I16+I24+I32+I40+I48</f>
        <v>31.915852677581</v>
      </c>
      <c r="J54" s="38" t="n">
        <f aca="false">J16+J24+J32+J40+J48</f>
        <v>30.496693948353</v>
      </c>
      <c r="K54" s="38" t="n">
        <f aca="false">K16+K24+K32+K40+K48</f>
        <v>28.8608336613867</v>
      </c>
      <c r="L54" s="38" t="n">
        <f aca="false">L16+L24+L32+L40+L48</f>
        <v>27.0247878365353</v>
      </c>
      <c r="M54" s="38" t="n">
        <f aca="false">M16+M24+M32+M40+M48</f>
        <v>25.0108772428886</v>
      </c>
      <c r="N54" s="38" t="n">
        <f aca="false">N16+N24+N32+N40+N48</f>
        <v>22.8474337440711</v>
      </c>
      <c r="O54" s="38" t="n">
        <f aca="false">O16+O24+O32+O40+O48</f>
        <v>20.5689006373146</v>
      </c>
      <c r="P54" s="38" t="n">
        <f aca="false">P16+P24+P32+P40+P48</f>
        <v>18.215748834471</v>
      </c>
      <c r="Q54" s="38" t="n">
        <f aca="false">Q16+Q24+Q32+Q40+Q48</f>
        <v>15.8340786671482</v>
      </c>
      <c r="R54" s="38" t="n">
        <f aca="false">R16+R24+R32+R40+R48</f>
        <v>13.4747256147343</v>
      </c>
      <c r="S54" s="38" t="n">
        <f aca="false">S16+S24+S32+S40+S48</f>
        <v>11.1916592440923</v>
      </c>
      <c r="T54" s="38" t="n">
        <f aca="false">T16+T24+T32+T40+T48</f>
        <v>9.03948887672769</v>
      </c>
      <c r="U54" s="38" t="n">
        <f aca="false">U16+U24+U32+U40+U48</f>
        <v>7.07000011608944</v>
      </c>
      <c r="V54" s="38" t="n">
        <f aca="false">V16+V24+V32+V40+V48</f>
        <v>5.32786509133523</v>
      </c>
      <c r="W54" s="38" t="n">
        <f aca="false">W16+W24+W32+W40+W48</f>
        <v>3.84598568775826</v>
      </c>
      <c r="X54" s="38" t="n">
        <f aca="false">X16+X24+X32+X40+X48</f>
        <v>2.64127860732927</v>
      </c>
      <c r="Y54" s="38" t="n">
        <f aca="false">Y16+Y24+Y32+Y40+Y48</f>
        <v>1.71196491897864</v>
      </c>
      <c r="Z54" s="38" t="n">
        <f aca="false">Z16+Z24+Z32+Z40+Z48</f>
        <v>1.03741230125842</v>
      </c>
      <c r="AA54" s="38" t="n">
        <f aca="false">AA16+AA24+AA32+AA40+AA48</f>
        <v>0.581148194446126</v>
      </c>
      <c r="AB54" s="38" t="n">
        <f aca="false">AB16+AB24+AB32+AB40+AB48</f>
        <v>0.296807026422435</v>
      </c>
    </row>
    <row r="55" customFormat="false" ht="15" hidden="false" customHeight="false" outlineLevel="0" collapsed="false">
      <c r="B55" s="3" t="s">
        <v>201</v>
      </c>
      <c r="D55" s="38" t="n">
        <f aca="false">-D54*$C$7</f>
        <v>-0.17775</v>
      </c>
      <c r="E55" s="38" t="n">
        <f aca="false">-E54*$C$7</f>
        <v>-0.1764066875</v>
      </c>
      <c r="F55" s="38" t="n">
        <f aca="false">-F54*$C$7</f>
        <v>-0.173944305813081</v>
      </c>
      <c r="G55" s="38" t="n">
        <f aca="false">-G54*$C$7</f>
        <v>-0.170326595000244</v>
      </c>
      <c r="H55" s="38" t="n">
        <f aca="false">-H54*$C$7</f>
        <v>-0.165536618318077</v>
      </c>
      <c r="I55" s="38" t="n">
        <f aca="false">-I54*$C$7</f>
        <v>-0.159579263387905</v>
      </c>
      <c r="J55" s="38" t="n">
        <f aca="false">-J54*$C$7</f>
        <v>-0.152483469741765</v>
      </c>
      <c r="K55" s="38" t="n">
        <f aca="false">-K54*$C$7</f>
        <v>-0.144304168306933</v>
      </c>
      <c r="L55" s="38" t="n">
        <f aca="false">-L54*$C$7</f>
        <v>-0.135123939182677</v>
      </c>
      <c r="M55" s="38" t="n">
        <f aca="false">-M54*$C$7</f>
        <v>-0.125054386214443</v>
      </c>
      <c r="N55" s="38" t="n">
        <f aca="false">-N54*$C$7</f>
        <v>-0.114237168720355</v>
      </c>
      <c r="O55" s="38" t="n">
        <f aca="false">-O54*$C$7</f>
        <v>-0.102844503186573</v>
      </c>
      <c r="P55" s="38" t="n">
        <f aca="false">-P54*$C$7</f>
        <v>-0.0910787441723549</v>
      </c>
      <c r="Q55" s="38" t="n">
        <f aca="false">-Q54*$C$7</f>
        <v>-0.0791703933357409</v>
      </c>
      <c r="R55" s="38" t="n">
        <f aca="false">-R54*$C$7</f>
        <v>-0.0673736280736713</v>
      </c>
      <c r="S55" s="38" t="n">
        <f aca="false">-S54*$C$7</f>
        <v>-0.0559582962204613</v>
      </c>
      <c r="T55" s="38" t="n">
        <f aca="false">-T54*$C$7</f>
        <v>-0.0451974443836385</v>
      </c>
      <c r="U55" s="38" t="n">
        <f aca="false">-U54*$C$7</f>
        <v>-0.0353500005804472</v>
      </c>
      <c r="V55" s="38" t="n">
        <f aca="false">-V54*$C$7</f>
        <v>-0.0266393254566761</v>
      </c>
      <c r="W55" s="38" t="n">
        <f aca="false">-W54*$C$7</f>
        <v>-0.0192299284387913</v>
      </c>
      <c r="X55" s="38" t="n">
        <f aca="false">-X54*$C$7</f>
        <v>-0.0132063930366463</v>
      </c>
      <c r="Y55" s="38" t="n">
        <f aca="false">-Y54*$C$7</f>
        <v>-0.00855982459489319</v>
      </c>
      <c r="Z55" s="38" t="n">
        <f aca="false">-Z54*$C$7</f>
        <v>-0.00518706150629212</v>
      </c>
      <c r="AA55" s="38" t="n">
        <f aca="false">-AA54*$C$7</f>
        <v>-0.00290574097223063</v>
      </c>
      <c r="AB55" s="38" t="n">
        <f aca="false">-AB54*$C$7</f>
        <v>-0.00148403513211218</v>
      </c>
    </row>
    <row r="56" customFormat="false" ht="15" hidden="false" customHeight="false" outlineLevel="0" collapsed="false">
      <c r="B56" s="3" t="s">
        <v>202</v>
      </c>
      <c r="D56" s="38" t="n">
        <f aca="false">D54+D55</f>
        <v>35.37225</v>
      </c>
      <c r="E56" s="38" t="n">
        <f aca="false">E54+E55</f>
        <v>35.1049308125</v>
      </c>
      <c r="F56" s="38" t="n">
        <f aca="false">F54+F55</f>
        <v>34.6149168568032</v>
      </c>
      <c r="G56" s="38" t="n">
        <f aca="false">G54+G55</f>
        <v>33.8949924050485</v>
      </c>
      <c r="H56" s="38" t="n">
        <f aca="false">H54+H55</f>
        <v>32.9417870452973</v>
      </c>
      <c r="I56" s="38" t="n">
        <f aca="false">I54+I55</f>
        <v>31.7562734141931</v>
      </c>
      <c r="J56" s="38" t="n">
        <f aca="false">J54+J55</f>
        <v>30.3442104786113</v>
      </c>
      <c r="K56" s="38" t="n">
        <f aca="false">K54+K55</f>
        <v>28.7165294930797</v>
      </c>
      <c r="L56" s="38" t="n">
        <f aca="false">L54+L55</f>
        <v>26.8896638973527</v>
      </c>
      <c r="M56" s="38" t="n">
        <f aca="false">M54+M55</f>
        <v>24.8858228566741</v>
      </c>
      <c r="N56" s="38" t="n">
        <f aca="false">N54+N55</f>
        <v>22.7331965753507</v>
      </c>
      <c r="O56" s="38" t="n">
        <f aca="false">O54+O55</f>
        <v>20.466056134128</v>
      </c>
      <c r="P56" s="38" t="n">
        <f aca="false">P54+P55</f>
        <v>18.1246700902986</v>
      </c>
      <c r="Q56" s="38" t="n">
        <f aca="false">Q54+Q55</f>
        <v>15.7549082738124</v>
      </c>
      <c r="R56" s="38" t="n">
        <f aca="false">R54+R55</f>
        <v>13.4073519866606</v>
      </c>
      <c r="S56" s="38" t="n">
        <f aca="false">S54+S55</f>
        <v>11.1357009478718</v>
      </c>
      <c r="T56" s="38" t="n">
        <f aca="false">T54+T55</f>
        <v>8.99429143234405</v>
      </c>
      <c r="U56" s="38" t="n">
        <f aca="false">U54+U55</f>
        <v>7.03465011550899</v>
      </c>
      <c r="V56" s="38" t="n">
        <f aca="false">V54+V55</f>
        <v>5.30122576587855</v>
      </c>
      <c r="W56" s="38" t="n">
        <f aca="false">W54+W55</f>
        <v>3.82675575931947</v>
      </c>
      <c r="X56" s="38" t="n">
        <f aca="false">X54+X55</f>
        <v>2.62807221429262</v>
      </c>
      <c r="Y56" s="38" t="n">
        <f aca="false">Y54+Y55</f>
        <v>1.70340509438374</v>
      </c>
      <c r="Z56" s="38" t="n">
        <f aca="false">Z54+Z55</f>
        <v>1.03222523975213</v>
      </c>
      <c r="AA56" s="38" t="n">
        <f aca="false">AA54+AA55</f>
        <v>0.578242453473896</v>
      </c>
      <c r="AB56" s="38" t="n">
        <f aca="false">AB54+AB55</f>
        <v>0.295322991290323</v>
      </c>
    </row>
    <row r="57" customFormat="false" ht="15" hidden="false" customHeight="false" outlineLevel="0" collapsed="false">
      <c r="B57" s="3" t="s">
        <v>203</v>
      </c>
      <c r="D57" s="38" t="n">
        <f aca="false">-(D17+D25+D33+D41+D49)</f>
        <v>-23.3</v>
      </c>
      <c r="E57" s="38" t="n">
        <f aca="false">-(E17+E25+E33+E41+E49)</f>
        <v>-21.289</v>
      </c>
      <c r="F57" s="38" t="n">
        <f aca="false">-(F17+F25+F33+F41+F49)</f>
        <v>-19.3139812</v>
      </c>
      <c r="G57" s="38" t="n">
        <f aca="false">-(G17+G25+G33+G41+G49)</f>
        <v>-17.3881439578504</v>
      </c>
      <c r="H57" s="38" t="n">
        <f aca="false">-(H17+H25+H33+H41+H49)</f>
        <v>-15.5245985007021</v>
      </c>
      <c r="I57" s="38" t="n">
        <f aca="false">-(I17+I25+I33+I41+I49)</f>
        <v>-13.7360710018164</v>
      </c>
      <c r="J57" s="38" t="n">
        <f aca="false">-(J17+J25+J33+J41+J49)</f>
        <v>-12.0345966164982</v>
      </c>
      <c r="K57" s="38" t="n">
        <f aca="false">-(K17+K25+K33+K41+K49)</f>
        <v>-10.4312104794555</v>
      </c>
      <c r="L57" s="38" t="n">
        <f aca="false">-(L17+L25+L33+L41+L49)</f>
        <v>-8.9356482291567</v>
      </c>
      <c r="M57" s="38" t="n">
        <f aca="false">-(M17+M25+M33+M41+M49)</f>
        <v>-7.5560672249287</v>
      </c>
      <c r="N57" s="38" t="n">
        <f aca="false">-(N17+N25+N33+N41+N49)</f>
        <v>-6.29879832107718</v>
      </c>
      <c r="O57" s="38" t="n">
        <f aca="false">-(O17+O25+O33+O41+O49)</f>
        <v>-5.16813618294114</v>
      </c>
      <c r="P57" s="38" t="n">
        <f aca="false">-(P17+P25+P33+P41+P49)</f>
        <v>-4.16617428012178</v>
      </c>
      <c r="Q57" s="38" t="n">
        <f aca="false">-(Q17+Q25+Q33+Q41+Q49)</f>
        <v>-3.29268969453706</v>
      </c>
      <c r="R57" s="38" t="n">
        <f aca="false">-(R17+R25+R33+R41+R49)</f>
        <v>-2.54508357261619</v>
      </c>
      <c r="S57" s="38" t="n">
        <f aca="false">-(S17+S25+S33+S41+S49)</f>
        <v>-1.91838593633185</v>
      </c>
      <c r="T57" s="38" t="n">
        <f aca="false">-(T17+T25+T33+T41+T49)</f>
        <v>-1.405338361633</v>
      </c>
      <c r="U57" s="38" t="n">
        <f aca="false">-(U17+U25+U33+U41+U49)</f>
        <v>-0.996573218927236</v>
      </c>
      <c r="V57" s="38" t="n">
        <f aca="false">-(V17+V25+V33+V41+V49)</f>
        <v>-0.680910806300231</v>
      </c>
      <c r="W57" s="38" t="n">
        <f aca="false">-(W17+W25+W33+W41+W49)</f>
        <v>-0.445791785504472</v>
      </c>
      <c r="X57" s="38" t="n">
        <f aca="false">-(X17+X25+X33+X41+X49)</f>
        <v>-0.277847984782721</v>
      </c>
      <c r="Y57" s="38" t="n">
        <f aca="false">-(Y17+Y25+Y33+Y41+Y49)</f>
        <v>-0.163588222294802</v>
      </c>
      <c r="Z57" s="38" t="n">
        <f aca="false">-(Z17+Z25+Z33+Z41+Z49)</f>
        <v>-0.090140427962325</v>
      </c>
      <c r="AA57" s="38" t="n">
        <f aca="false">-(AA17+AA25+AA33+AA41+AA49)</f>
        <v>-0.0459565449001691</v>
      </c>
      <c r="AB57" s="38" t="n">
        <f aca="false">-(AB17+AB25+AB33+AB41+AB49)</f>
        <v>-0.0213675434646712</v>
      </c>
    </row>
    <row r="58" customFormat="false" ht="15" hidden="false" customHeight="false" outlineLevel="0" collapsed="false">
      <c r="B58" s="3" t="s">
        <v>204</v>
      </c>
      <c r="D58" s="38" t="n">
        <f aca="false">-(Supuestos!$C$12+Supuestos!$C$13*D53)</f>
        <v>-0.975</v>
      </c>
      <c r="E58" s="38" t="n">
        <f aca="false">-(Supuestos!$C$12+Supuestos!$C$13*E53)</f>
        <v>-0.957225</v>
      </c>
      <c r="F58" s="38" t="n">
        <f aca="false">-(Supuestos!$C$12+Supuestos!$C$13*F53)</f>
        <v>-0.93958433125</v>
      </c>
      <c r="G58" s="38" t="n">
        <f aca="false">-(Supuestos!$C$12+Supuestos!$C$13*G53)</f>
        <v>-0.922189900668692</v>
      </c>
      <c r="H58" s="38" t="n">
        <f aca="false">-(Supuestos!$C$12+Supuestos!$C$13*H53)</f>
        <v>-0.905157241168668</v>
      </c>
      <c r="I58" s="38" t="n">
        <f aca="false">-(Supuestos!$C$12+Supuestos!$C$13*I53)</f>
        <v>-0.88860357933686</v>
      </c>
      <c r="J58" s="38" t="n">
        <f aca="false">-(Supuestos!$C$12+Supuestos!$C$13*J53)</f>
        <v>-0.872645652998069</v>
      </c>
      <c r="K58" s="38" t="n">
        <f aca="false">-(Supuestos!$C$12+Supuestos!$C$13*K53)</f>
        <v>-0.857397306023893</v>
      </c>
      <c r="L58" s="38" t="n">
        <f aca="false">-(Supuestos!$C$12+Supuestos!$C$13*L53)</f>
        <v>-0.842966889193199</v>
      </c>
      <c r="M58" s="38" t="n">
        <f aca="false">-(Supuestos!$C$12+Supuestos!$C$13*M53)</f>
        <v>-0.829454495274932</v>
      </c>
      <c r="N58" s="38" t="n">
        <f aca="false">-(Supuestos!$C$12+Supuestos!$C$13*N53)</f>
        <v>-0.816949056653488</v>
      </c>
      <c r="O58" s="38" t="n">
        <f aca="false">-(Supuestos!$C$12+Supuestos!$C$13*O53)</f>
        <v>-0.805525339781452</v>
      </c>
      <c r="P58" s="38" t="n">
        <f aca="false">-(Supuestos!$C$12+Supuestos!$C$13*P53)</f>
        <v>-0.795240889462795</v>
      </c>
      <c r="Q58" s="38" t="n">
        <f aca="false">-(Supuestos!$C$12+Supuestos!$C$13*Q53)</f>
        <v>-0.786133015045559</v>
      </c>
      <c r="R58" s="38" t="n">
        <f aca="false">-(Supuestos!$C$12+Supuestos!$C$13*R53)</f>
        <v>-0.778215975711985</v>
      </c>
      <c r="S58" s="38" t="n">
        <f aca="false">-(Supuestos!$C$12+Supuestos!$C$13*S53)</f>
        <v>-0.771478612904618</v>
      </c>
      <c r="T58" s="38" t="n">
        <f aca="false">-(Supuestos!$C$12+Supuestos!$C$13*T53)</f>
        <v>-0.765882783282572</v>
      </c>
      <c r="U58" s="38" t="n">
        <f aca="false">-(Supuestos!$C$12+Supuestos!$C$13*U53)</f>
        <v>-0.761363038844208</v>
      </c>
      <c r="V58" s="38" t="n">
        <f aca="false">-(Supuestos!$C$12+Supuestos!$C$13*V53)</f>
        <v>-0.757828038786163</v>
      </c>
      <c r="W58" s="38" t="n">
        <f aca="false">-(Supuestos!$C$12+Supuestos!$C$13*W53)</f>
        <v>-0.755164106240496</v>
      </c>
      <c r="X58" s="38" t="n">
        <f aca="false">-(Supuestos!$C$12+Supuestos!$C$13*X53)</f>
        <v>-0.753241113396617</v>
      </c>
      <c r="Y58" s="38" t="n">
        <f aca="false">-(Supuestos!$C$12+Supuestos!$C$13*Y53)</f>
        <v>-0.751920474092952</v>
      </c>
      <c r="Z58" s="38" t="n">
        <f aca="false">-(Supuestos!$C$12+Supuestos!$C$13*Z53)</f>
        <v>-0.751064491633463</v>
      </c>
      <c r="AA58" s="38" t="n">
        <f aca="false">-(Supuestos!$C$12+Supuestos!$C$13*AA53)</f>
        <v>-0.750545785482833</v>
      </c>
      <c r="AB58" s="38" t="n">
        <f aca="false">-(Supuestos!$C$12+Supuestos!$C$13*AB53)</f>
        <v>-0.75025521138561</v>
      </c>
    </row>
    <row r="59" customFormat="false" ht="15" hidden="false" customHeight="false" outlineLevel="0" collapsed="false">
      <c r="B59" s="3" t="s">
        <v>205</v>
      </c>
      <c r="D59" s="38" t="n">
        <f aca="false">IF(D$3=Supuestos!$C$15,(D18*Cartera!$D$5+D26*Cartera!$D$6+D34*Cartera!$D$7+D42*Cartera!$D$8+D50*Cartera!$D$9)*Supuestos!$C$14*(1-$C$9),0)</f>
        <v>0</v>
      </c>
      <c r="E59" s="38" t="n">
        <f aca="false">IF(E$3=Supuestos!$C$15,(E18*Cartera!$D$5+E26*Cartera!$D$6+E34*Cartera!$D$7+E42*Cartera!$D$8+E50*Cartera!$D$9)*Supuestos!$C$14*(1-$C$9),0)</f>
        <v>0</v>
      </c>
      <c r="F59" s="38" t="n">
        <f aca="false">IF(F$3=Supuestos!$C$15,(F18*Cartera!$D$5+F26*Cartera!$D$6+F34*Cartera!$D$7+F42*Cartera!$D$8+F50*Cartera!$D$9)*Supuestos!$C$14*(1-$C$9),0)</f>
        <v>0</v>
      </c>
      <c r="G59" s="38" t="n">
        <f aca="false">IF(G$3=Supuestos!$C$15,(G18*Cartera!$D$5+G26*Cartera!$D$6+G34*Cartera!$D$7+G42*Cartera!$D$8+G50*Cartera!$D$9)*Supuestos!$C$14*(1-$C$9),0)</f>
        <v>0</v>
      </c>
      <c r="H59" s="38" t="n">
        <f aca="false">IF(H$3=Supuestos!$C$15,(H18*Cartera!$D$5+H26*Cartera!$D$6+H34*Cartera!$D$7+H42*Cartera!$D$8+H50*Cartera!$D$9)*Supuestos!$C$14*(1-$C$9),0)</f>
        <v>0</v>
      </c>
      <c r="I59" s="38" t="n">
        <f aca="false">IF(I$3=Supuestos!$C$15,(I18*Cartera!$D$5+I26*Cartera!$D$6+I34*Cartera!$D$7+I42*Cartera!$D$8+I50*Cartera!$D$9)*Supuestos!$C$14*(1-$C$9),0)</f>
        <v>0</v>
      </c>
      <c r="J59" s="38" t="n">
        <f aca="false">IF(J$3=Supuestos!$C$15,(J18*Cartera!$D$5+J26*Cartera!$D$6+J34*Cartera!$D$7+J42*Cartera!$D$8+J50*Cartera!$D$9)*Supuestos!$C$14*(1-$C$9),0)</f>
        <v>0</v>
      </c>
      <c r="K59" s="38" t="n">
        <f aca="false">IF(K$3=Supuestos!$C$15,(K18*Cartera!$D$5+K26*Cartera!$D$6+K34*Cartera!$D$7+K42*Cartera!$D$8+K50*Cartera!$D$9)*Supuestos!$C$14*(1-$C$9),0)</f>
        <v>0</v>
      </c>
      <c r="L59" s="38" t="n">
        <f aca="false">IF(L$3=Supuestos!$C$15,(L18*Cartera!$D$5+L26*Cartera!$D$6+L34*Cartera!$D$7+L42*Cartera!$D$8+L50*Cartera!$D$9)*Supuestos!$C$14*(1-$C$9),0)</f>
        <v>0</v>
      </c>
      <c r="M59" s="38" t="n">
        <f aca="false">IF(M$3=Supuestos!$C$15,(M18*Cartera!$D$5+M26*Cartera!$D$6+M34*Cartera!$D$7+M42*Cartera!$D$8+M50*Cartera!$D$9)*Supuestos!$C$14*(1-$C$9),0)</f>
        <v>0</v>
      </c>
      <c r="N59" s="38" t="n">
        <f aca="false">IF(N$3=Supuestos!$C$15,(N18*Cartera!$D$5+N26*Cartera!$D$6+N34*Cartera!$D$7+N42*Cartera!$D$8+N50*Cartera!$D$9)*Supuestos!$C$14*(1-$C$9),0)</f>
        <v>0</v>
      </c>
      <c r="O59" s="38" t="n">
        <f aca="false">IF(O$3=Supuestos!$C$15,(O18*Cartera!$D$5+O26*Cartera!$D$6+O34*Cartera!$D$7+O42*Cartera!$D$8+O50*Cartera!$D$9)*Supuestos!$C$14*(1-$C$9),0)</f>
        <v>0</v>
      </c>
      <c r="P59" s="38" t="n">
        <f aca="false">IF(P$3=Supuestos!$C$15,(P18*Cartera!$D$5+P26*Cartera!$D$6+P34*Cartera!$D$7+P42*Cartera!$D$8+P50*Cartera!$D$9)*Supuestos!$C$14*(1-$C$9),0)</f>
        <v>0</v>
      </c>
      <c r="Q59" s="38" t="n">
        <f aca="false">IF(Q$3=Supuestos!$C$15,(Q18*Cartera!$D$5+Q26*Cartera!$D$6+Q34*Cartera!$D$7+Q42*Cartera!$D$8+Q50*Cartera!$D$9)*Supuestos!$C$14*(1-$C$9),0)</f>
        <v>0</v>
      </c>
      <c r="R59" s="38" t="n">
        <f aca="false">IF(R$3=Supuestos!$C$15,(R18*Cartera!$D$5+R26*Cartera!$D$6+R34*Cartera!$D$7+R42*Cartera!$D$8+R50*Cartera!$D$9)*Supuestos!$C$14*(1-$C$9),0)</f>
        <v>0</v>
      </c>
      <c r="S59" s="38" t="n">
        <f aca="false">IF(S$3=Supuestos!$C$15,(S18*Cartera!$D$5+S26*Cartera!$D$6+S34*Cartera!$D$7+S42*Cartera!$D$8+S50*Cartera!$D$9)*Supuestos!$C$14*(1-$C$9),0)</f>
        <v>0</v>
      </c>
      <c r="T59" s="38" t="n">
        <f aca="false">IF(T$3=Supuestos!$C$15,(T18*Cartera!$D$5+T26*Cartera!$D$6+T34*Cartera!$D$7+T42*Cartera!$D$8+T50*Cartera!$D$9)*Supuestos!$C$14*(1-$C$9),0)</f>
        <v>0</v>
      </c>
      <c r="U59" s="38" t="n">
        <f aca="false">IF(U$3=Supuestos!$C$15,(U18*Cartera!$D$5+U26*Cartera!$D$6+U34*Cartera!$D$7+U42*Cartera!$D$8+U50*Cartera!$D$9)*Supuestos!$C$14*(1-$C$9),0)</f>
        <v>0</v>
      </c>
      <c r="V59" s="38" t="n">
        <f aca="false">IF(V$3=Supuestos!$C$15,(V18*Cartera!$D$5+V26*Cartera!$D$6+V34*Cartera!$D$7+V42*Cartera!$D$8+V50*Cartera!$D$9)*Supuestos!$C$14*(1-$C$9),0)</f>
        <v>0</v>
      </c>
      <c r="W59" s="38" t="n">
        <f aca="false">IF(W$3=Supuestos!$C$15,(W18*Cartera!$D$5+W26*Cartera!$D$6+W34*Cartera!$D$7+W42*Cartera!$D$8+W50*Cartera!$D$9)*Supuestos!$C$14*(1-$C$9),0)</f>
        <v>0</v>
      </c>
      <c r="X59" s="38" t="n">
        <f aca="false">IF(X$3=Supuestos!$C$15,(X18*Cartera!$D$5+X26*Cartera!$D$6+X34*Cartera!$D$7+X42*Cartera!$D$8+X50*Cartera!$D$9)*Supuestos!$C$14*(1-$C$9),0)</f>
        <v>0</v>
      </c>
      <c r="Y59" s="38" t="n">
        <f aca="false">IF(Y$3=Supuestos!$C$15,(Y18*Cartera!$D$5+Y26*Cartera!$D$6+Y34*Cartera!$D$7+Y42*Cartera!$D$8+Y50*Cartera!$D$9)*Supuestos!$C$14*(1-$C$9),0)</f>
        <v>0</v>
      </c>
      <c r="Z59" s="38" t="n">
        <f aca="false">IF(Z$3=Supuestos!$C$15,(Z18*Cartera!$D$5+Z26*Cartera!$D$6+Z34*Cartera!$D$7+Z42*Cartera!$D$8+Z50*Cartera!$D$9)*Supuestos!$C$14*(1-$C$9),0)</f>
        <v>0</v>
      </c>
      <c r="AA59" s="38" t="n">
        <f aca="false">IF(AA$3=Supuestos!$C$15,(AA18*Cartera!$D$5+AA26*Cartera!$D$6+AA34*Cartera!$D$7+AA42*Cartera!$D$8+AA50*Cartera!$D$9)*Supuestos!$C$14*(1-$C$9),0)</f>
        <v>0</v>
      </c>
      <c r="AB59" s="38" t="n">
        <f aca="false">IF(AB$3=Supuestos!$C$15,(AB18*Cartera!$D$5+AB26*Cartera!$D$6+AB34*Cartera!$D$7+AB42*Cartera!$D$8+AB50*Cartera!$D$9)*Supuestos!$C$14*(1-$C$9),0)</f>
        <v>0.0427231489596256</v>
      </c>
    </row>
    <row r="60" customFormat="false" ht="15" hidden="false" customHeight="false" outlineLevel="0" collapsed="false">
      <c r="B60" s="2" t="s">
        <v>206</v>
      </c>
      <c r="D60" s="38" t="n">
        <f aca="false">D56+D57+D58+D59</f>
        <v>11.09725</v>
      </c>
      <c r="E60" s="38" t="n">
        <f aca="false">E56+E57+E58+E59</f>
        <v>12.8587058125</v>
      </c>
      <c r="F60" s="38" t="n">
        <f aca="false">F56+F57+F58+F59</f>
        <v>14.3613513255532</v>
      </c>
      <c r="G60" s="38" t="n">
        <f aca="false">G56+G57+G58+G59</f>
        <v>15.5846585465294</v>
      </c>
      <c r="H60" s="38" t="n">
        <f aca="false">H56+H57+H58+H59</f>
        <v>16.5120313034266</v>
      </c>
      <c r="I60" s="38" t="n">
        <f aca="false">I56+I57+I58+I59</f>
        <v>17.1315988330398</v>
      </c>
      <c r="J60" s="38" t="n">
        <f aca="false">J56+J57+J58+J59</f>
        <v>17.436968209115</v>
      </c>
      <c r="K60" s="38" t="n">
        <f aca="false">K56+K57+K58+K59</f>
        <v>17.4279217076003</v>
      </c>
      <c r="L60" s="38" t="n">
        <f aca="false">L56+L57+L58+L59</f>
        <v>17.1110487790028</v>
      </c>
      <c r="M60" s="38" t="n">
        <f aca="false">M56+M57+M58+M59</f>
        <v>16.5003011364705</v>
      </c>
      <c r="N60" s="38" t="n">
        <f aca="false">N56+N57+N58+N59</f>
        <v>15.6174491976201</v>
      </c>
      <c r="O60" s="38" t="n">
        <f aca="false">O56+O57+O58+O59</f>
        <v>14.4923946114054</v>
      </c>
      <c r="P60" s="38" t="n">
        <f aca="false">P56+P57+P58+P59</f>
        <v>13.1632549207141</v>
      </c>
      <c r="Q60" s="38" t="n">
        <f aca="false">Q56+Q57+Q58+Q59</f>
        <v>11.6760855642298</v>
      </c>
      <c r="R60" s="38" t="n">
        <f aca="false">R56+R57+R58+R59</f>
        <v>10.0840524383324</v>
      </c>
      <c r="S60" s="38" t="n">
        <f aca="false">S56+S57+S58+S59</f>
        <v>8.44583639863532</v>
      </c>
      <c r="T60" s="38" t="n">
        <f aca="false">T56+T57+T58+T59</f>
        <v>6.82307028742848</v>
      </c>
      <c r="U60" s="38" t="n">
        <f aca="false">U56+U57+U58+U59</f>
        <v>5.27671385773755</v>
      </c>
      <c r="V60" s="38" t="n">
        <f aca="false">V56+V57+V58+V59</f>
        <v>3.86248692079215</v>
      </c>
      <c r="W60" s="38" t="n">
        <f aca="false">W56+W57+W58+W59</f>
        <v>2.6257998675745</v>
      </c>
      <c r="X60" s="38" t="n">
        <f aca="false">X56+X57+X58+X59</f>
        <v>1.59698311611328</v>
      </c>
      <c r="Y60" s="38" t="n">
        <f aca="false">Y56+Y57+Y58+Y59</f>
        <v>0.787896397995991</v>
      </c>
      <c r="Z60" s="38" t="n">
        <f aca="false">Z56+Z57+Z58+Z59</f>
        <v>0.191020320156343</v>
      </c>
      <c r="AA60" s="38" t="n">
        <f aca="false">AA56+AA57+AA58+AA59</f>
        <v>-0.218259876909107</v>
      </c>
      <c r="AB60" s="38" t="n">
        <f aca="false">AB56+AB57+AB58+AB59</f>
        <v>-0.433576614600333</v>
      </c>
    </row>
    <row r="62" customFormat="false" ht="15" hidden="false" customHeight="false" outlineLevel="0" collapsed="false">
      <c r="B62" s="2" t="s">
        <v>207</v>
      </c>
    </row>
    <row r="63" customFormat="false" ht="15" hidden="false" customHeight="false" outlineLevel="0" collapsed="false">
      <c r="B63" s="3" t="s">
        <v>208</v>
      </c>
      <c r="D63" s="38" t="n">
        <f aca="false">Supuestos!$C$9</f>
        <v>20</v>
      </c>
      <c r="E63" s="38" t="n">
        <f aca="false">D82</f>
        <v>23.3</v>
      </c>
      <c r="F63" s="38" t="n">
        <f aca="false">E82</f>
        <v>21.289</v>
      </c>
      <c r="G63" s="38" t="n">
        <f aca="false">F82</f>
        <v>19.3139812</v>
      </c>
      <c r="H63" s="38" t="n">
        <f aca="false">G82</f>
        <v>17.3881439578504</v>
      </c>
      <c r="I63" s="38" t="n">
        <f aca="false">H82</f>
        <v>15.5245985007021</v>
      </c>
      <c r="J63" s="38" t="n">
        <f aca="false">I82</f>
        <v>13.7360710018164</v>
      </c>
      <c r="K63" s="38" t="n">
        <f aca="false">J82</f>
        <v>12.0345966164982</v>
      </c>
      <c r="L63" s="38" t="n">
        <f aca="false">K82</f>
        <v>10.4312104794555</v>
      </c>
      <c r="M63" s="38" t="n">
        <f aca="false">L82</f>
        <v>8.9356482291567</v>
      </c>
      <c r="N63" s="38" t="n">
        <f aca="false">M82</f>
        <v>7.55606722492869</v>
      </c>
      <c r="O63" s="38" t="n">
        <f aca="false">N82</f>
        <v>6.29879832107718</v>
      </c>
      <c r="P63" s="38" t="n">
        <f aca="false">O82</f>
        <v>5.16813618294114</v>
      </c>
      <c r="Q63" s="38" t="n">
        <f aca="false">P82</f>
        <v>4.16617428012178</v>
      </c>
      <c r="R63" s="38" t="n">
        <f aca="false">Q82</f>
        <v>3.29268969453706</v>
      </c>
      <c r="S63" s="38" t="n">
        <f aca="false">R82</f>
        <v>2.54508357261619</v>
      </c>
      <c r="T63" s="38" t="n">
        <f aca="false">S82</f>
        <v>1.91838593633185</v>
      </c>
      <c r="U63" s="38" t="n">
        <f aca="false">T82</f>
        <v>1.405338361633</v>
      </c>
      <c r="V63" s="38" t="n">
        <f aca="false">U82</f>
        <v>0.996573218927236</v>
      </c>
      <c r="W63" s="38" t="n">
        <f aca="false">V82</f>
        <v>0.680910806300231</v>
      </c>
      <c r="X63" s="38" t="n">
        <f aca="false">W82</f>
        <v>0.445791785504472</v>
      </c>
      <c r="Y63" s="38" t="n">
        <f aca="false">X82</f>
        <v>0.277847984782721</v>
      </c>
      <c r="Z63" s="38" t="n">
        <f aca="false">Y82</f>
        <v>0.163588222294802</v>
      </c>
      <c r="AA63" s="38" t="n">
        <f aca="false">Z82</f>
        <v>0.090140427962325</v>
      </c>
      <c r="AB63" s="38" t="n">
        <f aca="false">AA82</f>
        <v>-0.125415236107912</v>
      </c>
    </row>
    <row r="64" customFormat="false" ht="15" hidden="false" customHeight="false" outlineLevel="0" collapsed="false">
      <c r="B64" s="3" t="s">
        <v>209</v>
      </c>
      <c r="D64" s="38" t="n">
        <f aca="false">MAX(0,D63)*Supuestos!$C$11</f>
        <v>0.6</v>
      </c>
      <c r="E64" s="38" t="n">
        <f aca="false">MAX(0,E63)*Supuestos!$C$11</f>
        <v>0.699</v>
      </c>
      <c r="F64" s="38" t="n">
        <f aca="false">MAX(0,F63)*Supuestos!$C$11</f>
        <v>0.63867</v>
      </c>
      <c r="G64" s="38" t="n">
        <f aca="false">MAX(0,G63)*Supuestos!$C$11</f>
        <v>0.579419436</v>
      </c>
      <c r="H64" s="38" t="n">
        <f aca="false">MAX(0,H63)*Supuestos!$C$11</f>
        <v>0.521644318735512</v>
      </c>
      <c r="I64" s="38" t="n">
        <f aca="false">MAX(0,I63)*Supuestos!$C$11</f>
        <v>0.465737955021062</v>
      </c>
      <c r="J64" s="38" t="n">
        <f aca="false">MAX(0,J63)*Supuestos!$C$11</f>
        <v>0.412082130054493</v>
      </c>
      <c r="K64" s="38" t="n">
        <f aca="false">MAX(0,K63)*Supuestos!$C$11</f>
        <v>0.361037898494946</v>
      </c>
      <c r="L64" s="38" t="n">
        <f aca="false">MAX(0,L63)*Supuestos!$C$11</f>
        <v>0.312936314383666</v>
      </c>
      <c r="M64" s="38" t="n">
        <f aca="false">MAX(0,M63)*Supuestos!$C$11</f>
        <v>0.268069446874701</v>
      </c>
      <c r="N64" s="38" t="n">
        <f aca="false">MAX(0,N63)*Supuestos!$C$11</f>
        <v>0.226682016747861</v>
      </c>
      <c r="O64" s="38" t="n">
        <f aca="false">MAX(0,O63)*Supuestos!$C$11</f>
        <v>0.188963949632315</v>
      </c>
      <c r="P64" s="38" t="n">
        <f aca="false">MAX(0,P63)*Supuestos!$C$11</f>
        <v>0.155044085488234</v>
      </c>
      <c r="Q64" s="38" t="n">
        <f aca="false">MAX(0,Q63)*Supuestos!$C$11</f>
        <v>0.124985228403653</v>
      </c>
      <c r="R64" s="38" t="n">
        <f aca="false">MAX(0,R63)*Supuestos!$C$11</f>
        <v>0.0987806908361117</v>
      </c>
      <c r="S64" s="38" t="n">
        <f aca="false">MAX(0,S63)*Supuestos!$C$11</f>
        <v>0.0763525071784856</v>
      </c>
      <c r="T64" s="38" t="n">
        <f aca="false">MAX(0,T63)*Supuestos!$C$11</f>
        <v>0.0575515780899554</v>
      </c>
      <c r="U64" s="38" t="n">
        <f aca="false">MAX(0,U63)*Supuestos!$C$11</f>
        <v>0.0421601508489901</v>
      </c>
      <c r="V64" s="38" t="n">
        <f aca="false">MAX(0,V63)*Supuestos!$C$11</f>
        <v>0.0298971965678171</v>
      </c>
      <c r="W64" s="38" t="n">
        <f aca="false">MAX(0,W63)*Supuestos!$C$11</f>
        <v>0.0204273241890069</v>
      </c>
      <c r="X64" s="38" t="n">
        <f aca="false">MAX(0,X63)*Supuestos!$C$11</f>
        <v>0.0133737535651342</v>
      </c>
      <c r="Y64" s="38" t="n">
        <f aca="false">MAX(0,Y63)*Supuestos!$C$11</f>
        <v>0.00833543954348164</v>
      </c>
      <c r="Z64" s="38" t="n">
        <f aca="false">MAX(0,Z63)*Supuestos!$C$11</f>
        <v>0.00490764666884406</v>
      </c>
      <c r="AA64" s="38" t="n">
        <f aca="false">MAX(0,AA63)*Supuestos!$C$11</f>
        <v>0.00270421283886975</v>
      </c>
      <c r="AB64" s="38" t="n">
        <f aca="false">MAX(0,AB63)*Supuestos!$C$11</f>
        <v>0</v>
      </c>
    </row>
    <row r="65" customFormat="false" ht="15" hidden="false" customHeight="false" outlineLevel="0" collapsed="false">
      <c r="B65" s="3" t="s">
        <v>210</v>
      </c>
      <c r="D65" s="38" t="n">
        <f aca="false">D63+D64+D60</f>
        <v>31.69725</v>
      </c>
      <c r="E65" s="38" t="n">
        <f aca="false">E63+E64+E60</f>
        <v>36.8577058125</v>
      </c>
      <c r="F65" s="38" t="n">
        <f aca="false">F63+F64+F60</f>
        <v>36.2890213255532</v>
      </c>
      <c r="G65" s="38" t="n">
        <f aca="false">G63+G64+G60</f>
        <v>35.4780591825294</v>
      </c>
      <c r="H65" s="38" t="n">
        <f aca="false">H63+H64+H60</f>
        <v>34.4218195800125</v>
      </c>
      <c r="I65" s="38" t="n">
        <f aca="false">I63+I64+I60</f>
        <v>33.121935288763</v>
      </c>
      <c r="J65" s="38" t="n">
        <f aca="false">J63+J64+J60</f>
        <v>31.5851213409859</v>
      </c>
      <c r="K65" s="38" t="n">
        <f aca="false">K63+K64+K60</f>
        <v>29.8235562225935</v>
      </c>
      <c r="L65" s="38" t="n">
        <f aca="false">L63+L64+L60</f>
        <v>27.855195572842</v>
      </c>
      <c r="M65" s="38" t="n">
        <f aca="false">M63+M64+M60</f>
        <v>25.7040188125019</v>
      </c>
      <c r="N65" s="38" t="n">
        <f aca="false">N63+N64+N60</f>
        <v>23.4001984392966</v>
      </c>
      <c r="O65" s="38" t="n">
        <f aca="false">O63+O64+O60</f>
        <v>20.9801568821149</v>
      </c>
      <c r="P65" s="38" t="n">
        <f aca="false">P63+P64+P60</f>
        <v>18.4864351891434</v>
      </c>
      <c r="Q65" s="38" t="n">
        <f aca="false">Q63+Q64+Q60</f>
        <v>15.9672450727553</v>
      </c>
      <c r="R65" s="38" t="n">
        <f aca="false">R63+R64+R60</f>
        <v>13.4755228237056</v>
      </c>
      <c r="S65" s="38" t="n">
        <f aca="false">S63+S64+S60</f>
        <v>11.06727247843</v>
      </c>
      <c r="T65" s="38" t="n">
        <f aca="false">T63+T64+T60</f>
        <v>8.79900780185028</v>
      </c>
      <c r="U65" s="38" t="n">
        <f aca="false">U63+U64+U60</f>
        <v>6.72421237021954</v>
      </c>
      <c r="V65" s="38" t="n">
        <f aca="false">V63+V64+V60</f>
        <v>4.88895733628721</v>
      </c>
      <c r="W65" s="38" t="n">
        <f aca="false">W63+W64+W60</f>
        <v>3.32713799806374</v>
      </c>
      <c r="X65" s="38" t="n">
        <f aca="false">X63+X64+X60</f>
        <v>2.05614865518289</v>
      </c>
      <c r="Y65" s="38" t="n">
        <f aca="false">Y63+Y64+Y60</f>
        <v>1.07407982232219</v>
      </c>
      <c r="Z65" s="38" t="n">
        <f aca="false">Z63+Z64+Z60</f>
        <v>0.359516189119989</v>
      </c>
      <c r="AA65" s="38" t="n">
        <f aca="false">AA63+AA64+AA60</f>
        <v>-0.125415236107912</v>
      </c>
      <c r="AB65" s="38" t="n">
        <f aca="false">AB63+AB64+AB60</f>
        <v>-0.558991850708245</v>
      </c>
    </row>
    <row r="66" customFormat="false" ht="15" hidden="false" customHeight="false" outlineLevel="0" collapsed="false">
      <c r="B66" s="3" t="s">
        <v>211</v>
      </c>
      <c r="D66" s="38" t="n">
        <f aca="false">Supuestos!$C$5</f>
        <v>75</v>
      </c>
      <c r="E66" s="38" t="n">
        <f aca="false">D79</f>
        <v>73.85275</v>
      </c>
      <c r="F66" s="38" t="n">
        <f aca="false">E79</f>
        <v>65.4594729375</v>
      </c>
      <c r="G66" s="38" t="n">
        <f aca="false">F79</f>
        <v>55.1142985528843</v>
      </c>
      <c r="H66" s="38" t="n">
        <f aca="false">G79</f>
        <v>42.9818127341428</v>
      </c>
      <c r="I66" s="38" t="n">
        <f aca="false">H79</f>
        <v>29.2534094825517</v>
      </c>
      <c r="J66" s="38" t="n">
        <f aca="false">I79</f>
        <v>14.144016811971</v>
      </c>
      <c r="K66" s="38" t="n">
        <f aca="false">J79</f>
        <v>0</v>
      </c>
      <c r="L66" s="38" t="n">
        <f aca="false">K79</f>
        <v>0</v>
      </c>
      <c r="M66" s="38" t="n">
        <f aca="false">L79</f>
        <v>0</v>
      </c>
      <c r="N66" s="38" t="n">
        <f aca="false">M79</f>
        <v>0</v>
      </c>
      <c r="O66" s="38" t="n">
        <f aca="false">N79</f>
        <v>0</v>
      </c>
      <c r="P66" s="38" t="n">
        <f aca="false">O79</f>
        <v>0</v>
      </c>
      <c r="Q66" s="38" t="n">
        <f aca="false">P79</f>
        <v>0</v>
      </c>
      <c r="R66" s="38" t="n">
        <f aca="false">Q79</f>
        <v>0</v>
      </c>
      <c r="S66" s="38" t="n">
        <f aca="false">R79</f>
        <v>0</v>
      </c>
      <c r="T66" s="38" t="n">
        <f aca="false">S79</f>
        <v>0</v>
      </c>
      <c r="U66" s="38" t="n">
        <f aca="false">T79</f>
        <v>0</v>
      </c>
      <c r="V66" s="38" t="n">
        <f aca="false">U79</f>
        <v>0</v>
      </c>
      <c r="W66" s="38" t="n">
        <f aca="false">V79</f>
        <v>0</v>
      </c>
      <c r="X66" s="38" t="n">
        <f aca="false">W79</f>
        <v>0</v>
      </c>
      <c r="Y66" s="38" t="n">
        <f aca="false">X79</f>
        <v>0</v>
      </c>
      <c r="Z66" s="38" t="n">
        <f aca="false">Y79</f>
        <v>0</v>
      </c>
      <c r="AA66" s="38" t="n">
        <f aca="false">Z79</f>
        <v>0</v>
      </c>
      <c r="AB66" s="38" t="n">
        <f aca="false">AA79</f>
        <v>0</v>
      </c>
    </row>
    <row r="67" customFormat="false" ht="15" hidden="false" customHeight="false" outlineLevel="0" collapsed="false">
      <c r="B67" s="3" t="s">
        <v>212</v>
      </c>
      <c r="D67" s="38" t="n">
        <f aca="false">D66*Supuestos!$C$6</f>
        <v>4.875</v>
      </c>
      <c r="E67" s="38" t="n">
        <f aca="false">E66*Supuestos!$C$6</f>
        <v>4.80042875</v>
      </c>
      <c r="F67" s="38" t="n">
        <f aca="false">F66*Supuestos!$C$6</f>
        <v>4.2548657409375</v>
      </c>
      <c r="G67" s="38" t="n">
        <f aca="false">G66*Supuestos!$C$6</f>
        <v>3.58242940593748</v>
      </c>
      <c r="H67" s="38" t="n">
        <f aca="false">H66*Supuestos!$C$6</f>
        <v>2.79381782771928</v>
      </c>
      <c r="I67" s="38" t="n">
        <f aca="false">I66*Supuestos!$C$6</f>
        <v>1.90147161636586</v>
      </c>
      <c r="J67" s="38" t="n">
        <f aca="false">J66*Supuestos!$C$6</f>
        <v>0.919361092778116</v>
      </c>
      <c r="K67" s="38" t="n">
        <f aca="false">K66*Supuestos!$C$6</f>
        <v>0</v>
      </c>
      <c r="L67" s="38" t="n">
        <f aca="false">L66*Supuestos!$C$6</f>
        <v>0</v>
      </c>
      <c r="M67" s="38" t="n">
        <f aca="false">M66*Supuestos!$C$6</f>
        <v>0</v>
      </c>
      <c r="N67" s="38" t="n">
        <f aca="false">N66*Supuestos!$C$6</f>
        <v>0</v>
      </c>
      <c r="O67" s="38" t="n">
        <f aca="false">O66*Supuestos!$C$6</f>
        <v>0</v>
      </c>
      <c r="P67" s="38" t="n">
        <f aca="false">P66*Supuestos!$C$6</f>
        <v>0</v>
      </c>
      <c r="Q67" s="38" t="n">
        <f aca="false">Q66*Supuestos!$C$6</f>
        <v>0</v>
      </c>
      <c r="R67" s="38" t="n">
        <f aca="false">R66*Supuestos!$C$6</f>
        <v>0</v>
      </c>
      <c r="S67" s="38" t="n">
        <f aca="false">S66*Supuestos!$C$6</f>
        <v>0</v>
      </c>
      <c r="T67" s="38" t="n">
        <f aca="false">T66*Supuestos!$C$6</f>
        <v>0</v>
      </c>
      <c r="U67" s="38" t="n">
        <f aca="false">U66*Supuestos!$C$6</f>
        <v>0</v>
      </c>
      <c r="V67" s="38" t="n">
        <f aca="false">V66*Supuestos!$C$6</f>
        <v>0</v>
      </c>
      <c r="W67" s="38" t="n">
        <f aca="false">W66*Supuestos!$C$6</f>
        <v>0</v>
      </c>
      <c r="X67" s="38" t="n">
        <f aca="false">X66*Supuestos!$C$6</f>
        <v>0</v>
      </c>
      <c r="Y67" s="38" t="n">
        <f aca="false">Y66*Supuestos!$C$6</f>
        <v>0</v>
      </c>
      <c r="Z67" s="38" t="n">
        <f aca="false">Z66*Supuestos!$C$6</f>
        <v>0</v>
      </c>
      <c r="AA67" s="38" t="n">
        <f aca="false">AA66*Supuestos!$C$6</f>
        <v>0</v>
      </c>
      <c r="AB67" s="38" t="n">
        <f aca="false">AB66*Supuestos!$C$6</f>
        <v>0</v>
      </c>
    </row>
    <row r="68" customFormat="false" ht="15" hidden="false" customHeight="false" outlineLevel="0" collapsed="false">
      <c r="B68" s="3" t="s">
        <v>213</v>
      </c>
      <c r="D68" s="38" t="n">
        <f aca="false">MAX(0,MIN(D65,D67))</f>
        <v>4.875</v>
      </c>
      <c r="E68" s="38" t="n">
        <f aca="false">MAX(0,MIN(E65,E67))</f>
        <v>4.80042875</v>
      </c>
      <c r="F68" s="38" t="n">
        <f aca="false">MAX(0,MIN(F65,F67))</f>
        <v>4.2548657409375</v>
      </c>
      <c r="G68" s="38" t="n">
        <f aca="false">MAX(0,MIN(G65,G67))</f>
        <v>3.58242940593748</v>
      </c>
      <c r="H68" s="38" t="n">
        <f aca="false">MAX(0,MIN(H65,H67))</f>
        <v>2.79381782771928</v>
      </c>
      <c r="I68" s="38" t="n">
        <f aca="false">MAX(0,MIN(I65,I67))</f>
        <v>1.90147161636586</v>
      </c>
      <c r="J68" s="38" t="n">
        <f aca="false">MAX(0,MIN(J65,J67))</f>
        <v>0.919361092778116</v>
      </c>
      <c r="K68" s="38" t="n">
        <f aca="false">MAX(0,MIN(K65,K67))</f>
        <v>0</v>
      </c>
      <c r="L68" s="38" t="n">
        <f aca="false">MAX(0,MIN(L65,L67))</f>
        <v>0</v>
      </c>
      <c r="M68" s="38" t="n">
        <f aca="false">MAX(0,MIN(M65,M67))</f>
        <v>0</v>
      </c>
      <c r="N68" s="38" t="n">
        <f aca="false">MAX(0,MIN(N65,N67))</f>
        <v>0</v>
      </c>
      <c r="O68" s="38" t="n">
        <f aca="false">MAX(0,MIN(O65,O67))</f>
        <v>0</v>
      </c>
      <c r="P68" s="38" t="n">
        <f aca="false">MAX(0,MIN(P65,P67))</f>
        <v>0</v>
      </c>
      <c r="Q68" s="38" t="n">
        <f aca="false">MAX(0,MIN(Q65,Q67))</f>
        <v>0</v>
      </c>
      <c r="R68" s="38" t="n">
        <f aca="false">MAX(0,MIN(R65,R67))</f>
        <v>0</v>
      </c>
      <c r="S68" s="38" t="n">
        <f aca="false">MAX(0,MIN(S65,S67))</f>
        <v>0</v>
      </c>
      <c r="T68" s="38" t="n">
        <f aca="false">MAX(0,MIN(T65,T67))</f>
        <v>0</v>
      </c>
      <c r="U68" s="38" t="n">
        <f aca="false">MAX(0,MIN(U65,U67))</f>
        <v>0</v>
      </c>
      <c r="V68" s="38" t="n">
        <f aca="false">MAX(0,MIN(V65,V67))</f>
        <v>0</v>
      </c>
      <c r="W68" s="38" t="n">
        <f aca="false">MAX(0,MIN(W65,W67))</f>
        <v>0</v>
      </c>
      <c r="X68" s="38" t="n">
        <f aca="false">MAX(0,MIN(X65,X67))</f>
        <v>0</v>
      </c>
      <c r="Y68" s="38" t="n">
        <f aca="false">MAX(0,MIN(Y65,Y67))</f>
        <v>0</v>
      </c>
      <c r="Z68" s="38" t="n">
        <f aca="false">MAX(0,MIN(Z65,Z67))</f>
        <v>0</v>
      </c>
      <c r="AA68" s="38" t="n">
        <f aca="false">MAX(0,MIN(AA65,AA67))</f>
        <v>0</v>
      </c>
      <c r="AB68" s="38" t="n">
        <f aca="false">MAX(0,MIN(AB65,AB67))</f>
        <v>0</v>
      </c>
    </row>
    <row r="69" customFormat="false" ht="15" hidden="false" customHeight="false" outlineLevel="0" collapsed="false">
      <c r="B69" s="3" t="s">
        <v>214</v>
      </c>
      <c r="D69" s="38" t="n">
        <f aca="false">D65-D68</f>
        <v>26.82225</v>
      </c>
      <c r="E69" s="38" t="n">
        <f aca="false">E65-E68</f>
        <v>32.0572770625</v>
      </c>
      <c r="F69" s="38" t="n">
        <f aca="false">F65-F68</f>
        <v>32.0341555846157</v>
      </c>
      <c r="G69" s="38" t="n">
        <f aca="false">G65-G68</f>
        <v>31.8956297765919</v>
      </c>
      <c r="H69" s="38" t="n">
        <f aca="false">H65-H68</f>
        <v>31.6280017522932</v>
      </c>
      <c r="I69" s="38" t="n">
        <f aca="false">I65-I68</f>
        <v>31.2204636723971</v>
      </c>
      <c r="J69" s="38" t="n">
        <f aca="false">J65-J68</f>
        <v>30.6657602482078</v>
      </c>
      <c r="K69" s="38" t="n">
        <f aca="false">K65-K68</f>
        <v>29.8235562225935</v>
      </c>
      <c r="L69" s="38" t="n">
        <f aca="false">L65-L68</f>
        <v>27.855195572842</v>
      </c>
      <c r="M69" s="38" t="n">
        <f aca="false">M65-M68</f>
        <v>25.7040188125019</v>
      </c>
      <c r="N69" s="38" t="n">
        <f aca="false">N65-N68</f>
        <v>23.4001984392966</v>
      </c>
      <c r="O69" s="38" t="n">
        <f aca="false">O65-O68</f>
        <v>20.9801568821149</v>
      </c>
      <c r="P69" s="38" t="n">
        <f aca="false">P65-P68</f>
        <v>18.4864351891434</v>
      </c>
      <c r="Q69" s="38" t="n">
        <f aca="false">Q65-Q68</f>
        <v>15.9672450727553</v>
      </c>
      <c r="R69" s="38" t="n">
        <f aca="false">R65-R68</f>
        <v>13.4755228237056</v>
      </c>
      <c r="S69" s="38" t="n">
        <f aca="false">S65-S68</f>
        <v>11.06727247843</v>
      </c>
      <c r="T69" s="38" t="n">
        <f aca="false">T65-T68</f>
        <v>8.79900780185028</v>
      </c>
      <c r="U69" s="38" t="n">
        <f aca="false">U65-U68</f>
        <v>6.72421237021954</v>
      </c>
      <c r="V69" s="38" t="n">
        <f aca="false">V65-V68</f>
        <v>4.88895733628721</v>
      </c>
      <c r="W69" s="38" t="n">
        <f aca="false">W65-W68</f>
        <v>3.32713799806374</v>
      </c>
      <c r="X69" s="38" t="n">
        <f aca="false">X65-X68</f>
        <v>2.05614865518289</v>
      </c>
      <c r="Y69" s="38" t="n">
        <f aca="false">Y65-Y68</f>
        <v>1.07407982232219</v>
      </c>
      <c r="Z69" s="38" t="n">
        <f aca="false">Z65-Z68</f>
        <v>0.359516189119989</v>
      </c>
      <c r="AA69" s="38" t="n">
        <f aca="false">AA65-AA68</f>
        <v>-0.125415236107912</v>
      </c>
      <c r="AB69" s="38" t="n">
        <f aca="false">AB65-AB68</f>
        <v>-0.558991850708245</v>
      </c>
    </row>
    <row r="70" customFormat="false" ht="15" hidden="false" customHeight="false" outlineLevel="0" collapsed="false">
      <c r="B70" s="3" t="s">
        <v>215</v>
      </c>
      <c r="D70" s="38" t="n">
        <f aca="false">Supuestos!$C$7</f>
        <v>25</v>
      </c>
      <c r="E70" s="38" t="n">
        <f aca="false">D80</f>
        <v>25</v>
      </c>
      <c r="F70" s="38" t="n">
        <f aca="false">E80</f>
        <v>25</v>
      </c>
      <c r="G70" s="38" t="n">
        <f aca="false">F80</f>
        <v>25</v>
      </c>
      <c r="H70" s="38" t="n">
        <f aca="false">G80</f>
        <v>25</v>
      </c>
      <c r="I70" s="38" t="n">
        <f aca="false">H80</f>
        <v>25</v>
      </c>
      <c r="J70" s="38" t="n">
        <f aca="false">I80</f>
        <v>25</v>
      </c>
      <c r="K70" s="38" t="n">
        <f aca="false">J80</f>
        <v>22.8878531802614</v>
      </c>
      <c r="L70" s="38" t="n">
        <f aca="false">K80</f>
        <v>5.66985348924828</v>
      </c>
      <c r="M70" s="38" t="n">
        <f aca="false">L80</f>
        <v>0</v>
      </c>
      <c r="N70" s="38" t="n">
        <f aca="false">M80</f>
        <v>0</v>
      </c>
      <c r="O70" s="38" t="n">
        <f aca="false">N80</f>
        <v>0</v>
      </c>
      <c r="P70" s="38" t="n">
        <f aca="false">O80</f>
        <v>0</v>
      </c>
      <c r="Q70" s="38" t="n">
        <f aca="false">P80</f>
        <v>0</v>
      </c>
      <c r="R70" s="38" t="n">
        <f aca="false">Q80</f>
        <v>0</v>
      </c>
      <c r="S70" s="38" t="n">
        <f aca="false">R80</f>
        <v>0</v>
      </c>
      <c r="T70" s="38" t="n">
        <f aca="false">S80</f>
        <v>0</v>
      </c>
      <c r="U70" s="38" t="n">
        <f aca="false">T80</f>
        <v>0</v>
      </c>
      <c r="V70" s="38" t="n">
        <f aca="false">U80</f>
        <v>0</v>
      </c>
      <c r="W70" s="38" t="n">
        <f aca="false">V80</f>
        <v>0</v>
      </c>
      <c r="X70" s="38" t="n">
        <f aca="false">W80</f>
        <v>0</v>
      </c>
      <c r="Y70" s="38" t="n">
        <f aca="false">X80</f>
        <v>0</v>
      </c>
      <c r="Z70" s="38" t="n">
        <f aca="false">Y80</f>
        <v>0</v>
      </c>
      <c r="AA70" s="38" t="n">
        <f aca="false">Z80</f>
        <v>0</v>
      </c>
      <c r="AB70" s="38" t="n">
        <f aca="false">AA80</f>
        <v>0</v>
      </c>
    </row>
    <row r="71" customFormat="false" ht="15" hidden="false" customHeight="false" outlineLevel="0" collapsed="false">
      <c r="B71" s="3" t="s">
        <v>216</v>
      </c>
      <c r="D71" s="38" t="n">
        <f aca="false">D70*Supuestos!$C$8</f>
        <v>2.375</v>
      </c>
      <c r="E71" s="38" t="n">
        <f aca="false">E70*Supuestos!$C$8</f>
        <v>2.375</v>
      </c>
      <c r="F71" s="38" t="n">
        <f aca="false">F70*Supuestos!$C$8</f>
        <v>2.375</v>
      </c>
      <c r="G71" s="38" t="n">
        <f aca="false">G70*Supuestos!$C$8</f>
        <v>2.375</v>
      </c>
      <c r="H71" s="38" t="n">
        <f aca="false">H70*Supuestos!$C$8</f>
        <v>2.375</v>
      </c>
      <c r="I71" s="38" t="n">
        <f aca="false">I70*Supuestos!$C$8</f>
        <v>2.375</v>
      </c>
      <c r="J71" s="38" t="n">
        <f aca="false">J70*Supuestos!$C$8</f>
        <v>2.375</v>
      </c>
      <c r="K71" s="38" t="n">
        <f aca="false">K70*Supuestos!$C$8</f>
        <v>2.17434605212483</v>
      </c>
      <c r="L71" s="38" t="n">
        <f aca="false">L70*Supuestos!$C$8</f>
        <v>0.538636081478587</v>
      </c>
      <c r="M71" s="38" t="n">
        <f aca="false">M70*Supuestos!$C$8</f>
        <v>0</v>
      </c>
      <c r="N71" s="38" t="n">
        <f aca="false">N70*Supuestos!$C$8</f>
        <v>0</v>
      </c>
      <c r="O71" s="38" t="n">
        <f aca="false">O70*Supuestos!$C$8</f>
        <v>0</v>
      </c>
      <c r="P71" s="38" t="n">
        <f aca="false">P70*Supuestos!$C$8</f>
        <v>0</v>
      </c>
      <c r="Q71" s="38" t="n">
        <f aca="false">Q70*Supuestos!$C$8</f>
        <v>0</v>
      </c>
      <c r="R71" s="38" t="n">
        <f aca="false">R70*Supuestos!$C$8</f>
        <v>0</v>
      </c>
      <c r="S71" s="38" t="n">
        <f aca="false">S70*Supuestos!$C$8</f>
        <v>0</v>
      </c>
      <c r="T71" s="38" t="n">
        <f aca="false">T70*Supuestos!$C$8</f>
        <v>0</v>
      </c>
      <c r="U71" s="38" t="n">
        <f aca="false">U70*Supuestos!$C$8</f>
        <v>0</v>
      </c>
      <c r="V71" s="38" t="n">
        <f aca="false">V70*Supuestos!$C$8</f>
        <v>0</v>
      </c>
      <c r="W71" s="38" t="n">
        <f aca="false">W70*Supuestos!$C$8</f>
        <v>0</v>
      </c>
      <c r="X71" s="38" t="n">
        <f aca="false">X70*Supuestos!$C$8</f>
        <v>0</v>
      </c>
      <c r="Y71" s="38" t="n">
        <f aca="false">Y70*Supuestos!$C$8</f>
        <v>0</v>
      </c>
      <c r="Z71" s="38" t="n">
        <f aca="false">Z70*Supuestos!$C$8</f>
        <v>0</v>
      </c>
      <c r="AA71" s="38" t="n">
        <f aca="false">AA70*Supuestos!$C$8</f>
        <v>0</v>
      </c>
      <c r="AB71" s="38" t="n">
        <f aca="false">AB70*Supuestos!$C$8</f>
        <v>0</v>
      </c>
    </row>
    <row r="72" customFormat="false" ht="15" hidden="false" customHeight="false" outlineLevel="0" collapsed="false">
      <c r="B72" s="3" t="s">
        <v>217</v>
      </c>
      <c r="D72" s="38" t="n">
        <f aca="false">MAX(0,MIN(D69,D71))</f>
        <v>2.375</v>
      </c>
      <c r="E72" s="38" t="n">
        <f aca="false">MAX(0,MIN(E69,E71))</f>
        <v>2.375</v>
      </c>
      <c r="F72" s="38" t="n">
        <f aca="false">MAX(0,MIN(F69,F71))</f>
        <v>2.375</v>
      </c>
      <c r="G72" s="38" t="n">
        <f aca="false">MAX(0,MIN(G69,G71))</f>
        <v>2.375</v>
      </c>
      <c r="H72" s="38" t="n">
        <f aca="false">MAX(0,MIN(H69,H71))</f>
        <v>2.375</v>
      </c>
      <c r="I72" s="38" t="n">
        <f aca="false">MAX(0,MIN(I69,I71))</f>
        <v>2.375</v>
      </c>
      <c r="J72" s="38" t="n">
        <f aca="false">MAX(0,MIN(J69,J71))</f>
        <v>2.375</v>
      </c>
      <c r="K72" s="38" t="n">
        <f aca="false">MAX(0,MIN(K69,K71))</f>
        <v>2.17434605212483</v>
      </c>
      <c r="L72" s="38" t="n">
        <f aca="false">MAX(0,MIN(L69,L71))</f>
        <v>0.538636081478587</v>
      </c>
      <c r="M72" s="38" t="n">
        <f aca="false">MAX(0,MIN(M69,M71))</f>
        <v>0</v>
      </c>
      <c r="N72" s="38" t="n">
        <f aca="false">MAX(0,MIN(N69,N71))</f>
        <v>0</v>
      </c>
      <c r="O72" s="38" t="n">
        <f aca="false">MAX(0,MIN(O69,O71))</f>
        <v>0</v>
      </c>
      <c r="P72" s="38" t="n">
        <f aca="false">MAX(0,MIN(P69,P71))</f>
        <v>0</v>
      </c>
      <c r="Q72" s="38" t="n">
        <f aca="false">MAX(0,MIN(Q69,Q71))</f>
        <v>0</v>
      </c>
      <c r="R72" s="38" t="n">
        <f aca="false">MAX(0,MIN(R69,R71))</f>
        <v>0</v>
      </c>
      <c r="S72" s="38" t="n">
        <f aca="false">MAX(0,MIN(S69,S71))</f>
        <v>0</v>
      </c>
      <c r="T72" s="38" t="n">
        <f aca="false">MAX(0,MIN(T69,T71))</f>
        <v>0</v>
      </c>
      <c r="U72" s="38" t="n">
        <f aca="false">MAX(0,MIN(U69,U71))</f>
        <v>0</v>
      </c>
      <c r="V72" s="38" t="n">
        <f aca="false">MAX(0,MIN(V69,V71))</f>
        <v>0</v>
      </c>
      <c r="W72" s="38" t="n">
        <f aca="false">MAX(0,MIN(W69,W71))</f>
        <v>0</v>
      </c>
      <c r="X72" s="38" t="n">
        <f aca="false">MAX(0,MIN(X69,X71))</f>
        <v>0</v>
      </c>
      <c r="Y72" s="38" t="n">
        <f aca="false">MAX(0,MIN(Y69,Y71))</f>
        <v>0</v>
      </c>
      <c r="Z72" s="38" t="n">
        <f aca="false">MAX(0,MIN(Z69,Z71))</f>
        <v>0</v>
      </c>
      <c r="AA72" s="38" t="n">
        <f aca="false">MAX(0,MIN(AA69,AA71))</f>
        <v>0</v>
      </c>
      <c r="AB72" s="38" t="n">
        <f aca="false">MAX(0,MIN(AB69,AB71))</f>
        <v>0</v>
      </c>
    </row>
    <row r="73" customFormat="false" ht="15" hidden="false" customHeight="false" outlineLevel="0" collapsed="false">
      <c r="B73" s="3" t="s">
        <v>218</v>
      </c>
      <c r="D73" s="38" t="n">
        <f aca="false">D69-D72</f>
        <v>24.44725</v>
      </c>
      <c r="E73" s="38" t="n">
        <f aca="false">E69-E72</f>
        <v>29.6822770625</v>
      </c>
      <c r="F73" s="38" t="n">
        <f aca="false">F69-F72</f>
        <v>29.6591555846157</v>
      </c>
      <c r="G73" s="38" t="n">
        <f aca="false">G69-G72</f>
        <v>29.5206297765919</v>
      </c>
      <c r="H73" s="38" t="n">
        <f aca="false">H69-H72</f>
        <v>29.2530017522932</v>
      </c>
      <c r="I73" s="38" t="n">
        <f aca="false">I69-I72</f>
        <v>28.8454636723971</v>
      </c>
      <c r="J73" s="38" t="n">
        <f aca="false">J69-J72</f>
        <v>28.2907602482078</v>
      </c>
      <c r="K73" s="38" t="n">
        <f aca="false">K69-K72</f>
        <v>27.6492101704687</v>
      </c>
      <c r="L73" s="38" t="n">
        <f aca="false">L69-L72</f>
        <v>27.3165594913634</v>
      </c>
      <c r="M73" s="38" t="n">
        <f aca="false">M69-M72</f>
        <v>25.7040188125019</v>
      </c>
      <c r="N73" s="38" t="n">
        <f aca="false">N69-N72</f>
        <v>23.4001984392966</v>
      </c>
      <c r="O73" s="38" t="n">
        <f aca="false">O69-O72</f>
        <v>20.9801568821149</v>
      </c>
      <c r="P73" s="38" t="n">
        <f aca="false">P69-P72</f>
        <v>18.4864351891434</v>
      </c>
      <c r="Q73" s="38" t="n">
        <f aca="false">Q69-Q72</f>
        <v>15.9672450727553</v>
      </c>
      <c r="R73" s="38" t="n">
        <f aca="false">R69-R72</f>
        <v>13.4755228237056</v>
      </c>
      <c r="S73" s="38" t="n">
        <f aca="false">S69-S72</f>
        <v>11.06727247843</v>
      </c>
      <c r="T73" s="38" t="n">
        <f aca="false">T69-T72</f>
        <v>8.79900780185028</v>
      </c>
      <c r="U73" s="38" t="n">
        <f aca="false">U69-U72</f>
        <v>6.72421237021954</v>
      </c>
      <c r="V73" s="38" t="n">
        <f aca="false">V69-V72</f>
        <v>4.88895733628721</v>
      </c>
      <c r="W73" s="38" t="n">
        <f aca="false">W69-W72</f>
        <v>3.32713799806374</v>
      </c>
      <c r="X73" s="38" t="n">
        <f aca="false">X69-X72</f>
        <v>2.05614865518289</v>
      </c>
      <c r="Y73" s="38" t="n">
        <f aca="false">Y69-Y72</f>
        <v>1.07407982232219</v>
      </c>
      <c r="Z73" s="38" t="n">
        <f aca="false">Z69-Z72</f>
        <v>0.359516189119989</v>
      </c>
      <c r="AA73" s="38" t="n">
        <f aca="false">AA69-AA72</f>
        <v>-0.125415236107912</v>
      </c>
      <c r="AB73" s="38" t="n">
        <f aca="false">AB69-AB72</f>
        <v>-0.558991850708245</v>
      </c>
    </row>
    <row r="74" customFormat="false" ht="15" hidden="false" customHeight="false" outlineLevel="0" collapsed="false">
      <c r="B74" s="3" t="s">
        <v>219</v>
      </c>
      <c r="D74" s="38" t="n">
        <f aca="false">IF(D$3=Supuestos!$C$15,0,-D57*(1+$C$8)*Supuestos!$C$10/12)</f>
        <v>23.3</v>
      </c>
      <c r="E74" s="38" t="n">
        <f aca="false">IF(E$3=Supuestos!$C$15,0,-E57*(1+$C$8)*Supuestos!$C$10/12)</f>
        <v>21.289</v>
      </c>
      <c r="F74" s="38" t="n">
        <f aca="false">IF(F$3=Supuestos!$C$15,0,-F57*(1+$C$8)*Supuestos!$C$10/12)</f>
        <v>19.3139812</v>
      </c>
      <c r="G74" s="38" t="n">
        <f aca="false">IF(G$3=Supuestos!$C$15,0,-G57*(1+$C$8)*Supuestos!$C$10/12)</f>
        <v>17.3881439578504</v>
      </c>
      <c r="H74" s="38" t="n">
        <f aca="false">IF(H$3=Supuestos!$C$15,0,-H57*(1+$C$8)*Supuestos!$C$10/12)</f>
        <v>15.5245985007021</v>
      </c>
      <c r="I74" s="38" t="n">
        <f aca="false">IF(I$3=Supuestos!$C$15,0,-I57*(1+$C$8)*Supuestos!$C$10/12)</f>
        <v>13.7360710018164</v>
      </c>
      <c r="J74" s="38" t="n">
        <f aca="false">IF(J$3=Supuestos!$C$15,0,-J57*(1+$C$8)*Supuestos!$C$10/12)</f>
        <v>12.0345966164982</v>
      </c>
      <c r="K74" s="38" t="n">
        <f aca="false">IF(K$3=Supuestos!$C$15,0,-K57*(1+$C$8)*Supuestos!$C$10/12)</f>
        <v>10.4312104794555</v>
      </c>
      <c r="L74" s="38" t="n">
        <f aca="false">IF(L$3=Supuestos!$C$15,0,-L57*(1+$C$8)*Supuestos!$C$10/12)</f>
        <v>8.9356482291567</v>
      </c>
      <c r="M74" s="38" t="n">
        <f aca="false">IF(M$3=Supuestos!$C$15,0,-M57*(1+$C$8)*Supuestos!$C$10/12)</f>
        <v>7.55606722492869</v>
      </c>
      <c r="N74" s="38" t="n">
        <f aca="false">IF(N$3=Supuestos!$C$15,0,-N57*(1+$C$8)*Supuestos!$C$10/12)</f>
        <v>6.29879832107718</v>
      </c>
      <c r="O74" s="38" t="n">
        <f aca="false">IF(O$3=Supuestos!$C$15,0,-O57*(1+$C$8)*Supuestos!$C$10/12)</f>
        <v>5.16813618294114</v>
      </c>
      <c r="P74" s="38" t="n">
        <f aca="false">IF(P$3=Supuestos!$C$15,0,-P57*(1+$C$8)*Supuestos!$C$10/12)</f>
        <v>4.16617428012178</v>
      </c>
      <c r="Q74" s="38" t="n">
        <f aca="false">IF(Q$3=Supuestos!$C$15,0,-Q57*(1+$C$8)*Supuestos!$C$10/12)</f>
        <v>3.29268969453706</v>
      </c>
      <c r="R74" s="38" t="n">
        <f aca="false">IF(R$3=Supuestos!$C$15,0,-R57*(1+$C$8)*Supuestos!$C$10/12)</f>
        <v>2.54508357261619</v>
      </c>
      <c r="S74" s="38" t="n">
        <f aca="false">IF(S$3=Supuestos!$C$15,0,-S57*(1+$C$8)*Supuestos!$C$10/12)</f>
        <v>1.91838593633185</v>
      </c>
      <c r="T74" s="38" t="n">
        <f aca="false">IF(T$3=Supuestos!$C$15,0,-T57*(1+$C$8)*Supuestos!$C$10/12)</f>
        <v>1.405338361633</v>
      </c>
      <c r="U74" s="38" t="n">
        <f aca="false">IF(U$3=Supuestos!$C$15,0,-U57*(1+$C$8)*Supuestos!$C$10/12)</f>
        <v>0.996573218927236</v>
      </c>
      <c r="V74" s="38" t="n">
        <f aca="false">IF(V$3=Supuestos!$C$15,0,-V57*(1+$C$8)*Supuestos!$C$10/12)</f>
        <v>0.680910806300231</v>
      </c>
      <c r="W74" s="38" t="n">
        <f aca="false">IF(W$3=Supuestos!$C$15,0,-W57*(1+$C$8)*Supuestos!$C$10/12)</f>
        <v>0.445791785504472</v>
      </c>
      <c r="X74" s="38" t="n">
        <f aca="false">IF(X$3=Supuestos!$C$15,0,-X57*(1+$C$8)*Supuestos!$C$10/12)</f>
        <v>0.277847984782721</v>
      </c>
      <c r="Y74" s="38" t="n">
        <f aca="false">IF(Y$3=Supuestos!$C$15,0,-Y57*(1+$C$8)*Supuestos!$C$10/12)</f>
        <v>0.163588222294802</v>
      </c>
      <c r="Z74" s="38" t="n">
        <f aca="false">IF(Z$3=Supuestos!$C$15,0,-Z57*(1+$C$8)*Supuestos!$C$10/12)</f>
        <v>0.090140427962325</v>
      </c>
      <c r="AA74" s="38" t="n">
        <f aca="false">IF(AA$3=Supuestos!$C$15,0,-AA57*(1+$C$8)*Supuestos!$C$10/12)</f>
        <v>0.0459565449001691</v>
      </c>
      <c r="AB74" s="38" t="n">
        <f aca="false">IF(AB$3=Supuestos!$C$15,0,-AB57*(1+$C$8)*Supuestos!$C$10/12)</f>
        <v>0</v>
      </c>
    </row>
    <row r="75" customFormat="false" ht="15" hidden="false" customHeight="false" outlineLevel="0" collapsed="false">
      <c r="B75" s="3" t="s">
        <v>220</v>
      </c>
      <c r="D75" s="38" t="n">
        <f aca="false">MAX(0,MIN(D66+D67-D68,D73-D74))</f>
        <v>1.14725</v>
      </c>
      <c r="E75" s="38" t="n">
        <f aca="false">MAX(0,MIN(E66+E67-E68,E73-E74))</f>
        <v>8.39327706250001</v>
      </c>
      <c r="F75" s="38" t="n">
        <f aca="false">MAX(0,MIN(F66+F67-F68,F73-F74))</f>
        <v>10.3451743846157</v>
      </c>
      <c r="G75" s="38" t="n">
        <f aca="false">MAX(0,MIN(G66+G67-G68,G73-G74))</f>
        <v>12.1324858187415</v>
      </c>
      <c r="H75" s="38" t="n">
        <f aca="false">MAX(0,MIN(H66+H67-H68,H73-H74))</f>
        <v>13.7284032515911</v>
      </c>
      <c r="I75" s="38" t="n">
        <f aca="false">MAX(0,MIN(I66+I67-I68,I73-I74))</f>
        <v>15.1093926705807</v>
      </c>
      <c r="J75" s="38" t="n">
        <f aca="false">MAX(0,MIN(J66+J67-J68,J73-J74))</f>
        <v>14.144016811971</v>
      </c>
      <c r="K75" s="38" t="n">
        <f aca="false">MAX(0,MIN(K66+K67-K68,K73-K74))</f>
        <v>0</v>
      </c>
      <c r="L75" s="38" t="n">
        <f aca="false">MAX(0,MIN(L66+L67-L68,L73-L74))</f>
        <v>0</v>
      </c>
      <c r="M75" s="38" t="n">
        <f aca="false">MAX(0,MIN(M66+M67-M68,M73-M74))</f>
        <v>0</v>
      </c>
      <c r="N75" s="38" t="n">
        <f aca="false">MAX(0,MIN(N66+N67-N68,N73-N74))</f>
        <v>0</v>
      </c>
      <c r="O75" s="38" t="n">
        <f aca="false">MAX(0,MIN(O66+O67-O68,O73-O74))</f>
        <v>0</v>
      </c>
      <c r="P75" s="38" t="n">
        <f aca="false">MAX(0,MIN(P66+P67-P68,P73-P74))</f>
        <v>0</v>
      </c>
      <c r="Q75" s="38" t="n">
        <f aca="false">MAX(0,MIN(Q66+Q67-Q68,Q73-Q74))</f>
        <v>0</v>
      </c>
      <c r="R75" s="38" t="n">
        <f aca="false">MAX(0,MIN(R66+R67-R68,R73-R74))</f>
        <v>0</v>
      </c>
      <c r="S75" s="38" t="n">
        <f aca="false">MAX(0,MIN(S66+S67-S68,S73-S74))</f>
        <v>0</v>
      </c>
      <c r="T75" s="38" t="n">
        <f aca="false">MAX(0,MIN(T66+T67-T68,T73-T74))</f>
        <v>0</v>
      </c>
      <c r="U75" s="38" t="n">
        <f aca="false">MAX(0,MIN(U66+U67-U68,U73-U74))</f>
        <v>0</v>
      </c>
      <c r="V75" s="38" t="n">
        <f aca="false">MAX(0,MIN(V66+V67-V68,V73-V74))</f>
        <v>0</v>
      </c>
      <c r="W75" s="38" t="n">
        <f aca="false">MAX(0,MIN(W66+W67-W68,W73-W74))</f>
        <v>0</v>
      </c>
      <c r="X75" s="38" t="n">
        <f aca="false">MAX(0,MIN(X66+X67-X68,X73-X74))</f>
        <v>0</v>
      </c>
      <c r="Y75" s="38" t="n">
        <f aca="false">MAX(0,MIN(Y66+Y67-Y68,Y73-Y74))</f>
        <v>0</v>
      </c>
      <c r="Z75" s="38" t="n">
        <f aca="false">MAX(0,MIN(Z66+Z67-Z68,Z73-Z74))</f>
        <v>0</v>
      </c>
      <c r="AA75" s="38" t="n">
        <f aca="false">MAX(0,MIN(AA66+AA67-AA68,AA73-AA74))</f>
        <v>0</v>
      </c>
      <c r="AB75" s="38" t="n">
        <f aca="false">MAX(0,MIN(AB66+AB67-AB68,AB73-AB74))</f>
        <v>0</v>
      </c>
    </row>
    <row r="76" customFormat="false" ht="15" hidden="false" customHeight="false" outlineLevel="0" collapsed="false">
      <c r="B76" s="3" t="s">
        <v>221</v>
      </c>
      <c r="D76" s="38" t="n">
        <f aca="false">D73-D75</f>
        <v>23.3</v>
      </c>
      <c r="E76" s="38" t="n">
        <f aca="false">E73-E75</f>
        <v>21.289</v>
      </c>
      <c r="F76" s="38" t="n">
        <f aca="false">F73-F75</f>
        <v>19.3139812</v>
      </c>
      <c r="G76" s="38" t="n">
        <f aca="false">G73-G75</f>
        <v>17.3881439578504</v>
      </c>
      <c r="H76" s="38" t="n">
        <f aca="false">H73-H75</f>
        <v>15.5245985007021</v>
      </c>
      <c r="I76" s="38" t="n">
        <f aca="false">I73-I75</f>
        <v>13.7360710018164</v>
      </c>
      <c r="J76" s="38" t="n">
        <f aca="false">J73-J75</f>
        <v>14.1467434362368</v>
      </c>
      <c r="K76" s="38" t="n">
        <f aca="false">K73-K75</f>
        <v>27.6492101704687</v>
      </c>
      <c r="L76" s="38" t="n">
        <f aca="false">L73-L75</f>
        <v>27.3165594913634</v>
      </c>
      <c r="M76" s="38" t="n">
        <f aca="false">M73-M75</f>
        <v>25.7040188125019</v>
      </c>
      <c r="N76" s="38" t="n">
        <f aca="false">N73-N75</f>
        <v>23.4001984392966</v>
      </c>
      <c r="O76" s="38" t="n">
        <f aca="false">O73-O75</f>
        <v>20.9801568821149</v>
      </c>
      <c r="P76" s="38" t="n">
        <f aca="false">P73-P75</f>
        <v>18.4864351891434</v>
      </c>
      <c r="Q76" s="38" t="n">
        <f aca="false">Q73-Q75</f>
        <v>15.9672450727553</v>
      </c>
      <c r="R76" s="38" t="n">
        <f aca="false">R73-R75</f>
        <v>13.4755228237056</v>
      </c>
      <c r="S76" s="38" t="n">
        <f aca="false">S73-S75</f>
        <v>11.06727247843</v>
      </c>
      <c r="T76" s="38" t="n">
        <f aca="false">T73-T75</f>
        <v>8.79900780185028</v>
      </c>
      <c r="U76" s="38" t="n">
        <f aca="false">U73-U75</f>
        <v>6.72421237021954</v>
      </c>
      <c r="V76" s="38" t="n">
        <f aca="false">V73-V75</f>
        <v>4.88895733628721</v>
      </c>
      <c r="W76" s="38" t="n">
        <f aca="false">W73-W75</f>
        <v>3.32713799806374</v>
      </c>
      <c r="X76" s="38" t="n">
        <f aca="false">X73-X75</f>
        <v>2.05614865518289</v>
      </c>
      <c r="Y76" s="38" t="n">
        <f aca="false">Y73-Y75</f>
        <v>1.07407982232219</v>
      </c>
      <c r="Z76" s="38" t="n">
        <f aca="false">Z73-Z75</f>
        <v>0.359516189119989</v>
      </c>
      <c r="AA76" s="38" t="n">
        <f aca="false">AA73-AA75</f>
        <v>-0.125415236107912</v>
      </c>
      <c r="AB76" s="38" t="n">
        <f aca="false">AB73-AB75</f>
        <v>-0.558991850708245</v>
      </c>
    </row>
    <row r="77" customFormat="false" ht="15" hidden="false" customHeight="false" outlineLevel="0" collapsed="false">
      <c r="B77" s="3" t="s">
        <v>222</v>
      </c>
      <c r="D77" s="38" t="n">
        <f aca="false">MAX(0,MIN(D70+D71-D72,D76-D74))</f>
        <v>0</v>
      </c>
      <c r="E77" s="38" t="n">
        <f aca="false">MAX(0,MIN(E70+E71-E72,E76-E74))</f>
        <v>0</v>
      </c>
      <c r="F77" s="38" t="n">
        <f aca="false">MAX(0,MIN(F70+F71-F72,F76-F74))</f>
        <v>0</v>
      </c>
      <c r="G77" s="38" t="n">
        <f aca="false">MAX(0,MIN(G70+G71-G72,G76-G74))</f>
        <v>0</v>
      </c>
      <c r="H77" s="38" t="n">
        <f aca="false">MAX(0,MIN(H70+H71-H72,H76-H74))</f>
        <v>0</v>
      </c>
      <c r="I77" s="38" t="n">
        <f aca="false">MAX(0,MIN(I70+I71-I72,I76-I74))</f>
        <v>0</v>
      </c>
      <c r="J77" s="38" t="n">
        <f aca="false">MAX(0,MIN(J70+J71-J72,J76-J74))</f>
        <v>2.1121468197386</v>
      </c>
      <c r="K77" s="38" t="n">
        <f aca="false">MAX(0,MIN(K70+K71-K72,K76-K74))</f>
        <v>17.2179996910131</v>
      </c>
      <c r="L77" s="38" t="n">
        <f aca="false">MAX(0,MIN(L70+L71-L72,L76-L74))</f>
        <v>5.66985348924828</v>
      </c>
      <c r="M77" s="38" t="n">
        <f aca="false">MAX(0,MIN(M70+M71-M72,M76-M74))</f>
        <v>0</v>
      </c>
      <c r="N77" s="38" t="n">
        <f aca="false">MAX(0,MIN(N70+N71-N72,N76-N74))</f>
        <v>0</v>
      </c>
      <c r="O77" s="38" t="n">
        <f aca="false">MAX(0,MIN(O70+O71-O72,O76-O74))</f>
        <v>0</v>
      </c>
      <c r="P77" s="38" t="n">
        <f aca="false">MAX(0,MIN(P70+P71-P72,P76-P74))</f>
        <v>0</v>
      </c>
      <c r="Q77" s="38" t="n">
        <f aca="false">MAX(0,MIN(Q70+Q71-Q72,Q76-Q74))</f>
        <v>0</v>
      </c>
      <c r="R77" s="38" t="n">
        <f aca="false">MAX(0,MIN(R70+R71-R72,R76-R74))</f>
        <v>0</v>
      </c>
      <c r="S77" s="38" t="n">
        <f aca="false">MAX(0,MIN(S70+S71-S72,S76-S74))</f>
        <v>0</v>
      </c>
      <c r="T77" s="38" t="n">
        <f aca="false">MAX(0,MIN(T70+T71-T72,T76-T74))</f>
        <v>0</v>
      </c>
      <c r="U77" s="38" t="n">
        <f aca="false">MAX(0,MIN(U70+U71-U72,U76-U74))</f>
        <v>0</v>
      </c>
      <c r="V77" s="38" t="n">
        <f aca="false">MAX(0,MIN(V70+V71-V72,V76-V74))</f>
        <v>0</v>
      </c>
      <c r="W77" s="38" t="n">
        <f aca="false">MAX(0,MIN(W70+W71-W72,W76-W74))</f>
        <v>0</v>
      </c>
      <c r="X77" s="38" t="n">
        <f aca="false">MAX(0,MIN(X70+X71-X72,X76-X74))</f>
        <v>0</v>
      </c>
      <c r="Y77" s="38" t="n">
        <f aca="false">MAX(0,MIN(Y70+Y71-Y72,Y76-Y74))</f>
        <v>0</v>
      </c>
      <c r="Z77" s="38" t="n">
        <f aca="false">MAX(0,MIN(Z70+Z71-Z72,Z76-Z74))</f>
        <v>0</v>
      </c>
      <c r="AA77" s="38" t="n">
        <f aca="false">MAX(0,MIN(AA70+AA71-AA72,AA76-AA74))</f>
        <v>0</v>
      </c>
      <c r="AB77" s="38" t="n">
        <f aca="false">MAX(0,MIN(AB70+AB71-AB72,AB76-AB74))</f>
        <v>0</v>
      </c>
    </row>
    <row r="78" customFormat="false" ht="15" hidden="false" customHeight="false" outlineLevel="0" collapsed="false">
      <c r="B78" s="3" t="s">
        <v>223</v>
      </c>
      <c r="D78" s="38" t="n">
        <f aca="false">D76-D77</f>
        <v>23.3</v>
      </c>
      <c r="E78" s="38" t="n">
        <f aca="false">E76-E77</f>
        <v>21.289</v>
      </c>
      <c r="F78" s="38" t="n">
        <f aca="false">F76-F77</f>
        <v>19.3139812</v>
      </c>
      <c r="G78" s="38" t="n">
        <f aca="false">G76-G77</f>
        <v>17.3881439578504</v>
      </c>
      <c r="H78" s="38" t="n">
        <f aca="false">H76-H77</f>
        <v>15.5245985007021</v>
      </c>
      <c r="I78" s="38" t="n">
        <f aca="false">I76-I77</f>
        <v>13.7360710018164</v>
      </c>
      <c r="J78" s="38" t="n">
        <f aca="false">J76-J77</f>
        <v>12.0345966164982</v>
      </c>
      <c r="K78" s="38" t="n">
        <f aca="false">K76-K77</f>
        <v>10.4312104794555</v>
      </c>
      <c r="L78" s="38" t="n">
        <f aca="false">L76-L77</f>
        <v>21.6467060021151</v>
      </c>
      <c r="M78" s="38" t="n">
        <f aca="false">M76-M77</f>
        <v>25.7040188125019</v>
      </c>
      <c r="N78" s="38" t="n">
        <f aca="false">N76-N77</f>
        <v>23.4001984392966</v>
      </c>
      <c r="O78" s="38" t="n">
        <f aca="false">O76-O77</f>
        <v>20.9801568821149</v>
      </c>
      <c r="P78" s="38" t="n">
        <f aca="false">P76-P77</f>
        <v>18.4864351891434</v>
      </c>
      <c r="Q78" s="38" t="n">
        <f aca="false">Q76-Q77</f>
        <v>15.9672450727553</v>
      </c>
      <c r="R78" s="38" t="n">
        <f aca="false">R76-R77</f>
        <v>13.4755228237056</v>
      </c>
      <c r="S78" s="38" t="n">
        <f aca="false">S76-S77</f>
        <v>11.06727247843</v>
      </c>
      <c r="T78" s="38" t="n">
        <f aca="false">T76-T77</f>
        <v>8.79900780185028</v>
      </c>
      <c r="U78" s="38" t="n">
        <f aca="false">U76-U77</f>
        <v>6.72421237021954</v>
      </c>
      <c r="V78" s="38" t="n">
        <f aca="false">V76-V77</f>
        <v>4.88895733628721</v>
      </c>
      <c r="W78" s="38" t="n">
        <f aca="false">W76-W77</f>
        <v>3.32713799806374</v>
      </c>
      <c r="X78" s="38" t="n">
        <f aca="false">X76-X77</f>
        <v>2.05614865518289</v>
      </c>
      <c r="Y78" s="38" t="n">
        <f aca="false">Y76-Y77</f>
        <v>1.07407982232219</v>
      </c>
      <c r="Z78" s="38" t="n">
        <f aca="false">Z76-Z77</f>
        <v>0.359516189119989</v>
      </c>
      <c r="AA78" s="38" t="n">
        <f aca="false">AA76-AA77</f>
        <v>-0.125415236107912</v>
      </c>
      <c r="AB78" s="38" t="n">
        <f aca="false">AB76-AB77</f>
        <v>-0.558991850708245</v>
      </c>
    </row>
    <row r="79" customFormat="false" ht="15" hidden="false" customHeight="false" outlineLevel="0" collapsed="false">
      <c r="B79" s="3" t="s">
        <v>224</v>
      </c>
      <c r="D79" s="38" t="n">
        <f aca="false">D66+D67-D68-D75</f>
        <v>73.85275</v>
      </c>
      <c r="E79" s="38" t="n">
        <f aca="false">E66+E67-E68-E75</f>
        <v>65.4594729375</v>
      </c>
      <c r="F79" s="38" t="n">
        <f aca="false">F66+F67-F68-F75</f>
        <v>55.1142985528843</v>
      </c>
      <c r="G79" s="38" t="n">
        <f aca="false">G66+G67-G68-G75</f>
        <v>42.9818127341428</v>
      </c>
      <c r="H79" s="38" t="n">
        <f aca="false">H66+H67-H68-H75</f>
        <v>29.2534094825517</v>
      </c>
      <c r="I79" s="38" t="n">
        <f aca="false">I66+I67-I68-I75</f>
        <v>14.144016811971</v>
      </c>
      <c r="J79" s="38" t="n">
        <f aca="false">J66+J67-J68-J75</f>
        <v>0</v>
      </c>
      <c r="K79" s="38" t="n">
        <f aca="false">K66+K67-K68-K75</f>
        <v>0</v>
      </c>
      <c r="L79" s="38" t="n">
        <f aca="false">L66+L67-L68-L75</f>
        <v>0</v>
      </c>
      <c r="M79" s="38" t="n">
        <f aca="false">M66+M67-M68-M75</f>
        <v>0</v>
      </c>
      <c r="N79" s="38" t="n">
        <f aca="false">N66+N67-N68-N75</f>
        <v>0</v>
      </c>
      <c r="O79" s="38" t="n">
        <f aca="false">O66+O67-O68-O75</f>
        <v>0</v>
      </c>
      <c r="P79" s="38" t="n">
        <f aca="false">P66+P67-P68-P75</f>
        <v>0</v>
      </c>
      <c r="Q79" s="38" t="n">
        <f aca="false">Q66+Q67-Q68-Q75</f>
        <v>0</v>
      </c>
      <c r="R79" s="38" t="n">
        <f aca="false">R66+R67-R68-R75</f>
        <v>0</v>
      </c>
      <c r="S79" s="38" t="n">
        <f aca="false">S66+S67-S68-S75</f>
        <v>0</v>
      </c>
      <c r="T79" s="38" t="n">
        <f aca="false">T66+T67-T68-T75</f>
        <v>0</v>
      </c>
      <c r="U79" s="38" t="n">
        <f aca="false">U66+U67-U68-U75</f>
        <v>0</v>
      </c>
      <c r="V79" s="38" t="n">
        <f aca="false">V66+V67-V68-V75</f>
        <v>0</v>
      </c>
      <c r="W79" s="38" t="n">
        <f aca="false">W66+W67-W68-W75</f>
        <v>0</v>
      </c>
      <c r="X79" s="38" t="n">
        <f aca="false">X66+X67-X68-X75</f>
        <v>0</v>
      </c>
      <c r="Y79" s="38" t="n">
        <f aca="false">Y66+Y67-Y68-Y75</f>
        <v>0</v>
      </c>
      <c r="Z79" s="38" t="n">
        <f aca="false">Z66+Z67-Z68-Z75</f>
        <v>0</v>
      </c>
      <c r="AA79" s="38" t="n">
        <f aca="false">AA66+AA67-AA68-AA75</f>
        <v>0</v>
      </c>
      <c r="AB79" s="38" t="n">
        <f aca="false">AB66+AB67-AB68-AB75</f>
        <v>0</v>
      </c>
    </row>
    <row r="80" customFormat="false" ht="15" hidden="false" customHeight="false" outlineLevel="0" collapsed="false">
      <c r="B80" s="3" t="s">
        <v>225</v>
      </c>
      <c r="D80" s="38" t="n">
        <f aca="false">D70+D71-D72-D77</f>
        <v>25</v>
      </c>
      <c r="E80" s="38" t="n">
        <f aca="false">E70+E71-E72-E77</f>
        <v>25</v>
      </c>
      <c r="F80" s="38" t="n">
        <f aca="false">F70+F71-F72-F77</f>
        <v>25</v>
      </c>
      <c r="G80" s="38" t="n">
        <f aca="false">G70+G71-G72-G77</f>
        <v>25</v>
      </c>
      <c r="H80" s="38" t="n">
        <f aca="false">H70+H71-H72-H77</f>
        <v>25</v>
      </c>
      <c r="I80" s="38" t="n">
        <f aca="false">I70+I71-I72-I77</f>
        <v>25</v>
      </c>
      <c r="J80" s="38" t="n">
        <f aca="false">J70+J71-J72-J77</f>
        <v>22.8878531802614</v>
      </c>
      <c r="K80" s="38" t="n">
        <f aca="false">K70+K71-K72-K77</f>
        <v>5.66985348924828</v>
      </c>
      <c r="L80" s="38" t="n">
        <f aca="false">L70+L71-L72-L77</f>
        <v>0</v>
      </c>
      <c r="M80" s="38" t="n">
        <f aca="false">M70+M71-M72-M77</f>
        <v>0</v>
      </c>
      <c r="N80" s="38" t="n">
        <f aca="false">N70+N71-N72-N77</f>
        <v>0</v>
      </c>
      <c r="O80" s="38" t="n">
        <f aca="false">O70+O71-O72-O77</f>
        <v>0</v>
      </c>
      <c r="P80" s="38" t="n">
        <f aca="false">P70+P71-P72-P77</f>
        <v>0</v>
      </c>
      <c r="Q80" s="38" t="n">
        <f aca="false">Q70+Q71-Q72-Q77</f>
        <v>0</v>
      </c>
      <c r="R80" s="38" t="n">
        <f aca="false">R70+R71-R72-R77</f>
        <v>0</v>
      </c>
      <c r="S80" s="38" t="n">
        <f aca="false">S70+S71-S72-S77</f>
        <v>0</v>
      </c>
      <c r="T80" s="38" t="n">
        <f aca="false">T70+T71-T72-T77</f>
        <v>0</v>
      </c>
      <c r="U80" s="38" t="n">
        <f aca="false">U70+U71-U72-U77</f>
        <v>0</v>
      </c>
      <c r="V80" s="38" t="n">
        <f aca="false">V70+V71-V72-V77</f>
        <v>0</v>
      </c>
      <c r="W80" s="38" t="n">
        <f aca="false">W70+W71-W72-W77</f>
        <v>0</v>
      </c>
      <c r="X80" s="38" t="n">
        <f aca="false">X70+X71-X72-X77</f>
        <v>0</v>
      </c>
      <c r="Y80" s="38" t="n">
        <f aca="false">Y70+Y71-Y72-Y77</f>
        <v>0</v>
      </c>
      <c r="Z80" s="38" t="n">
        <f aca="false">Z70+Z71-Z72-Z77</f>
        <v>0</v>
      </c>
      <c r="AA80" s="38" t="n">
        <f aca="false">AA70+AA71-AA72-AA77</f>
        <v>0</v>
      </c>
      <c r="AB80" s="38" t="n">
        <f aca="false">AB70+AB71-AB72-AB77</f>
        <v>0</v>
      </c>
    </row>
    <row r="81" customFormat="false" ht="15" hidden="false" customHeight="false" outlineLevel="0" collapsed="false">
      <c r="B81" s="3" t="s">
        <v>226</v>
      </c>
      <c r="D81" s="38" t="n">
        <f aca="false">IF(D79+D80&lt;0.000001,MAX(0,D78-D74),0)</f>
        <v>0</v>
      </c>
      <c r="E81" s="38" t="n">
        <f aca="false">IF(E79+E80&lt;0.000001,MAX(0,E78-E74),0)</f>
        <v>0</v>
      </c>
      <c r="F81" s="38" t="n">
        <f aca="false">IF(F79+F80&lt;0.000001,MAX(0,F78-F74),0)</f>
        <v>0</v>
      </c>
      <c r="G81" s="38" t="n">
        <f aca="false">IF(G79+G80&lt;0.000001,MAX(0,G78-G74),0)</f>
        <v>0</v>
      </c>
      <c r="H81" s="38" t="n">
        <f aca="false">IF(H79+H80&lt;0.000001,MAX(0,H78-H74),0)</f>
        <v>0</v>
      </c>
      <c r="I81" s="38" t="n">
        <f aca="false">IF(I79+I80&lt;0.000001,MAX(0,I78-I74),0)</f>
        <v>0</v>
      </c>
      <c r="J81" s="38" t="n">
        <f aca="false">IF(J79+J80&lt;0.000001,MAX(0,J78-J74),0)</f>
        <v>0</v>
      </c>
      <c r="K81" s="38" t="n">
        <f aca="false">IF(K79+K80&lt;0.000001,MAX(0,K78-K74),0)</f>
        <v>0</v>
      </c>
      <c r="L81" s="38" t="n">
        <f aca="false">IF(L79+L80&lt;0.000001,MAX(0,L78-L74),0)</f>
        <v>12.7110577729584</v>
      </c>
      <c r="M81" s="38" t="n">
        <f aca="false">IF(M79+M80&lt;0.000001,MAX(0,M78-M74),0)</f>
        <v>18.1479515875732</v>
      </c>
      <c r="N81" s="38" t="n">
        <f aca="false">IF(N79+N80&lt;0.000001,MAX(0,N78-N74),0)</f>
        <v>17.1014001182194</v>
      </c>
      <c r="O81" s="38" t="n">
        <f aca="false">IF(O79+O80&lt;0.000001,MAX(0,O78-O74),0)</f>
        <v>15.8120206991737</v>
      </c>
      <c r="P81" s="38" t="n">
        <f aca="false">IF(P79+P80&lt;0.000001,MAX(0,P78-P74),0)</f>
        <v>14.3202609090217</v>
      </c>
      <c r="Q81" s="38" t="n">
        <f aca="false">IF(Q79+Q80&lt;0.000001,MAX(0,Q78-Q74),0)</f>
        <v>12.6745553782182</v>
      </c>
      <c r="R81" s="38" t="n">
        <f aca="false">IF(R79+R80&lt;0.000001,MAX(0,R78-R74),0)</f>
        <v>10.9304392510894</v>
      </c>
      <c r="S81" s="38" t="n">
        <f aca="false">IF(S79+S80&lt;0.000001,MAX(0,S78-S74),0)</f>
        <v>9.14888654209815</v>
      </c>
      <c r="T81" s="38" t="n">
        <f aca="false">IF(T79+T80&lt;0.000001,MAX(0,T78-T74),0)</f>
        <v>7.39366944021728</v>
      </c>
      <c r="U81" s="38" t="n">
        <f aca="false">IF(U79+U80&lt;0.000001,MAX(0,U78-U74),0)</f>
        <v>5.7276391512923</v>
      </c>
      <c r="V81" s="38" t="n">
        <f aca="false">IF(V79+V80&lt;0.000001,MAX(0,V78-V74),0)</f>
        <v>4.20804652998698</v>
      </c>
      <c r="W81" s="38" t="n">
        <f aca="false">IF(W79+W80&lt;0.000001,MAX(0,W78-W74),0)</f>
        <v>2.88134621255927</v>
      </c>
      <c r="X81" s="38" t="n">
        <f aca="false">IF(X79+X80&lt;0.000001,MAX(0,X78-X74),0)</f>
        <v>1.77830067040017</v>
      </c>
      <c r="Y81" s="38" t="n">
        <f aca="false">IF(Y79+Y80&lt;0.000001,MAX(0,Y78-Y74),0)</f>
        <v>0.910491600027392</v>
      </c>
      <c r="Z81" s="38" t="n">
        <f aca="false">IF(Z79+Z80&lt;0.000001,MAX(0,Z78-Z74),0)</f>
        <v>0.269375761157664</v>
      </c>
      <c r="AA81" s="38" t="n">
        <f aca="false">IF(AA79+AA80&lt;0.000001,MAX(0,AA78-AA74),0)</f>
        <v>0</v>
      </c>
      <c r="AB81" s="38" t="n">
        <f aca="false">IF(AB79+AB80&lt;0.000001,MAX(0,AB78-AB74),0)</f>
        <v>0</v>
      </c>
    </row>
    <row r="82" customFormat="false" ht="15" hidden="false" customHeight="false" outlineLevel="0" collapsed="false">
      <c r="B82" s="2" t="s">
        <v>227</v>
      </c>
      <c r="D82" s="38" t="n">
        <f aca="false">D78-D81</f>
        <v>23.3</v>
      </c>
      <c r="E82" s="38" t="n">
        <f aca="false">E78-E81</f>
        <v>21.289</v>
      </c>
      <c r="F82" s="38" t="n">
        <f aca="false">F78-F81</f>
        <v>19.3139812</v>
      </c>
      <c r="G82" s="38" t="n">
        <f aca="false">G78-G81</f>
        <v>17.3881439578504</v>
      </c>
      <c r="H82" s="38" t="n">
        <f aca="false">H78-H81</f>
        <v>15.5245985007021</v>
      </c>
      <c r="I82" s="38" t="n">
        <f aca="false">I78-I81</f>
        <v>13.7360710018164</v>
      </c>
      <c r="J82" s="38" t="n">
        <f aca="false">J78-J81</f>
        <v>12.0345966164982</v>
      </c>
      <c r="K82" s="38" t="n">
        <f aca="false">K78-K81</f>
        <v>10.4312104794555</v>
      </c>
      <c r="L82" s="38" t="n">
        <f aca="false">L78-L81</f>
        <v>8.9356482291567</v>
      </c>
      <c r="M82" s="38" t="n">
        <f aca="false">M78-M81</f>
        <v>7.55606722492869</v>
      </c>
      <c r="N82" s="38" t="n">
        <f aca="false">N78-N81</f>
        <v>6.29879832107718</v>
      </c>
      <c r="O82" s="38" t="n">
        <f aca="false">O78-O81</f>
        <v>5.16813618294114</v>
      </c>
      <c r="P82" s="38" t="n">
        <f aca="false">P78-P81</f>
        <v>4.16617428012178</v>
      </c>
      <c r="Q82" s="38" t="n">
        <f aca="false">Q78-Q81</f>
        <v>3.29268969453706</v>
      </c>
      <c r="R82" s="38" t="n">
        <f aca="false">R78-R81</f>
        <v>2.54508357261619</v>
      </c>
      <c r="S82" s="38" t="n">
        <f aca="false">S78-S81</f>
        <v>1.91838593633185</v>
      </c>
      <c r="T82" s="38" t="n">
        <f aca="false">T78-T81</f>
        <v>1.405338361633</v>
      </c>
      <c r="U82" s="38" t="n">
        <f aca="false">U78-U81</f>
        <v>0.996573218927236</v>
      </c>
      <c r="V82" s="38" t="n">
        <f aca="false">V78-V81</f>
        <v>0.680910806300231</v>
      </c>
      <c r="W82" s="38" t="n">
        <f aca="false">W78-W81</f>
        <v>0.445791785504472</v>
      </c>
      <c r="X82" s="38" t="n">
        <f aca="false">X78-X81</f>
        <v>0.277847984782721</v>
      </c>
      <c r="Y82" s="38" t="n">
        <f aca="false">Y78-Y81</f>
        <v>0.163588222294802</v>
      </c>
      <c r="Z82" s="38" t="n">
        <f aca="false">Z78-Z81</f>
        <v>0.090140427962325</v>
      </c>
      <c r="AA82" s="38" t="n">
        <f aca="false">AA78-AA81</f>
        <v>-0.125415236107912</v>
      </c>
      <c r="AB82" s="38" t="n">
        <f aca="false">AB78-AB81</f>
        <v>-0.558991850708245</v>
      </c>
    </row>
    <row r="83" customFormat="false" ht="15" hidden="false" customHeight="false" outlineLevel="0" collapsed="false">
      <c r="B83" s="3" t="s">
        <v>228</v>
      </c>
      <c r="D83" s="10" t="n">
        <f aca="false">IF(AND(D65&lt;0,D66+D70&gt;0.000001),1,0)</f>
        <v>0</v>
      </c>
      <c r="E83" s="10" t="n">
        <f aca="false">IF(AND(E65&lt;0,E66+E70&gt;0.000001),1,0)</f>
        <v>0</v>
      </c>
      <c r="F83" s="10" t="n">
        <f aca="false">IF(AND(F65&lt;0,F66+F70&gt;0.000001),1,0)</f>
        <v>0</v>
      </c>
      <c r="G83" s="10" t="n">
        <f aca="false">IF(AND(G65&lt;0,G66+G70&gt;0.000001),1,0)</f>
        <v>0</v>
      </c>
      <c r="H83" s="10" t="n">
        <f aca="false">IF(AND(H65&lt;0,H66+H70&gt;0.000001),1,0)</f>
        <v>0</v>
      </c>
      <c r="I83" s="10" t="n">
        <f aca="false">IF(AND(I65&lt;0,I66+I70&gt;0.000001),1,0)</f>
        <v>0</v>
      </c>
      <c r="J83" s="10" t="n">
        <f aca="false">IF(AND(J65&lt;0,J66+J70&gt;0.000001),1,0)</f>
        <v>0</v>
      </c>
      <c r="K83" s="10" t="n">
        <f aca="false">IF(AND(K65&lt;0,K66+K70&gt;0.000001),1,0)</f>
        <v>0</v>
      </c>
      <c r="L83" s="10" t="n">
        <f aca="false">IF(AND(L65&lt;0,L66+L70&gt;0.000001),1,0)</f>
        <v>0</v>
      </c>
      <c r="M83" s="10" t="n">
        <f aca="false">IF(AND(M65&lt;0,M66+M70&gt;0.000001),1,0)</f>
        <v>0</v>
      </c>
      <c r="N83" s="10" t="n">
        <f aca="false">IF(AND(N65&lt;0,N66+N70&gt;0.000001),1,0)</f>
        <v>0</v>
      </c>
      <c r="O83" s="10" t="n">
        <f aca="false">IF(AND(O65&lt;0,O66+O70&gt;0.000001),1,0)</f>
        <v>0</v>
      </c>
      <c r="P83" s="10" t="n">
        <f aca="false">IF(AND(P65&lt;0,P66+P70&gt;0.000001),1,0)</f>
        <v>0</v>
      </c>
      <c r="Q83" s="10" t="n">
        <f aca="false">IF(AND(Q65&lt;0,Q66+Q70&gt;0.000001),1,0)</f>
        <v>0</v>
      </c>
      <c r="R83" s="10" t="n">
        <f aca="false">IF(AND(R65&lt;0,R66+R70&gt;0.000001),1,0)</f>
        <v>0</v>
      </c>
      <c r="S83" s="10" t="n">
        <f aca="false">IF(AND(S65&lt;0,S66+S70&gt;0.000001),1,0)</f>
        <v>0</v>
      </c>
      <c r="T83" s="10" t="n">
        <f aca="false">IF(AND(T65&lt;0,T66+T70&gt;0.000001),1,0)</f>
        <v>0</v>
      </c>
      <c r="U83" s="10" t="n">
        <f aca="false">IF(AND(U65&lt;0,U66+U70&gt;0.000001),1,0)</f>
        <v>0</v>
      </c>
      <c r="V83" s="10" t="n">
        <f aca="false">IF(AND(V65&lt;0,V66+V70&gt;0.000001),1,0)</f>
        <v>0</v>
      </c>
      <c r="W83" s="10" t="n">
        <f aca="false">IF(AND(W65&lt;0,W66+W70&gt;0.000001),1,0)</f>
        <v>0</v>
      </c>
      <c r="X83" s="10" t="n">
        <f aca="false">IF(AND(X65&lt;0,X66+X70&gt;0.000001),1,0)</f>
        <v>0</v>
      </c>
      <c r="Y83" s="10" t="n">
        <f aca="false">IF(AND(Y65&lt;0,Y66+Y70&gt;0.000001),1,0)</f>
        <v>0</v>
      </c>
      <c r="Z83" s="10" t="n">
        <f aca="false">IF(AND(Z65&lt;0,Z66+Z70&gt;0.000001),1,0)</f>
        <v>0</v>
      </c>
      <c r="AA83" s="10" t="n">
        <f aca="false">IF(AND(AA65&lt;0,AA66+AA70&gt;0.000001),1,0)</f>
        <v>0</v>
      </c>
      <c r="AB83" s="10" t="n">
        <f aca="false">IF(AND(AB65&lt;0,AB66+AB70&gt;0.000001),1,0)</f>
        <v>0</v>
      </c>
    </row>
    <row r="85" customFormat="false" ht="15" hidden="false" customHeight="false" outlineLevel="0" collapsed="false">
      <c r="A85" s="2" t="s">
        <v>229</v>
      </c>
    </row>
    <row r="86" customFormat="false" ht="15" hidden="false" customHeight="false" outlineLevel="0" collapsed="false">
      <c r="B86" s="3" t="s">
        <v>230</v>
      </c>
      <c r="C86" s="31" t="n">
        <f aca="false">MIN(1,AB79/Supuestos!C5)</f>
        <v>0</v>
      </c>
    </row>
    <row r="87" customFormat="false" ht="15" hidden="false" customHeight="false" outlineLevel="0" collapsed="false">
      <c r="B87" s="3" t="s">
        <v>231</v>
      </c>
      <c r="C87" s="31" t="n">
        <f aca="false">MIN(1,AB80/Supuestos!C7)</f>
        <v>0</v>
      </c>
    </row>
    <row r="88" customFormat="false" ht="15" hidden="false" customHeight="false" outlineLevel="0" collapsed="false">
      <c r="B88" s="3" t="s">
        <v>232</v>
      </c>
      <c r="C88" s="38" t="n">
        <f aca="false">SUM(D67:AB67)-SUM(D68:AB68)</f>
        <v>0</v>
      </c>
    </row>
    <row r="89" customFormat="false" ht="15" hidden="false" customHeight="false" outlineLevel="0" collapsed="false">
      <c r="B89" s="3" t="s">
        <v>233</v>
      </c>
      <c r="C89" s="38" t="n">
        <f aca="false">MIN(IF(D66+D70&gt;0.000001,D65,1000000000),IF(E66+E70&gt;0.000001,E65,1000000000),IF(F66+F70&gt;0.000001,F65,1000000000),IF(G66+G70&gt;0.000001,G65,1000000000),IF(H66+H70&gt;0.000001,H65,1000000000),IF(I66+I70&gt;0.000001,I65,1000000000),IF(J66+J70&gt;0.000001,J65,1000000000),IF(K66+K70&gt;0.000001,K65,1000000000),IF(L66+L70&gt;0.000001,L65,1000000000),IF(M66+M70&gt;0.000001,M65,1000000000),IF(N66+N70&gt;0.000001,N65,1000000000),IF(O66+O70&gt;0.000001,O65,1000000000),IF(P66+P70&gt;0.000001,P65,1000000000),IF(Q66+Q70&gt;0.000001,Q65,1000000000),IF(R66+R70&gt;0.000001,R65,1000000000),IF(S66+S70&gt;0.000001,S65,1000000000),IF(T66+T70&gt;0.000001,T65,1000000000),IF(U66+U70&gt;0.000001,U65,1000000000),IF(V66+V70&gt;0.000001,V65,1000000000),IF(W66+W70&gt;0.000001,W65,1000000000),IF(X66+X70&gt;0.000001,X65,1000000000),IF(Y66+Y70&gt;0.000001,Y65,1000000000),IF(Z66+Z70&gt;0.000001,Z65,1000000000),IF(AA66+AA70&gt;0.000001,AA65,1000000000),IF(AB66+AB70&gt;0.000001,AB65,1000000000))</f>
        <v>27.855195572842</v>
      </c>
    </row>
    <row r="90" customFormat="false" ht="15" hidden="false" customHeight="false" outlineLevel="0" collapsed="false">
      <c r="B90" s="3" t="s">
        <v>234</v>
      </c>
      <c r="C90" s="10" t="n">
        <f aca="false">SUM(D83:AB83)</f>
        <v>0</v>
      </c>
    </row>
    <row r="91" customFormat="false" ht="15" hidden="false" customHeight="false" outlineLevel="0" collapsed="false">
      <c r="B91" s="3" t="s">
        <v>235</v>
      </c>
      <c r="C91" s="33" t="n">
        <f aca="false">IFERROR(SUMPRODUCT(D75:AB75,D3:AB3)/SUM(D75:AB75),0)</f>
        <v>4.74407680692066</v>
      </c>
    </row>
    <row r="92" customFormat="false" ht="15" hidden="false" customHeight="false" outlineLevel="0" collapsed="false">
      <c r="B92" s="3" t="s">
        <v>236</v>
      </c>
      <c r="C92" s="33" t="n">
        <f aca="false">IFERROR(SUMPRODUCT(D77:AB77,D3:AB3)/SUM(D77:AB77),0)</f>
        <v>8.14230826678039</v>
      </c>
    </row>
    <row r="93" customFormat="false" ht="15" hidden="false" customHeight="false" outlineLevel="0" collapsed="false">
      <c r="B93" s="3" t="s">
        <v>237</v>
      </c>
      <c r="C93" s="33" t="n">
        <f aca="false">(C18*Cartera!D5+C26*Cartera!D6+C34*Cartera!D7+C42*Cartera!D8+C50*Cartera!D9)/Cartera!D10</f>
        <v>7.46061838440676</v>
      </c>
    </row>
    <row r="94" customFormat="false" ht="15" hidden="false" customHeight="false" outlineLevel="0" collapsed="false">
      <c r="B94" s="3" t="s">
        <v>238</v>
      </c>
      <c r="C94" s="10" t="n">
        <f aca="false">IF(AND(C86&lt;=Supuestos!C20+0.000001,C88&lt;0.000001),1,0)</f>
        <v>1</v>
      </c>
    </row>
    <row r="95" customFormat="false" ht="15" hidden="false" customHeight="false" outlineLevel="0" collapsed="false">
      <c r="B95" s="3" t="s">
        <v>239</v>
      </c>
      <c r="C95" s="10" t="n">
        <f aca="false">IF(C87&lt;=Supuestos!C20+0.000001,1,0)</f>
        <v>1</v>
      </c>
    </row>
    <row r="96" customFormat="false" ht="15" hidden="false" customHeight="false" outlineLevel="0" collapsed="false">
      <c r="B96" s="3" t="s">
        <v>240</v>
      </c>
      <c r="C96" s="38" t="n">
        <f aca="false">SUM(D81:AB81)+MAX(0,AB82)</f>
        <v>134.015441623993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3" t="s">
        <v>247</v>
      </c>
    </row>
    <row r="4" customFormat="false" ht="23.85" hidden="false" customHeight="false" outlineLevel="0" collapsed="false">
      <c r="A4" s="4" t="s">
        <v>94</v>
      </c>
      <c r="B4" s="4" t="s">
        <v>248</v>
      </c>
      <c r="C4" s="4" t="s">
        <v>249</v>
      </c>
      <c r="D4" s="4" t="s">
        <v>250</v>
      </c>
      <c r="E4" s="4" t="s">
        <v>251</v>
      </c>
      <c r="F4" s="4" t="s">
        <v>252</v>
      </c>
      <c r="G4" s="4" t="s">
        <v>253</v>
      </c>
    </row>
    <row r="5" customFormat="false" ht="15" hidden="false" customHeight="false" outlineLevel="0" collapsed="false">
      <c r="A5" s="3" t="n">
        <v>1</v>
      </c>
      <c r="B5" s="3" t="s">
        <v>254</v>
      </c>
      <c r="C5" s="3" t="s">
        <v>255</v>
      </c>
      <c r="D5" s="18" t="n">
        <v>0.25</v>
      </c>
      <c r="E5" s="17" t="n">
        <v>4</v>
      </c>
      <c r="F5" s="39" t="n">
        <f aca="false">D5*E5</f>
        <v>1</v>
      </c>
      <c r="G5" s="3" t="s">
        <v>256</v>
      </c>
    </row>
    <row r="6" customFormat="false" ht="15" hidden="false" customHeight="false" outlineLevel="0" collapsed="false">
      <c r="A6" s="3" t="n">
        <v>2</v>
      </c>
      <c r="B6" s="3" t="s">
        <v>257</v>
      </c>
      <c r="C6" s="3" t="s">
        <v>258</v>
      </c>
      <c r="D6" s="18" t="n">
        <v>0.2</v>
      </c>
      <c r="E6" s="17" t="n">
        <v>4</v>
      </c>
      <c r="F6" s="39" t="n">
        <f aca="false">D6*E6</f>
        <v>0.8</v>
      </c>
      <c r="G6" s="3" t="s">
        <v>256</v>
      </c>
    </row>
    <row r="7" customFormat="false" ht="15" hidden="false" customHeight="false" outlineLevel="0" collapsed="false">
      <c r="A7" s="3" t="n">
        <v>3</v>
      </c>
      <c r="B7" s="3" t="s">
        <v>259</v>
      </c>
      <c r="C7" s="3" t="s">
        <v>260</v>
      </c>
      <c r="D7" s="18" t="n">
        <v>0.2</v>
      </c>
      <c r="E7" s="17" t="n">
        <v>3</v>
      </c>
      <c r="F7" s="39" t="n">
        <f aca="false">D7*E7</f>
        <v>0.6</v>
      </c>
      <c r="G7" s="3" t="s">
        <v>261</v>
      </c>
    </row>
    <row r="8" customFormat="false" ht="15" hidden="false" customHeight="false" outlineLevel="0" collapsed="false">
      <c r="A8" s="3" t="n">
        <v>4</v>
      </c>
      <c r="B8" s="3" t="s">
        <v>262</v>
      </c>
      <c r="C8" s="3" t="s">
        <v>263</v>
      </c>
      <c r="D8" s="18" t="n">
        <v>0.1</v>
      </c>
      <c r="E8" s="17" t="n">
        <v>4</v>
      </c>
      <c r="F8" s="39" t="n">
        <f aca="false">D8*E8</f>
        <v>0.4</v>
      </c>
      <c r="G8" s="3" t="s">
        <v>256</v>
      </c>
    </row>
    <row r="9" customFormat="false" ht="15" hidden="false" customHeight="false" outlineLevel="0" collapsed="false">
      <c r="A9" s="3" t="n">
        <v>5</v>
      </c>
      <c r="B9" s="3" t="s">
        <v>264</v>
      </c>
      <c r="C9" s="3" t="s">
        <v>265</v>
      </c>
      <c r="D9" s="18" t="n">
        <v>0.1</v>
      </c>
      <c r="E9" s="17" t="n">
        <v>3</v>
      </c>
      <c r="F9" s="39" t="n">
        <f aca="false">D9*E9</f>
        <v>0.3</v>
      </c>
      <c r="G9" s="3" t="s">
        <v>266</v>
      </c>
    </row>
    <row r="10" customFormat="false" ht="15" hidden="false" customHeight="false" outlineLevel="0" collapsed="false">
      <c r="A10" s="3" t="n">
        <v>6</v>
      </c>
      <c r="B10" s="3" t="s">
        <v>267</v>
      </c>
      <c r="C10" s="3" t="s">
        <v>268</v>
      </c>
      <c r="D10" s="18" t="n">
        <v>0.1</v>
      </c>
      <c r="E10" s="17" t="n">
        <v>4</v>
      </c>
      <c r="F10" s="39" t="n">
        <f aca="false">D10*E10</f>
        <v>0.4</v>
      </c>
      <c r="G10" s="3" t="s">
        <v>269</v>
      </c>
    </row>
    <row r="11" customFormat="false" ht="15" hidden="false" customHeight="false" outlineLevel="0" collapsed="false">
      <c r="A11" s="3" t="n">
        <v>7</v>
      </c>
      <c r="B11" s="3" t="s">
        <v>270</v>
      </c>
      <c r="C11" s="3" t="s">
        <v>271</v>
      </c>
      <c r="D11" s="18" t="n">
        <v>0.05</v>
      </c>
      <c r="E11" s="17" t="n">
        <v>4</v>
      </c>
      <c r="F11" s="39" t="n">
        <f aca="false">D11*E11</f>
        <v>0.2</v>
      </c>
      <c r="G11" s="3" t="s">
        <v>269</v>
      </c>
    </row>
    <row r="12" customFormat="false" ht="15" hidden="false" customHeight="false" outlineLevel="0" collapsed="false">
      <c r="B12" s="2" t="s">
        <v>272</v>
      </c>
      <c r="D12" s="24" t="n">
        <f aca="false">SUM(D5:D11)</f>
        <v>1</v>
      </c>
      <c r="F12" s="39" t="n">
        <f aca="false">SUM(F5:F11)</f>
        <v>3.7</v>
      </c>
    </row>
    <row r="13" customFormat="false" ht="15" hidden="false" customHeight="false" outlineLevel="0" collapsed="false">
      <c r="B13" s="3" t="s">
        <v>273</v>
      </c>
      <c r="D13" s="3" t="str">
        <f aca="false">IF(ABS(D12-1)&lt;0.0001,"OK","REVISAR")</f>
        <v>OK</v>
      </c>
    </row>
    <row r="15" customFormat="false" ht="15" hidden="false" customHeight="false" outlineLevel="0" collapsed="false">
      <c r="B15" s="2" t="s">
        <v>274</v>
      </c>
    </row>
    <row r="16" customFormat="false" ht="15" hidden="false" customHeight="false" outlineLevel="0" collapsed="false">
      <c r="A16" s="4"/>
      <c r="B16" s="4" t="s">
        <v>275</v>
      </c>
      <c r="C16" s="4" t="s">
        <v>276</v>
      </c>
    </row>
    <row r="17" customFormat="false" ht="15" hidden="false" customHeight="false" outlineLevel="0" collapsed="false">
      <c r="B17" s="40" t="n">
        <v>0</v>
      </c>
      <c r="C17" s="19" t="n">
        <v>-3</v>
      </c>
    </row>
    <row r="18" customFormat="false" ht="15" hidden="false" customHeight="false" outlineLevel="0" collapsed="false">
      <c r="B18" s="40" t="n">
        <v>2.5</v>
      </c>
      <c r="C18" s="19" t="n">
        <v>-2</v>
      </c>
    </row>
    <row r="19" customFormat="false" ht="15" hidden="false" customHeight="false" outlineLevel="0" collapsed="false">
      <c r="B19" s="40" t="n">
        <v>3.5</v>
      </c>
      <c r="C19" s="19" t="n">
        <v>-1</v>
      </c>
    </row>
    <row r="20" customFormat="false" ht="15" hidden="false" customHeight="false" outlineLevel="0" collapsed="false">
      <c r="B20" s="40" t="n">
        <v>4.5</v>
      </c>
      <c r="C20" s="19" t="n">
        <v>0</v>
      </c>
    </row>
    <row r="22" customFormat="false" ht="15" hidden="false" customHeight="false" outlineLevel="0" collapsed="false">
      <c r="B22" s="2" t="s">
        <v>277</v>
      </c>
      <c r="C22" s="10" t="n">
        <f aca="false">INDEX(C17:C20,MATCH(F12,B17:B20,1))</f>
        <v>-1</v>
      </c>
    </row>
    <row r="24" customFormat="false" ht="15" hidden="false" customHeight="false" outlineLevel="0" collapsed="false">
      <c r="B24" s="2" t="s">
        <v>278</v>
      </c>
    </row>
    <row r="25" customFormat="false" ht="15" hidden="false" customHeight="false" outlineLevel="0" collapsed="false">
      <c r="A25" s="4"/>
      <c r="B25" s="4" t="s">
        <v>279</v>
      </c>
      <c r="C25" s="4" t="s">
        <v>62</v>
      </c>
      <c r="D25" s="4" t="s">
        <v>280</v>
      </c>
      <c r="E25" s="4" t="s">
        <v>39</v>
      </c>
    </row>
    <row r="26" customFormat="false" ht="15" hidden="false" customHeight="false" outlineLevel="0" collapsed="false">
      <c r="B26" s="3" t="s">
        <v>281</v>
      </c>
      <c r="C26" s="9" t="n">
        <f aca="false">Cartera!C10</f>
        <v>300</v>
      </c>
      <c r="D26" s="9" t="n">
        <f aca="false">Supuestos!C16</f>
        <v>300</v>
      </c>
      <c r="E26" s="3" t="str">
        <f aca="false">IF(C26&gt;=D26,"OK","ESTRÉS ADICIONAL")</f>
        <v>OK</v>
      </c>
    </row>
    <row r="27" customFormat="false" ht="15" hidden="false" customHeight="false" outlineLevel="0" collapsed="false">
      <c r="B27" s="3" t="s">
        <v>282</v>
      </c>
      <c r="C27" s="7" t="n">
        <f aca="false">Cartera!C18</f>
        <v>0.00666666666666667</v>
      </c>
      <c r="D27" s="7" t="n">
        <f aca="false">Supuestos!C17</f>
        <v>0.0333</v>
      </c>
      <c r="E27" s="3" t="str">
        <f aca="false">IF(C27&lt;=D27,"OK","EXCEDE")</f>
        <v>OK</v>
      </c>
    </row>
    <row r="28" customFormat="false" ht="15" hidden="false" customHeight="false" outlineLevel="0" collapsed="false">
      <c r="B28" s="3" t="s">
        <v>283</v>
      </c>
      <c r="C28" s="9" t="n">
        <f aca="false">Cartera!C14</f>
        <v>8</v>
      </c>
      <c r="D28" s="9" t="n">
        <f aca="false">Supuestos!C18</f>
        <v>12</v>
      </c>
      <c r="E28" s="3" t="str">
        <f aca="false">IF(C28&lt;=D28,"OK","ACTUALIZAR LE")</f>
        <v>OK</v>
      </c>
    </row>
    <row r="29" customFormat="false" ht="15" hidden="false" customHeight="false" outlineLevel="0" collapsed="false">
      <c r="B29" s="3" t="s">
        <v>284</v>
      </c>
      <c r="C29" s="9" t="n">
        <f aca="false">Cartera!C15</f>
        <v>2</v>
      </c>
      <c r="D29" s="9" t="n">
        <f aca="false">Supuestos!C19</f>
        <v>2</v>
      </c>
      <c r="E29" s="3" t="str">
        <f aca="false">IF(C29&gt;=D29,"OK","INSUFICIENTE")</f>
        <v>OK</v>
      </c>
    </row>
    <row r="30" customFormat="false" ht="15" hidden="false" customHeight="false" outlineLevel="0" collapsed="false">
      <c r="B30" s="3" t="s">
        <v>285</v>
      </c>
      <c r="C30" s="10" t="n">
        <f aca="false">-COUNTIF(E26:E29,"&lt;&gt;OK")</f>
        <v>-0</v>
      </c>
    </row>
    <row r="31" customFormat="false" ht="15" hidden="false" customHeight="false" outlineLevel="0" collapsed="false">
      <c r="B31" s="2" t="s">
        <v>286</v>
      </c>
      <c r="C31" s="10" t="n">
        <f aca="false">C22+C30</f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8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287</v>
      </c>
    </row>
    <row r="3" customFormat="false" ht="15" hidden="false" customHeight="false" outlineLevel="0" collapsed="false">
      <c r="A3" s="4" t="s">
        <v>61</v>
      </c>
      <c r="B3" s="4" t="s">
        <v>288</v>
      </c>
      <c r="C3" s="4" t="s">
        <v>289</v>
      </c>
    </row>
    <row r="4" customFormat="false" ht="15" hidden="false" customHeight="false" outlineLevel="0" collapsed="false">
      <c r="A4" s="3" t="s">
        <v>290</v>
      </c>
      <c r="B4" s="3" t="s">
        <v>291</v>
      </c>
      <c r="C4" s="3" t="s">
        <v>292</v>
      </c>
    </row>
    <row r="5" customFormat="false" ht="15" hidden="false" customHeight="false" outlineLevel="0" collapsed="false">
      <c r="A5" s="3" t="s">
        <v>293</v>
      </c>
      <c r="B5" s="3" t="s">
        <v>291</v>
      </c>
      <c r="C5" s="3" t="s">
        <v>294</v>
      </c>
    </row>
    <row r="6" customFormat="false" ht="15" hidden="false" customHeight="false" outlineLevel="0" collapsed="false">
      <c r="A6" s="3" t="s">
        <v>295</v>
      </c>
      <c r="B6" s="3" t="s">
        <v>291</v>
      </c>
      <c r="C6" s="3" t="s">
        <v>294</v>
      </c>
    </row>
    <row r="7" customFormat="false" ht="15" hidden="false" customHeight="false" outlineLevel="0" collapsed="false">
      <c r="A7" s="3" t="s">
        <v>296</v>
      </c>
      <c r="B7" s="3" t="s">
        <v>291</v>
      </c>
      <c r="C7" s="3" t="s">
        <v>294</v>
      </c>
    </row>
    <row r="8" customFormat="false" ht="15" hidden="false" customHeight="false" outlineLevel="0" collapsed="false">
      <c r="A8" s="3" t="s">
        <v>297</v>
      </c>
      <c r="B8" s="3" t="s">
        <v>291</v>
      </c>
      <c r="C8" s="3" t="s">
        <v>294</v>
      </c>
    </row>
    <row r="9" customFormat="false" ht="15" hidden="false" customHeight="false" outlineLevel="0" collapsed="false">
      <c r="A9" s="3" t="s">
        <v>298</v>
      </c>
      <c r="B9" s="3" t="s">
        <v>299</v>
      </c>
      <c r="C9" s="3" t="s">
        <v>300</v>
      </c>
    </row>
    <row r="10" customFormat="false" ht="15" hidden="false" customHeight="false" outlineLevel="0" collapsed="false">
      <c r="A10" s="3" t="s">
        <v>301</v>
      </c>
      <c r="B10" s="3" t="s">
        <v>291</v>
      </c>
      <c r="C10" s="3" t="s">
        <v>302</v>
      </c>
    </row>
    <row r="11" customFormat="false" ht="15" hidden="false" customHeight="false" outlineLevel="0" collapsed="false">
      <c r="A11" s="3" t="s">
        <v>303</v>
      </c>
      <c r="B11" s="3" t="s">
        <v>304</v>
      </c>
      <c r="C11" s="3" t="s">
        <v>305</v>
      </c>
    </row>
    <row r="12" customFormat="false" ht="15" hidden="false" customHeight="false" outlineLevel="0" collapsed="false">
      <c r="A12" s="3" t="s">
        <v>306</v>
      </c>
      <c r="B12" s="3" t="s">
        <v>304</v>
      </c>
      <c r="C12" s="3" t="s">
        <v>307</v>
      </c>
    </row>
    <row r="13" customFormat="false" ht="15" hidden="false" customHeight="false" outlineLevel="0" collapsed="false">
      <c r="A13" s="3" t="s">
        <v>308</v>
      </c>
      <c r="B13" s="3" t="s">
        <v>304</v>
      </c>
      <c r="C13" s="3" t="s">
        <v>309</v>
      </c>
    </row>
    <row r="14" customFormat="false" ht="15" hidden="false" customHeight="false" outlineLevel="0" collapsed="false">
      <c r="A14" s="3" t="s">
        <v>310</v>
      </c>
      <c r="B14" s="3" t="s">
        <v>311</v>
      </c>
      <c r="C14" s="3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2026-10-27T23:31:03Z</dcterms:created>
  <dc:creator>openpyxl</dc:creator>
  <dc:description/>
  <dc:language>en-US</dc:language>
  <cp:lastModifiedBy/>
  <dcterms:modified xsi:type="dcterms:W3CDTF">2026-10-27T23:31:03Z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