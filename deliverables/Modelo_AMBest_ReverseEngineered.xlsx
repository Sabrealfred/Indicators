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ME" sheetId="1" state="visible" r:id="rId3"/>
    <sheet name="Resultados_MC" sheetId="2" state="visible" r:id="rId4"/>
    <sheet name="Supuestos" sheetId="3" state="visible" r:id="rId5"/>
    <sheet name="Factores" sheetId="4" state="visible" r:id="rId6"/>
    <sheet name="Tabla_Mortalidad" sheetId="5" state="visible" r:id="rId7"/>
    <sheet name="Cartera_Polizas" sheetId="6" state="visible" r:id="rId8"/>
    <sheet name="LE" sheetId="7" state="visible" r:id="rId9"/>
    <sheet name="Matriz_Default" sheetId="8" state="visible" r:id="rId10"/>
    <sheet name="Escenarios" sheetId="9" state="visible" r:id="rId11"/>
    <sheet name="Ponderacion" sheetId="10" state="visible" r:id="rId12"/>
    <sheet name="Fuente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<sst xmlns="http://schemas.openxmlformats.org/spreadsheetml/2006/main" count="950" uniqueCount="287">
  <si>
    <t xml:space="preserve">Ingeniería inversa – Metodología AM Best 'Life Settlement Securitization' (SPV USD 100 mm)</t>
  </si>
  <si>
    <t xml:space="preserve">Réplica independiente del proceso descrito públicamente por AM Best. NO es el modelo propietario ni una calificación de AM Best.</t>
  </si>
  <si>
    <t xml:space="preserve">Proceso replicado (en el orden que AM Best lo describe)</t>
  </si>
  <si>
    <t xml:space="preserve">1. Filtros de elegibilidad: ~300 vidas, ≤3.33% del face por vida, ≥2 proveedores de LE, LE ≤12 meses, cartera adquirida antes de calificar.</t>
  </si>
  <si>
    <t xml:space="preserve">2. Mortalidad: tabla base (2015 VBT en la revisión 2026) × calificación de mortalidad del underwriter, ajustada por</t>
  </si>
  <si>
    <t xml:space="preserve">   Basic Adjustment Factor (nivel de la calificación y si la póliza fue premium-financed), Age-Based Adjustment Factor y Ratings Wear-Off.</t>
  </si>
  <si>
    <t xml:space="preserve">3. Simulación Monte Carlo de muertes (con choque sistemático por error de estimación de LE), default de aseguradoras y caducidad por falta de liquidez.</t>
  </si>
  <si>
    <t xml:space="preserve">4. Probabilidad de default de cada nota vs. su vencimiento esperado → Matriz Idealizada de Default (BILSM, Exhibit E.2) → calificación.</t>
  </si>
  <si>
    <t xml:space="preserve">5. Escenarios de estrés y factores cualitativos → ajuste en notches para el comité.</t>
  </si>
  <si>
    <t xml:space="preserve">Cómo usarlo</t>
  </si>
  <si>
    <t xml:space="preserve">a) Pegue su cinta póliza por póliza en 'Cartera_Polizas' (columnas azules). Las columnas negras se calculan solas.</t>
  </si>
  <si>
    <t xml:space="preserve">b) Reemplace 'Tabla_Mortalidad' por la 2015 VBT real (q_x por edad) y 'Matriz_Default' por el Exhibit E.2 de BILSM.</t>
  </si>
  <si>
    <t xml:space="preserve">c) Ajuste 'Factores' (BAF, AAF, PD de aseguradoras) y 'Supuestos'.</t>
  </si>
  <si>
    <t xml:space="preserve">d) Ejecute:  python ambest_ls_model.py run Modelo.xlsx   → llena 'Resultados_MC'. Excel recalcula las calificaciones al abrir.</t>
  </si>
  <si>
    <t xml:space="preserve">Leyenda: azul = input · negro = fórmula · verde = vínculo a otra hoja · amarillo = supuesto clave (estimación a calibrar).</t>
  </si>
  <si>
    <t xml:space="preserve">Los valores de BAF, AAF, wear-off, sigma sistemática y la matriz de default son ESTIMACIONES: AM Best describe estos factores pero sus tablas no fueron accesibles.</t>
  </si>
  <si>
    <t xml:space="preserve">Resultados Monte Carlo y calificación indicada (réplica – no es una calificación de AM Best)</t>
  </si>
  <si>
    <t xml:space="preserve">Valores en columnas B–K los escribe el motor (python ambest_ls_model.py run). Columnas L–Q son fórmulas contra 'Matriz_Default'.</t>
  </si>
  <si>
    <t xml:space="preserve">Estado:</t>
  </si>
  <si>
    <t xml:space="preserve">Corrido: 5000 simulaciones, 300 pólizas, semilla 2026</t>
  </si>
  <si>
    <t xml:space="preserve">Escenario</t>
  </si>
  <si>
    <t xml:space="preserve">PD Senior</t>
  </si>
  <si>
    <t xml:space="preserve">Pérdida esperada Senior</t>
  </si>
  <si>
    <t xml:space="preserve">Vencim. esperado Senior (años)</t>
  </si>
  <si>
    <t xml:space="preserve">PD Mezz</t>
  </si>
  <si>
    <t xml:space="preserve">Pérdida esperada Mezz</t>
  </si>
  <si>
    <t xml:space="preserve">Vencim. esperado Mezz (años)</t>
  </si>
  <si>
    <t xml:space="preserve">P(caducidad con notas vigentes)</t>
  </si>
  <si>
    <t xml:space="preserve">LE realizada prom. (años)</t>
  </si>
  <si>
    <t xml:space="preserve">Muertes cobradas prom. (USD mm)</t>
  </si>
  <si>
    <t xml:space="preserve">Sims</t>
  </si>
  <si>
    <t xml:space="preserve">Senior – índice</t>
  </si>
  <si>
    <t xml:space="preserve">Senior – calificación MC</t>
  </si>
  <si>
    <t xml:space="preserve">Mezz – índice</t>
  </si>
  <si>
    <t xml:space="preserve">Mezz – calificación MC</t>
  </si>
  <si>
    <t xml:space="preserve">Senior – final (con notches)</t>
  </si>
  <si>
    <t xml:space="preserve">Mezz – final (con notches)</t>
  </si>
  <si>
    <t xml:space="preserve">CALIFICACIÓN INDICADA (caso base MC − notches cualitativos y de elegibilidad)</t>
  </si>
  <si>
    <t xml:space="preserve">Senior</t>
  </si>
  <si>
    <t xml:space="preserve">Mezzanine</t>
  </si>
  <si>
    <t xml:space="preserve">Notches aplicados</t>
  </si>
  <si>
    <t xml:space="preserve">Conciliación: LE ponderada Excel vs. motor</t>
  </si>
  <si>
    <t xml:space="preserve">Supuestos</t>
  </si>
  <si>
    <t xml:space="preserve">Parámetro</t>
  </si>
  <si>
    <t xml:space="preserve">Valor</t>
  </si>
  <si>
    <t xml:space="preserve">Unidad</t>
  </si>
  <si>
    <t xml:space="preserve">Fuente / estatus</t>
  </si>
  <si>
    <t xml:space="preserve">Notas Senior</t>
  </si>
  <si>
    <t xml:space="preserve">USD mm</t>
  </si>
  <si>
    <t xml:space="preserve">Estructura ilustrativa</t>
  </si>
  <si>
    <t xml:space="preserve">Cupón Senior</t>
  </si>
  <si>
    <t xml:space="preserve">% anual</t>
  </si>
  <si>
    <t xml:space="preserve">Notas Mezzanine</t>
  </si>
  <si>
    <t xml:space="preserve">Cupón Mezzanine</t>
  </si>
  <si>
    <t xml:space="preserve">Reserva de liquidez inicial (equity)</t>
  </si>
  <si>
    <t xml:space="preserve">Reserva objetivo (meses de primas + gastos)</t>
  </si>
  <si>
    <t xml:space="preserve">meses</t>
  </si>
  <si>
    <t xml:space="preserve">Práctica de mercado</t>
  </si>
  <si>
    <t xml:space="preserve">Tasa de reinversión de caja</t>
  </si>
  <si>
    <t xml:space="preserve">Supuesto</t>
  </si>
  <si>
    <t xml:space="preserve">Gastos fijos (servicer, trustee, tracking)</t>
  </si>
  <si>
    <t xml:space="preserve">USD mm/año</t>
  </si>
  <si>
    <t xml:space="preserve">Gasto variable sobre face en vigor</t>
  </si>
  <si>
    <t xml:space="preserve">Venta de cartera remanente al vencimiento legal</t>
  </si>
  <si>
    <t xml:space="preserve">% face</t>
  </si>
  <si>
    <t xml:space="preserve">Supuesto (AM Best suele dar poco crédito)</t>
  </si>
  <si>
    <t xml:space="preserve">Vencimiento legal (años, máx. 40)</t>
  </si>
  <si>
    <t xml:space="preserve">años</t>
  </si>
  <si>
    <t xml:space="preserve">Número de simulaciones Monte Carlo</t>
  </si>
  <si>
    <t xml:space="preserve">#</t>
  </si>
  <si>
    <t xml:space="preserve">Motor (AM Best: Monte Carlo)</t>
  </si>
  <si>
    <t xml:space="preserve">Semilla aleatoria</t>
  </si>
  <si>
    <t xml:space="preserve">Reproducibilidad</t>
  </si>
  <si>
    <t xml:space="preserve">Mejora anual de mortalidad</t>
  </si>
  <si>
    <t xml:space="preserve">Estimación (reduce q = extiende LE)</t>
  </si>
  <si>
    <t xml:space="preserve">Sigma del error sistemático de LE (lognormal)</t>
  </si>
  <si>
    <t xml:space="preserve">σ</t>
  </si>
  <si>
    <t xml:space="preserve">Estimación – AM Best cita 'systematic misestimation'</t>
  </si>
  <si>
    <t xml:space="preserve">Años de desvanecimiento (wear-off) del deterioro</t>
  </si>
  <si>
    <t xml:space="preserve">Estimación – AM Best: 'Ratings Wear-Off Adjustment'</t>
  </si>
  <si>
    <t xml:space="preserve">Pérdida dado default de aseguradora</t>
  </si>
  <si>
    <t xml:space="preserve">% beneficio</t>
  </si>
  <si>
    <t xml:space="preserve">Estimación</t>
  </si>
  <si>
    <t xml:space="preserve">Aumento anual de primas (COI)</t>
  </si>
  <si>
    <t xml:space="preserve">Combinación de las 2 LE: 1 = promedio, 2 = conservadora (LE más larga)</t>
  </si>
  <si>
    <t xml:space="preserve">1/2</t>
  </si>
  <si>
    <t xml:space="preserve">Mínimo de vidas sin estrés adicional</t>
  </si>
  <si>
    <t xml:space="preserve">vidas</t>
  </si>
  <si>
    <t xml:space="preserve">AM Best (publicado)</t>
  </si>
  <si>
    <t xml:space="preserve">Concentración máxima por vida</t>
  </si>
  <si>
    <t xml:space="preserve">Antigüedad máxima de LE</t>
  </si>
  <si>
    <t xml:space="preserve">Mínimo de proveedores de LE</t>
  </si>
  <si>
    <t xml:space="preserve">Factores de ajuste de mortalidad y riesgo de aseguradoras</t>
  </si>
  <si>
    <t xml:space="preserve">Estructura descrita por AM Best; los valores son estimaciones a calibrar (factor &lt; 1 reduce la mortalidad = extiende la LE).</t>
  </si>
  <si>
    <t xml:space="preserve">Basic Adjustment Factor (BAF) – por nivel de calificación de mortalidad y premium financing</t>
  </si>
  <si>
    <t xml:space="preserve">MR desde (≥)</t>
  </si>
  <si>
    <t xml:space="preserve">BAF no PF</t>
  </si>
  <si>
    <t xml:space="preserve">BAF premium-financed</t>
  </si>
  <si>
    <t xml:space="preserve">Age-Based Adjustment Factor (AAF)</t>
  </si>
  <si>
    <t xml:space="preserve">Edad desde (≥)</t>
  </si>
  <si>
    <t xml:space="preserve">AAF</t>
  </si>
  <si>
    <t xml:space="preserve">PD anual de aseguradoras por FSR</t>
  </si>
  <si>
    <t xml:space="preserve">FSR</t>
  </si>
  <si>
    <t xml:space="preserve">PD anual</t>
  </si>
  <si>
    <t xml:space="preserve">A++</t>
  </si>
  <si>
    <t xml:space="preserve">A+</t>
  </si>
  <si>
    <t xml:space="preserve">A</t>
  </si>
  <si>
    <t xml:space="preserve">A-</t>
  </si>
  <si>
    <t xml:space="preserve">B++</t>
  </si>
  <si>
    <t xml:space="preserve">B+</t>
  </si>
  <si>
    <t xml:space="preserve">Aseguradoras de la cartera</t>
  </si>
  <si>
    <t xml:space="preserve">ID</t>
  </si>
  <si>
    <t xml:space="preserve">Nombre</t>
  </si>
  <si>
    <t xml:space="preserve">Aseguradora 1</t>
  </si>
  <si>
    <t xml:space="preserve">Aseguradora 2</t>
  </si>
  <si>
    <t xml:space="preserve">Aseguradora 3</t>
  </si>
  <si>
    <t xml:space="preserve">Aseguradora 4</t>
  </si>
  <si>
    <t xml:space="preserve">Aseguradora 5</t>
  </si>
  <si>
    <t xml:space="preserve">Aseguradora 6</t>
  </si>
  <si>
    <t xml:space="preserve">Aseguradora 7</t>
  </si>
  <si>
    <t xml:space="preserve">Aseguradora 8</t>
  </si>
  <si>
    <t xml:space="preserve">Tabla base de mortalidad q_x (proxy Gompertz – REEMPLAZAR por 2015 VBT)</t>
  </si>
  <si>
    <t xml:space="preserve">Proxy: μ(x) = 0.07·e^{0.11(x−85)}, q = 1−e^{−μ}; q(120) = 1. La revisión 2026 de AM Best usa 2015 VBT.</t>
  </si>
  <si>
    <t xml:space="preserve">Edad</t>
  </si>
  <si>
    <t xml:space="preserve">q_x</t>
  </si>
  <si>
    <t xml:space="preserve">Cinta de datos póliza por póliza (ejemplo sintético de 300 vidas – reemplazar)</t>
  </si>
  <si>
    <t xml:space="preserve">Columnas A–L = input. M–R = fórmulas (ajustes de AM Best replicados). Deje filas vacías al final; el motor lee hasta la primera fila sin ID.</t>
  </si>
  <si>
    <t xml:space="preserve">Face total</t>
  </si>
  <si>
    <t xml:space="preserve">Vidas</t>
  </si>
  <si>
    <t xml:space="preserve">LE ponderada</t>
  </si>
  <si>
    <t xml:space="preserve">Mayor póliza %</t>
  </si>
  <si>
    <t xml:space="preserve">LE más antigua (m)</t>
  </si>
  <si>
    <t xml:space="preserve">MR ajust. prom.</t>
  </si>
  <si>
    <t xml:space="preserve">Sexo</t>
  </si>
  <si>
    <t xml:space="preserve">Face (USD mm)</t>
  </si>
  <si>
    <t xml:space="preserve">Aseguradora ID</t>
  </si>
  <si>
    <t xml:space="preserve">Prima anual (% face)</t>
  </si>
  <si>
    <t xml:space="preserve">Premium financed (1/0)</t>
  </si>
  <si>
    <t xml:space="preserve">MR proveedor 1</t>
  </si>
  <si>
    <t xml:space="preserve">MR proveedor 2</t>
  </si>
  <si>
    <t xml:space="preserve">Antigüedad LE (meses)</t>
  </si>
  <si>
    <t xml:space="preserve">Enfermedad principal</t>
  </si>
  <si>
    <t xml:space="preserve">MR combinado</t>
  </si>
  <si>
    <t xml:space="preserve">BAF</t>
  </si>
  <si>
    <t xml:space="preserve">MR ajustado</t>
  </si>
  <si>
    <t xml:space="preserve">LE ajustada (años)</t>
  </si>
  <si>
    <t xml:space="preserve">% del face</t>
  </si>
  <si>
    <t xml:space="preserve">M</t>
  </si>
  <si>
    <t xml:space="preserve">Múltiple</t>
  </si>
  <si>
    <t xml:space="preserve">Sin deterioro mayor</t>
  </si>
  <si>
    <t xml:space="preserve">F</t>
  </si>
  <si>
    <t xml:space="preserve">Neurológica</t>
  </si>
  <si>
    <t xml:space="preserve">Pulmonar</t>
  </si>
  <si>
    <t xml:space="preserve">Cardiovascular</t>
  </si>
  <si>
    <t xml:space="preserve">Cáncer</t>
  </si>
  <si>
    <t xml:space="preserve">Diabetes</t>
  </si>
  <si>
    <t xml:space="preserve">Supervivencia ajustada por póliza: q_t = MIN(1, q_base(edad+t−1) × [1+(MRaj−1)·máx(0,1−(t−1)/W)] × (1−MI)^(t−1));  LE = Σ S_t + 0.5</t>
  </si>
  <si>
    <t xml:space="preserve">LE (años)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</si>
  <si>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</si>
  <si>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</si>
  <si>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</si>
  <si>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</si>
  <si>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</si>
  <si>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</si>
  <si>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</si>
  <si>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</si>
  <si>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</si>
  <si>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</si>
  <si>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</si>
  <si>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</si>
  <si>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</si>
  <si>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</si>
  <si>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</si>
  <si>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</si>
  <si>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</si>
  <si>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</si>
  <si>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</si>
  <si>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</si>
  <si>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</si>
  <si>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</si>
  <si>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</si>
  <si>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</si>
  <si>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</si>
  <si>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</si>
  <si>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</si>
  <si>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</si>
  <si>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</si>
  <si>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</si>
  <si>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</si>
  <si>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</si>
  <si>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</si>
  <si>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</si>
  <si>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</si>
  <si>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</si>
  <si>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</si>
  <si>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</si>
  <si>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</si>
  <si>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</si>
  <si>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</si>
  <si>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</si>
  <si>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</si>
  <si>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</si>
  <si>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</si>
  <si>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Matriz idealizada de default por emisión (INDICATIVA – reemplazar con BILSM Exhibit E.2)</t>
  </si>
  <si>
    <t xml:space="preserve">Acumulada(t) = 1 − (1 − p1)^t. p1 parcialmente referenciado (aaa 1a ≈ 0.08%, bbb 1a ≈ 0.84%); resto interpolado por Claude.</t>
  </si>
  <si>
    <t xml:space="preserve">Calificación</t>
  </si>
  <si>
    <t xml:space="preserve">p1 (1 año)</t>
  </si>
  <si>
    <t xml:space="preserve">aaa</t>
  </si>
  <si>
    <t xml:space="preserve">aa+</t>
  </si>
  <si>
    <t xml:space="preserve">aa</t>
  </si>
  <si>
    <t xml:space="preserve">aa-</t>
  </si>
  <si>
    <t xml:space="preserve">a+</t>
  </si>
  <si>
    <t xml:space="preserve">a</t>
  </si>
  <si>
    <t xml:space="preserve">a-</t>
  </si>
  <si>
    <t xml:space="preserve">bbb+</t>
  </si>
  <si>
    <t xml:space="preserve">bbb</t>
  </si>
  <si>
    <t xml:space="preserve">bbb-</t>
  </si>
  <si>
    <t xml:space="preserve">bb+</t>
  </si>
  <si>
    <t xml:space="preserve">bb</t>
  </si>
  <si>
    <t xml:space="preserve">bb-</t>
  </si>
  <si>
    <t xml:space="preserve">b+</t>
  </si>
  <si>
    <t xml:space="preserve">b</t>
  </si>
  <si>
    <t xml:space="preserve">b-</t>
  </si>
  <si>
    <t xml:space="preserve">ccc o menor</t>
  </si>
  <si>
    <t xml:space="preserve">Escenarios Monte Carlo (base + estrés para comité)</t>
  </si>
  <si>
    <t xml:space="preserve">Multiplicador q &lt; 1 = LE más larga. Sigma vacía = usa Supuestos. 'Default aseguradora mayor' fuerza el default de la aseguradora con más face en el año 1.</t>
  </si>
  <si>
    <t xml:space="preserve">Multiplicador q</t>
  </si>
  <si>
    <t xml:space="preserve">COI adicional</t>
  </si>
  <si>
    <t xml:space="preserve">Sigma sistemática</t>
  </si>
  <si>
    <t xml:space="preserve">Default aseguradora mayor (1/0)</t>
  </si>
  <si>
    <t xml:space="preserve">Reserva inicial × </t>
  </si>
  <si>
    <t xml:space="preserve">Base</t>
  </si>
  <si>
    <t xml:space="preserve">Extensión LE (q × 0.85)</t>
  </si>
  <si>
    <t xml:space="preserve">Extensión severa (q × 0.75)</t>
  </si>
  <si>
    <t xml:space="preserve">Primas +1.5% anual adicional</t>
  </si>
  <si>
    <t xml:space="preserve">Default aseguradora mayor</t>
  </si>
  <si>
    <t xml:space="preserve">Liquidez −50%</t>
  </si>
  <si>
    <t xml:space="preserve">Factores cualitativos y chequeos de elegibilidad</t>
  </si>
  <si>
    <t xml:space="preserve">Pesos = estimación de Claude (AM Best no publica una ponderación). El núcleo de la calificación es la PD de Monte Carlo.</t>
  </si>
  <si>
    <t xml:space="preserve">Factor</t>
  </si>
  <si>
    <t xml:space="preserve">Peso</t>
  </si>
  <si>
    <t xml:space="preserve">Puntaje (1–5)</t>
  </si>
  <si>
    <t xml:space="preserve">Ponderado</t>
  </si>
  <si>
    <t xml:space="preserve">Calidad de LE / underwriting médico</t>
  </si>
  <si>
    <t xml:space="preserve">Diversificación de la cartera</t>
  </si>
  <si>
    <t xml:space="preserve">Liquidez para primas</t>
  </si>
  <si>
    <t xml:space="preserve">Calidad crediticia de aseguradoras</t>
  </si>
  <si>
    <t xml:space="preserve">Riesgo legal de pólizas (STOLI, interés asegurable)</t>
  </si>
  <si>
    <t xml:space="preserve">Estructura legal del SPV</t>
  </si>
  <si>
    <t xml:space="preserve">Contrapartes operativas</t>
  </si>
  <si>
    <t xml:space="preserve">Total</t>
  </si>
  <si>
    <t xml:space="preserve">Puntaje ≥</t>
  </si>
  <si>
    <t xml:space="preserve">Notches</t>
  </si>
  <si>
    <t xml:space="preserve">Notches cualitativos</t>
  </si>
  <si>
    <t xml:space="preserve">Chequeo de elegibilidad (AM Best)</t>
  </si>
  <si>
    <t xml:space="preserve">Límite</t>
  </si>
  <si>
    <t xml:space="preserve">Resultado</t>
  </si>
  <si>
    <t xml:space="preserve"># de vidas</t>
  </si>
  <si>
    <t xml:space="preserve">Mayor póliza / face</t>
  </si>
  <si>
    <t xml:space="preserve">LE más antigua (meses)</t>
  </si>
  <si>
    <t xml:space="preserve"># proveedores LE (columnas I y J llenas)</t>
  </si>
  <si>
    <t xml:space="preserve">Notches por chequeos fallidos (−1 c/u)</t>
  </si>
  <si>
    <t xml:space="preserve">Total notches</t>
  </si>
  <si>
    <t xml:space="preserve">Fuentes y estatus</t>
  </si>
  <si>
    <t xml:space="preserve">Elemento</t>
  </si>
  <si>
    <t xml:space="preserve">Estatus</t>
  </si>
  <si>
    <t xml:space="preserve">Fuente</t>
  </si>
  <si>
    <t xml:space="preserve">Monte Carlo para PD de los valores</t>
  </si>
  <si>
    <t xml:space="preserve">Descrito por AM Best</t>
  </si>
  <si>
    <t xml:space="preserve">AM Best press release – https://news.ambest.com/PR/PressContent.aspx?altsrc=0&amp;refnum=9726</t>
  </si>
  <si>
    <t xml:space="preserve">Basic Adjustment Factor, Age-Based Adjustment Factor, Ratings Wear-Off</t>
  </si>
  <si>
    <t xml:space="preserve">Descrito por AM Best; valores ESTIMADOS</t>
  </si>
  <si>
    <t xml:space="preserve">AM Best, Life Settlement Securitization – https://www3.ambest.com/ambv/ratingmethodology/OpenPDF.aspx?rc=197705</t>
  </si>
  <si>
    <t xml:space="preserve">Tabla VBT ajustada (2008 → 2015 VBT en revisión 2026)</t>
  </si>
  <si>
    <t xml:space="preserve">Descrito por AM Best; tabla aquí es PROXY</t>
  </si>
  <si>
    <t xml:space="preserve">BusinessWire 8-sep-2026 – https://secure.businesswire.com/news/home/20260908651291/en/</t>
  </si>
  <si>
    <t xml:space="preserve">PD vs. vencimiento esperado → Idealized Issue Default Matrix</t>
  </si>
  <si>
    <t xml:space="preserve">Descrito por AM Best; matriz INDICATIVA</t>
  </si>
  <si>
    <t xml:space="preserve">BILSM – https://www3.ambest.com/ambv/ratingmethodology/openpdf.aspx?ubcr=1&amp;ri=1124 ; https://www3.ambest.com/ambv/ratingmethodology/OpenPDF.aspx?rc=197709</t>
  </si>
  <si>
    <t xml:space="preserve">≥300 vidas, ≤3.33% por vida, ≥2 LE, ≤12 meses, cartera adquirida (≤18 meses)</t>
  </si>
  <si>
    <t xml:space="preserve">Publicado por AM Best</t>
  </si>
  <si>
    <t xml:space="preserve">Life Settlement Securitization (ídem)</t>
  </si>
  <si>
    <t xml:space="preserve">Etapas: evaluación preliminar → indicativa → calificación de largo plazo</t>
  </si>
  <si>
    <t xml:space="preserve">Ídem</t>
  </si>
  <si>
    <t xml:space="preserve">Sigma sistemática, COI, LGD, mejora de mortalidad, pesos cualitativos</t>
  </si>
  <si>
    <t xml:space="preserve">ESTIMACIÓN de Claude</t>
  </si>
  <si>
    <t xml:space="preserve">Calibrar con el criterio completo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</si>
</sst>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0%;\(0.000%\);\-"/>
    <numFmt numFmtId="166" formatCode="0.0"/>
    <numFmt numFmtId="167" formatCode="0.00%;\(0.00%\);\-"/>
    <numFmt numFmtId="168" formatCode="0.00"/>
    <numFmt numFmtId="169" formatCode="\$#,##0.00;&quot;($&quot;#,##0.00\);\-"/>
    <numFmt numFmtId="170" formatCode="#,##0;\(#,##0\);\-"/>
    <numFmt numFmtId="171" formatCode="0.0%;\(0.0%\);\-"/>
    <numFmt numFmtId="172" formatCode="0.00\x"/>
    <numFmt numFmtId="173" formatCode="0.000000"/>
    <numFmt numFmtId="174" formatCode="0.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3"/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"/>
    <col collapsed="false" customWidth="true" hidden="false" outlineLevel="0" max="4" min="3" style="0" width="12"/>
    <col collapsed="false" customWidth="true" hidden="false" outlineLevel="0" max="5" min="5" style="0" width="11"/>
    <col collapsed="false" customWidth="true" hidden="false" outlineLevel="0" max="8" min="6" style="0" width="12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8"/>
    <col collapsed="false" customWidth="true" hidden="false" outlineLevel="0" max="12" min="12" style="0" width="9"/>
    <col collapsed="false" customWidth="true" hidden="false" outlineLevel="0" max="13" min="13" style="0" width="12"/>
    <col collapsed="false" customWidth="true" hidden="false" outlineLevel="0" max="14" min="14" style="0" width="9"/>
    <col collapsed="false" customWidth="true" hidden="false" outlineLevel="0" max="15" min="15" style="0" width="12"/>
    <col collapsed="false" customWidth="true" hidden="false" outlineLevel="0" max="17" min="16" style="0" width="13"/>
  </cols>
  <sheetData>
    <row r="1" customFormat="false" ht="17.35" hidden="false" customHeight="false" outlineLevel="0" collapsed="false">
      <c r="A1" s="1" t="s">
        <v>16</v>
      </c>
    </row>
    <row r="2" customFormat="false" ht="15" hidden="false" customHeight="false" outlineLevel="0" collapsed="false">
      <c r="A2" s="3" t="s">
        <v>17</v>
      </c>
    </row>
    <row r="3" customFormat="false" ht="15" hidden="false" customHeight="false" outlineLevel="0" collapsed="false">
      <c r="A3" s="3" t="s">
        <v>18</v>
      </c>
      <c r="B3" s="2" t="s">
        <v>19</v>
      </c>
    </row>
    <row r="5" customFormat="false" ht="46.25" hidden="false" customHeight="false" outlineLevel="0" collapsed="false">
      <c r="A5" s="4" t="s">
        <v>20</v>
      </c>
      <c r="B5" s="4" t="s">
        <v>21</v>
      </c>
      <c r="C5" s="4" t="s">
        <v>22</v>
      </c>
      <c r="D5" s="4" t="s">
        <v>23</v>
      </c>
      <c r="E5" s="4" t="s">
        <v>24</v>
      </c>
      <c r="F5" s="4" t="s">
        <v>25</v>
      </c>
      <c r="G5" s="4" t="s">
        <v>26</v>
      </c>
      <c r="H5" s="4" t="s">
        <v>27</v>
      </c>
      <c r="I5" s="4" t="s">
        <v>28</v>
      </c>
      <c r="J5" s="4" t="s">
        <v>29</v>
      </c>
      <c r="K5" s="4" t="s">
        <v>30</v>
      </c>
      <c r="L5" s="4" t="s">
        <v>31</v>
      </c>
      <c r="M5" s="4" t="s">
        <v>32</v>
      </c>
      <c r="N5" s="4" t="s">
        <v>33</v>
      </c>
      <c r="O5" s="4" t="s">
        <v>34</v>
      </c>
      <c r="P5" s="4" t="s">
        <v>35</v>
      </c>
      <c r="Q5" s="4" t="s">
        <v>36</v>
      </c>
    </row>
    <row r="6" customFormat="false" ht="15" hidden="false" customHeight="false" outlineLevel="0" collapsed="false">
      <c r="A6" s="5" t="str">
        <f aca="false">Escenarios!A6</f>
        <v>Base</v>
      </c>
      <c r="B6" s="6" t="n">
        <v>0.0324</v>
      </c>
      <c r="C6" s="6" t="n">
        <v>0.0188752848418522</v>
      </c>
      <c r="D6" s="7" t="n">
        <v>4.38936443296593</v>
      </c>
      <c r="E6" s="6" t="n">
        <v>0.0418</v>
      </c>
      <c r="F6" s="6" t="n">
        <v>0.0366686585383195</v>
      </c>
      <c r="G6" s="7" t="n">
        <v>7.89334356541682</v>
      </c>
      <c r="H6" s="8" t="n">
        <v>0.0112</v>
      </c>
      <c r="I6" s="9" t="n">
        <v>7.65760566666667</v>
      </c>
      <c r="J6" s="10" t="n">
        <v>441.867469017481</v>
      </c>
      <c r="K6" s="11" t="n">
        <v>5000</v>
      </c>
      <c r="L6" s="12" t="n">
        <f aca="false">IF(B6="","",COUNTIF(INDEX(Matriz_Default!$C$5:$AF$20,0,MIN(30,MAX(1,ROUND(D6,0)))),"&lt;"&amp;B6)+1)</f>
        <v>9</v>
      </c>
      <c r="M6" s="3" t="str">
        <f aca="false">IF(L6="","",INDEX(Matriz_Default!$A$5:$A$21,MIN(17,L6)))</f>
        <v>bbb</v>
      </c>
      <c r="N6" s="12" t="n">
        <f aca="false">IF(E6="","",MAX(L6,COUNTIF(INDEX(Matriz_Default!$C$5:$AF$20,0,MIN(30,MAX(1,ROUND(G6,0)))),"&lt;"&amp;E6)+1))</f>
        <v>9</v>
      </c>
      <c r="O6" s="3" t="str">
        <f aca="false">IF(N6="","",INDEX(Matriz_Default!$A$5:$A$21,MIN(17,N6)))</f>
        <v>bbb</v>
      </c>
      <c r="P6" s="3" t="str">
        <f aca="false">IF(L6="","",INDEX(Matriz_Default!$A$5:$A$21,MIN(17,L6-Ponderacion!$C$28)))</f>
        <v>bbb-</v>
      </c>
      <c r="Q6" s="3" t="str">
        <f aca="false">IF(N6="","",INDEX(Matriz_Default!$A$5:$A$21,MIN(17,N6-Ponderacion!$C$28)))</f>
        <v>bbb-</v>
      </c>
    </row>
    <row r="7" customFormat="false" ht="15" hidden="false" customHeight="false" outlineLevel="0" collapsed="false">
      <c r="A7" s="5" t="str">
        <f aca="false">Escenarios!A7</f>
        <v>Extensión LE (q × 0.85)</v>
      </c>
      <c r="B7" s="6" t="n">
        <v>0.1352</v>
      </c>
      <c r="C7" s="6" t="n">
        <v>0.0874216693557636</v>
      </c>
      <c r="D7" s="7" t="n">
        <v>7.7271989258678</v>
      </c>
      <c r="E7" s="6" t="n">
        <v>0.1674</v>
      </c>
      <c r="F7" s="6" t="n">
        <v>0.152028075106665</v>
      </c>
      <c r="G7" s="7" t="n">
        <v>12.005470665618</v>
      </c>
      <c r="H7" s="8" t="n">
        <v>0.0488</v>
      </c>
      <c r="I7" s="9" t="n">
        <v>8.53474566666667</v>
      </c>
      <c r="J7" s="10" t="n">
        <v>435.372589555018</v>
      </c>
      <c r="K7" s="11" t="n">
        <v>5000</v>
      </c>
      <c r="L7" s="12" t="n">
        <f aca="false">IF(B7="","",COUNTIF(INDEX(Matriz_Default!$C$5:$AF$20,0,MIN(30,MAX(1,ROUND(D7,0)))),"&lt;"&amp;B7)+1)</f>
        <v>11</v>
      </c>
      <c r="M7" s="3" t="str">
        <f aca="false">IF(L7="","",INDEX(Matriz_Default!$A$5:$A$21,MIN(17,L7)))</f>
        <v>bb+</v>
      </c>
      <c r="N7" s="12" t="n">
        <f aca="false">IF(E7="","",MAX(L7,COUNTIF(INDEX(Matriz_Default!$C$5:$AF$20,0,MIN(30,MAX(1,ROUND(G7,0)))),"&lt;"&amp;E7)+1))</f>
        <v>11</v>
      </c>
      <c r="O7" s="3" t="str">
        <f aca="false">IF(N7="","",INDEX(Matriz_Default!$A$5:$A$21,MIN(17,N7)))</f>
        <v>bb+</v>
      </c>
      <c r="P7" s="3" t="str">
        <f aca="false">IF(L7="","",INDEX(Matriz_Default!$A$5:$A$21,MIN(17,L7-Ponderacion!$C$28)))</f>
        <v>bb</v>
      </c>
      <c r="Q7" s="3" t="str">
        <f aca="false">IF(N7="","",INDEX(Matriz_Default!$A$5:$A$21,MIN(17,N7-Ponderacion!$C$28)))</f>
        <v>bb</v>
      </c>
    </row>
    <row r="8" customFormat="false" ht="15" hidden="false" customHeight="false" outlineLevel="0" collapsed="false">
      <c r="A8" s="5" t="str">
        <f aca="false">Escenarios!A8</f>
        <v>Extensión severa (q × 0.75)</v>
      </c>
      <c r="B8" s="6" t="n">
        <v>0.3056</v>
      </c>
      <c r="C8" s="6" t="n">
        <v>0.216273721737646</v>
      </c>
      <c r="D8" s="7" t="n">
        <v>11.8164415816309</v>
      </c>
      <c r="E8" s="6" t="n">
        <v>0.3496</v>
      </c>
      <c r="F8" s="6" t="n">
        <v>0.327575991044315</v>
      </c>
      <c r="G8" s="7" t="n">
        <v>15.9424503715923</v>
      </c>
      <c r="H8" s="8" t="n">
        <v>0.1354</v>
      </c>
      <c r="I8" s="9" t="n">
        <v>9.24350366666667</v>
      </c>
      <c r="J8" s="10" t="n">
        <v>423.825753123334</v>
      </c>
      <c r="K8" s="11" t="n">
        <v>5000</v>
      </c>
      <c r="L8" s="12" t="n">
        <f aca="false">IF(B8="","",COUNTIF(INDEX(Matriz_Default!$C$5:$AF$20,0,MIN(30,MAX(1,ROUND(D8,0)))),"&lt;"&amp;B8)+1)</f>
        <v>13</v>
      </c>
      <c r="M8" s="3" t="str">
        <f aca="false">IF(L8="","",INDEX(Matriz_Default!$A$5:$A$21,MIN(17,L8)))</f>
        <v>bb-</v>
      </c>
      <c r="N8" s="12" t="n">
        <f aca="false">IF(E8="","",MAX(L8,COUNTIF(INDEX(Matriz_Default!$C$5:$AF$20,0,MIN(30,MAX(1,ROUND(G8,0)))),"&lt;"&amp;E8)+1))</f>
        <v>13</v>
      </c>
      <c r="O8" s="3" t="str">
        <f aca="false">IF(N8="","",INDEX(Matriz_Default!$A$5:$A$21,MIN(17,N8)))</f>
        <v>bb-</v>
      </c>
      <c r="P8" s="3" t="str">
        <f aca="false">IF(L8="","",INDEX(Matriz_Default!$A$5:$A$21,MIN(17,L8-Ponderacion!$C$28)))</f>
        <v>b+</v>
      </c>
      <c r="Q8" s="3" t="str">
        <f aca="false">IF(N8="","",INDEX(Matriz_Default!$A$5:$A$21,MIN(17,N8-Ponderacion!$C$28)))</f>
        <v>b+</v>
      </c>
    </row>
    <row r="9" customFormat="false" ht="15" hidden="false" customHeight="false" outlineLevel="0" collapsed="false">
      <c r="A9" s="5" t="str">
        <f aca="false">Escenarios!A9</f>
        <v>Primas +1.5% anual adicional</v>
      </c>
      <c r="B9" s="6" t="n">
        <v>0.067</v>
      </c>
      <c r="C9" s="6" t="n">
        <v>0.0406915396705672</v>
      </c>
      <c r="D9" s="7" t="n">
        <v>5.12785319997277</v>
      </c>
      <c r="E9" s="6" t="n">
        <v>0.0884</v>
      </c>
      <c r="F9" s="6" t="n">
        <v>0.0766027359060658</v>
      </c>
      <c r="G9" s="7" t="n">
        <v>8.83586630020122</v>
      </c>
      <c r="H9" s="8" t="n">
        <v>0.0304</v>
      </c>
      <c r="I9" s="9" t="n">
        <v>7.65760566666667</v>
      </c>
      <c r="J9" s="10" t="n">
        <v>441.200787151134</v>
      </c>
      <c r="K9" s="11" t="n">
        <v>5000</v>
      </c>
      <c r="L9" s="12" t="n">
        <f aca="false">IF(B9="","",COUNTIF(INDEX(Matriz_Default!$C$5:$AF$20,0,MIN(30,MAX(1,ROUND(D9,0)))),"&lt;"&amp;B9)+1)</f>
        <v>11</v>
      </c>
      <c r="M9" s="3" t="str">
        <f aca="false">IF(L9="","",INDEX(Matriz_Default!$A$5:$A$21,MIN(17,L9)))</f>
        <v>bb+</v>
      </c>
      <c r="N9" s="12" t="n">
        <f aca="false">IF(E9="","",MAX(L9,COUNTIF(INDEX(Matriz_Default!$C$5:$AF$20,0,MIN(30,MAX(1,ROUND(G9,0)))),"&lt;"&amp;E9)+1))</f>
        <v>11</v>
      </c>
      <c r="O9" s="3" t="str">
        <f aca="false">IF(N9="","",INDEX(Matriz_Default!$A$5:$A$21,MIN(17,N9)))</f>
        <v>bb+</v>
      </c>
      <c r="P9" s="3" t="str">
        <f aca="false">IF(L9="","",INDEX(Matriz_Default!$A$5:$A$21,MIN(17,L9-Ponderacion!$C$28)))</f>
        <v>bb</v>
      </c>
      <c r="Q9" s="3" t="str">
        <f aca="false">IF(N9="","",INDEX(Matriz_Default!$A$5:$A$21,MIN(17,N9-Ponderacion!$C$28)))</f>
        <v>bb</v>
      </c>
    </row>
    <row r="10" customFormat="false" ht="15" hidden="false" customHeight="false" outlineLevel="0" collapsed="false">
      <c r="A10" s="5" t="str">
        <f aca="false">Escenarios!A10</f>
        <v>Default aseguradora mayor</v>
      </c>
      <c r="B10" s="6" t="n">
        <v>0.1278</v>
      </c>
      <c r="C10" s="6" t="n">
        <v>0.077630237910054</v>
      </c>
      <c r="D10" s="7" t="n">
        <v>6.98015995816789</v>
      </c>
      <c r="E10" s="6" t="n">
        <v>0.1596</v>
      </c>
      <c r="F10" s="6" t="n">
        <v>0.144552831809051</v>
      </c>
      <c r="G10" s="7" t="n">
        <v>11.1498478067789</v>
      </c>
      <c r="H10" s="8" t="n">
        <v>0.0518</v>
      </c>
      <c r="I10" s="9" t="n">
        <v>7.65760566666667</v>
      </c>
      <c r="J10" s="10" t="n">
        <v>400.319207112289</v>
      </c>
      <c r="K10" s="11" t="n">
        <v>5000</v>
      </c>
      <c r="L10" s="12" t="n">
        <f aca="false">IF(B10="","",COUNTIF(INDEX(Matriz_Default!$C$5:$AF$20,0,MIN(30,MAX(1,ROUND(D10,0)))),"&lt;"&amp;B10)+1)</f>
        <v>12</v>
      </c>
      <c r="M10" s="3" t="str">
        <f aca="false">IF(L10="","",INDEX(Matriz_Default!$A$5:$A$21,MIN(17,L10)))</f>
        <v>bb</v>
      </c>
      <c r="N10" s="12" t="n">
        <f aca="false">IF(E10="","",MAX(L10,COUNTIF(INDEX(Matriz_Default!$C$5:$AF$20,0,MIN(30,MAX(1,ROUND(G10,0)))),"&lt;"&amp;E10)+1))</f>
        <v>12</v>
      </c>
      <c r="O10" s="3" t="str">
        <f aca="false">IF(N10="","",INDEX(Matriz_Default!$A$5:$A$21,MIN(17,N10)))</f>
        <v>bb</v>
      </c>
      <c r="P10" s="3" t="str">
        <f aca="false">IF(L10="","",INDEX(Matriz_Default!$A$5:$A$21,MIN(17,L10-Ponderacion!$C$28)))</f>
        <v>bb-</v>
      </c>
      <c r="Q10" s="3" t="str">
        <f aca="false">IF(N10="","",INDEX(Matriz_Default!$A$5:$A$21,MIN(17,N10-Ponderacion!$C$28)))</f>
        <v>bb-</v>
      </c>
    </row>
    <row r="11" customFormat="false" ht="15" hidden="false" customHeight="false" outlineLevel="0" collapsed="false">
      <c r="A11" s="5" t="str">
        <f aca="false">Escenarios!A11</f>
        <v>Liquidez −50%</v>
      </c>
      <c r="B11" s="6" t="n">
        <v>0.0594</v>
      </c>
      <c r="C11" s="6" t="n">
        <v>0.0330458745099466</v>
      </c>
      <c r="D11" s="7" t="n">
        <v>5.62046689538834</v>
      </c>
      <c r="E11" s="6" t="n">
        <v>0.0734</v>
      </c>
      <c r="F11" s="6" t="n">
        <v>0.0649096204654476</v>
      </c>
      <c r="G11" s="7" t="n">
        <v>9.20083814102974</v>
      </c>
      <c r="H11" s="8" t="n">
        <v>0.021</v>
      </c>
      <c r="I11" s="9" t="n">
        <v>7.65760566666667</v>
      </c>
      <c r="J11" s="10" t="n">
        <v>441.357067360031</v>
      </c>
      <c r="K11" s="11" t="n">
        <v>5000</v>
      </c>
      <c r="L11" s="12" t="n">
        <f aca="false">IF(B11="","",COUNTIF(INDEX(Matriz_Default!$C$5:$AF$20,0,MIN(30,MAX(1,ROUND(D11,0)))),"&lt;"&amp;B11)+1)</f>
        <v>10</v>
      </c>
      <c r="M11" s="3" t="str">
        <f aca="false">IF(L11="","",INDEX(Matriz_Default!$A$5:$A$21,MIN(17,L11)))</f>
        <v>bbb-</v>
      </c>
      <c r="N11" s="12" t="n">
        <f aca="false">IF(E11="","",MAX(L11,COUNTIF(INDEX(Matriz_Default!$C$5:$AF$20,0,MIN(30,MAX(1,ROUND(G11,0)))),"&lt;"&amp;E11)+1))</f>
        <v>10</v>
      </c>
      <c r="O11" s="3" t="str">
        <f aca="false">IF(N11="","",INDEX(Matriz_Default!$A$5:$A$21,MIN(17,N11)))</f>
        <v>bbb-</v>
      </c>
      <c r="P11" s="3" t="str">
        <f aca="false">IF(L11="","",INDEX(Matriz_Default!$A$5:$A$21,MIN(17,L11-Ponderacion!$C$28)))</f>
        <v>bb+</v>
      </c>
      <c r="Q11" s="3" t="str">
        <f aca="false">IF(N11="","",INDEX(Matriz_Default!$A$5:$A$21,MIN(17,N11-Ponderacion!$C$28)))</f>
        <v>bb+</v>
      </c>
    </row>
    <row r="13" customFormat="false" ht="15" hidden="false" customHeight="false" outlineLevel="0" collapsed="false">
      <c r="A13" s="2" t="s">
        <v>37</v>
      </c>
    </row>
    <row r="14" customFormat="false" ht="15" hidden="false" customHeight="false" outlineLevel="0" collapsed="false">
      <c r="A14" s="3" t="s">
        <v>38</v>
      </c>
      <c r="B14" s="13" t="str">
        <f aca="false">P6</f>
        <v>bbb-</v>
      </c>
    </row>
    <row r="15" customFormat="false" ht="15" hidden="false" customHeight="false" outlineLevel="0" collapsed="false">
      <c r="A15" s="3" t="s">
        <v>39</v>
      </c>
      <c r="B15" s="13" t="str">
        <f aca="false">Q6</f>
        <v>bbb-</v>
      </c>
    </row>
    <row r="16" customFormat="false" ht="15" hidden="false" customHeight="false" outlineLevel="0" collapsed="false">
      <c r="A16" s="3" t="s">
        <v>40</v>
      </c>
      <c r="B16" s="14" t="n">
        <f aca="false">Ponderacion!C28</f>
        <v>-1</v>
      </c>
    </row>
    <row r="18" customFormat="false" ht="15" hidden="false" customHeight="false" outlineLevel="0" collapsed="false">
      <c r="A18" s="3" t="s">
        <v>41</v>
      </c>
      <c r="B18" s="15" t="n">
        <f aca="false">Cartera_Polizas!I3</f>
        <v>7.52673848552522</v>
      </c>
      <c r="C18" s="9" t="n">
        <v>7.52673848552522</v>
      </c>
      <c r="D18" s="3" t="str">
        <f aca="false">IF(C18="","",IF(ABS(B18-C18)&lt;0.05,"OK","REVISAR"))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2"/>
    <col collapsed="false" customWidth="true" hidden="false" outlineLevel="0" max="4" min="3" style="0" width="12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42</v>
      </c>
    </row>
    <row r="3" customFormat="false" ht="15" hidden="false" customHeight="false" outlineLevel="0" collapsed="false">
      <c r="A3" s="4"/>
      <c r="B3" s="4" t="s">
        <v>43</v>
      </c>
      <c r="C3" s="4" t="s">
        <v>44</v>
      </c>
      <c r="D3" s="4" t="s">
        <v>45</v>
      </c>
      <c r="E3" s="4" t="s">
        <v>46</v>
      </c>
    </row>
    <row r="5" customFormat="false" ht="15" hidden="false" customHeight="false" outlineLevel="0" collapsed="false">
      <c r="B5" s="3" t="s">
        <v>47</v>
      </c>
      <c r="C5" s="10" t="n">
        <v>75</v>
      </c>
      <c r="D5" s="3" t="s">
        <v>48</v>
      </c>
      <c r="E5" s="3" t="s">
        <v>49</v>
      </c>
    </row>
    <row r="6" customFormat="false" ht="15" hidden="false" customHeight="false" outlineLevel="0" collapsed="false">
      <c r="B6" s="3" t="s">
        <v>50</v>
      </c>
      <c r="C6" s="8" t="n">
        <v>0.065</v>
      </c>
      <c r="D6" s="3" t="s">
        <v>51</v>
      </c>
      <c r="E6" s="3" t="s">
        <v>49</v>
      </c>
    </row>
    <row r="7" customFormat="false" ht="15" hidden="false" customHeight="false" outlineLevel="0" collapsed="false">
      <c r="B7" s="3" t="s">
        <v>52</v>
      </c>
      <c r="C7" s="10" t="n">
        <v>25</v>
      </c>
      <c r="D7" s="3" t="s">
        <v>48</v>
      </c>
      <c r="E7" s="3" t="s">
        <v>49</v>
      </c>
    </row>
    <row r="8" customFormat="false" ht="15" hidden="false" customHeight="false" outlineLevel="0" collapsed="false">
      <c r="B8" s="3" t="s">
        <v>53</v>
      </c>
      <c r="C8" s="8" t="n">
        <v>0.095</v>
      </c>
      <c r="D8" s="3" t="s">
        <v>51</v>
      </c>
      <c r="E8" s="3" t="s">
        <v>49</v>
      </c>
    </row>
    <row r="9" customFormat="false" ht="15" hidden="false" customHeight="false" outlineLevel="0" collapsed="false">
      <c r="B9" s="3" t="s">
        <v>54</v>
      </c>
      <c r="C9" s="10" t="n">
        <v>20</v>
      </c>
      <c r="D9" s="3" t="s">
        <v>48</v>
      </c>
      <c r="E9" s="3" t="s">
        <v>49</v>
      </c>
    </row>
    <row r="10" customFormat="false" ht="15" hidden="false" customHeight="false" outlineLevel="0" collapsed="false">
      <c r="B10" s="3" t="s">
        <v>55</v>
      </c>
      <c r="C10" s="11" t="n">
        <v>12</v>
      </c>
      <c r="D10" s="3" t="s">
        <v>56</v>
      </c>
      <c r="E10" s="3" t="s">
        <v>57</v>
      </c>
    </row>
    <row r="11" customFormat="false" ht="15" hidden="false" customHeight="false" outlineLevel="0" collapsed="false">
      <c r="B11" s="3" t="s">
        <v>58</v>
      </c>
      <c r="C11" s="8" t="n">
        <v>0.03</v>
      </c>
      <c r="D11" s="3" t="s">
        <v>51</v>
      </c>
      <c r="E11" s="3" t="s">
        <v>59</v>
      </c>
    </row>
    <row r="12" customFormat="false" ht="15" hidden="false" customHeight="false" outlineLevel="0" collapsed="false">
      <c r="B12" s="3" t="s">
        <v>60</v>
      </c>
      <c r="C12" s="10" t="n">
        <v>0.75</v>
      </c>
      <c r="D12" s="3" t="s">
        <v>61</v>
      </c>
      <c r="E12" s="3" t="s">
        <v>59</v>
      </c>
    </row>
    <row r="13" customFormat="false" ht="15" hidden="false" customHeight="false" outlineLevel="0" collapsed="false">
      <c r="B13" s="3" t="s">
        <v>62</v>
      </c>
      <c r="C13" s="6" t="n">
        <v>0.0005</v>
      </c>
      <c r="D13" s="3" t="s">
        <v>51</v>
      </c>
      <c r="E13" s="3" t="s">
        <v>59</v>
      </c>
    </row>
    <row r="14" customFormat="false" ht="15" hidden="false" customHeight="false" outlineLevel="0" collapsed="false">
      <c r="B14" s="3" t="s">
        <v>63</v>
      </c>
      <c r="C14" s="16" t="n">
        <v>0.2</v>
      </c>
      <c r="D14" s="3" t="s">
        <v>64</v>
      </c>
      <c r="E14" s="3" t="s">
        <v>65</v>
      </c>
    </row>
    <row r="15" customFormat="false" ht="15" hidden="false" customHeight="false" outlineLevel="0" collapsed="false">
      <c r="B15" s="3" t="s">
        <v>66</v>
      </c>
      <c r="C15" s="11" t="n">
        <v>25</v>
      </c>
      <c r="D15" s="3" t="s">
        <v>67</v>
      </c>
      <c r="E15" s="3" t="s">
        <v>49</v>
      </c>
    </row>
    <row r="16" customFormat="false" ht="15" hidden="false" customHeight="false" outlineLevel="0" collapsed="false">
      <c r="B16" s="3" t="s">
        <v>68</v>
      </c>
      <c r="C16" s="11" t="n">
        <v>5000</v>
      </c>
      <c r="D16" s="3" t="s">
        <v>69</v>
      </c>
      <c r="E16" s="3" t="s">
        <v>70</v>
      </c>
    </row>
    <row r="17" customFormat="false" ht="15" hidden="false" customHeight="false" outlineLevel="0" collapsed="false">
      <c r="B17" s="3" t="s">
        <v>71</v>
      </c>
      <c r="C17" s="11" t="n">
        <v>2026</v>
      </c>
      <c r="D17" s="3" t="s">
        <v>69</v>
      </c>
      <c r="E17" s="3" t="s">
        <v>72</v>
      </c>
    </row>
    <row r="18" customFormat="false" ht="15" hidden="false" customHeight="false" outlineLevel="0" collapsed="false">
      <c r="B18" s="3" t="s">
        <v>73</v>
      </c>
      <c r="C18" s="17" t="n">
        <v>0.005</v>
      </c>
      <c r="D18" s="3" t="s">
        <v>51</v>
      </c>
      <c r="E18" s="3" t="s">
        <v>74</v>
      </c>
    </row>
    <row r="19" customFormat="false" ht="15" hidden="false" customHeight="false" outlineLevel="0" collapsed="false">
      <c r="B19" s="3" t="s">
        <v>75</v>
      </c>
      <c r="C19" s="18" t="n">
        <v>0.2</v>
      </c>
      <c r="D19" s="3" t="s">
        <v>76</v>
      </c>
      <c r="E19" s="3" t="s">
        <v>77</v>
      </c>
    </row>
    <row r="20" customFormat="false" ht="15" hidden="false" customHeight="false" outlineLevel="0" collapsed="false">
      <c r="B20" s="3" t="s">
        <v>78</v>
      </c>
      <c r="C20" s="19" t="n">
        <v>15</v>
      </c>
      <c r="D20" s="3" t="s">
        <v>67</v>
      </c>
      <c r="E20" s="3" t="s">
        <v>79</v>
      </c>
    </row>
    <row r="21" customFormat="false" ht="15" hidden="false" customHeight="false" outlineLevel="0" collapsed="false">
      <c r="B21" s="3" t="s">
        <v>80</v>
      </c>
      <c r="C21" s="18" t="n">
        <v>0.5</v>
      </c>
      <c r="D21" s="3" t="s">
        <v>81</v>
      </c>
      <c r="E21" s="3" t="s">
        <v>82</v>
      </c>
    </row>
    <row r="22" customFormat="false" ht="15" hidden="false" customHeight="false" outlineLevel="0" collapsed="false">
      <c r="B22" s="3" t="s">
        <v>83</v>
      </c>
      <c r="C22" s="17" t="n">
        <v>0.01</v>
      </c>
      <c r="D22" s="3" t="s">
        <v>51</v>
      </c>
      <c r="E22" s="3" t="s">
        <v>82</v>
      </c>
    </row>
    <row r="23" customFormat="false" ht="15" hidden="false" customHeight="false" outlineLevel="0" collapsed="false">
      <c r="B23" s="3" t="s">
        <v>84</v>
      </c>
      <c r="C23" s="11" t="n">
        <v>1</v>
      </c>
      <c r="D23" s="3" t="s">
        <v>85</v>
      </c>
      <c r="E23" s="3" t="s">
        <v>82</v>
      </c>
    </row>
    <row r="24" customFormat="false" ht="15" hidden="false" customHeight="false" outlineLevel="0" collapsed="false">
      <c r="B24" s="3" t="s">
        <v>86</v>
      </c>
      <c r="C24" s="11" t="n">
        <v>300</v>
      </c>
      <c r="D24" s="3" t="s">
        <v>87</v>
      </c>
      <c r="E24" s="3" t="s">
        <v>88</v>
      </c>
    </row>
    <row r="25" customFormat="false" ht="15" hidden="false" customHeight="false" outlineLevel="0" collapsed="false">
      <c r="B25" s="3" t="s">
        <v>89</v>
      </c>
      <c r="C25" s="8" t="n">
        <v>0.0333</v>
      </c>
      <c r="D25" s="3" t="s">
        <v>64</v>
      </c>
      <c r="E25" s="3" t="s">
        <v>88</v>
      </c>
    </row>
    <row r="26" customFormat="false" ht="15" hidden="false" customHeight="false" outlineLevel="0" collapsed="false">
      <c r="B26" s="3" t="s">
        <v>90</v>
      </c>
      <c r="C26" s="11" t="n">
        <v>12</v>
      </c>
      <c r="D26" s="3" t="s">
        <v>56</v>
      </c>
      <c r="E26" s="3" t="s">
        <v>88</v>
      </c>
    </row>
    <row r="27" customFormat="false" ht="15" hidden="false" customHeight="false" outlineLevel="0" collapsed="false">
      <c r="B27" s="3" t="s">
        <v>91</v>
      </c>
      <c r="C27" s="11" t="n">
        <v>2</v>
      </c>
      <c r="D27" s="3" t="s">
        <v>69</v>
      </c>
      <c r="E27" s="3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22"/>
  </cols>
  <sheetData>
    <row r="1" customFormat="false" ht="17.35" hidden="false" customHeight="false" outlineLevel="0" collapsed="false">
      <c r="A1" s="1" t="s">
        <v>92</v>
      </c>
    </row>
    <row r="2" customFormat="false" ht="15" hidden="false" customHeight="false" outlineLevel="0" collapsed="false">
      <c r="A2" s="3" t="s">
        <v>93</v>
      </c>
    </row>
    <row r="4" customFormat="false" ht="15" hidden="false" customHeight="false" outlineLevel="0" collapsed="false">
      <c r="A4" s="2" t="s">
        <v>94</v>
      </c>
    </row>
    <row r="5" customFormat="false" ht="15" hidden="false" customHeight="false" outlineLevel="0" collapsed="false">
      <c r="A5" s="4" t="s">
        <v>95</v>
      </c>
      <c r="B5" s="4" t="s">
        <v>96</v>
      </c>
      <c r="C5" s="4" t="s">
        <v>97</v>
      </c>
    </row>
    <row r="6" customFormat="false" ht="15" hidden="false" customHeight="false" outlineLevel="0" collapsed="false">
      <c r="A6" s="20" t="n">
        <v>0</v>
      </c>
      <c r="B6" s="21" t="n">
        <v>0.95</v>
      </c>
      <c r="C6" s="21" t="n">
        <v>0.9</v>
      </c>
    </row>
    <row r="7" customFormat="false" ht="15" hidden="false" customHeight="false" outlineLevel="0" collapsed="false">
      <c r="A7" s="20" t="n">
        <v>1.5</v>
      </c>
      <c r="B7" s="21" t="n">
        <v>0.88</v>
      </c>
      <c r="C7" s="21" t="n">
        <v>0.82</v>
      </c>
    </row>
    <row r="8" customFormat="false" ht="15" hidden="false" customHeight="false" outlineLevel="0" collapsed="false">
      <c r="A8" s="20" t="n">
        <v>3</v>
      </c>
      <c r="B8" s="21" t="n">
        <v>0.8</v>
      </c>
      <c r="C8" s="21" t="n">
        <v>0.74</v>
      </c>
    </row>
    <row r="9" customFormat="false" ht="15" hidden="false" customHeight="false" outlineLevel="0" collapsed="false">
      <c r="A9" s="20" t="n">
        <v>5</v>
      </c>
      <c r="B9" s="21" t="n">
        <v>0.72</v>
      </c>
      <c r="C9" s="21" t="n">
        <v>0.66</v>
      </c>
    </row>
    <row r="11" customFormat="false" ht="15" hidden="false" customHeight="false" outlineLevel="0" collapsed="false">
      <c r="A11" s="2" t="s">
        <v>98</v>
      </c>
    </row>
    <row r="12" customFormat="false" ht="15" hidden="false" customHeight="false" outlineLevel="0" collapsed="false">
      <c r="A12" s="4" t="s">
        <v>99</v>
      </c>
      <c r="B12" s="4" t="s">
        <v>100</v>
      </c>
    </row>
    <row r="13" customFormat="false" ht="15" hidden="false" customHeight="false" outlineLevel="0" collapsed="false">
      <c r="A13" s="11" t="n">
        <v>0</v>
      </c>
      <c r="B13" s="21" t="n">
        <v>0.9</v>
      </c>
    </row>
    <row r="14" customFormat="false" ht="15" hidden="false" customHeight="false" outlineLevel="0" collapsed="false">
      <c r="A14" s="11" t="n">
        <v>75</v>
      </c>
      <c r="B14" s="21" t="n">
        <v>0.95</v>
      </c>
    </row>
    <row r="15" customFormat="false" ht="15" hidden="false" customHeight="false" outlineLevel="0" collapsed="false">
      <c r="A15" s="11" t="n">
        <v>85</v>
      </c>
      <c r="B15" s="21" t="n">
        <v>1</v>
      </c>
    </row>
    <row r="16" customFormat="false" ht="15" hidden="false" customHeight="false" outlineLevel="0" collapsed="false">
      <c r="A16" s="11" t="n">
        <v>90</v>
      </c>
      <c r="B16" s="21" t="n">
        <v>1</v>
      </c>
    </row>
    <row r="18" customFormat="false" ht="15" hidden="false" customHeight="false" outlineLevel="0" collapsed="false">
      <c r="A18" s="2" t="s">
        <v>101</v>
      </c>
    </row>
    <row r="19" customFormat="false" ht="15" hidden="false" customHeight="false" outlineLevel="0" collapsed="false">
      <c r="A19" s="4" t="s">
        <v>102</v>
      </c>
      <c r="B19" s="4" t="s">
        <v>103</v>
      </c>
    </row>
    <row r="20" customFormat="false" ht="15" hidden="false" customHeight="false" outlineLevel="0" collapsed="false">
      <c r="A20" s="22" t="s">
        <v>104</v>
      </c>
      <c r="B20" s="23" t="n">
        <v>0.0001</v>
      </c>
    </row>
    <row r="21" customFormat="false" ht="15" hidden="false" customHeight="false" outlineLevel="0" collapsed="false">
      <c r="A21" s="22" t="s">
        <v>105</v>
      </c>
      <c r="B21" s="23" t="n">
        <v>0.0003</v>
      </c>
    </row>
    <row r="22" customFormat="false" ht="15" hidden="false" customHeight="false" outlineLevel="0" collapsed="false">
      <c r="A22" s="22" t="s">
        <v>106</v>
      </c>
      <c r="B22" s="23" t="n">
        <v>0.0006</v>
      </c>
    </row>
    <row r="23" customFormat="false" ht="15" hidden="false" customHeight="false" outlineLevel="0" collapsed="false">
      <c r="A23" s="22" t="s">
        <v>107</v>
      </c>
      <c r="B23" s="23" t="n">
        <v>0.001</v>
      </c>
    </row>
    <row r="24" customFormat="false" ht="15" hidden="false" customHeight="false" outlineLevel="0" collapsed="false">
      <c r="A24" s="22" t="s">
        <v>108</v>
      </c>
      <c r="B24" s="23" t="n">
        <v>0.0025</v>
      </c>
    </row>
    <row r="25" customFormat="false" ht="15" hidden="false" customHeight="false" outlineLevel="0" collapsed="false">
      <c r="A25" s="22" t="s">
        <v>109</v>
      </c>
      <c r="B25" s="23" t="n">
        <v>0.005</v>
      </c>
    </row>
    <row r="27" customFormat="false" ht="15" hidden="false" customHeight="false" outlineLevel="0" collapsed="false">
      <c r="A27" s="2" t="s">
        <v>110</v>
      </c>
    </row>
    <row r="28" customFormat="false" ht="15" hidden="false" customHeight="false" outlineLevel="0" collapsed="false">
      <c r="A28" s="4" t="s">
        <v>111</v>
      </c>
      <c r="B28" s="4" t="s">
        <v>112</v>
      </c>
      <c r="C28" s="4" t="s">
        <v>102</v>
      </c>
    </row>
    <row r="29" customFormat="false" ht="15" hidden="false" customHeight="false" outlineLevel="0" collapsed="false">
      <c r="A29" s="11" t="n">
        <v>1</v>
      </c>
      <c r="B29" s="22" t="s">
        <v>113</v>
      </c>
      <c r="C29" s="22" t="s">
        <v>105</v>
      </c>
    </row>
    <row r="30" customFormat="false" ht="15" hidden="false" customHeight="false" outlineLevel="0" collapsed="false">
      <c r="A30" s="11" t="n">
        <v>2</v>
      </c>
      <c r="B30" s="22" t="s">
        <v>114</v>
      </c>
      <c r="C30" s="22" t="s">
        <v>105</v>
      </c>
    </row>
    <row r="31" customFormat="false" ht="15" hidden="false" customHeight="false" outlineLevel="0" collapsed="false">
      <c r="A31" s="11" t="n">
        <v>3</v>
      </c>
      <c r="B31" s="22" t="s">
        <v>115</v>
      </c>
      <c r="C31" s="22" t="s">
        <v>106</v>
      </c>
    </row>
    <row r="32" customFormat="false" ht="15" hidden="false" customHeight="false" outlineLevel="0" collapsed="false">
      <c r="A32" s="11" t="n">
        <v>4</v>
      </c>
      <c r="B32" s="22" t="s">
        <v>116</v>
      </c>
      <c r="C32" s="22" t="s">
        <v>106</v>
      </c>
    </row>
    <row r="33" customFormat="false" ht="15" hidden="false" customHeight="false" outlineLevel="0" collapsed="false">
      <c r="A33" s="11" t="n">
        <v>5</v>
      </c>
      <c r="B33" s="22" t="s">
        <v>117</v>
      </c>
      <c r="C33" s="22" t="s">
        <v>107</v>
      </c>
    </row>
    <row r="34" customFormat="false" ht="15" hidden="false" customHeight="false" outlineLevel="0" collapsed="false">
      <c r="A34" s="11" t="n">
        <v>6</v>
      </c>
      <c r="B34" s="22" t="s">
        <v>118</v>
      </c>
      <c r="C34" s="22" t="s">
        <v>106</v>
      </c>
    </row>
    <row r="35" customFormat="false" ht="15" hidden="false" customHeight="false" outlineLevel="0" collapsed="false">
      <c r="A35" s="11" t="n">
        <v>7</v>
      </c>
      <c r="B35" s="22" t="s">
        <v>119</v>
      </c>
      <c r="C35" s="22" t="s">
        <v>105</v>
      </c>
    </row>
    <row r="36" customFormat="false" ht="15" hidden="false" customHeight="false" outlineLevel="0" collapsed="false">
      <c r="A36" s="11" t="n">
        <v>8</v>
      </c>
      <c r="B36" s="22" t="s">
        <v>120</v>
      </c>
      <c r="C36" s="22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121</v>
      </c>
    </row>
    <row r="2" customFormat="false" ht="15" hidden="false" customHeight="false" outlineLevel="0" collapsed="false">
      <c r="A2" s="3" t="s">
        <v>122</v>
      </c>
    </row>
    <row r="4" customFormat="false" ht="15" hidden="false" customHeight="false" outlineLevel="0" collapsed="false">
      <c r="A4" s="4" t="s">
        <v>123</v>
      </c>
      <c r="B4" s="4" t="s">
        <v>124</v>
      </c>
    </row>
    <row r="5" customFormat="false" ht="15" hidden="false" customHeight="false" outlineLevel="0" collapsed="false">
      <c r="A5" s="12" t="n">
        <v>50</v>
      </c>
      <c r="B5" s="24" t="n">
        <v>0.001488</v>
      </c>
    </row>
    <row r="6" customFormat="false" ht="15" hidden="false" customHeight="false" outlineLevel="0" collapsed="false">
      <c r="A6" s="12" t="n">
        <v>51</v>
      </c>
      <c r="B6" s="24" t="n">
        <v>0.001661</v>
      </c>
    </row>
    <row r="7" customFormat="false" ht="15" hidden="false" customHeight="false" outlineLevel="0" collapsed="false">
      <c r="A7" s="12" t="n">
        <v>52</v>
      </c>
      <c r="B7" s="24" t="n">
        <v>0.001854</v>
      </c>
    </row>
    <row r="8" customFormat="false" ht="15" hidden="false" customHeight="false" outlineLevel="0" collapsed="false">
      <c r="A8" s="12" t="n">
        <v>53</v>
      </c>
      <c r="B8" s="24" t="n">
        <v>0.00207</v>
      </c>
    </row>
    <row r="9" customFormat="false" ht="15" hidden="false" customHeight="false" outlineLevel="0" collapsed="false">
      <c r="A9" s="12" t="n">
        <v>54</v>
      </c>
      <c r="B9" s="24" t="n">
        <v>0.00231</v>
      </c>
    </row>
    <row r="10" customFormat="false" ht="15" hidden="false" customHeight="false" outlineLevel="0" collapsed="false">
      <c r="A10" s="12" t="n">
        <v>55</v>
      </c>
      <c r="B10" s="24" t="n">
        <v>0.002578</v>
      </c>
    </row>
    <row r="11" customFormat="false" ht="15" hidden="false" customHeight="false" outlineLevel="0" collapsed="false">
      <c r="A11" s="12" t="n">
        <v>56</v>
      </c>
      <c r="B11" s="24" t="n">
        <v>0.002878</v>
      </c>
    </row>
    <row r="12" customFormat="false" ht="15" hidden="false" customHeight="false" outlineLevel="0" collapsed="false">
      <c r="A12" s="12" t="n">
        <v>57</v>
      </c>
      <c r="B12" s="24" t="n">
        <v>0.003212</v>
      </c>
    </row>
    <row r="13" customFormat="false" ht="15" hidden="false" customHeight="false" outlineLevel="0" collapsed="false">
      <c r="A13" s="12" t="n">
        <v>58</v>
      </c>
      <c r="B13" s="24" t="n">
        <v>0.003585</v>
      </c>
    </row>
    <row r="14" customFormat="false" ht="15" hidden="false" customHeight="false" outlineLevel="0" collapsed="false">
      <c r="A14" s="12" t="n">
        <v>59</v>
      </c>
      <c r="B14" s="24" t="n">
        <v>0.004001</v>
      </c>
    </row>
    <row r="15" customFormat="false" ht="15" hidden="false" customHeight="false" outlineLevel="0" collapsed="false">
      <c r="A15" s="12" t="n">
        <v>60</v>
      </c>
      <c r="B15" s="24" t="n">
        <v>0.004465</v>
      </c>
    </row>
    <row r="16" customFormat="false" ht="15" hidden="false" customHeight="false" outlineLevel="0" collapsed="false">
      <c r="A16" s="12" t="n">
        <v>61</v>
      </c>
      <c r="B16" s="24" t="n">
        <v>0.004983</v>
      </c>
    </row>
    <row r="17" customFormat="false" ht="15" hidden="false" customHeight="false" outlineLevel="0" collapsed="false">
      <c r="A17" s="12" t="n">
        <v>62</v>
      </c>
      <c r="B17" s="24" t="n">
        <v>0.005561</v>
      </c>
    </row>
    <row r="18" customFormat="false" ht="15" hidden="false" customHeight="false" outlineLevel="0" collapsed="false">
      <c r="A18" s="12" t="n">
        <v>63</v>
      </c>
      <c r="B18" s="24" t="n">
        <v>0.006205</v>
      </c>
    </row>
    <row r="19" customFormat="false" ht="15" hidden="false" customHeight="false" outlineLevel="0" collapsed="false">
      <c r="A19" s="12" t="n">
        <v>64</v>
      </c>
      <c r="B19" s="24" t="n">
        <v>0.006924</v>
      </c>
    </row>
    <row r="20" customFormat="false" ht="15" hidden="false" customHeight="false" outlineLevel="0" collapsed="false">
      <c r="A20" s="12" t="n">
        <v>65</v>
      </c>
      <c r="B20" s="24" t="n">
        <v>0.007726</v>
      </c>
    </row>
    <row r="21" customFormat="false" ht="15" hidden="false" customHeight="false" outlineLevel="0" collapsed="false">
      <c r="A21" s="12" t="n">
        <v>66</v>
      </c>
      <c r="B21" s="24" t="n">
        <v>0.008621</v>
      </c>
    </row>
    <row r="22" customFormat="false" ht="15" hidden="false" customHeight="false" outlineLevel="0" collapsed="false">
      <c r="A22" s="12" t="n">
        <v>67</v>
      </c>
      <c r="B22" s="24" t="n">
        <v>0.009618</v>
      </c>
    </row>
    <row r="23" customFormat="false" ht="15" hidden="false" customHeight="false" outlineLevel="0" collapsed="false">
      <c r="A23" s="12" t="n">
        <v>68</v>
      </c>
      <c r="B23" s="24" t="n">
        <v>0.010731</v>
      </c>
    </row>
    <row r="24" customFormat="false" ht="15" hidden="false" customHeight="false" outlineLevel="0" collapsed="false">
      <c r="A24" s="12" t="n">
        <v>69</v>
      </c>
      <c r="B24" s="24" t="n">
        <v>0.011971</v>
      </c>
    </row>
    <row r="25" customFormat="false" ht="15" hidden="false" customHeight="false" outlineLevel="0" collapsed="false">
      <c r="A25" s="12" t="n">
        <v>70</v>
      </c>
      <c r="B25" s="24" t="n">
        <v>0.013354</v>
      </c>
    </row>
    <row r="26" customFormat="false" ht="15" hidden="false" customHeight="false" outlineLevel="0" collapsed="false">
      <c r="A26" s="12" t="n">
        <v>71</v>
      </c>
      <c r="B26" s="24" t="n">
        <v>0.014895</v>
      </c>
    </row>
    <row r="27" customFormat="false" ht="15" hidden="false" customHeight="false" outlineLevel="0" collapsed="false">
      <c r="A27" s="12" t="n">
        <v>72</v>
      </c>
      <c r="B27" s="24" t="n">
        <v>0.016612</v>
      </c>
    </row>
    <row r="28" customFormat="false" ht="15" hidden="false" customHeight="false" outlineLevel="0" collapsed="false">
      <c r="A28" s="12" t="n">
        <v>73</v>
      </c>
      <c r="B28" s="24" t="n">
        <v>0.018526</v>
      </c>
    </row>
    <row r="29" customFormat="false" ht="15" hidden="false" customHeight="false" outlineLevel="0" collapsed="false">
      <c r="A29" s="12" t="n">
        <v>74</v>
      </c>
      <c r="B29" s="24" t="n">
        <v>0.020657</v>
      </c>
    </row>
    <row r="30" customFormat="false" ht="15" hidden="false" customHeight="false" outlineLevel="0" collapsed="false">
      <c r="A30" s="12" t="n">
        <v>75</v>
      </c>
      <c r="B30" s="24" t="n">
        <v>0.023032</v>
      </c>
    </row>
    <row r="31" customFormat="false" ht="15" hidden="false" customHeight="false" outlineLevel="0" collapsed="false">
      <c r="A31" s="12" t="n">
        <v>76</v>
      </c>
      <c r="B31" s="24" t="n">
        <v>0.025675</v>
      </c>
    </row>
    <row r="32" customFormat="false" ht="15" hidden="false" customHeight="false" outlineLevel="0" collapsed="false">
      <c r="A32" s="12" t="n">
        <v>77</v>
      </c>
      <c r="B32" s="24" t="n">
        <v>0.028617</v>
      </c>
    </row>
    <row r="33" customFormat="false" ht="15" hidden="false" customHeight="false" outlineLevel="0" collapsed="false">
      <c r="A33" s="12" t="n">
        <v>78</v>
      </c>
      <c r="B33" s="24" t="n">
        <v>0.031891</v>
      </c>
    </row>
    <row r="34" customFormat="false" ht="15" hidden="false" customHeight="false" outlineLevel="0" collapsed="false">
      <c r="A34" s="12" t="n">
        <v>79</v>
      </c>
      <c r="B34" s="24" t="n">
        <v>0.035533</v>
      </c>
    </row>
    <row r="35" customFormat="false" ht="15" hidden="false" customHeight="false" outlineLevel="0" collapsed="false">
      <c r="A35" s="12" t="n">
        <v>80</v>
      </c>
      <c r="B35" s="24" t="n">
        <v>0.039582</v>
      </c>
    </row>
    <row r="36" customFormat="false" ht="15" hidden="false" customHeight="false" outlineLevel="0" collapsed="false">
      <c r="A36" s="12" t="n">
        <v>81</v>
      </c>
      <c r="B36" s="24" t="n">
        <v>0.044081</v>
      </c>
    </row>
    <row r="37" customFormat="false" ht="15" hidden="false" customHeight="false" outlineLevel="0" collapsed="false">
      <c r="A37" s="12" t="n">
        <v>82</v>
      </c>
      <c r="B37" s="24" t="n">
        <v>0.049079</v>
      </c>
    </row>
    <row r="38" customFormat="false" ht="15" hidden="false" customHeight="false" outlineLevel="0" collapsed="false">
      <c r="A38" s="12" t="n">
        <v>83</v>
      </c>
      <c r="B38" s="24" t="n">
        <v>0.054628</v>
      </c>
    </row>
    <row r="39" customFormat="false" ht="15" hidden="false" customHeight="false" outlineLevel="0" collapsed="false">
      <c r="A39" s="12" t="n">
        <v>84</v>
      </c>
      <c r="B39" s="24" t="n">
        <v>0.060783</v>
      </c>
    </row>
    <row r="40" customFormat="false" ht="15" hidden="false" customHeight="false" outlineLevel="0" collapsed="false">
      <c r="A40" s="12" t="n">
        <v>85</v>
      </c>
      <c r="B40" s="24" t="n">
        <v>0.067606</v>
      </c>
    </row>
    <row r="41" customFormat="false" ht="15" hidden="false" customHeight="false" outlineLevel="0" collapsed="false">
      <c r="A41" s="12" t="n">
        <v>86</v>
      </c>
      <c r="B41" s="24" t="n">
        <v>0.075165</v>
      </c>
    </row>
    <row r="42" customFormat="false" ht="15" hidden="false" customHeight="false" outlineLevel="0" collapsed="false">
      <c r="A42" s="12" t="n">
        <v>87</v>
      </c>
      <c r="B42" s="24" t="n">
        <v>0.083529</v>
      </c>
    </row>
    <row r="43" customFormat="false" ht="15" hidden="false" customHeight="false" outlineLevel="0" collapsed="false">
      <c r="A43" s="12" t="n">
        <v>88</v>
      </c>
      <c r="B43" s="24" t="n">
        <v>0.092778</v>
      </c>
    </row>
    <row r="44" customFormat="false" ht="15" hidden="false" customHeight="false" outlineLevel="0" collapsed="false">
      <c r="A44" s="12" t="n">
        <v>89</v>
      </c>
      <c r="B44" s="24" t="n">
        <v>0.102991</v>
      </c>
    </row>
    <row r="45" customFormat="false" ht="15" hidden="false" customHeight="false" outlineLevel="0" collapsed="false">
      <c r="A45" s="12" t="n">
        <v>90</v>
      </c>
      <c r="B45" s="24" t="n">
        <v>0.114256</v>
      </c>
    </row>
    <row r="46" customFormat="false" ht="15" hidden="false" customHeight="false" outlineLevel="0" collapsed="false">
      <c r="A46" s="12" t="n">
        <v>91</v>
      </c>
      <c r="B46" s="24" t="n">
        <v>0.126664</v>
      </c>
    </row>
    <row r="47" customFormat="false" ht="15" hidden="false" customHeight="false" outlineLevel="0" collapsed="false">
      <c r="A47" s="12" t="n">
        <v>92</v>
      </c>
      <c r="B47" s="24" t="n">
        <v>0.14031</v>
      </c>
    </row>
    <row r="48" customFormat="false" ht="15" hidden="false" customHeight="false" outlineLevel="0" collapsed="false">
      <c r="A48" s="12" t="n">
        <v>93</v>
      </c>
      <c r="B48" s="24" t="n">
        <v>0.155291</v>
      </c>
    </row>
    <row r="49" customFormat="false" ht="15" hidden="false" customHeight="false" outlineLevel="0" collapsed="false">
      <c r="A49" s="12" t="n">
        <v>94</v>
      </c>
      <c r="B49" s="24" t="n">
        <v>0.171705</v>
      </c>
    </row>
    <row r="50" customFormat="false" ht="15" hidden="false" customHeight="false" outlineLevel="0" collapsed="false">
      <c r="A50" s="12" t="n">
        <v>95</v>
      </c>
      <c r="B50" s="24" t="n">
        <v>0.189652</v>
      </c>
    </row>
    <row r="51" customFormat="false" ht="15" hidden="false" customHeight="false" outlineLevel="0" collapsed="false">
      <c r="A51" s="12" t="n">
        <v>96</v>
      </c>
      <c r="B51" s="24" t="n">
        <v>0.209227</v>
      </c>
    </row>
    <row r="52" customFormat="false" ht="15" hidden="false" customHeight="false" outlineLevel="0" collapsed="false">
      <c r="A52" s="12" t="n">
        <v>97</v>
      </c>
      <c r="B52" s="24" t="n">
        <v>0.230519</v>
      </c>
    </row>
    <row r="53" customFormat="false" ht="15" hidden="false" customHeight="false" outlineLevel="0" collapsed="false">
      <c r="A53" s="12" t="n">
        <v>98</v>
      </c>
      <c r="B53" s="24" t="n">
        <v>0.253611</v>
      </c>
    </row>
    <row r="54" customFormat="false" ht="15" hidden="false" customHeight="false" outlineLevel="0" collapsed="false">
      <c r="A54" s="12" t="n">
        <v>99</v>
      </c>
      <c r="B54" s="24" t="n">
        <v>0.278571</v>
      </c>
    </row>
    <row r="55" customFormat="false" ht="15" hidden="false" customHeight="false" outlineLevel="0" collapsed="false">
      <c r="A55" s="12" t="n">
        <v>100</v>
      </c>
      <c r="B55" s="24" t="n">
        <v>0.305448</v>
      </c>
    </row>
    <row r="56" customFormat="false" ht="15" hidden="false" customHeight="false" outlineLevel="0" collapsed="false">
      <c r="A56" s="12" t="n">
        <v>101</v>
      </c>
      <c r="B56" s="24" t="n">
        <v>0.33427</v>
      </c>
    </row>
    <row r="57" customFormat="false" ht="15" hidden="false" customHeight="false" outlineLevel="0" collapsed="false">
      <c r="A57" s="12" t="n">
        <v>102</v>
      </c>
      <c r="B57" s="24" t="n">
        <v>0.365032</v>
      </c>
    </row>
    <row r="58" customFormat="false" ht="15" hidden="false" customHeight="false" outlineLevel="0" collapsed="false">
      <c r="A58" s="12" t="n">
        <v>103</v>
      </c>
      <c r="B58" s="24" t="n">
        <v>0.397695</v>
      </c>
    </row>
    <row r="59" customFormat="false" ht="15" hidden="false" customHeight="false" outlineLevel="0" collapsed="false">
      <c r="A59" s="12" t="n">
        <v>104</v>
      </c>
      <c r="B59" s="24" t="n">
        <v>0.432176</v>
      </c>
    </row>
    <row r="60" customFormat="false" ht="15" hidden="false" customHeight="false" outlineLevel="0" collapsed="false">
      <c r="A60" s="12" t="n">
        <v>105</v>
      </c>
      <c r="B60" s="24" t="n">
        <v>0.46834</v>
      </c>
    </row>
    <row r="61" customFormat="false" ht="15" hidden="false" customHeight="false" outlineLevel="0" collapsed="false">
      <c r="A61" s="12" t="n">
        <v>106</v>
      </c>
      <c r="B61" s="24" t="n">
        <v>0.505995</v>
      </c>
    </row>
    <row r="62" customFormat="false" ht="15" hidden="false" customHeight="false" outlineLevel="0" collapsed="false">
      <c r="A62" s="12" t="n">
        <v>107</v>
      </c>
      <c r="B62" s="24" t="n">
        <v>0.544887</v>
      </c>
    </row>
    <row r="63" customFormat="false" ht="15" hidden="false" customHeight="false" outlineLevel="0" collapsed="false">
      <c r="A63" s="12" t="n">
        <v>108</v>
      </c>
      <c r="B63" s="24" t="n">
        <v>0.584696</v>
      </c>
    </row>
    <row r="64" customFormat="false" ht="15" hidden="false" customHeight="false" outlineLevel="0" collapsed="false">
      <c r="A64" s="12" t="n">
        <v>109</v>
      </c>
      <c r="B64" s="24" t="n">
        <v>0.625036</v>
      </c>
    </row>
    <row r="65" customFormat="false" ht="15" hidden="false" customHeight="false" outlineLevel="0" collapsed="false">
      <c r="A65" s="12" t="n">
        <v>110</v>
      </c>
      <c r="B65" s="24" t="n">
        <v>0.665455</v>
      </c>
    </row>
    <row r="66" customFormat="false" ht="15" hidden="false" customHeight="false" outlineLevel="0" collapsed="false">
      <c r="A66" s="12" t="n">
        <v>111</v>
      </c>
      <c r="B66" s="24" t="n">
        <v>0.70545</v>
      </c>
    </row>
    <row r="67" customFormat="false" ht="15" hidden="false" customHeight="false" outlineLevel="0" collapsed="false">
      <c r="A67" s="12" t="n">
        <v>112</v>
      </c>
      <c r="B67" s="24" t="n">
        <v>0.744475</v>
      </c>
    </row>
    <row r="68" customFormat="false" ht="15" hidden="false" customHeight="false" outlineLevel="0" collapsed="false">
      <c r="A68" s="12" t="n">
        <v>113</v>
      </c>
      <c r="B68" s="24" t="n">
        <v>0.781962</v>
      </c>
    </row>
    <row r="69" customFormat="false" ht="15" hidden="false" customHeight="false" outlineLevel="0" collapsed="false">
      <c r="A69" s="12" t="n">
        <v>114</v>
      </c>
      <c r="B69" s="24" t="n">
        <v>0.817351</v>
      </c>
    </row>
    <row r="70" customFormat="false" ht="15" hidden="false" customHeight="false" outlineLevel="0" collapsed="false">
      <c r="A70" s="12" t="n">
        <v>115</v>
      </c>
      <c r="B70" s="24" t="n">
        <v>0.850115</v>
      </c>
    </row>
    <row r="71" customFormat="false" ht="15" hidden="false" customHeight="false" outlineLevel="0" collapsed="false">
      <c r="A71" s="12" t="n">
        <v>116</v>
      </c>
      <c r="B71" s="24" t="n">
        <v>0.879796</v>
      </c>
    </row>
    <row r="72" customFormat="false" ht="15" hidden="false" customHeight="false" outlineLevel="0" collapsed="false">
      <c r="A72" s="12" t="n">
        <v>117</v>
      </c>
      <c r="B72" s="24" t="n">
        <v>0.906042</v>
      </c>
    </row>
    <row r="73" customFormat="false" ht="15" hidden="false" customHeight="false" outlineLevel="0" collapsed="false">
      <c r="A73" s="12" t="n">
        <v>118</v>
      </c>
      <c r="B73" s="24" t="n">
        <v>0.928631</v>
      </c>
    </row>
    <row r="74" customFormat="false" ht="15" hidden="false" customHeight="false" outlineLevel="0" collapsed="false">
      <c r="A74" s="12" t="n">
        <v>119</v>
      </c>
      <c r="B74" s="24" t="n">
        <v>0.947496</v>
      </c>
    </row>
    <row r="75" customFormat="false" ht="15" hidden="false" customHeight="false" outlineLevel="0" collapsed="false">
      <c r="A75" s="12" t="n">
        <v>120</v>
      </c>
      <c r="B75" s="24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6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6"/>
    <col collapsed="false" customWidth="true" hidden="false" outlineLevel="0" max="11" min="7" style="0" width="10"/>
    <col collapsed="false" customWidth="true" hidden="false" outlineLevel="0" max="12" min="12" style="0" width="20"/>
    <col collapsed="false" customWidth="true" hidden="false" outlineLevel="0" max="13" min="13" style="0" width="11"/>
    <col collapsed="false" customWidth="true" hidden="false" outlineLevel="0" max="15" min="14" style="0" width="8"/>
    <col collapsed="false" customWidth="true" hidden="false" outlineLevel="0" max="17" min="16" style="0" width="10"/>
    <col collapsed="false" customWidth="true" hidden="false" outlineLevel="0" max="18" min="18" style="0" width="9"/>
  </cols>
  <sheetData>
    <row r="1" customFormat="false" ht="17.35" hidden="false" customHeight="false" outlineLevel="0" collapsed="false">
      <c r="A1" s="1" t="s">
        <v>125</v>
      </c>
    </row>
    <row r="2" customFormat="false" ht="15" hidden="false" customHeight="false" outlineLevel="0" collapsed="false">
      <c r="A2" s="3" t="s">
        <v>126</v>
      </c>
    </row>
    <row r="3" customFormat="false" ht="15" hidden="false" customHeight="false" outlineLevel="0" collapsed="false">
      <c r="C3" s="2" t="s">
        <v>127</v>
      </c>
      <c r="D3" s="25" t="n">
        <f aca="false">SUM(D6:D405)</f>
        <v>450.0005</v>
      </c>
      <c r="F3" s="2" t="s">
        <v>128</v>
      </c>
      <c r="G3" s="12" t="n">
        <f aca="false">COUNT(A6:A405)</f>
        <v>300</v>
      </c>
      <c r="H3" s="2" t="s">
        <v>129</v>
      </c>
      <c r="I3" s="26" t="n">
        <f aca="false">SUMPRODUCT(Q6:Q305,D6:D305)/D3</f>
        <v>7.52673848552522</v>
      </c>
      <c r="J3" s="2" t="s">
        <v>130</v>
      </c>
      <c r="K3" s="27" t="n">
        <f aca="false">MAX(R6:R305)</f>
        <v>0.0101704331439632</v>
      </c>
      <c r="L3" s="2" t="s">
        <v>131</v>
      </c>
      <c r="M3" s="12" t="n">
        <f aca="false">MAX(K6:K305)</f>
        <v>11</v>
      </c>
      <c r="N3" s="2" t="s">
        <v>132</v>
      </c>
      <c r="O3" s="28" t="n">
        <f aca="false">SUMPRODUCT(P6:P305,D6:D305)/D3</f>
        <v>1.7910852619886</v>
      </c>
    </row>
    <row r="5" customFormat="false" ht="35.05" hidden="false" customHeight="false" outlineLevel="0" collapsed="false">
      <c r="A5" s="4" t="s">
        <v>111</v>
      </c>
      <c r="B5" s="4" t="s">
        <v>123</v>
      </c>
      <c r="C5" s="4" t="s">
        <v>133</v>
      </c>
      <c r="D5" s="4" t="s">
        <v>134</v>
      </c>
      <c r="E5" s="4" t="s">
        <v>135</v>
      </c>
      <c r="F5" s="4" t="s">
        <v>102</v>
      </c>
      <c r="G5" s="4" t="s">
        <v>136</v>
      </c>
      <c r="H5" s="4" t="s">
        <v>137</v>
      </c>
      <c r="I5" s="4" t="s">
        <v>138</v>
      </c>
      <c r="J5" s="4" t="s">
        <v>139</v>
      </c>
      <c r="K5" s="4" t="s">
        <v>140</v>
      </c>
      <c r="L5" s="4" t="s">
        <v>141</v>
      </c>
      <c r="M5" s="4" t="s">
        <v>142</v>
      </c>
      <c r="N5" s="4" t="s">
        <v>143</v>
      </c>
      <c r="O5" s="4" t="s">
        <v>100</v>
      </c>
      <c r="P5" s="4" t="s">
        <v>144</v>
      </c>
      <c r="Q5" s="4" t="s">
        <v>145</v>
      </c>
      <c r="R5" s="4" t="s">
        <v>146</v>
      </c>
    </row>
    <row r="6" customFormat="false" ht="15" hidden="false" customHeight="false" outlineLevel="0" collapsed="false">
      <c r="A6" s="11" t="n">
        <v>1</v>
      </c>
      <c r="B6" s="11" t="n">
        <v>83</v>
      </c>
      <c r="C6" s="22" t="s">
        <v>147</v>
      </c>
      <c r="D6" s="10" t="n">
        <v>2.8855</v>
      </c>
      <c r="E6" s="11" t="n">
        <v>3</v>
      </c>
      <c r="F6" s="5" t="str">
        <f aca="false">INDEX(Factores!$C$29:$C$36,MATCH(E6,Factores!$A$29:$A$36,0))</f>
        <v>A</v>
      </c>
      <c r="G6" s="8" t="n">
        <v>0.047</v>
      </c>
      <c r="H6" s="11" t="n">
        <v>0</v>
      </c>
      <c r="I6" s="20" t="n">
        <v>1</v>
      </c>
      <c r="J6" s="20" t="n">
        <v>1.25</v>
      </c>
      <c r="K6" s="11" t="n">
        <v>11</v>
      </c>
      <c r="L6" s="22" t="s">
        <v>148</v>
      </c>
      <c r="M6" s="28" t="n">
        <f aca="false">IF(Supuestos!$C$23=1,AVERAGE(I6:J6),MIN(I6:J6))</f>
        <v>1.125</v>
      </c>
      <c r="N6" s="28" t="n">
        <f aca="false">INDEX(IF(H6=1,Factores!$C$6:$C$9,Factores!$B$6:$B$9),MATCH(M6,Factores!$A$6:$A$9,1))</f>
        <v>0.95</v>
      </c>
      <c r="O6" s="28" t="n">
        <f aca="false">INDEX(Factores!$B$13:$B$16,MATCH(B6,Factores!$A$13:$A$16,1))</f>
        <v>0.95</v>
      </c>
      <c r="P6" s="28" t="n">
        <f aca="false">M6*N6*O6</f>
        <v>1.0153125</v>
      </c>
      <c r="Q6" s="15" t="n">
        <f aca="false">LE!B4</f>
        <v>8.68706652117553</v>
      </c>
      <c r="R6" s="27" t="n">
        <f aca="false">D6/$D$3</f>
        <v>0.00641221509753878</v>
      </c>
    </row>
    <row r="7" customFormat="false" ht="15" hidden="false" customHeight="false" outlineLevel="0" collapsed="false">
      <c r="A7" s="11" t="n">
        <v>2</v>
      </c>
      <c r="B7" s="11" t="n">
        <v>84</v>
      </c>
      <c r="C7" s="22" t="s">
        <v>147</v>
      </c>
      <c r="D7" s="10" t="n">
        <v>1.8765</v>
      </c>
      <c r="E7" s="11" t="n">
        <v>5</v>
      </c>
      <c r="F7" s="5" t="str">
        <f aca="false">INDEX(Factores!$C$29:$C$36,MATCH(E7,Factores!$A$29:$A$36,0))</f>
        <v>A-</v>
      </c>
      <c r="G7" s="8" t="n">
        <v>0.0558</v>
      </c>
      <c r="H7" s="11" t="n">
        <v>0</v>
      </c>
      <c r="I7" s="20" t="n">
        <v>2.5</v>
      </c>
      <c r="J7" s="20" t="n">
        <v>4</v>
      </c>
      <c r="K7" s="11" t="n">
        <v>7</v>
      </c>
      <c r="L7" s="22" t="s">
        <v>149</v>
      </c>
      <c r="M7" s="28" t="n">
        <f aca="false">IF(Supuestos!$C$23=1,AVERAGE(I7:J7),MIN(I7:J7))</f>
        <v>3.25</v>
      </c>
      <c r="N7" s="28" t="n">
        <f aca="false">INDEX(IF(H7=1,Factores!$C$6:$C$9,Factores!$B$6:$B$9),MATCH(M7,Factores!$A$6:$A$9,1))</f>
        <v>0.8</v>
      </c>
      <c r="O7" s="28" t="n">
        <f aca="false">INDEX(Factores!$B$13:$B$16,MATCH(B7,Factores!$A$13:$A$16,1))</f>
        <v>0.95</v>
      </c>
      <c r="P7" s="28" t="n">
        <f aca="false">M7*N7*O7</f>
        <v>2.47</v>
      </c>
      <c r="Q7" s="15" t="n">
        <f aca="false">LE!B5</f>
        <v>4.89536883599581</v>
      </c>
      <c r="R7" s="27" t="n">
        <f aca="false">D7/$D$3</f>
        <v>0.00416999536667182</v>
      </c>
    </row>
    <row r="8" customFormat="false" ht="15" hidden="false" customHeight="false" outlineLevel="0" collapsed="false">
      <c r="A8" s="11" t="n">
        <v>3</v>
      </c>
      <c r="B8" s="11" t="n">
        <v>82</v>
      </c>
      <c r="C8" s="22" t="s">
        <v>150</v>
      </c>
      <c r="D8" s="10" t="n">
        <v>1.4234</v>
      </c>
      <c r="E8" s="11" t="n">
        <v>6</v>
      </c>
      <c r="F8" s="5" t="str">
        <f aca="false">INDEX(Factores!$C$29:$C$36,MATCH(E8,Factores!$A$29:$A$36,0))</f>
        <v>A</v>
      </c>
      <c r="G8" s="8" t="n">
        <v>0.0479</v>
      </c>
      <c r="H8" s="11" t="n">
        <v>1</v>
      </c>
      <c r="I8" s="20" t="n">
        <v>2</v>
      </c>
      <c r="J8" s="20" t="n">
        <v>3</v>
      </c>
      <c r="K8" s="11" t="n">
        <v>4</v>
      </c>
      <c r="L8" s="22" t="s">
        <v>151</v>
      </c>
      <c r="M8" s="28" t="n">
        <f aca="false">IF(Supuestos!$C$23=1,AVERAGE(I8:J8),MIN(I8:J8))</f>
        <v>2.5</v>
      </c>
      <c r="N8" s="28" t="n">
        <f aca="false">INDEX(IF(H8=1,Factores!$C$6:$C$9,Factores!$B$6:$B$9),MATCH(M8,Factores!$A$6:$A$9,1))</f>
        <v>0.82</v>
      </c>
      <c r="O8" s="28" t="n">
        <f aca="false">INDEX(Factores!$B$13:$B$16,MATCH(B8,Factores!$A$13:$A$16,1))</f>
        <v>0.95</v>
      </c>
      <c r="P8" s="28" t="n">
        <f aca="false">M8*N8*O8</f>
        <v>1.9475</v>
      </c>
      <c r="Q8" s="15" t="n">
        <f aca="false">LE!B6</f>
        <v>6.87015223431178</v>
      </c>
      <c r="R8" s="27" t="n">
        <f aca="false">D8/$D$3</f>
        <v>0.00316310759654712</v>
      </c>
    </row>
    <row r="9" customFormat="false" ht="15" hidden="false" customHeight="false" outlineLevel="0" collapsed="false">
      <c r="A9" s="11" t="n">
        <v>4</v>
      </c>
      <c r="B9" s="11" t="n">
        <v>79</v>
      </c>
      <c r="C9" s="22" t="s">
        <v>147</v>
      </c>
      <c r="D9" s="10" t="n">
        <v>1.126</v>
      </c>
      <c r="E9" s="11" t="n">
        <v>1</v>
      </c>
      <c r="F9" s="5" t="str">
        <f aca="false">INDEX(Factores!$C$29:$C$36,MATCH(E9,Factores!$A$29:$A$36,0))</f>
        <v>A+</v>
      </c>
      <c r="G9" s="8" t="n">
        <v>0.041</v>
      </c>
      <c r="H9" s="11" t="n">
        <v>0</v>
      </c>
      <c r="I9" s="20" t="n">
        <v>2.25</v>
      </c>
      <c r="J9" s="20" t="n">
        <v>2.25</v>
      </c>
      <c r="K9" s="11" t="n">
        <v>10</v>
      </c>
      <c r="L9" s="22" t="s">
        <v>148</v>
      </c>
      <c r="M9" s="28" t="n">
        <f aca="false">IF(Supuestos!$C$23=1,AVERAGE(I9:J9),MIN(I9:J9))</f>
        <v>2.25</v>
      </c>
      <c r="N9" s="28" t="n">
        <f aca="false">INDEX(IF(H9=1,Factores!$C$6:$C$9,Factores!$B$6:$B$9),MATCH(M9,Factores!$A$6:$A$9,1))</f>
        <v>0.88</v>
      </c>
      <c r="O9" s="28" t="n">
        <f aca="false">INDEX(Factores!$B$13:$B$16,MATCH(B9,Factores!$A$13:$A$16,1))</f>
        <v>0.95</v>
      </c>
      <c r="P9" s="28" t="n">
        <f aca="false">M9*N9*O9</f>
        <v>1.881</v>
      </c>
      <c r="Q9" s="15" t="n">
        <f aca="false">LE!B7</f>
        <v>8.8634763313502</v>
      </c>
      <c r="R9" s="27" t="n">
        <f aca="false">D9/$D$3</f>
        <v>0.0025022194419784</v>
      </c>
    </row>
    <row r="10" customFormat="false" ht="15" hidden="false" customHeight="false" outlineLevel="0" collapsed="false">
      <c r="A10" s="11" t="n">
        <v>5</v>
      </c>
      <c r="B10" s="11" t="n">
        <v>81</v>
      </c>
      <c r="C10" s="22" t="s">
        <v>150</v>
      </c>
      <c r="D10" s="10" t="n">
        <v>1.0981</v>
      </c>
      <c r="E10" s="11" t="n">
        <v>7</v>
      </c>
      <c r="F10" s="5" t="str">
        <f aca="false">INDEX(Factores!$C$29:$C$36,MATCH(E10,Factores!$A$29:$A$36,0))</f>
        <v>A+</v>
      </c>
      <c r="G10" s="8" t="n">
        <v>0.0405</v>
      </c>
      <c r="H10" s="11" t="n">
        <v>0</v>
      </c>
      <c r="I10" s="20" t="n">
        <v>1</v>
      </c>
      <c r="J10" s="20" t="n">
        <v>1.25</v>
      </c>
      <c r="K10" s="11" t="n">
        <v>9</v>
      </c>
      <c r="L10" s="22" t="s">
        <v>151</v>
      </c>
      <c r="M10" s="28" t="n">
        <f aca="false">IF(Supuestos!$C$23=1,AVERAGE(I10:J10),MIN(I10:J10))</f>
        <v>1.125</v>
      </c>
      <c r="N10" s="28" t="n">
        <f aca="false">INDEX(IF(H10=1,Factores!$C$6:$C$9,Factores!$B$6:$B$9),MATCH(M10,Factores!$A$6:$A$9,1))</f>
        <v>0.95</v>
      </c>
      <c r="O10" s="28" t="n">
        <f aca="false">INDEX(Factores!$B$13:$B$16,MATCH(B10,Factores!$A$13:$A$16,1))</f>
        <v>0.95</v>
      </c>
      <c r="P10" s="28" t="n">
        <f aca="false">M10*N10*O10</f>
        <v>1.0153125</v>
      </c>
      <c r="Q10" s="15" t="n">
        <f aca="false">LE!B8</f>
        <v>9.85547154874584</v>
      </c>
      <c r="R10" s="27" t="n">
        <f aca="false">D10/$D$3</f>
        <v>0.00244021951086721</v>
      </c>
    </row>
    <row r="11" customFormat="false" ht="15" hidden="false" customHeight="false" outlineLevel="0" collapsed="false">
      <c r="A11" s="11" t="n">
        <v>6</v>
      </c>
      <c r="B11" s="11" t="n">
        <v>78</v>
      </c>
      <c r="C11" s="22" t="s">
        <v>147</v>
      </c>
      <c r="D11" s="10" t="n">
        <v>3.0059</v>
      </c>
      <c r="E11" s="11" t="n">
        <v>2</v>
      </c>
      <c r="F11" s="5" t="str">
        <f aca="false">INDEX(Factores!$C$29:$C$36,MATCH(E11,Factores!$A$29:$A$36,0))</f>
        <v>A+</v>
      </c>
      <c r="G11" s="8" t="n">
        <v>0.0364</v>
      </c>
      <c r="H11" s="11" t="n">
        <v>0</v>
      </c>
      <c r="I11" s="20" t="n">
        <v>1.75</v>
      </c>
      <c r="J11" s="20" t="n">
        <v>1.75</v>
      </c>
      <c r="K11" s="11" t="n">
        <v>7</v>
      </c>
      <c r="L11" s="22" t="s">
        <v>152</v>
      </c>
      <c r="M11" s="28" t="n">
        <f aca="false">IF(Supuestos!$C$23=1,AVERAGE(I11:J11),MIN(I11:J11))</f>
        <v>1.75</v>
      </c>
      <c r="N11" s="28" t="n">
        <f aca="false">INDEX(IF(H11=1,Factores!$C$6:$C$9,Factores!$B$6:$B$9),MATCH(M11,Factores!$A$6:$A$9,1))</f>
        <v>0.88</v>
      </c>
      <c r="O11" s="28" t="n">
        <f aca="false">INDEX(Factores!$B$13:$B$16,MATCH(B11,Factores!$A$13:$A$16,1))</f>
        <v>0.95</v>
      </c>
      <c r="P11" s="28" t="n">
        <f aca="false">M11*N11*O11</f>
        <v>1.463</v>
      </c>
      <c r="Q11" s="15" t="n">
        <f aca="false">LE!B9</f>
        <v>10.5435458704076</v>
      </c>
      <c r="R11" s="27" t="n">
        <f aca="false">D11/$D$3</f>
        <v>0.00667977035581072</v>
      </c>
    </row>
    <row r="12" customFormat="false" ht="15" hidden="false" customHeight="false" outlineLevel="0" collapsed="false">
      <c r="A12" s="11" t="n">
        <v>7</v>
      </c>
      <c r="B12" s="11" t="n">
        <v>83</v>
      </c>
      <c r="C12" s="22" t="s">
        <v>147</v>
      </c>
      <c r="D12" s="10" t="n">
        <v>1.8356</v>
      </c>
      <c r="E12" s="11" t="n">
        <v>2</v>
      </c>
      <c r="F12" s="5" t="str">
        <f aca="false">INDEX(Factores!$C$29:$C$36,MATCH(E12,Factores!$A$29:$A$36,0))</f>
        <v>A+</v>
      </c>
      <c r="G12" s="8" t="n">
        <v>0.0524</v>
      </c>
      <c r="H12" s="11" t="n">
        <v>0</v>
      </c>
      <c r="I12" s="20" t="n">
        <v>1.5</v>
      </c>
      <c r="J12" s="20" t="n">
        <v>1.5</v>
      </c>
      <c r="K12" s="11" t="n">
        <v>5</v>
      </c>
      <c r="L12" s="22" t="s">
        <v>153</v>
      </c>
      <c r="M12" s="28" t="n">
        <f aca="false">IF(Supuestos!$C$23=1,AVERAGE(I12:J12),MIN(I12:J12))</f>
        <v>1.5</v>
      </c>
      <c r="N12" s="28" t="n">
        <f aca="false">INDEX(IF(H12=1,Factores!$C$6:$C$9,Factores!$B$6:$B$9),MATCH(M12,Factores!$A$6:$A$9,1))</f>
        <v>0.88</v>
      </c>
      <c r="O12" s="28" t="n">
        <f aca="false">INDEX(Factores!$B$13:$B$16,MATCH(B12,Factores!$A$13:$A$16,1))</f>
        <v>0.95</v>
      </c>
      <c r="P12" s="28" t="n">
        <f aca="false">M12*N12*O12</f>
        <v>1.254</v>
      </c>
      <c r="Q12" s="15" t="n">
        <f aca="false">LE!B10</f>
        <v>7.97768004936947</v>
      </c>
      <c r="R12" s="27" t="n">
        <f aca="false">D12/$D$3</f>
        <v>0.00407910657877047</v>
      </c>
    </row>
    <row r="13" customFormat="false" ht="15" hidden="false" customHeight="false" outlineLevel="0" collapsed="false">
      <c r="A13" s="11" t="n">
        <v>8</v>
      </c>
      <c r="B13" s="11" t="n">
        <v>90</v>
      </c>
      <c r="C13" s="22" t="s">
        <v>147</v>
      </c>
      <c r="D13" s="10" t="n">
        <v>1.5065</v>
      </c>
      <c r="E13" s="11" t="n">
        <v>6</v>
      </c>
      <c r="F13" s="5" t="str">
        <f aca="false">INDEX(Factores!$C$29:$C$36,MATCH(E13,Factores!$A$29:$A$36,0))</f>
        <v>A</v>
      </c>
      <c r="G13" s="8" t="n">
        <v>0.0736</v>
      </c>
      <c r="H13" s="11" t="n">
        <v>1</v>
      </c>
      <c r="I13" s="20" t="n">
        <v>1.25</v>
      </c>
      <c r="J13" s="20" t="n">
        <v>1.75</v>
      </c>
      <c r="K13" s="11" t="n">
        <v>8</v>
      </c>
      <c r="L13" s="22" t="s">
        <v>148</v>
      </c>
      <c r="M13" s="28" t="n">
        <f aca="false">IF(Supuestos!$C$23=1,AVERAGE(I13:J13),MIN(I13:J13))</f>
        <v>1.5</v>
      </c>
      <c r="N13" s="28" t="n">
        <f aca="false">INDEX(IF(H13=1,Factores!$C$6:$C$9,Factores!$B$6:$B$9),MATCH(M13,Factores!$A$6:$A$9,1))</f>
        <v>0.82</v>
      </c>
      <c r="O13" s="28" t="n">
        <f aca="false">INDEX(Factores!$B$13:$B$16,MATCH(B13,Factores!$A$13:$A$16,1))</f>
        <v>1</v>
      </c>
      <c r="P13" s="28" t="n">
        <f aca="false">M13*N13*O13</f>
        <v>1.23</v>
      </c>
      <c r="Q13" s="15" t="n">
        <f aca="false">LE!B11</f>
        <v>4.72506649350162</v>
      </c>
      <c r="R13" s="27" t="n">
        <f aca="false">D13/$D$3</f>
        <v>0.00334777405802882</v>
      </c>
    </row>
    <row r="14" customFormat="false" ht="15" hidden="false" customHeight="false" outlineLevel="0" collapsed="false">
      <c r="A14" s="11" t="n">
        <v>9</v>
      </c>
      <c r="B14" s="11" t="n">
        <v>81</v>
      </c>
      <c r="C14" s="22" t="s">
        <v>150</v>
      </c>
      <c r="D14" s="10" t="n">
        <v>1.2506</v>
      </c>
      <c r="E14" s="11" t="n">
        <v>7</v>
      </c>
      <c r="F14" s="5" t="str">
        <f aca="false">INDEX(Factores!$C$29:$C$36,MATCH(E14,Factores!$A$29:$A$36,0))</f>
        <v>A+</v>
      </c>
      <c r="G14" s="8" t="n">
        <v>0.0515</v>
      </c>
      <c r="H14" s="11" t="n">
        <v>1</v>
      </c>
      <c r="I14" s="20" t="n">
        <v>1</v>
      </c>
      <c r="J14" s="20" t="n">
        <v>1</v>
      </c>
      <c r="K14" s="11" t="n">
        <v>10</v>
      </c>
      <c r="L14" s="22" t="s">
        <v>153</v>
      </c>
      <c r="M14" s="28" t="n">
        <f aca="false">IF(Supuestos!$C$23=1,AVERAGE(I14:J14),MIN(I14:J14))</f>
        <v>1</v>
      </c>
      <c r="N14" s="28" t="n">
        <f aca="false">INDEX(IF(H14=1,Factores!$C$6:$C$9,Factores!$B$6:$B$9),MATCH(M14,Factores!$A$6:$A$9,1))</f>
        <v>0.9</v>
      </c>
      <c r="O14" s="28" t="n">
        <f aca="false">INDEX(Factores!$B$13:$B$16,MATCH(B14,Factores!$A$13:$A$16,1))</f>
        <v>0.95</v>
      </c>
      <c r="P14" s="28" t="n">
        <f aca="false">M14*N14*O14</f>
        <v>0.855</v>
      </c>
      <c r="Q14" s="15" t="n">
        <f aca="false">LE!B12</f>
        <v>10.3682803172088</v>
      </c>
      <c r="R14" s="27" t="n">
        <f aca="false">D14/$D$3</f>
        <v>0.00277910802321331</v>
      </c>
    </row>
    <row r="15" customFormat="false" ht="15" hidden="false" customHeight="false" outlineLevel="0" collapsed="false">
      <c r="A15" s="11" t="n">
        <v>10</v>
      </c>
      <c r="B15" s="11" t="n">
        <v>80</v>
      </c>
      <c r="C15" s="22" t="s">
        <v>147</v>
      </c>
      <c r="D15" s="10" t="n">
        <v>0.8872</v>
      </c>
      <c r="E15" s="11" t="n">
        <v>5</v>
      </c>
      <c r="F15" s="5" t="str">
        <f aca="false">INDEX(Factores!$C$29:$C$36,MATCH(E15,Factores!$A$29:$A$36,0))</f>
        <v>A-</v>
      </c>
      <c r="G15" s="8" t="n">
        <v>0.0447</v>
      </c>
      <c r="H15" s="11" t="n">
        <v>1</v>
      </c>
      <c r="I15" s="20" t="n">
        <v>1.75</v>
      </c>
      <c r="J15" s="20" t="n">
        <v>2.25</v>
      </c>
      <c r="K15" s="11" t="n">
        <v>6</v>
      </c>
      <c r="L15" s="22" t="s">
        <v>149</v>
      </c>
      <c r="M15" s="28" t="n">
        <f aca="false">IF(Supuestos!$C$23=1,AVERAGE(I15:J15),MIN(I15:J15))</f>
        <v>2</v>
      </c>
      <c r="N15" s="28" t="n">
        <f aca="false">INDEX(IF(H15=1,Factores!$C$6:$C$9,Factores!$B$6:$B$9),MATCH(M15,Factores!$A$6:$A$9,1))</f>
        <v>0.82</v>
      </c>
      <c r="O15" s="28" t="n">
        <f aca="false">INDEX(Factores!$B$13:$B$16,MATCH(B15,Factores!$A$13:$A$16,1))</f>
        <v>0.95</v>
      </c>
      <c r="P15" s="28" t="n">
        <f aca="false">M15*N15*O15</f>
        <v>1.558</v>
      </c>
      <c r="Q15" s="15" t="n">
        <f aca="false">LE!B13</f>
        <v>8.97351489842766</v>
      </c>
      <c r="R15" s="27" t="n">
        <f aca="false">D15/$D$3</f>
        <v>0.00197155336494071</v>
      </c>
    </row>
    <row r="16" customFormat="false" ht="15" hidden="false" customHeight="false" outlineLevel="0" collapsed="false">
      <c r="A16" s="11" t="n">
        <v>11</v>
      </c>
      <c r="B16" s="11" t="n">
        <v>85</v>
      </c>
      <c r="C16" s="22" t="s">
        <v>147</v>
      </c>
      <c r="D16" s="10" t="n">
        <v>1.418</v>
      </c>
      <c r="E16" s="11" t="n">
        <v>2</v>
      </c>
      <c r="F16" s="5" t="str">
        <f aca="false">INDEX(Factores!$C$29:$C$36,MATCH(E16,Factores!$A$29:$A$36,0))</f>
        <v>A+</v>
      </c>
      <c r="G16" s="8" t="n">
        <v>0.0567</v>
      </c>
      <c r="H16" s="11" t="n">
        <v>1</v>
      </c>
      <c r="I16" s="20" t="n">
        <v>3</v>
      </c>
      <c r="J16" s="20" t="n">
        <v>3</v>
      </c>
      <c r="K16" s="11" t="n">
        <v>4</v>
      </c>
      <c r="L16" s="22" t="s">
        <v>154</v>
      </c>
      <c r="M16" s="28" t="n">
        <f aca="false">IF(Supuestos!$C$23=1,AVERAGE(I16:J16),MIN(I16:J16))</f>
        <v>3</v>
      </c>
      <c r="N16" s="28" t="n">
        <f aca="false">INDEX(IF(H16=1,Factores!$C$6:$C$9,Factores!$B$6:$B$9),MATCH(M16,Factores!$A$6:$A$9,1))</f>
        <v>0.74</v>
      </c>
      <c r="O16" s="28" t="n">
        <f aca="false">INDEX(Factores!$B$13:$B$16,MATCH(B16,Factores!$A$13:$A$16,1))</f>
        <v>1</v>
      </c>
      <c r="P16" s="28" t="n">
        <f aca="false">M16*N16*O16</f>
        <v>2.22</v>
      </c>
      <c r="Q16" s="15" t="n">
        <f aca="false">LE!B14</f>
        <v>4.83405135575803</v>
      </c>
      <c r="R16" s="27" t="n">
        <f aca="false">D16/$D$3</f>
        <v>0.00315110760988043</v>
      </c>
    </row>
    <row r="17" customFormat="false" ht="15" hidden="false" customHeight="false" outlineLevel="0" collapsed="false">
      <c r="A17" s="11" t="n">
        <v>12</v>
      </c>
      <c r="B17" s="11" t="n">
        <v>85</v>
      </c>
      <c r="C17" s="22" t="s">
        <v>150</v>
      </c>
      <c r="D17" s="10" t="n">
        <v>2.1652</v>
      </c>
      <c r="E17" s="11" t="n">
        <v>3</v>
      </c>
      <c r="F17" s="5" t="str">
        <f aca="false">INDEX(Factores!$C$29:$C$36,MATCH(E17,Factores!$A$29:$A$36,0))</f>
        <v>A</v>
      </c>
      <c r="G17" s="8" t="n">
        <v>0.0542</v>
      </c>
      <c r="H17" s="11" t="n">
        <v>1</v>
      </c>
      <c r="I17" s="20" t="n">
        <v>2.25</v>
      </c>
      <c r="J17" s="20" t="n">
        <v>3</v>
      </c>
      <c r="K17" s="11" t="n">
        <v>4</v>
      </c>
      <c r="L17" s="22" t="s">
        <v>148</v>
      </c>
      <c r="M17" s="28" t="n">
        <f aca="false">IF(Supuestos!$C$23=1,AVERAGE(I17:J17),MIN(I17:J17))</f>
        <v>2.625</v>
      </c>
      <c r="N17" s="28" t="n">
        <f aca="false">INDEX(IF(H17=1,Factores!$C$6:$C$9,Factores!$B$6:$B$9),MATCH(M17,Factores!$A$6:$A$9,1))</f>
        <v>0.82</v>
      </c>
      <c r="O17" s="28" t="n">
        <f aca="false">INDEX(Factores!$B$13:$B$16,MATCH(B17,Factores!$A$13:$A$16,1))</f>
        <v>1</v>
      </c>
      <c r="P17" s="28" t="n">
        <f aca="false">M17*N17*O17</f>
        <v>2.1525</v>
      </c>
      <c r="Q17" s="15" t="n">
        <f aca="false">LE!B15</f>
        <v>4.94688298369457</v>
      </c>
      <c r="R17" s="27" t="n">
        <f aca="false">D17/$D$3</f>
        <v>0.00481155020938866</v>
      </c>
    </row>
    <row r="18" customFormat="false" ht="15" hidden="false" customHeight="false" outlineLevel="0" collapsed="false">
      <c r="A18" s="11" t="n">
        <v>13</v>
      </c>
      <c r="B18" s="11" t="n">
        <v>84</v>
      </c>
      <c r="C18" s="22" t="s">
        <v>150</v>
      </c>
      <c r="D18" s="10" t="n">
        <v>1.2247</v>
      </c>
      <c r="E18" s="11" t="n">
        <v>6</v>
      </c>
      <c r="F18" s="5" t="str">
        <f aca="false">INDEX(Factores!$C$29:$C$36,MATCH(E18,Factores!$A$29:$A$36,0))</f>
        <v>A</v>
      </c>
      <c r="G18" s="8" t="n">
        <v>0.0566</v>
      </c>
      <c r="H18" s="11" t="n">
        <v>0</v>
      </c>
      <c r="I18" s="20" t="n">
        <v>1.5</v>
      </c>
      <c r="J18" s="20" t="n">
        <v>1.5</v>
      </c>
      <c r="K18" s="11" t="n">
        <v>10</v>
      </c>
      <c r="L18" s="22" t="s">
        <v>149</v>
      </c>
      <c r="M18" s="28" t="n">
        <f aca="false">IF(Supuestos!$C$23=1,AVERAGE(I18:J18),MIN(I18:J18))</f>
        <v>1.5</v>
      </c>
      <c r="N18" s="28" t="n">
        <f aca="false">INDEX(IF(H18=1,Factores!$C$6:$C$9,Factores!$B$6:$B$9),MATCH(M18,Factores!$A$6:$A$9,1))</f>
        <v>0.88</v>
      </c>
      <c r="O18" s="28" t="n">
        <f aca="false">INDEX(Factores!$B$13:$B$16,MATCH(B18,Factores!$A$13:$A$16,1))</f>
        <v>0.95</v>
      </c>
      <c r="P18" s="28" t="n">
        <f aca="false">M18*N18*O18</f>
        <v>1.254</v>
      </c>
      <c r="Q18" s="15" t="n">
        <f aca="false">LE!B16</f>
        <v>7.42841297818769</v>
      </c>
      <c r="R18" s="27" t="n">
        <f aca="false">D18/$D$3</f>
        <v>0.0027215525316083</v>
      </c>
    </row>
    <row r="19" customFormat="false" ht="15" hidden="false" customHeight="false" outlineLevel="0" collapsed="false">
      <c r="A19" s="11" t="n">
        <v>14</v>
      </c>
      <c r="B19" s="11" t="n">
        <v>78</v>
      </c>
      <c r="C19" s="22" t="s">
        <v>147</v>
      </c>
      <c r="D19" s="10" t="n">
        <v>1.3193</v>
      </c>
      <c r="E19" s="11" t="n">
        <v>2</v>
      </c>
      <c r="F19" s="5" t="str">
        <f aca="false">INDEX(Factores!$C$29:$C$36,MATCH(E19,Factores!$A$29:$A$36,0))</f>
        <v>A+</v>
      </c>
      <c r="G19" s="8" t="n">
        <v>0.039</v>
      </c>
      <c r="H19" s="11" t="n">
        <v>0</v>
      </c>
      <c r="I19" s="20" t="n">
        <v>2</v>
      </c>
      <c r="J19" s="20" t="n">
        <v>1.75</v>
      </c>
      <c r="K19" s="11" t="n">
        <v>8</v>
      </c>
      <c r="L19" s="22" t="s">
        <v>151</v>
      </c>
      <c r="M19" s="28" t="n">
        <f aca="false">IF(Supuestos!$C$23=1,AVERAGE(I19:J19),MIN(I19:J19))</f>
        <v>1.875</v>
      </c>
      <c r="N19" s="28" t="n">
        <f aca="false">INDEX(IF(H19=1,Factores!$C$6:$C$9,Factores!$B$6:$B$9),MATCH(M19,Factores!$A$6:$A$9,1))</f>
        <v>0.88</v>
      </c>
      <c r="O19" s="28" t="n">
        <f aca="false">INDEX(Factores!$B$13:$B$16,MATCH(B19,Factores!$A$13:$A$16,1))</f>
        <v>0.95</v>
      </c>
      <c r="P19" s="28" t="n">
        <f aca="false">M19*N19*O19</f>
        <v>1.5675</v>
      </c>
      <c r="Q19" s="15" t="n">
        <f aca="false">LE!B17</f>
        <v>10.2810276121255</v>
      </c>
      <c r="R19" s="27" t="n">
        <f aca="false">D19/$D$3</f>
        <v>0.00293177452025053</v>
      </c>
    </row>
    <row r="20" customFormat="false" ht="15" hidden="false" customHeight="false" outlineLevel="0" collapsed="false">
      <c r="A20" s="11" t="n">
        <v>15</v>
      </c>
      <c r="B20" s="11" t="n">
        <v>83</v>
      </c>
      <c r="C20" s="22" t="s">
        <v>150</v>
      </c>
      <c r="D20" s="10" t="n">
        <v>1.323</v>
      </c>
      <c r="E20" s="11" t="n">
        <v>6</v>
      </c>
      <c r="F20" s="5" t="str">
        <f aca="false">INDEX(Factores!$C$29:$C$36,MATCH(E20,Factores!$A$29:$A$36,0))</f>
        <v>A</v>
      </c>
      <c r="G20" s="8" t="n">
        <v>0.0549</v>
      </c>
      <c r="H20" s="11" t="n">
        <v>0</v>
      </c>
      <c r="I20" s="20" t="n">
        <v>2.75</v>
      </c>
      <c r="J20" s="20" t="n">
        <v>3</v>
      </c>
      <c r="K20" s="11" t="n">
        <v>5</v>
      </c>
      <c r="L20" s="22" t="s">
        <v>148</v>
      </c>
      <c r="M20" s="28" t="n">
        <f aca="false">IF(Supuestos!$C$23=1,AVERAGE(I20:J20),MIN(I20:J20))</f>
        <v>2.875</v>
      </c>
      <c r="N20" s="28" t="n">
        <f aca="false">INDEX(IF(H20=1,Factores!$C$6:$C$9,Factores!$B$6:$B$9),MATCH(M20,Factores!$A$6:$A$9,1))</f>
        <v>0.88</v>
      </c>
      <c r="O20" s="28" t="n">
        <f aca="false">INDEX(Factores!$B$13:$B$16,MATCH(B20,Factores!$A$13:$A$16,1))</f>
        <v>0.95</v>
      </c>
      <c r="P20" s="28" t="n">
        <f aca="false">M20*N20*O20</f>
        <v>2.4035</v>
      </c>
      <c r="Q20" s="15" t="n">
        <f aca="false">LE!B18</f>
        <v>5.48526665530951</v>
      </c>
      <c r="R20" s="27" t="n">
        <f aca="false">D20/$D$3</f>
        <v>0.00293999673333696</v>
      </c>
    </row>
    <row r="21" customFormat="false" ht="15" hidden="false" customHeight="false" outlineLevel="0" collapsed="false">
      <c r="A21" s="11" t="n">
        <v>16</v>
      </c>
      <c r="B21" s="11" t="n">
        <v>86</v>
      </c>
      <c r="C21" s="22" t="s">
        <v>147</v>
      </c>
      <c r="D21" s="10" t="n">
        <v>1.5352</v>
      </c>
      <c r="E21" s="11" t="n">
        <v>6</v>
      </c>
      <c r="F21" s="5" t="str">
        <f aca="false">INDEX(Factores!$C$29:$C$36,MATCH(E21,Factores!$A$29:$A$36,0))</f>
        <v>A</v>
      </c>
      <c r="G21" s="8" t="n">
        <v>0.067</v>
      </c>
      <c r="H21" s="11" t="n">
        <v>0</v>
      </c>
      <c r="I21" s="20" t="n">
        <v>1</v>
      </c>
      <c r="J21" s="20" t="n">
        <v>1.25</v>
      </c>
      <c r="K21" s="11" t="n">
        <v>7</v>
      </c>
      <c r="L21" s="22" t="s">
        <v>149</v>
      </c>
      <c r="M21" s="28" t="n">
        <f aca="false">IF(Supuestos!$C$23=1,AVERAGE(I21:J21),MIN(I21:J21))</f>
        <v>1.125</v>
      </c>
      <c r="N21" s="28" t="n">
        <f aca="false">INDEX(IF(H21=1,Factores!$C$6:$C$9,Factores!$B$6:$B$9),MATCH(M21,Factores!$A$6:$A$9,1))</f>
        <v>0.95</v>
      </c>
      <c r="O21" s="28" t="n">
        <f aca="false">INDEX(Factores!$B$13:$B$16,MATCH(B21,Factores!$A$13:$A$16,1))</f>
        <v>1</v>
      </c>
      <c r="P21" s="28" t="n">
        <f aca="false">M21*N21*O21</f>
        <v>1.06875</v>
      </c>
      <c r="Q21" s="15" t="n">
        <f aca="false">LE!B19</f>
        <v>6.93823652514313</v>
      </c>
      <c r="R21" s="27" t="n">
        <f aca="false">D21/$D$3</f>
        <v>0.00341155176494248</v>
      </c>
    </row>
    <row r="22" customFormat="false" ht="15" hidden="false" customHeight="false" outlineLevel="0" collapsed="false">
      <c r="A22" s="11" t="n">
        <v>17</v>
      </c>
      <c r="B22" s="11" t="n">
        <v>76</v>
      </c>
      <c r="C22" s="22" t="s">
        <v>150</v>
      </c>
      <c r="D22" s="10" t="n">
        <v>0.7136</v>
      </c>
      <c r="E22" s="11" t="n">
        <v>3</v>
      </c>
      <c r="F22" s="5" t="str">
        <f aca="false">INDEX(Factores!$C$29:$C$36,MATCH(E22,Factores!$A$29:$A$36,0))</f>
        <v>A</v>
      </c>
      <c r="G22" s="8" t="n">
        <v>0.0349</v>
      </c>
      <c r="H22" s="11" t="n">
        <v>1</v>
      </c>
      <c r="I22" s="20" t="n">
        <v>2</v>
      </c>
      <c r="J22" s="20" t="n">
        <v>2</v>
      </c>
      <c r="K22" s="11" t="n">
        <v>4</v>
      </c>
      <c r="L22" s="22" t="s">
        <v>148</v>
      </c>
      <c r="M22" s="28" t="n">
        <f aca="false">IF(Supuestos!$C$23=1,AVERAGE(I22:J22),MIN(I22:J22))</f>
        <v>2</v>
      </c>
      <c r="N22" s="28" t="n">
        <f aca="false">INDEX(IF(H22=1,Factores!$C$6:$C$9,Factores!$B$6:$B$9),MATCH(M22,Factores!$A$6:$A$9,1))</f>
        <v>0.82</v>
      </c>
      <c r="O22" s="28" t="n">
        <f aca="false">INDEX(Factores!$B$13:$B$16,MATCH(B22,Factores!$A$13:$A$16,1))</f>
        <v>0.95</v>
      </c>
      <c r="P22" s="28" t="n">
        <f aca="false">M22*N22*O22</f>
        <v>1.558</v>
      </c>
      <c r="Q22" s="15" t="n">
        <f aca="false">LE!B20</f>
        <v>11.7386255287784</v>
      </c>
      <c r="R22" s="27" t="n">
        <f aca="false">D22/$D$3</f>
        <v>0.00158577601580443</v>
      </c>
    </row>
    <row r="23" customFormat="false" ht="15" hidden="false" customHeight="false" outlineLevel="0" collapsed="false">
      <c r="A23" s="11" t="n">
        <v>18</v>
      </c>
      <c r="B23" s="11" t="n">
        <v>81</v>
      </c>
      <c r="C23" s="22" t="s">
        <v>147</v>
      </c>
      <c r="D23" s="10" t="n">
        <v>1.3145</v>
      </c>
      <c r="E23" s="11" t="n">
        <v>7</v>
      </c>
      <c r="F23" s="5" t="str">
        <f aca="false">INDEX(Factores!$C$29:$C$36,MATCH(E23,Factores!$A$29:$A$36,0))</f>
        <v>A+</v>
      </c>
      <c r="G23" s="8" t="n">
        <v>0.0415</v>
      </c>
      <c r="H23" s="11" t="n">
        <v>1</v>
      </c>
      <c r="I23" s="20" t="n">
        <v>2.5</v>
      </c>
      <c r="J23" s="20" t="n">
        <v>2.75</v>
      </c>
      <c r="K23" s="11" t="n">
        <v>6</v>
      </c>
      <c r="L23" s="22" t="s">
        <v>151</v>
      </c>
      <c r="M23" s="28" t="n">
        <f aca="false">IF(Supuestos!$C$23=1,AVERAGE(I23:J23),MIN(I23:J23))</f>
        <v>2.625</v>
      </c>
      <c r="N23" s="28" t="n">
        <f aca="false">INDEX(IF(H23=1,Factores!$C$6:$C$9,Factores!$B$6:$B$9),MATCH(M23,Factores!$A$6:$A$9,1))</f>
        <v>0.82</v>
      </c>
      <c r="O23" s="28" t="n">
        <f aca="false">INDEX(Factores!$B$13:$B$16,MATCH(B23,Factores!$A$13:$A$16,1))</f>
        <v>0.95</v>
      </c>
      <c r="P23" s="28" t="n">
        <f aca="false">M23*N23*O23</f>
        <v>2.044875</v>
      </c>
      <c r="Q23" s="15" t="n">
        <f aca="false">LE!B21</f>
        <v>7.25050057094844</v>
      </c>
      <c r="R23" s="27" t="n">
        <f aca="false">D23/$D$3</f>
        <v>0.00292110786543571</v>
      </c>
    </row>
    <row r="24" customFormat="false" ht="15" hidden="false" customHeight="false" outlineLevel="0" collapsed="false">
      <c r="A24" s="11" t="n">
        <v>19</v>
      </c>
      <c r="B24" s="11" t="n">
        <v>73</v>
      </c>
      <c r="C24" s="22" t="s">
        <v>150</v>
      </c>
      <c r="D24" s="10" t="n">
        <v>0.9949</v>
      </c>
      <c r="E24" s="11" t="n">
        <v>3</v>
      </c>
      <c r="F24" s="5" t="str">
        <f aca="false">INDEX(Factores!$C$29:$C$36,MATCH(E24,Factores!$A$29:$A$36,0))</f>
        <v>A</v>
      </c>
      <c r="G24" s="8" t="n">
        <v>0.0241</v>
      </c>
      <c r="H24" s="11" t="n">
        <v>0</v>
      </c>
      <c r="I24" s="20" t="n">
        <v>2.75</v>
      </c>
      <c r="J24" s="20" t="n">
        <v>2.5</v>
      </c>
      <c r="K24" s="11" t="n">
        <v>10</v>
      </c>
      <c r="L24" s="22" t="s">
        <v>149</v>
      </c>
      <c r="M24" s="28" t="n">
        <f aca="false">IF(Supuestos!$C$23=1,AVERAGE(I24:J24),MIN(I24:J24))</f>
        <v>2.625</v>
      </c>
      <c r="N24" s="28" t="n">
        <f aca="false">INDEX(IF(H24=1,Factores!$C$6:$C$9,Factores!$B$6:$B$9),MATCH(M24,Factores!$A$6:$A$9,1))</f>
        <v>0.88</v>
      </c>
      <c r="O24" s="28" t="n">
        <f aca="false">INDEX(Factores!$B$13:$B$16,MATCH(B24,Factores!$A$13:$A$16,1))</f>
        <v>0.9</v>
      </c>
      <c r="P24" s="28" t="n">
        <f aca="false">M24*N24*O24</f>
        <v>2.079</v>
      </c>
      <c r="Q24" s="15" t="n">
        <f aca="false">LE!B22</f>
        <v>12.9409991589303</v>
      </c>
      <c r="R24" s="27" t="n">
        <f aca="false">D24/$D$3</f>
        <v>0.00221088643234841</v>
      </c>
    </row>
    <row r="25" customFormat="false" ht="15" hidden="false" customHeight="false" outlineLevel="0" collapsed="false">
      <c r="A25" s="11" t="n">
        <v>20</v>
      </c>
      <c r="B25" s="11" t="n">
        <v>77</v>
      </c>
      <c r="C25" s="22" t="s">
        <v>147</v>
      </c>
      <c r="D25" s="10" t="n">
        <v>2.1759</v>
      </c>
      <c r="E25" s="11" t="n">
        <v>5</v>
      </c>
      <c r="F25" s="5" t="str">
        <f aca="false">INDEX(Factores!$C$29:$C$36,MATCH(E25,Factores!$A$29:$A$36,0))</f>
        <v>A-</v>
      </c>
      <c r="G25" s="8" t="n">
        <v>0.0317</v>
      </c>
      <c r="H25" s="11" t="n">
        <v>0</v>
      </c>
      <c r="I25" s="20" t="n">
        <v>4.25</v>
      </c>
      <c r="J25" s="20" t="n">
        <v>2.75</v>
      </c>
      <c r="K25" s="11" t="n">
        <v>5</v>
      </c>
      <c r="L25" s="22" t="s">
        <v>153</v>
      </c>
      <c r="M25" s="28" t="n">
        <f aca="false">IF(Supuestos!$C$23=1,AVERAGE(I25:J25),MIN(I25:J25))</f>
        <v>3.5</v>
      </c>
      <c r="N25" s="28" t="n">
        <f aca="false">INDEX(IF(H25=1,Factores!$C$6:$C$9,Factores!$B$6:$B$9),MATCH(M25,Factores!$A$6:$A$9,1))</f>
        <v>0.8</v>
      </c>
      <c r="O25" s="28" t="n">
        <f aca="false">INDEX(Factores!$B$13:$B$16,MATCH(B25,Factores!$A$13:$A$16,1))</f>
        <v>0.95</v>
      </c>
      <c r="P25" s="28" t="n">
        <f aca="false">M25*N25*O25</f>
        <v>2.66</v>
      </c>
      <c r="Q25" s="15" t="n">
        <f aca="false">LE!B23</f>
        <v>8.68467461669877</v>
      </c>
      <c r="R25" s="27" t="n">
        <f aca="false">D25/$D$3</f>
        <v>0.00483532796074671</v>
      </c>
    </row>
    <row r="26" customFormat="false" ht="15" hidden="false" customHeight="false" outlineLevel="0" collapsed="false">
      <c r="A26" s="11" t="n">
        <v>21</v>
      </c>
      <c r="B26" s="11" t="n">
        <v>74</v>
      </c>
      <c r="C26" s="22" t="s">
        <v>150</v>
      </c>
      <c r="D26" s="10" t="n">
        <v>1.0331</v>
      </c>
      <c r="E26" s="11" t="n">
        <v>4</v>
      </c>
      <c r="F26" s="5" t="str">
        <f aca="false">INDEX(Factores!$C$29:$C$36,MATCH(E26,Factores!$A$29:$A$36,0))</f>
        <v>A</v>
      </c>
      <c r="G26" s="8" t="n">
        <v>0.0252</v>
      </c>
      <c r="H26" s="11" t="n">
        <v>0</v>
      </c>
      <c r="I26" s="20" t="n">
        <v>3.25</v>
      </c>
      <c r="J26" s="20" t="n">
        <v>4</v>
      </c>
      <c r="K26" s="11" t="n">
        <v>11</v>
      </c>
      <c r="L26" s="22" t="s">
        <v>153</v>
      </c>
      <c r="M26" s="28" t="n">
        <f aca="false">IF(Supuestos!$C$23=1,AVERAGE(I26:J26),MIN(I26:J26))</f>
        <v>3.625</v>
      </c>
      <c r="N26" s="28" t="n">
        <f aca="false">INDEX(IF(H26=1,Factores!$C$6:$C$9,Factores!$B$6:$B$9),MATCH(M26,Factores!$A$6:$A$9,1))</f>
        <v>0.8</v>
      </c>
      <c r="O26" s="28" t="n">
        <f aca="false">INDEX(Factores!$B$13:$B$16,MATCH(B26,Factores!$A$13:$A$16,1))</f>
        <v>0.9</v>
      </c>
      <c r="P26" s="28" t="n">
        <f aca="false">M26*N26*O26</f>
        <v>2.61</v>
      </c>
      <c r="Q26" s="15" t="n">
        <f aca="false">LE!B24</f>
        <v>11.0762326810146</v>
      </c>
      <c r="R26" s="27" t="n">
        <f aca="false">D26/$D$3</f>
        <v>0.00229577522691641</v>
      </c>
    </row>
    <row r="27" customFormat="false" ht="15" hidden="false" customHeight="false" outlineLevel="0" collapsed="false">
      <c r="A27" s="11" t="n">
        <v>22</v>
      </c>
      <c r="B27" s="11" t="n">
        <v>82</v>
      </c>
      <c r="C27" s="22" t="s">
        <v>147</v>
      </c>
      <c r="D27" s="10" t="n">
        <v>1.8947</v>
      </c>
      <c r="E27" s="11" t="n">
        <v>2</v>
      </c>
      <c r="F27" s="5" t="str">
        <f aca="false">INDEX(Factores!$C$29:$C$36,MATCH(E27,Factores!$A$29:$A$36,0))</f>
        <v>A+</v>
      </c>
      <c r="G27" s="8" t="n">
        <v>0.0552</v>
      </c>
      <c r="H27" s="11" t="n">
        <v>0</v>
      </c>
      <c r="I27" s="20" t="n">
        <v>2.25</v>
      </c>
      <c r="J27" s="20" t="n">
        <v>2.5</v>
      </c>
      <c r="K27" s="11" t="n">
        <v>9</v>
      </c>
      <c r="L27" s="22" t="s">
        <v>154</v>
      </c>
      <c r="M27" s="28" t="n">
        <f aca="false">IF(Supuestos!$C$23=1,AVERAGE(I27:J27),MIN(I27:J27))</f>
        <v>2.375</v>
      </c>
      <c r="N27" s="28" t="n">
        <f aca="false">INDEX(IF(H27=1,Factores!$C$6:$C$9,Factores!$B$6:$B$9),MATCH(M27,Factores!$A$6:$A$9,1))</f>
        <v>0.88</v>
      </c>
      <c r="O27" s="28" t="n">
        <f aca="false">INDEX(Factores!$B$13:$B$16,MATCH(B27,Factores!$A$13:$A$16,1))</f>
        <v>0.95</v>
      </c>
      <c r="P27" s="28" t="n">
        <f aca="false">M27*N27*O27</f>
        <v>1.9855</v>
      </c>
      <c r="Q27" s="15" t="n">
        <f aca="false">LE!B25</f>
        <v>6.79175411769791</v>
      </c>
      <c r="R27" s="27" t="n">
        <f aca="false">D27/$D$3</f>
        <v>0.00421043976617804</v>
      </c>
    </row>
    <row r="28" customFormat="false" ht="15" hidden="false" customHeight="false" outlineLevel="0" collapsed="false">
      <c r="A28" s="11" t="n">
        <v>23</v>
      </c>
      <c r="B28" s="11" t="n">
        <v>77</v>
      </c>
      <c r="C28" s="22" t="s">
        <v>147</v>
      </c>
      <c r="D28" s="10" t="n">
        <v>2.9019</v>
      </c>
      <c r="E28" s="11" t="n">
        <v>4</v>
      </c>
      <c r="F28" s="5" t="str">
        <f aca="false">INDEX(Factores!$C$29:$C$36,MATCH(E28,Factores!$A$29:$A$36,0))</f>
        <v>A</v>
      </c>
      <c r="G28" s="8" t="n">
        <v>0.0384</v>
      </c>
      <c r="H28" s="11" t="n">
        <v>0</v>
      </c>
      <c r="I28" s="20" t="n">
        <v>2.25</v>
      </c>
      <c r="J28" s="20" t="n">
        <v>2.25</v>
      </c>
      <c r="K28" s="11" t="n">
        <v>3</v>
      </c>
      <c r="L28" s="22" t="s">
        <v>149</v>
      </c>
      <c r="M28" s="28" t="n">
        <f aca="false">IF(Supuestos!$C$23=1,AVERAGE(I28:J28),MIN(I28:J28))</f>
        <v>2.25</v>
      </c>
      <c r="N28" s="28" t="n">
        <f aca="false">INDEX(IF(H28=1,Factores!$C$6:$C$9,Factores!$B$6:$B$9),MATCH(M28,Factores!$A$6:$A$9,1))</f>
        <v>0.88</v>
      </c>
      <c r="O28" s="28" t="n">
        <f aca="false">INDEX(Factores!$B$13:$B$16,MATCH(B28,Factores!$A$13:$A$16,1))</f>
        <v>0.95</v>
      </c>
      <c r="P28" s="28" t="n">
        <f aca="false">M28*N28*O28</f>
        <v>1.881</v>
      </c>
      <c r="Q28" s="15" t="n">
        <f aca="false">LE!B26</f>
        <v>10.2514284667808</v>
      </c>
      <c r="R28" s="27" t="n">
        <f aca="false">D28/$D$3</f>
        <v>0.00644865950148944</v>
      </c>
    </row>
    <row r="29" customFormat="false" ht="15" hidden="false" customHeight="false" outlineLevel="0" collapsed="false">
      <c r="A29" s="11" t="n">
        <v>24</v>
      </c>
      <c r="B29" s="11" t="n">
        <v>84</v>
      </c>
      <c r="C29" s="22" t="s">
        <v>150</v>
      </c>
      <c r="D29" s="10" t="n">
        <v>1.269</v>
      </c>
      <c r="E29" s="11" t="n">
        <v>4</v>
      </c>
      <c r="F29" s="5" t="str">
        <f aca="false">INDEX(Factores!$C$29:$C$36,MATCH(E29,Factores!$A$29:$A$36,0))</f>
        <v>A</v>
      </c>
      <c r="G29" s="8" t="n">
        <v>0.0489</v>
      </c>
      <c r="H29" s="11" t="n">
        <v>1</v>
      </c>
      <c r="I29" s="20" t="n">
        <v>2.75</v>
      </c>
      <c r="J29" s="20" t="n">
        <v>2.75</v>
      </c>
      <c r="K29" s="11" t="n">
        <v>5</v>
      </c>
      <c r="L29" s="22" t="s">
        <v>155</v>
      </c>
      <c r="M29" s="28" t="n">
        <f aca="false">IF(Supuestos!$C$23=1,AVERAGE(I29:J29),MIN(I29:J29))</f>
        <v>2.75</v>
      </c>
      <c r="N29" s="28" t="n">
        <f aca="false">INDEX(IF(H29=1,Factores!$C$6:$C$9,Factores!$B$6:$B$9),MATCH(M29,Factores!$A$6:$A$9,1))</f>
        <v>0.82</v>
      </c>
      <c r="O29" s="28" t="n">
        <f aca="false">INDEX(Factores!$B$13:$B$16,MATCH(B29,Factores!$A$13:$A$16,1))</f>
        <v>0.95</v>
      </c>
      <c r="P29" s="28" t="n">
        <f aca="false">M29*N29*O29</f>
        <v>2.14225</v>
      </c>
      <c r="Q29" s="15" t="n">
        <f aca="false">LE!B27</f>
        <v>5.43649171772469</v>
      </c>
      <c r="R29" s="27" t="n">
        <f aca="false">D29/$D$3</f>
        <v>0.00281999686667015</v>
      </c>
    </row>
    <row r="30" customFormat="false" ht="15" hidden="false" customHeight="false" outlineLevel="0" collapsed="false">
      <c r="A30" s="11" t="n">
        <v>25</v>
      </c>
      <c r="B30" s="11" t="n">
        <v>84</v>
      </c>
      <c r="C30" s="22" t="s">
        <v>147</v>
      </c>
      <c r="D30" s="10" t="n">
        <v>1.1148</v>
      </c>
      <c r="E30" s="11" t="n">
        <v>4</v>
      </c>
      <c r="F30" s="5" t="str">
        <f aca="false">INDEX(Factores!$C$29:$C$36,MATCH(E30,Factores!$A$29:$A$36,0))</f>
        <v>A</v>
      </c>
      <c r="G30" s="8" t="n">
        <v>0.0576</v>
      </c>
      <c r="H30" s="11" t="n">
        <v>0</v>
      </c>
      <c r="I30" s="20" t="n">
        <v>1.5</v>
      </c>
      <c r="J30" s="20" t="n">
        <v>1.75</v>
      </c>
      <c r="K30" s="11" t="n">
        <v>5</v>
      </c>
      <c r="L30" s="22" t="s">
        <v>154</v>
      </c>
      <c r="M30" s="28" t="n">
        <f aca="false">IF(Supuestos!$C$23=1,AVERAGE(I30:J30),MIN(I30:J30))</f>
        <v>1.625</v>
      </c>
      <c r="N30" s="28" t="n">
        <f aca="false">INDEX(IF(H30=1,Factores!$C$6:$C$9,Factores!$B$6:$B$9),MATCH(M30,Factores!$A$6:$A$9,1))</f>
        <v>0.88</v>
      </c>
      <c r="O30" s="28" t="n">
        <f aca="false">INDEX(Factores!$B$13:$B$16,MATCH(B30,Factores!$A$13:$A$16,1))</f>
        <v>0.95</v>
      </c>
      <c r="P30" s="28" t="n">
        <f aca="false">M30*N30*O30</f>
        <v>1.3585</v>
      </c>
      <c r="Q30" s="15" t="n">
        <f aca="false">LE!B28</f>
        <v>7.14500249346873</v>
      </c>
      <c r="R30" s="27" t="n">
        <f aca="false">D30/$D$3</f>
        <v>0.0024773305807438</v>
      </c>
    </row>
    <row r="31" customFormat="false" ht="15" hidden="false" customHeight="false" outlineLevel="0" collapsed="false">
      <c r="A31" s="11" t="n">
        <v>26</v>
      </c>
      <c r="B31" s="11" t="n">
        <v>82</v>
      </c>
      <c r="C31" s="22" t="s">
        <v>147</v>
      </c>
      <c r="D31" s="10" t="n">
        <v>1.5928</v>
      </c>
      <c r="E31" s="11" t="n">
        <v>1</v>
      </c>
      <c r="F31" s="5" t="str">
        <f aca="false">INDEX(Factores!$C$29:$C$36,MATCH(E31,Factores!$A$29:$A$36,0))</f>
        <v>A+</v>
      </c>
      <c r="G31" s="8" t="n">
        <v>0.055</v>
      </c>
      <c r="H31" s="11" t="n">
        <v>0</v>
      </c>
      <c r="I31" s="20" t="n">
        <v>2</v>
      </c>
      <c r="J31" s="20" t="n">
        <v>1.75</v>
      </c>
      <c r="K31" s="11" t="n">
        <v>8</v>
      </c>
      <c r="L31" s="22" t="s">
        <v>152</v>
      </c>
      <c r="M31" s="28" t="n">
        <f aca="false">IF(Supuestos!$C$23=1,AVERAGE(I31:J31),MIN(I31:J31))</f>
        <v>1.875</v>
      </c>
      <c r="N31" s="28" t="n">
        <f aca="false">INDEX(IF(H31=1,Factores!$C$6:$C$9,Factores!$B$6:$B$9),MATCH(M31,Factores!$A$6:$A$9,1))</f>
        <v>0.88</v>
      </c>
      <c r="O31" s="28" t="n">
        <f aca="false">INDEX(Factores!$B$13:$B$16,MATCH(B31,Factores!$A$13:$A$16,1))</f>
        <v>0.95</v>
      </c>
      <c r="P31" s="28" t="n">
        <f aca="false">M31*N31*O31</f>
        <v>1.5675</v>
      </c>
      <c r="Q31" s="15" t="n">
        <f aca="false">LE!B29</f>
        <v>7.72877194048031</v>
      </c>
      <c r="R31" s="27" t="n">
        <f aca="false">D31/$D$3</f>
        <v>0.00353955162272042</v>
      </c>
    </row>
    <row r="32" customFormat="false" ht="15" hidden="false" customHeight="false" outlineLevel="0" collapsed="false">
      <c r="A32" s="11" t="n">
        <v>27</v>
      </c>
      <c r="B32" s="11" t="n">
        <v>70</v>
      </c>
      <c r="C32" s="22" t="s">
        <v>147</v>
      </c>
      <c r="D32" s="10" t="n">
        <v>1.46</v>
      </c>
      <c r="E32" s="11" t="n">
        <v>8</v>
      </c>
      <c r="F32" s="5" t="str">
        <f aca="false">INDEX(Factores!$C$29:$C$36,MATCH(E32,Factores!$A$29:$A$36,0))</f>
        <v>B++</v>
      </c>
      <c r="G32" s="8" t="n">
        <v>0.0186</v>
      </c>
      <c r="H32" s="11" t="n">
        <v>0</v>
      </c>
      <c r="I32" s="20" t="n">
        <v>3</v>
      </c>
      <c r="J32" s="20" t="n">
        <v>2.5</v>
      </c>
      <c r="K32" s="11" t="n">
        <v>11</v>
      </c>
      <c r="L32" s="22" t="s">
        <v>153</v>
      </c>
      <c r="M32" s="28" t="n">
        <f aca="false">IF(Supuestos!$C$23=1,AVERAGE(I32:J32),MIN(I32:J32))</f>
        <v>2.75</v>
      </c>
      <c r="N32" s="28" t="n">
        <f aca="false">INDEX(IF(H32=1,Factores!$C$6:$C$9,Factores!$B$6:$B$9),MATCH(M32,Factores!$A$6:$A$9,1))</f>
        <v>0.88</v>
      </c>
      <c r="O32" s="28" t="n">
        <f aca="false">INDEX(Factores!$B$13:$B$16,MATCH(B32,Factores!$A$13:$A$16,1))</f>
        <v>0.9</v>
      </c>
      <c r="P32" s="28" t="n">
        <f aca="false">M32*N32*O32</f>
        <v>2.178</v>
      </c>
      <c r="Q32" s="15" t="n">
        <f aca="false">LE!B30</f>
        <v>15.3527667210904</v>
      </c>
      <c r="R32" s="27" t="n">
        <f aca="false">D32/$D$3</f>
        <v>0.00324444083951018</v>
      </c>
    </row>
    <row r="33" customFormat="false" ht="15" hidden="false" customHeight="false" outlineLevel="0" collapsed="false">
      <c r="A33" s="11" t="n">
        <v>28</v>
      </c>
      <c r="B33" s="11" t="n">
        <v>80</v>
      </c>
      <c r="C33" s="22" t="s">
        <v>150</v>
      </c>
      <c r="D33" s="10" t="n">
        <v>0.9345</v>
      </c>
      <c r="E33" s="11" t="n">
        <v>8</v>
      </c>
      <c r="F33" s="5" t="str">
        <f aca="false">INDEX(Factores!$C$29:$C$36,MATCH(E33,Factores!$A$29:$A$36,0))</f>
        <v>B++</v>
      </c>
      <c r="G33" s="8" t="n">
        <v>0.0423</v>
      </c>
      <c r="H33" s="11" t="n">
        <v>1</v>
      </c>
      <c r="I33" s="20" t="n">
        <v>4.75</v>
      </c>
      <c r="J33" s="20" t="n">
        <v>4.5</v>
      </c>
      <c r="K33" s="11" t="n">
        <v>5</v>
      </c>
      <c r="L33" s="22" t="s">
        <v>152</v>
      </c>
      <c r="M33" s="28" t="n">
        <f aca="false">IF(Supuestos!$C$23=1,AVERAGE(I33:J33),MIN(I33:J33))</f>
        <v>4.625</v>
      </c>
      <c r="N33" s="28" t="n">
        <f aca="false">INDEX(IF(H33=1,Factores!$C$6:$C$9,Factores!$B$6:$B$9),MATCH(M33,Factores!$A$6:$A$9,1))</f>
        <v>0.74</v>
      </c>
      <c r="O33" s="28" t="n">
        <f aca="false">INDEX(Factores!$B$13:$B$16,MATCH(B33,Factores!$A$13:$A$16,1))</f>
        <v>0.95</v>
      </c>
      <c r="P33" s="28" t="n">
        <f aca="false">M33*N33*O33</f>
        <v>3.251375</v>
      </c>
      <c r="Q33" s="15" t="n">
        <f aca="false">LE!B31</f>
        <v>5.82065447971493</v>
      </c>
      <c r="R33" s="27" t="n">
        <f aca="false">D33/$D$3</f>
        <v>0.00207666435926182</v>
      </c>
    </row>
    <row r="34" customFormat="false" ht="15" hidden="false" customHeight="false" outlineLevel="0" collapsed="false">
      <c r="A34" s="11" t="n">
        <v>29</v>
      </c>
      <c r="B34" s="11" t="n">
        <v>83</v>
      </c>
      <c r="C34" s="22" t="s">
        <v>147</v>
      </c>
      <c r="D34" s="10" t="n">
        <v>1.7982</v>
      </c>
      <c r="E34" s="11" t="n">
        <v>1</v>
      </c>
      <c r="F34" s="5" t="str">
        <f aca="false">INDEX(Factores!$C$29:$C$36,MATCH(E34,Factores!$A$29:$A$36,0))</f>
        <v>A+</v>
      </c>
      <c r="G34" s="8" t="n">
        <v>0.0512</v>
      </c>
      <c r="H34" s="11" t="n">
        <v>0</v>
      </c>
      <c r="I34" s="20" t="n">
        <v>1.75</v>
      </c>
      <c r="J34" s="20" t="n">
        <v>2.25</v>
      </c>
      <c r="K34" s="11" t="n">
        <v>4</v>
      </c>
      <c r="L34" s="22" t="s">
        <v>155</v>
      </c>
      <c r="M34" s="28" t="n">
        <f aca="false">IF(Supuestos!$C$23=1,AVERAGE(I34:J34),MIN(I34:J34))</f>
        <v>2</v>
      </c>
      <c r="N34" s="28" t="n">
        <f aca="false">INDEX(IF(H34=1,Factores!$C$6:$C$9,Factores!$B$6:$B$9),MATCH(M34,Factores!$A$6:$A$9,1))</f>
        <v>0.88</v>
      </c>
      <c r="O34" s="28" t="n">
        <f aca="false">INDEX(Factores!$B$13:$B$16,MATCH(B34,Factores!$A$13:$A$16,1))</f>
        <v>0.95</v>
      </c>
      <c r="P34" s="28" t="n">
        <f aca="false">M34*N34*O34</f>
        <v>1.672</v>
      </c>
      <c r="Q34" s="15" t="n">
        <f aca="false">LE!B32</f>
        <v>6.91439887581658</v>
      </c>
      <c r="R34" s="27" t="n">
        <f aca="false">D34/$D$3</f>
        <v>0.00399599556000493</v>
      </c>
    </row>
    <row r="35" customFormat="false" ht="15" hidden="false" customHeight="false" outlineLevel="0" collapsed="false">
      <c r="A35" s="11" t="n">
        <v>30</v>
      </c>
      <c r="B35" s="11" t="n">
        <v>84</v>
      </c>
      <c r="C35" s="22" t="s">
        <v>147</v>
      </c>
      <c r="D35" s="10" t="n">
        <v>3.6196</v>
      </c>
      <c r="E35" s="11" t="n">
        <v>7</v>
      </c>
      <c r="F35" s="5" t="str">
        <f aca="false">INDEX(Factores!$C$29:$C$36,MATCH(E35,Factores!$A$29:$A$36,0))</f>
        <v>A+</v>
      </c>
      <c r="G35" s="8" t="n">
        <v>0.0561</v>
      </c>
      <c r="H35" s="11" t="n">
        <v>0</v>
      </c>
      <c r="I35" s="20" t="n">
        <v>2</v>
      </c>
      <c r="J35" s="20" t="n">
        <v>1.5</v>
      </c>
      <c r="K35" s="11" t="n">
        <v>9</v>
      </c>
      <c r="L35" s="22" t="s">
        <v>152</v>
      </c>
      <c r="M35" s="28" t="n">
        <f aca="false">IF(Supuestos!$C$23=1,AVERAGE(I35:J35),MIN(I35:J35))</f>
        <v>1.75</v>
      </c>
      <c r="N35" s="28" t="n">
        <f aca="false">INDEX(IF(H35=1,Factores!$C$6:$C$9,Factores!$B$6:$B$9),MATCH(M35,Factores!$A$6:$A$9,1))</f>
        <v>0.88</v>
      </c>
      <c r="O35" s="28" t="n">
        <f aca="false">INDEX(Factores!$B$13:$B$16,MATCH(B35,Factores!$A$13:$A$16,1))</f>
        <v>0.95</v>
      </c>
      <c r="P35" s="28" t="n">
        <f aca="false">M35*N35*O35</f>
        <v>1.463</v>
      </c>
      <c r="Q35" s="15" t="n">
        <f aca="false">LE!B33</f>
        <v>6.87641339439771</v>
      </c>
      <c r="R35" s="27" t="n">
        <f aca="false">D35/$D$3</f>
        <v>0.00804354661828154</v>
      </c>
    </row>
    <row r="36" customFormat="false" ht="15" hidden="false" customHeight="false" outlineLevel="0" collapsed="false">
      <c r="A36" s="11" t="n">
        <v>31</v>
      </c>
      <c r="B36" s="11" t="n">
        <v>75</v>
      </c>
      <c r="C36" s="22" t="s">
        <v>147</v>
      </c>
      <c r="D36" s="10" t="n">
        <v>1.3011</v>
      </c>
      <c r="E36" s="11" t="n">
        <v>4</v>
      </c>
      <c r="F36" s="5" t="str">
        <f aca="false">INDEX(Factores!$C$29:$C$36,MATCH(E36,Factores!$A$29:$A$36,0))</f>
        <v>A</v>
      </c>
      <c r="G36" s="8" t="n">
        <v>0.0351</v>
      </c>
      <c r="H36" s="11" t="n">
        <v>0</v>
      </c>
      <c r="I36" s="20" t="n">
        <v>2.25</v>
      </c>
      <c r="J36" s="20" t="n">
        <v>2.75</v>
      </c>
      <c r="K36" s="11" t="n">
        <v>8</v>
      </c>
      <c r="L36" s="22" t="s">
        <v>151</v>
      </c>
      <c r="M36" s="28" t="n">
        <f aca="false">IF(Supuestos!$C$23=1,AVERAGE(I36:J36),MIN(I36:J36))</f>
        <v>2.5</v>
      </c>
      <c r="N36" s="28" t="n">
        <f aca="false">INDEX(IF(H36=1,Factores!$C$6:$C$9,Factores!$B$6:$B$9),MATCH(M36,Factores!$A$6:$A$9,1))</f>
        <v>0.88</v>
      </c>
      <c r="O36" s="28" t="n">
        <f aca="false">INDEX(Factores!$B$13:$B$16,MATCH(B36,Factores!$A$13:$A$16,1))</f>
        <v>0.95</v>
      </c>
      <c r="P36" s="28" t="n">
        <f aca="false">M36*N36*O36</f>
        <v>2.09</v>
      </c>
      <c r="Q36" s="15" t="n">
        <f aca="false">LE!B34</f>
        <v>11.3026044034387</v>
      </c>
      <c r="R36" s="27" t="n">
        <f aca="false">D36/$D$3</f>
        <v>0.00289133012074431</v>
      </c>
    </row>
    <row r="37" customFormat="false" ht="15" hidden="false" customHeight="false" outlineLevel="0" collapsed="false">
      <c r="A37" s="11" t="n">
        <v>32</v>
      </c>
      <c r="B37" s="11" t="n">
        <v>81</v>
      </c>
      <c r="C37" s="22" t="s">
        <v>147</v>
      </c>
      <c r="D37" s="10" t="n">
        <v>1.3339</v>
      </c>
      <c r="E37" s="11" t="n">
        <v>1</v>
      </c>
      <c r="F37" s="5" t="str">
        <f aca="false">INDEX(Factores!$C$29:$C$36,MATCH(E37,Factores!$A$29:$A$36,0))</f>
        <v>A+</v>
      </c>
      <c r="G37" s="8" t="n">
        <v>0.0522</v>
      </c>
      <c r="H37" s="11" t="n">
        <v>0</v>
      </c>
      <c r="I37" s="20" t="n">
        <v>3.75</v>
      </c>
      <c r="J37" s="20" t="n">
        <v>3.25</v>
      </c>
      <c r="K37" s="11" t="n">
        <v>6</v>
      </c>
      <c r="L37" s="22" t="s">
        <v>154</v>
      </c>
      <c r="M37" s="28" t="n">
        <f aca="false">IF(Supuestos!$C$23=1,AVERAGE(I37:J37),MIN(I37:J37))</f>
        <v>3.5</v>
      </c>
      <c r="N37" s="28" t="n">
        <f aca="false">INDEX(IF(H37=1,Factores!$C$6:$C$9,Factores!$B$6:$B$9),MATCH(M37,Factores!$A$6:$A$9,1))</f>
        <v>0.8</v>
      </c>
      <c r="O37" s="28" t="n">
        <f aca="false">INDEX(Factores!$B$13:$B$16,MATCH(B37,Factores!$A$13:$A$16,1))</f>
        <v>0.95</v>
      </c>
      <c r="P37" s="28" t="n">
        <f aca="false">M37*N37*O37</f>
        <v>2.66</v>
      </c>
      <c r="Q37" s="15" t="n">
        <f aca="false">LE!B35</f>
        <v>6.13220580103688</v>
      </c>
      <c r="R37" s="27" t="n">
        <f aca="false">D37/$D$3</f>
        <v>0.00296421892864564</v>
      </c>
    </row>
    <row r="38" customFormat="false" ht="15" hidden="false" customHeight="false" outlineLevel="0" collapsed="false">
      <c r="A38" s="11" t="n">
        <v>33</v>
      </c>
      <c r="B38" s="11" t="n">
        <v>78</v>
      </c>
      <c r="C38" s="22" t="s">
        <v>150</v>
      </c>
      <c r="D38" s="10" t="n">
        <v>0.9132</v>
      </c>
      <c r="E38" s="11" t="n">
        <v>6</v>
      </c>
      <c r="F38" s="5" t="str">
        <f aca="false">INDEX(Factores!$C$29:$C$36,MATCH(E38,Factores!$A$29:$A$36,0))</f>
        <v>A</v>
      </c>
      <c r="G38" s="8" t="n">
        <v>0.0448</v>
      </c>
      <c r="H38" s="11" t="n">
        <v>0</v>
      </c>
      <c r="I38" s="20" t="n">
        <v>2</v>
      </c>
      <c r="J38" s="20" t="n">
        <v>1.5</v>
      </c>
      <c r="K38" s="11" t="n">
        <v>9</v>
      </c>
      <c r="L38" s="22" t="s">
        <v>153</v>
      </c>
      <c r="M38" s="28" t="n">
        <f aca="false">IF(Supuestos!$C$23=1,AVERAGE(I38:J38),MIN(I38:J38))</f>
        <v>1.75</v>
      </c>
      <c r="N38" s="28" t="n">
        <f aca="false">INDEX(IF(H38=1,Factores!$C$6:$C$9,Factores!$B$6:$B$9),MATCH(M38,Factores!$A$6:$A$9,1))</f>
        <v>0.88</v>
      </c>
      <c r="O38" s="28" t="n">
        <f aca="false">INDEX(Factores!$B$13:$B$16,MATCH(B38,Factores!$A$13:$A$16,1))</f>
        <v>0.95</v>
      </c>
      <c r="P38" s="28" t="n">
        <f aca="false">M38*N38*O38</f>
        <v>1.463</v>
      </c>
      <c r="Q38" s="15" t="n">
        <f aca="false">LE!B36</f>
        <v>10.5435458704076</v>
      </c>
      <c r="R38" s="27" t="n">
        <f aca="false">D38/$D$3</f>
        <v>0.00202933107852102</v>
      </c>
    </row>
    <row r="39" customFormat="false" ht="15" hidden="false" customHeight="false" outlineLevel="0" collapsed="false">
      <c r="A39" s="11" t="n">
        <v>34</v>
      </c>
      <c r="B39" s="11" t="n">
        <v>79</v>
      </c>
      <c r="C39" s="22" t="s">
        <v>147</v>
      </c>
      <c r="D39" s="10" t="n">
        <v>1.687</v>
      </c>
      <c r="E39" s="11" t="n">
        <v>3</v>
      </c>
      <c r="F39" s="5" t="str">
        <f aca="false">INDEX(Factores!$C$29:$C$36,MATCH(E39,Factores!$A$29:$A$36,0))</f>
        <v>A</v>
      </c>
      <c r="G39" s="8" t="n">
        <v>0.0472</v>
      </c>
      <c r="H39" s="11" t="n">
        <v>0</v>
      </c>
      <c r="I39" s="20" t="n">
        <v>3.75</v>
      </c>
      <c r="J39" s="20" t="n">
        <v>4.75</v>
      </c>
      <c r="K39" s="11" t="n">
        <v>7</v>
      </c>
      <c r="L39" s="22" t="s">
        <v>153</v>
      </c>
      <c r="M39" s="28" t="n">
        <f aca="false">IF(Supuestos!$C$23=1,AVERAGE(I39:J39),MIN(I39:J39))</f>
        <v>4.25</v>
      </c>
      <c r="N39" s="28" t="n">
        <f aca="false">INDEX(IF(H39=1,Factores!$C$6:$C$9,Factores!$B$6:$B$9),MATCH(M39,Factores!$A$6:$A$9,1))</f>
        <v>0.8</v>
      </c>
      <c r="O39" s="28" t="n">
        <f aca="false">INDEX(Factores!$B$13:$B$16,MATCH(B39,Factores!$A$13:$A$16,1))</f>
        <v>0.95</v>
      </c>
      <c r="P39" s="28" t="n">
        <f aca="false">M39*N39*O39</f>
        <v>3.23</v>
      </c>
      <c r="Q39" s="15" t="n">
        <f aca="false">LE!B37</f>
        <v>6.43575236981919</v>
      </c>
      <c r="R39" s="27" t="n">
        <f aca="false">D39/$D$3</f>
        <v>0.00374888472346142</v>
      </c>
    </row>
    <row r="40" customFormat="false" ht="15" hidden="false" customHeight="false" outlineLevel="0" collapsed="false">
      <c r="A40" s="11" t="n">
        <v>35</v>
      </c>
      <c r="B40" s="11" t="n">
        <v>88</v>
      </c>
      <c r="C40" s="22" t="s">
        <v>150</v>
      </c>
      <c r="D40" s="10" t="n">
        <v>0.8338</v>
      </c>
      <c r="E40" s="11" t="n">
        <v>5</v>
      </c>
      <c r="F40" s="5" t="str">
        <f aca="false">INDEX(Factores!$C$29:$C$36,MATCH(E40,Factores!$A$29:$A$36,0))</f>
        <v>A-</v>
      </c>
      <c r="G40" s="8" t="n">
        <v>0.0704</v>
      </c>
      <c r="H40" s="11" t="n">
        <v>0</v>
      </c>
      <c r="I40" s="20" t="n">
        <v>1.25</v>
      </c>
      <c r="J40" s="20" t="n">
        <v>1.25</v>
      </c>
      <c r="K40" s="11" t="n">
        <v>10</v>
      </c>
      <c r="L40" s="22" t="s">
        <v>155</v>
      </c>
      <c r="M40" s="28" t="n">
        <f aca="false">IF(Supuestos!$C$23=1,AVERAGE(I40:J40),MIN(I40:J40))</f>
        <v>1.25</v>
      </c>
      <c r="N40" s="28" t="n">
        <f aca="false">INDEX(IF(H40=1,Factores!$C$6:$C$9,Factores!$B$6:$B$9),MATCH(M40,Factores!$A$6:$A$9,1))</f>
        <v>0.95</v>
      </c>
      <c r="O40" s="28" t="n">
        <f aca="false">INDEX(Factores!$B$13:$B$16,MATCH(B40,Factores!$A$13:$A$16,1))</f>
        <v>1</v>
      </c>
      <c r="P40" s="28" t="n">
        <f aca="false">M40*N40*O40</f>
        <v>1.1875</v>
      </c>
      <c r="Q40" s="15" t="n">
        <f aca="false">LE!B38</f>
        <v>5.66303663770295</v>
      </c>
      <c r="R40" s="27" t="n">
        <f aca="false">D40/$D$3</f>
        <v>0.00185288683012574</v>
      </c>
    </row>
    <row r="41" customFormat="false" ht="15" hidden="false" customHeight="false" outlineLevel="0" collapsed="false">
      <c r="A41" s="11" t="n">
        <v>36</v>
      </c>
      <c r="B41" s="11" t="n">
        <v>79</v>
      </c>
      <c r="C41" s="22" t="s">
        <v>150</v>
      </c>
      <c r="D41" s="10" t="n">
        <v>0.888</v>
      </c>
      <c r="E41" s="11" t="n">
        <v>6</v>
      </c>
      <c r="F41" s="5" t="str">
        <f aca="false">INDEX(Factores!$C$29:$C$36,MATCH(E41,Factores!$A$29:$A$36,0))</f>
        <v>A</v>
      </c>
      <c r="G41" s="8" t="n">
        <v>0.0451</v>
      </c>
      <c r="H41" s="11" t="n">
        <v>0</v>
      </c>
      <c r="I41" s="20" t="n">
        <v>1.75</v>
      </c>
      <c r="J41" s="20" t="n">
        <v>1.25</v>
      </c>
      <c r="K41" s="11" t="n">
        <v>11</v>
      </c>
      <c r="L41" s="22" t="s">
        <v>153</v>
      </c>
      <c r="M41" s="28" t="n">
        <f aca="false">IF(Supuestos!$C$23=1,AVERAGE(I41:J41),MIN(I41:J41))</f>
        <v>1.5</v>
      </c>
      <c r="N41" s="28" t="n">
        <f aca="false">INDEX(IF(H41=1,Factores!$C$6:$C$9,Factores!$B$6:$B$9),MATCH(M41,Factores!$A$6:$A$9,1))</f>
        <v>0.88</v>
      </c>
      <c r="O41" s="28" t="n">
        <f aca="false">INDEX(Factores!$B$13:$B$16,MATCH(B41,Factores!$A$13:$A$16,1))</f>
        <v>0.95</v>
      </c>
      <c r="P41" s="28" t="n">
        <f aca="false">M41*N41*O41</f>
        <v>1.254</v>
      </c>
      <c r="Q41" s="15" t="n">
        <f aca="false">LE!B39</f>
        <v>10.4236767902378</v>
      </c>
      <c r="R41" s="27" t="n">
        <f aca="false">D41/$D$3</f>
        <v>0.00197333114074318</v>
      </c>
    </row>
    <row r="42" customFormat="false" ht="15" hidden="false" customHeight="false" outlineLevel="0" collapsed="false">
      <c r="A42" s="11" t="n">
        <v>37</v>
      </c>
      <c r="B42" s="11" t="n">
        <v>83</v>
      </c>
      <c r="C42" s="22" t="s">
        <v>150</v>
      </c>
      <c r="D42" s="10" t="n">
        <v>2.5992</v>
      </c>
      <c r="E42" s="11" t="n">
        <v>4</v>
      </c>
      <c r="F42" s="5" t="str">
        <f aca="false">INDEX(Factores!$C$29:$C$36,MATCH(E42,Factores!$A$29:$A$36,0))</f>
        <v>A</v>
      </c>
      <c r="G42" s="8" t="n">
        <v>0.0464</v>
      </c>
      <c r="H42" s="11" t="n">
        <v>0</v>
      </c>
      <c r="I42" s="20" t="n">
        <v>1.75</v>
      </c>
      <c r="J42" s="20" t="n">
        <v>1.75</v>
      </c>
      <c r="K42" s="11" t="n">
        <v>5</v>
      </c>
      <c r="L42" s="22" t="s">
        <v>154</v>
      </c>
      <c r="M42" s="28" t="n">
        <f aca="false">IF(Supuestos!$C$23=1,AVERAGE(I42:J42),MIN(I42:J42))</f>
        <v>1.75</v>
      </c>
      <c r="N42" s="28" t="n">
        <f aca="false">INDEX(IF(H42=1,Factores!$C$6:$C$9,Factores!$B$6:$B$9),MATCH(M42,Factores!$A$6:$A$9,1))</f>
        <v>0.88</v>
      </c>
      <c r="O42" s="28" t="n">
        <f aca="false">INDEX(Factores!$B$13:$B$16,MATCH(B42,Factores!$A$13:$A$16,1))</f>
        <v>0.95</v>
      </c>
      <c r="P42" s="28" t="n">
        <f aca="false">M42*N42*O42</f>
        <v>1.463</v>
      </c>
      <c r="Q42" s="15" t="n">
        <f aca="false">LE!B40</f>
        <v>7.41975713786944</v>
      </c>
      <c r="R42" s="27" t="n">
        <f aca="false">D42/$D$3</f>
        <v>0.00577599358222935</v>
      </c>
    </row>
    <row r="43" customFormat="false" ht="15" hidden="false" customHeight="false" outlineLevel="0" collapsed="false">
      <c r="A43" s="11" t="n">
        <v>38</v>
      </c>
      <c r="B43" s="11" t="n">
        <v>87</v>
      </c>
      <c r="C43" s="22" t="s">
        <v>147</v>
      </c>
      <c r="D43" s="10" t="n">
        <v>0.9723</v>
      </c>
      <c r="E43" s="11" t="n">
        <v>1</v>
      </c>
      <c r="F43" s="5" t="str">
        <f aca="false">INDEX(Factores!$C$29:$C$36,MATCH(E43,Factores!$A$29:$A$36,0))</f>
        <v>A+</v>
      </c>
      <c r="G43" s="8" t="n">
        <v>0.062</v>
      </c>
      <c r="H43" s="11" t="n">
        <v>0</v>
      </c>
      <c r="I43" s="20" t="n">
        <v>2.75</v>
      </c>
      <c r="J43" s="20" t="n">
        <v>3.25</v>
      </c>
      <c r="K43" s="11" t="n">
        <v>9</v>
      </c>
      <c r="L43" s="22" t="s">
        <v>155</v>
      </c>
      <c r="M43" s="28" t="n">
        <f aca="false">IF(Supuestos!$C$23=1,AVERAGE(I43:J43),MIN(I43:J43))</f>
        <v>3</v>
      </c>
      <c r="N43" s="28" t="n">
        <f aca="false">INDEX(IF(H43=1,Factores!$C$6:$C$9,Factores!$B$6:$B$9),MATCH(M43,Factores!$A$6:$A$9,1))</f>
        <v>0.8</v>
      </c>
      <c r="O43" s="28" t="n">
        <f aca="false">INDEX(Factores!$B$13:$B$16,MATCH(B43,Factores!$A$13:$A$16,1))</f>
        <v>1</v>
      </c>
      <c r="P43" s="28" t="n">
        <f aca="false">M43*N43*O43</f>
        <v>2.4</v>
      </c>
      <c r="Q43" s="15" t="n">
        <f aca="false">LE!B41</f>
        <v>3.74484139584194</v>
      </c>
      <c r="R43" s="27" t="n">
        <f aca="false">D43/$D$3</f>
        <v>0.00216066426592859</v>
      </c>
    </row>
    <row r="44" customFormat="false" ht="15" hidden="false" customHeight="false" outlineLevel="0" collapsed="false">
      <c r="A44" s="11" t="n">
        <v>39</v>
      </c>
      <c r="B44" s="11" t="n">
        <v>80</v>
      </c>
      <c r="C44" s="22" t="s">
        <v>147</v>
      </c>
      <c r="D44" s="10" t="n">
        <v>2.3773</v>
      </c>
      <c r="E44" s="11" t="n">
        <v>6</v>
      </c>
      <c r="F44" s="5" t="str">
        <f aca="false">INDEX(Factores!$C$29:$C$36,MATCH(E44,Factores!$A$29:$A$36,0))</f>
        <v>A</v>
      </c>
      <c r="G44" s="8" t="n">
        <v>0.0463</v>
      </c>
      <c r="H44" s="11" t="n">
        <v>0</v>
      </c>
      <c r="I44" s="20" t="n">
        <v>3.25</v>
      </c>
      <c r="J44" s="20" t="n">
        <v>4.25</v>
      </c>
      <c r="K44" s="11" t="n">
        <v>7</v>
      </c>
      <c r="L44" s="22" t="s">
        <v>148</v>
      </c>
      <c r="M44" s="28" t="n">
        <f aca="false">IF(Supuestos!$C$23=1,AVERAGE(I44:J44),MIN(I44:J44))</f>
        <v>3.75</v>
      </c>
      <c r="N44" s="28" t="n">
        <f aca="false">INDEX(IF(H44=1,Factores!$C$6:$C$9,Factores!$B$6:$B$9),MATCH(M44,Factores!$A$6:$A$9,1))</f>
        <v>0.8</v>
      </c>
      <c r="O44" s="28" t="n">
        <f aca="false">INDEX(Factores!$B$13:$B$16,MATCH(B44,Factores!$A$13:$A$16,1))</f>
        <v>0.95</v>
      </c>
      <c r="P44" s="28" t="n">
        <f aca="false">M44*N44*O44</f>
        <v>2.85</v>
      </c>
      <c r="Q44" s="15" t="n">
        <f aca="false">LE!B42</f>
        <v>6.40575426590413</v>
      </c>
      <c r="R44" s="27" t="n">
        <f aca="false">D44/$D$3</f>
        <v>0.00528288301901887</v>
      </c>
    </row>
    <row r="45" customFormat="false" ht="15" hidden="false" customHeight="false" outlineLevel="0" collapsed="false">
      <c r="A45" s="11" t="n">
        <v>40</v>
      </c>
      <c r="B45" s="11" t="n">
        <v>82</v>
      </c>
      <c r="C45" s="22" t="s">
        <v>147</v>
      </c>
      <c r="D45" s="10" t="n">
        <v>2.9018</v>
      </c>
      <c r="E45" s="11" t="n">
        <v>5</v>
      </c>
      <c r="F45" s="5" t="str">
        <f aca="false">INDEX(Factores!$C$29:$C$36,MATCH(E45,Factores!$A$29:$A$36,0))</f>
        <v>A-</v>
      </c>
      <c r="G45" s="8" t="n">
        <v>0.0485</v>
      </c>
      <c r="H45" s="11" t="n">
        <v>0</v>
      </c>
      <c r="I45" s="20" t="n">
        <v>1</v>
      </c>
      <c r="J45" s="20" t="n">
        <v>1</v>
      </c>
      <c r="K45" s="11" t="n">
        <v>9</v>
      </c>
      <c r="L45" s="22" t="s">
        <v>152</v>
      </c>
      <c r="M45" s="28" t="n">
        <f aca="false">IF(Supuestos!$C$23=1,AVERAGE(I45:J45),MIN(I45:J45))</f>
        <v>1</v>
      </c>
      <c r="N45" s="28" t="n">
        <f aca="false">INDEX(IF(H45=1,Factores!$C$6:$C$9,Factores!$B$6:$B$9),MATCH(M45,Factores!$A$6:$A$9,1))</f>
        <v>0.95</v>
      </c>
      <c r="O45" s="28" t="n">
        <f aca="false">INDEX(Factores!$B$13:$B$16,MATCH(B45,Factores!$A$13:$A$16,1))</f>
        <v>0.95</v>
      </c>
      <c r="P45" s="28" t="n">
        <f aca="false">M45*N45*O45</f>
        <v>0.9025</v>
      </c>
      <c r="Q45" s="15" t="n">
        <f aca="false">LE!B43</f>
        <v>9.62191016629205</v>
      </c>
      <c r="R45" s="27" t="n">
        <f aca="false">D45/$D$3</f>
        <v>0.00644843727951413</v>
      </c>
    </row>
    <row r="46" customFormat="false" ht="15" hidden="false" customHeight="false" outlineLevel="0" collapsed="false">
      <c r="A46" s="11" t="n">
        <v>41</v>
      </c>
      <c r="B46" s="11" t="n">
        <v>84</v>
      </c>
      <c r="C46" s="22" t="s">
        <v>147</v>
      </c>
      <c r="D46" s="10" t="n">
        <v>1.6422</v>
      </c>
      <c r="E46" s="11" t="n">
        <v>7</v>
      </c>
      <c r="F46" s="5" t="str">
        <f aca="false">INDEX(Factores!$C$29:$C$36,MATCH(E46,Factores!$A$29:$A$36,0))</f>
        <v>A+</v>
      </c>
      <c r="G46" s="8" t="n">
        <v>0.0586</v>
      </c>
      <c r="H46" s="11" t="n">
        <v>0</v>
      </c>
      <c r="I46" s="20" t="n">
        <v>1.25</v>
      </c>
      <c r="J46" s="20" t="n">
        <v>1.25</v>
      </c>
      <c r="K46" s="11" t="n">
        <v>6</v>
      </c>
      <c r="L46" s="22" t="s">
        <v>151</v>
      </c>
      <c r="M46" s="28" t="n">
        <f aca="false">IF(Supuestos!$C$23=1,AVERAGE(I46:J46),MIN(I46:J46))</f>
        <v>1.25</v>
      </c>
      <c r="N46" s="28" t="n">
        <f aca="false">INDEX(IF(H46=1,Factores!$C$6:$C$9,Factores!$B$6:$B$9),MATCH(M46,Factores!$A$6:$A$9,1))</f>
        <v>0.95</v>
      </c>
      <c r="O46" s="28" t="n">
        <f aca="false">INDEX(Factores!$B$13:$B$16,MATCH(B46,Factores!$A$13:$A$16,1))</f>
        <v>0.95</v>
      </c>
      <c r="P46" s="28" t="n">
        <f aca="false">M46*N46*O46</f>
        <v>1.128125</v>
      </c>
      <c r="Q46" s="15" t="n">
        <f aca="false">LE!B44</f>
        <v>7.79078858307723</v>
      </c>
      <c r="R46" s="27" t="n">
        <f aca="false">D46/$D$3</f>
        <v>0.00364932927852302</v>
      </c>
    </row>
    <row r="47" customFormat="false" ht="15" hidden="false" customHeight="false" outlineLevel="0" collapsed="false">
      <c r="A47" s="11" t="n">
        <v>42</v>
      </c>
      <c r="B47" s="11" t="n">
        <v>83</v>
      </c>
      <c r="C47" s="22" t="s">
        <v>147</v>
      </c>
      <c r="D47" s="10" t="n">
        <v>1.8746</v>
      </c>
      <c r="E47" s="11" t="n">
        <v>2</v>
      </c>
      <c r="F47" s="5" t="str">
        <f aca="false">INDEX(Factores!$C$29:$C$36,MATCH(E47,Factores!$A$29:$A$36,0))</f>
        <v>A+</v>
      </c>
      <c r="G47" s="8" t="n">
        <v>0.0511</v>
      </c>
      <c r="H47" s="11" t="n">
        <v>0</v>
      </c>
      <c r="I47" s="20" t="n">
        <v>2.25</v>
      </c>
      <c r="J47" s="20" t="n">
        <v>2.5</v>
      </c>
      <c r="K47" s="11" t="n">
        <v>6</v>
      </c>
      <c r="L47" s="22" t="s">
        <v>151</v>
      </c>
      <c r="M47" s="28" t="n">
        <f aca="false">IF(Supuestos!$C$23=1,AVERAGE(I47:J47),MIN(I47:J47))</f>
        <v>2.375</v>
      </c>
      <c r="N47" s="28" t="n">
        <f aca="false">INDEX(IF(H47=1,Factores!$C$6:$C$9,Factores!$B$6:$B$9),MATCH(M47,Factores!$A$6:$A$9,1))</f>
        <v>0.88</v>
      </c>
      <c r="O47" s="28" t="n">
        <f aca="false">INDEX(Factores!$B$13:$B$16,MATCH(B47,Factores!$A$13:$A$16,1))</f>
        <v>0.95</v>
      </c>
      <c r="P47" s="28" t="n">
        <f aca="false">M47*N47*O47</f>
        <v>1.9855</v>
      </c>
      <c r="Q47" s="15" t="n">
        <f aca="false">LE!B45</f>
        <v>6.24304462428534</v>
      </c>
      <c r="R47" s="27" t="n">
        <f aca="false">D47/$D$3</f>
        <v>0.00416577314914095</v>
      </c>
    </row>
    <row r="48" customFormat="false" ht="15" hidden="false" customHeight="false" outlineLevel="0" collapsed="false">
      <c r="A48" s="11" t="n">
        <v>43</v>
      </c>
      <c r="B48" s="11" t="n">
        <v>77</v>
      </c>
      <c r="C48" s="22" t="s">
        <v>150</v>
      </c>
      <c r="D48" s="10" t="n">
        <v>3.518</v>
      </c>
      <c r="E48" s="11" t="n">
        <v>6</v>
      </c>
      <c r="F48" s="5" t="str">
        <f aca="false">INDEX(Factores!$C$29:$C$36,MATCH(E48,Factores!$A$29:$A$36,0))</f>
        <v>A</v>
      </c>
      <c r="G48" s="8" t="n">
        <v>0.0338</v>
      </c>
      <c r="H48" s="11" t="n">
        <v>1</v>
      </c>
      <c r="I48" s="20" t="n">
        <v>1.5</v>
      </c>
      <c r="J48" s="20" t="n">
        <v>1.25</v>
      </c>
      <c r="K48" s="11" t="n">
        <v>3</v>
      </c>
      <c r="L48" s="22" t="s">
        <v>148</v>
      </c>
      <c r="M48" s="28" t="n">
        <f aca="false">IF(Supuestos!$C$23=1,AVERAGE(I48:J48),MIN(I48:J48))</f>
        <v>1.375</v>
      </c>
      <c r="N48" s="28" t="n">
        <f aca="false">INDEX(IF(H48=1,Factores!$C$6:$C$9,Factores!$B$6:$B$9),MATCH(M48,Factores!$A$6:$A$9,1))</f>
        <v>0.9</v>
      </c>
      <c r="O48" s="28" t="n">
        <f aca="false">INDEX(Factores!$B$13:$B$16,MATCH(B48,Factores!$A$13:$A$16,1))</f>
        <v>0.95</v>
      </c>
      <c r="P48" s="28" t="n">
        <f aca="false">M48*N48*O48</f>
        <v>1.175625</v>
      </c>
      <c r="Q48" s="15" t="n">
        <f aca="false">LE!B46</f>
        <v>12.0011920269901</v>
      </c>
      <c r="R48" s="27" t="n">
        <f aca="false">D48/$D$3</f>
        <v>0.00781776909136768</v>
      </c>
    </row>
    <row r="49" customFormat="false" ht="15" hidden="false" customHeight="false" outlineLevel="0" collapsed="false">
      <c r="A49" s="11" t="n">
        <v>44</v>
      </c>
      <c r="B49" s="11" t="n">
        <v>83</v>
      </c>
      <c r="C49" s="22" t="s">
        <v>150</v>
      </c>
      <c r="D49" s="10" t="n">
        <v>1.3376</v>
      </c>
      <c r="E49" s="11" t="n">
        <v>7</v>
      </c>
      <c r="F49" s="5" t="str">
        <f aca="false">INDEX(Factores!$C$29:$C$36,MATCH(E49,Factores!$A$29:$A$36,0))</f>
        <v>A+</v>
      </c>
      <c r="G49" s="8" t="n">
        <v>0.0583</v>
      </c>
      <c r="H49" s="11" t="n">
        <v>1</v>
      </c>
      <c r="I49" s="20" t="n">
        <v>1</v>
      </c>
      <c r="J49" s="20" t="n">
        <v>1</v>
      </c>
      <c r="K49" s="11" t="n">
        <v>10</v>
      </c>
      <c r="L49" s="22" t="s">
        <v>149</v>
      </c>
      <c r="M49" s="28" t="n">
        <f aca="false">IF(Supuestos!$C$23=1,AVERAGE(I49:J49),MIN(I49:J49))</f>
        <v>1</v>
      </c>
      <c r="N49" s="28" t="n">
        <f aca="false">INDEX(IF(H49=1,Factores!$C$6:$C$9,Factores!$B$6:$B$9),MATCH(M49,Factores!$A$6:$A$9,1))</f>
        <v>0.9</v>
      </c>
      <c r="O49" s="28" t="n">
        <f aca="false">INDEX(Factores!$B$13:$B$16,MATCH(B49,Factores!$A$13:$A$16,1))</f>
        <v>0.95</v>
      </c>
      <c r="P49" s="28" t="n">
        <f aca="false">M49*N49*O49</f>
        <v>0.855</v>
      </c>
      <c r="Q49" s="15" t="n">
        <f aca="false">LE!B47</f>
        <v>9.21164043328035</v>
      </c>
      <c r="R49" s="27" t="n">
        <f aca="false">D49/$D$3</f>
        <v>0.00297244114173206</v>
      </c>
    </row>
    <row r="50" customFormat="false" ht="15" hidden="false" customHeight="false" outlineLevel="0" collapsed="false">
      <c r="A50" s="11" t="n">
        <v>45</v>
      </c>
      <c r="B50" s="11" t="n">
        <v>90</v>
      </c>
      <c r="C50" s="22" t="s">
        <v>147</v>
      </c>
      <c r="D50" s="10" t="n">
        <v>1.1191</v>
      </c>
      <c r="E50" s="11" t="n">
        <v>2</v>
      </c>
      <c r="F50" s="5" t="str">
        <f aca="false">INDEX(Factores!$C$29:$C$36,MATCH(E50,Factores!$A$29:$A$36,0))</f>
        <v>A+</v>
      </c>
      <c r="G50" s="8" t="n">
        <v>0.0727</v>
      </c>
      <c r="H50" s="11" t="n">
        <v>0</v>
      </c>
      <c r="I50" s="20" t="n">
        <v>3.25</v>
      </c>
      <c r="J50" s="20" t="n">
        <v>3.25</v>
      </c>
      <c r="K50" s="11" t="n">
        <v>7</v>
      </c>
      <c r="L50" s="22" t="s">
        <v>148</v>
      </c>
      <c r="M50" s="28" t="n">
        <f aca="false">IF(Supuestos!$C$23=1,AVERAGE(I50:J50),MIN(I50:J50))</f>
        <v>3.25</v>
      </c>
      <c r="N50" s="28" t="n">
        <f aca="false">INDEX(IF(H50=1,Factores!$C$6:$C$9,Factores!$B$6:$B$9),MATCH(M50,Factores!$A$6:$A$9,1))</f>
        <v>0.8</v>
      </c>
      <c r="O50" s="28" t="n">
        <f aca="false">INDEX(Factores!$B$13:$B$16,MATCH(B50,Factores!$A$13:$A$16,1))</f>
        <v>1</v>
      </c>
      <c r="P50" s="28" t="n">
        <f aca="false">M50*N50*O50</f>
        <v>2.6</v>
      </c>
      <c r="Q50" s="15" t="n">
        <f aca="false">LE!B48</f>
        <v>2.54858097954137</v>
      </c>
      <c r="R50" s="27" t="n">
        <f aca="false">D50/$D$3</f>
        <v>0.00248688612568208</v>
      </c>
    </row>
    <row r="51" customFormat="false" ht="15" hidden="false" customHeight="false" outlineLevel="0" collapsed="false">
      <c r="A51" s="11" t="n">
        <v>46</v>
      </c>
      <c r="B51" s="11" t="n">
        <v>75</v>
      </c>
      <c r="C51" s="22" t="s">
        <v>147</v>
      </c>
      <c r="D51" s="10" t="n">
        <v>0.7949</v>
      </c>
      <c r="E51" s="11" t="n">
        <v>3</v>
      </c>
      <c r="F51" s="5" t="str">
        <f aca="false">INDEX(Factores!$C$29:$C$36,MATCH(E51,Factores!$A$29:$A$36,0))</f>
        <v>A</v>
      </c>
      <c r="G51" s="8" t="n">
        <v>0.0334</v>
      </c>
      <c r="H51" s="11" t="n">
        <v>0</v>
      </c>
      <c r="I51" s="20" t="n">
        <v>2.5</v>
      </c>
      <c r="J51" s="20" t="n">
        <v>2.25</v>
      </c>
      <c r="K51" s="11" t="n">
        <v>6</v>
      </c>
      <c r="L51" s="22" t="s">
        <v>155</v>
      </c>
      <c r="M51" s="28" t="n">
        <f aca="false">IF(Supuestos!$C$23=1,AVERAGE(I51:J51),MIN(I51:J51))</f>
        <v>2.375</v>
      </c>
      <c r="N51" s="28" t="n">
        <f aca="false">INDEX(IF(H51=1,Factores!$C$6:$C$9,Factores!$B$6:$B$9),MATCH(M51,Factores!$A$6:$A$9,1))</f>
        <v>0.88</v>
      </c>
      <c r="O51" s="28" t="n">
        <f aca="false">INDEX(Factores!$B$13:$B$16,MATCH(B51,Factores!$A$13:$A$16,1))</f>
        <v>0.95</v>
      </c>
      <c r="P51" s="28" t="n">
        <f aca="false">M51*N51*O51</f>
        <v>1.9855</v>
      </c>
      <c r="Q51" s="15" t="n">
        <f aca="false">LE!B49</f>
        <v>11.5245531677877</v>
      </c>
      <c r="R51" s="27" t="n">
        <f aca="false">D51/$D$3</f>
        <v>0.00176644248173058</v>
      </c>
    </row>
    <row r="52" customFormat="false" ht="15" hidden="false" customHeight="false" outlineLevel="0" collapsed="false">
      <c r="A52" s="11" t="n">
        <v>47</v>
      </c>
      <c r="B52" s="11" t="n">
        <v>87</v>
      </c>
      <c r="C52" s="22" t="s">
        <v>150</v>
      </c>
      <c r="D52" s="10" t="n">
        <v>1.489</v>
      </c>
      <c r="E52" s="11" t="n">
        <v>2</v>
      </c>
      <c r="F52" s="5" t="str">
        <f aca="false">INDEX(Factores!$C$29:$C$36,MATCH(E52,Factores!$A$29:$A$36,0))</f>
        <v>A+</v>
      </c>
      <c r="G52" s="8" t="n">
        <v>0.0662</v>
      </c>
      <c r="H52" s="11" t="n">
        <v>0</v>
      </c>
      <c r="I52" s="20" t="n">
        <v>2.5</v>
      </c>
      <c r="J52" s="20" t="n">
        <v>2.25</v>
      </c>
      <c r="K52" s="11" t="n">
        <v>7</v>
      </c>
      <c r="L52" s="22" t="s">
        <v>148</v>
      </c>
      <c r="M52" s="28" t="n">
        <f aca="false">IF(Supuestos!$C$23=1,AVERAGE(I52:J52),MIN(I52:J52))</f>
        <v>2.375</v>
      </c>
      <c r="N52" s="28" t="n">
        <f aca="false">INDEX(IF(H52=1,Factores!$C$6:$C$9,Factores!$B$6:$B$9),MATCH(M52,Factores!$A$6:$A$9,1))</f>
        <v>0.88</v>
      </c>
      <c r="O52" s="28" t="n">
        <f aca="false">INDEX(Factores!$B$13:$B$16,MATCH(B52,Factores!$A$13:$A$16,1))</f>
        <v>1</v>
      </c>
      <c r="P52" s="28" t="n">
        <f aca="false">M52*N52*O52</f>
        <v>2.09</v>
      </c>
      <c r="Q52" s="15" t="n">
        <f aca="false">LE!B50</f>
        <v>4.19851853474974</v>
      </c>
      <c r="R52" s="27" t="n">
        <f aca="false">D52/$D$3</f>
        <v>0.00330888521234976</v>
      </c>
    </row>
    <row r="53" customFormat="false" ht="15" hidden="false" customHeight="false" outlineLevel="0" collapsed="false">
      <c r="A53" s="11" t="n">
        <v>48</v>
      </c>
      <c r="B53" s="11" t="n">
        <v>84</v>
      </c>
      <c r="C53" s="22" t="s">
        <v>147</v>
      </c>
      <c r="D53" s="10" t="n">
        <v>2.8434</v>
      </c>
      <c r="E53" s="11" t="n">
        <v>1</v>
      </c>
      <c r="F53" s="5" t="str">
        <f aca="false">INDEX(Factores!$C$29:$C$36,MATCH(E53,Factores!$A$29:$A$36,0))</f>
        <v>A+</v>
      </c>
      <c r="G53" s="8" t="n">
        <v>0.0593</v>
      </c>
      <c r="H53" s="11" t="n">
        <v>0</v>
      </c>
      <c r="I53" s="20" t="n">
        <v>1.5</v>
      </c>
      <c r="J53" s="20" t="n">
        <v>1.5</v>
      </c>
      <c r="K53" s="11" t="n">
        <v>11</v>
      </c>
      <c r="L53" s="22" t="s">
        <v>148</v>
      </c>
      <c r="M53" s="28" t="n">
        <f aca="false">IF(Supuestos!$C$23=1,AVERAGE(I53:J53),MIN(I53:J53))</f>
        <v>1.5</v>
      </c>
      <c r="N53" s="28" t="n">
        <f aca="false">INDEX(IF(H53=1,Factores!$C$6:$C$9,Factores!$B$6:$B$9),MATCH(M53,Factores!$A$6:$A$9,1))</f>
        <v>0.88</v>
      </c>
      <c r="O53" s="28" t="n">
        <f aca="false">INDEX(Factores!$B$13:$B$16,MATCH(B53,Factores!$A$13:$A$16,1))</f>
        <v>0.95</v>
      </c>
      <c r="P53" s="28" t="n">
        <f aca="false">M53*N53*O53</f>
        <v>1.254</v>
      </c>
      <c r="Q53" s="15" t="n">
        <f aca="false">LE!B51</f>
        <v>7.42841297818769</v>
      </c>
      <c r="R53" s="27" t="n">
        <f aca="false">D53/$D$3</f>
        <v>0.00631865964593373</v>
      </c>
    </row>
    <row r="54" customFormat="false" ht="15" hidden="false" customHeight="false" outlineLevel="0" collapsed="false">
      <c r="A54" s="11" t="n">
        <v>49</v>
      </c>
      <c r="B54" s="11" t="n">
        <v>80</v>
      </c>
      <c r="C54" s="22" t="s">
        <v>147</v>
      </c>
      <c r="D54" s="10" t="n">
        <v>2.2506</v>
      </c>
      <c r="E54" s="11" t="n">
        <v>2</v>
      </c>
      <c r="F54" s="5" t="str">
        <f aca="false">INDEX(Factores!$C$29:$C$36,MATCH(E54,Factores!$A$29:$A$36,0))</f>
        <v>A+</v>
      </c>
      <c r="G54" s="8" t="n">
        <v>0.0464</v>
      </c>
      <c r="H54" s="11" t="n">
        <v>0</v>
      </c>
      <c r="I54" s="20" t="n">
        <v>3.25</v>
      </c>
      <c r="J54" s="20" t="n">
        <v>3.25</v>
      </c>
      <c r="K54" s="11" t="n">
        <v>10</v>
      </c>
      <c r="L54" s="22" t="s">
        <v>148</v>
      </c>
      <c r="M54" s="28" t="n">
        <f aca="false">IF(Supuestos!$C$23=1,AVERAGE(I54:J54),MIN(I54:J54))</f>
        <v>3.25</v>
      </c>
      <c r="N54" s="28" t="n">
        <f aca="false">INDEX(IF(H54=1,Factores!$C$6:$C$9,Factores!$B$6:$B$9),MATCH(M54,Factores!$A$6:$A$9,1))</f>
        <v>0.8</v>
      </c>
      <c r="O54" s="28" t="n">
        <f aca="false">INDEX(Factores!$B$13:$B$16,MATCH(B54,Factores!$A$13:$A$16,1))</f>
        <v>0.95</v>
      </c>
      <c r="P54" s="28" t="n">
        <f aca="false">M54*N54*O54</f>
        <v>2.47</v>
      </c>
      <c r="Q54" s="15" t="n">
        <f aca="false">LE!B52</f>
        <v>7.04120088569057</v>
      </c>
      <c r="R54" s="27" t="n">
        <f aca="false">D54/$D$3</f>
        <v>0.00500132777630247</v>
      </c>
    </row>
    <row r="55" customFormat="false" ht="15" hidden="false" customHeight="false" outlineLevel="0" collapsed="false">
      <c r="A55" s="11" t="n">
        <v>50</v>
      </c>
      <c r="B55" s="11" t="n">
        <v>93</v>
      </c>
      <c r="C55" s="22" t="s">
        <v>150</v>
      </c>
      <c r="D55" s="10" t="n">
        <v>0.9564</v>
      </c>
      <c r="E55" s="11" t="n">
        <v>2</v>
      </c>
      <c r="F55" s="5" t="str">
        <f aca="false">INDEX(Factores!$C$29:$C$36,MATCH(E55,Factores!$A$29:$A$36,0))</f>
        <v>A+</v>
      </c>
      <c r="G55" s="8" t="n">
        <v>0.0677</v>
      </c>
      <c r="H55" s="11" t="n">
        <v>0</v>
      </c>
      <c r="I55" s="20" t="n">
        <v>1.75</v>
      </c>
      <c r="J55" s="20" t="n">
        <v>1.5</v>
      </c>
      <c r="K55" s="11" t="n">
        <v>11</v>
      </c>
      <c r="L55" s="22" t="s">
        <v>148</v>
      </c>
      <c r="M55" s="28" t="n">
        <f aca="false">IF(Supuestos!$C$23=1,AVERAGE(I55:J55),MIN(I55:J55))</f>
        <v>1.625</v>
      </c>
      <c r="N55" s="28" t="n">
        <f aca="false">INDEX(IF(H55=1,Factores!$C$6:$C$9,Factores!$B$6:$B$9),MATCH(M55,Factores!$A$6:$A$9,1))</f>
        <v>0.88</v>
      </c>
      <c r="O55" s="28" t="n">
        <f aca="false">INDEX(Factores!$B$13:$B$16,MATCH(B55,Factores!$A$13:$A$16,1))</f>
        <v>1</v>
      </c>
      <c r="P55" s="28" t="n">
        <f aca="false">M55*N55*O55</f>
        <v>1.43</v>
      </c>
      <c r="Q55" s="15" t="n">
        <f aca="false">LE!B53</f>
        <v>3.25618209417331</v>
      </c>
      <c r="R55" s="27" t="n">
        <f aca="false">D55/$D$3</f>
        <v>0.00212533097185448</v>
      </c>
    </row>
    <row r="56" customFormat="false" ht="15" hidden="false" customHeight="false" outlineLevel="0" collapsed="false">
      <c r="A56" s="11" t="n">
        <v>51</v>
      </c>
      <c r="B56" s="11" t="n">
        <v>87</v>
      </c>
      <c r="C56" s="22" t="s">
        <v>150</v>
      </c>
      <c r="D56" s="10" t="n">
        <v>0.9945</v>
      </c>
      <c r="E56" s="11" t="n">
        <v>1</v>
      </c>
      <c r="F56" s="5" t="str">
        <f aca="false">INDEX(Factores!$C$29:$C$36,MATCH(E56,Factores!$A$29:$A$36,0))</f>
        <v>A+</v>
      </c>
      <c r="G56" s="8" t="n">
        <v>0.0598</v>
      </c>
      <c r="H56" s="11" t="n">
        <v>0</v>
      </c>
      <c r="I56" s="20" t="n">
        <v>3.25</v>
      </c>
      <c r="J56" s="20" t="n">
        <v>3</v>
      </c>
      <c r="K56" s="11" t="n">
        <v>6</v>
      </c>
      <c r="L56" s="22" t="s">
        <v>148</v>
      </c>
      <c r="M56" s="28" t="n">
        <f aca="false">IF(Supuestos!$C$23=1,AVERAGE(I56:J56),MIN(I56:J56))</f>
        <v>3.125</v>
      </c>
      <c r="N56" s="28" t="n">
        <f aca="false">INDEX(IF(H56=1,Factores!$C$6:$C$9,Factores!$B$6:$B$9),MATCH(M56,Factores!$A$6:$A$9,1))</f>
        <v>0.8</v>
      </c>
      <c r="O56" s="28" t="n">
        <f aca="false">INDEX(Factores!$B$13:$B$16,MATCH(B56,Factores!$A$13:$A$16,1))</f>
        <v>1</v>
      </c>
      <c r="P56" s="28" t="n">
        <f aca="false">M56*N56*O56</f>
        <v>2.5</v>
      </c>
      <c r="Q56" s="15" t="n">
        <f aca="false">LE!B54</f>
        <v>3.61451309621354</v>
      </c>
      <c r="R56" s="27" t="n">
        <f aca="false">D56/$D$3</f>
        <v>0.00220999754444717</v>
      </c>
    </row>
    <row r="57" customFormat="false" ht="15" hidden="false" customHeight="false" outlineLevel="0" collapsed="false">
      <c r="A57" s="11" t="n">
        <v>52</v>
      </c>
      <c r="B57" s="11" t="n">
        <v>77</v>
      </c>
      <c r="C57" s="22" t="s">
        <v>150</v>
      </c>
      <c r="D57" s="10" t="n">
        <v>1.1647</v>
      </c>
      <c r="E57" s="11" t="n">
        <v>5</v>
      </c>
      <c r="F57" s="5" t="str">
        <f aca="false">INDEX(Factores!$C$29:$C$36,MATCH(E57,Factores!$A$29:$A$36,0))</f>
        <v>A-</v>
      </c>
      <c r="G57" s="8" t="n">
        <v>0.0357</v>
      </c>
      <c r="H57" s="11" t="n">
        <v>0</v>
      </c>
      <c r="I57" s="20" t="n">
        <v>1.25</v>
      </c>
      <c r="J57" s="20" t="n">
        <v>1.5</v>
      </c>
      <c r="K57" s="11" t="n">
        <v>8</v>
      </c>
      <c r="L57" s="22" t="s">
        <v>149</v>
      </c>
      <c r="M57" s="28" t="n">
        <f aca="false">IF(Supuestos!$C$23=1,AVERAGE(I57:J57),MIN(I57:J57))</f>
        <v>1.375</v>
      </c>
      <c r="N57" s="28" t="n">
        <f aca="false">INDEX(IF(H57=1,Factores!$C$6:$C$9,Factores!$B$6:$B$9),MATCH(M57,Factores!$A$6:$A$9,1))</f>
        <v>0.95</v>
      </c>
      <c r="O57" s="28" t="n">
        <f aca="false">INDEX(Factores!$B$13:$B$16,MATCH(B57,Factores!$A$13:$A$16,1))</f>
        <v>0.95</v>
      </c>
      <c r="P57" s="28" t="n">
        <f aca="false">M57*N57*O57</f>
        <v>1.2409375</v>
      </c>
      <c r="Q57" s="15" t="n">
        <f aca="false">LE!B55</f>
        <v>11.8239850252805</v>
      </c>
      <c r="R57" s="27" t="n">
        <f aca="false">D57/$D$3</f>
        <v>0.00258821934642295</v>
      </c>
    </row>
    <row r="58" customFormat="false" ht="15" hidden="false" customHeight="false" outlineLevel="0" collapsed="false">
      <c r="A58" s="11" t="n">
        <v>53</v>
      </c>
      <c r="B58" s="11" t="n">
        <v>83</v>
      </c>
      <c r="C58" s="22" t="s">
        <v>150</v>
      </c>
      <c r="D58" s="10" t="n">
        <v>1.6668</v>
      </c>
      <c r="E58" s="11" t="n">
        <v>3</v>
      </c>
      <c r="F58" s="5" t="str">
        <f aca="false">INDEX(Factores!$C$29:$C$36,MATCH(E58,Factores!$A$29:$A$36,0))</f>
        <v>A</v>
      </c>
      <c r="G58" s="8" t="n">
        <v>0.0486</v>
      </c>
      <c r="H58" s="11" t="n">
        <v>0</v>
      </c>
      <c r="I58" s="20" t="n">
        <v>1.25</v>
      </c>
      <c r="J58" s="20" t="n">
        <v>1.25</v>
      </c>
      <c r="K58" s="11" t="n">
        <v>7</v>
      </c>
      <c r="L58" s="22" t="s">
        <v>152</v>
      </c>
      <c r="M58" s="28" t="n">
        <f aca="false">IF(Supuestos!$C$23=1,AVERAGE(I58:J58),MIN(I58:J58))</f>
        <v>1.25</v>
      </c>
      <c r="N58" s="28" t="n">
        <f aca="false">INDEX(IF(H58=1,Factores!$C$6:$C$9,Factores!$B$6:$B$9),MATCH(M58,Factores!$A$6:$A$9,1))</f>
        <v>0.95</v>
      </c>
      <c r="O58" s="28" t="n">
        <f aca="false">INDEX(Factores!$B$13:$B$16,MATCH(B58,Factores!$A$13:$A$16,1))</f>
        <v>0.95</v>
      </c>
      <c r="P58" s="28" t="n">
        <f aca="false">M58*N58*O58</f>
        <v>1.128125</v>
      </c>
      <c r="Q58" s="15" t="n">
        <f aca="false">LE!B56</f>
        <v>8.34161140696718</v>
      </c>
      <c r="R58" s="27" t="n">
        <f aca="false">D58/$D$3</f>
        <v>0.00370399588444902</v>
      </c>
    </row>
    <row r="59" customFormat="false" ht="15" hidden="false" customHeight="false" outlineLevel="0" collapsed="false">
      <c r="A59" s="11" t="n">
        <v>54</v>
      </c>
      <c r="B59" s="11" t="n">
        <v>86</v>
      </c>
      <c r="C59" s="22" t="s">
        <v>147</v>
      </c>
      <c r="D59" s="10" t="n">
        <v>1.3324</v>
      </c>
      <c r="E59" s="11" t="n">
        <v>4</v>
      </c>
      <c r="F59" s="5" t="str">
        <f aca="false">INDEX(Factores!$C$29:$C$36,MATCH(E59,Factores!$A$29:$A$36,0))</f>
        <v>A</v>
      </c>
      <c r="G59" s="8" t="n">
        <v>0.0608</v>
      </c>
      <c r="H59" s="11" t="n">
        <v>1</v>
      </c>
      <c r="I59" s="20" t="n">
        <v>2.25</v>
      </c>
      <c r="J59" s="20" t="n">
        <v>2.75</v>
      </c>
      <c r="K59" s="11" t="n">
        <v>10</v>
      </c>
      <c r="L59" s="22" t="s">
        <v>153</v>
      </c>
      <c r="M59" s="28" t="n">
        <f aca="false">IF(Supuestos!$C$23=1,AVERAGE(I59:J59),MIN(I59:J59))</f>
        <v>2.5</v>
      </c>
      <c r="N59" s="28" t="n">
        <f aca="false">INDEX(IF(H59=1,Factores!$C$6:$C$9,Factores!$B$6:$B$9),MATCH(M59,Factores!$A$6:$A$9,1))</f>
        <v>0.82</v>
      </c>
      <c r="O59" s="28" t="n">
        <f aca="false">INDEX(Factores!$B$13:$B$16,MATCH(B59,Factores!$A$13:$A$16,1))</f>
        <v>1</v>
      </c>
      <c r="P59" s="28" t="n">
        <f aca="false">M59*N59*O59</f>
        <v>2.05</v>
      </c>
      <c r="Q59" s="15" t="n">
        <f aca="false">LE!B57</f>
        <v>4.67900385185027</v>
      </c>
      <c r="R59" s="27" t="n">
        <f aca="false">D59/$D$3</f>
        <v>0.002960885599016</v>
      </c>
    </row>
    <row r="60" customFormat="false" ht="15" hidden="false" customHeight="false" outlineLevel="0" collapsed="false">
      <c r="A60" s="11" t="n">
        <v>55</v>
      </c>
      <c r="B60" s="11" t="n">
        <v>82</v>
      </c>
      <c r="C60" s="22" t="s">
        <v>147</v>
      </c>
      <c r="D60" s="10" t="n">
        <v>1.6094</v>
      </c>
      <c r="E60" s="11" t="n">
        <v>2</v>
      </c>
      <c r="F60" s="5" t="str">
        <f aca="false">INDEX(Factores!$C$29:$C$36,MATCH(E60,Factores!$A$29:$A$36,0))</f>
        <v>A+</v>
      </c>
      <c r="G60" s="8" t="n">
        <v>0.0548</v>
      </c>
      <c r="H60" s="11" t="n">
        <v>0</v>
      </c>
      <c r="I60" s="20" t="n">
        <v>1.5</v>
      </c>
      <c r="J60" s="20" t="n">
        <v>2</v>
      </c>
      <c r="K60" s="11" t="n">
        <v>9</v>
      </c>
      <c r="L60" s="22" t="s">
        <v>151</v>
      </c>
      <c r="M60" s="28" t="n">
        <f aca="false">IF(Supuestos!$C$23=1,AVERAGE(I60:J60),MIN(I60:J60))</f>
        <v>1.75</v>
      </c>
      <c r="N60" s="28" t="n">
        <f aca="false">INDEX(IF(H60=1,Factores!$C$6:$C$9,Factores!$B$6:$B$9),MATCH(M60,Factores!$A$6:$A$9,1))</f>
        <v>0.88</v>
      </c>
      <c r="O60" s="28" t="n">
        <f aca="false">INDEX(Factores!$B$13:$B$16,MATCH(B60,Factores!$A$13:$A$16,1))</f>
        <v>0.95</v>
      </c>
      <c r="P60" s="28" t="n">
        <f aca="false">M60*N60*O60</f>
        <v>1.463</v>
      </c>
      <c r="Q60" s="15" t="n">
        <f aca="false">LE!B58</f>
        <v>7.99077784853269</v>
      </c>
      <c r="R60" s="27" t="n">
        <f aca="false">D60/$D$3</f>
        <v>0.0035764404706217</v>
      </c>
    </row>
    <row r="61" customFormat="false" ht="15" hidden="false" customHeight="false" outlineLevel="0" collapsed="false">
      <c r="A61" s="11" t="n">
        <v>56</v>
      </c>
      <c r="B61" s="11" t="n">
        <v>86</v>
      </c>
      <c r="C61" s="22" t="s">
        <v>150</v>
      </c>
      <c r="D61" s="10" t="n">
        <v>1.6701</v>
      </c>
      <c r="E61" s="11" t="n">
        <v>2</v>
      </c>
      <c r="F61" s="5" t="str">
        <f aca="false">INDEX(Factores!$C$29:$C$36,MATCH(E61,Factores!$A$29:$A$36,0))</f>
        <v>A+</v>
      </c>
      <c r="G61" s="8" t="n">
        <v>0.0581</v>
      </c>
      <c r="H61" s="11" t="n">
        <v>0</v>
      </c>
      <c r="I61" s="20" t="n">
        <v>2.75</v>
      </c>
      <c r="J61" s="20" t="n">
        <v>3</v>
      </c>
      <c r="K61" s="11" t="n">
        <v>7</v>
      </c>
      <c r="L61" s="22" t="s">
        <v>152</v>
      </c>
      <c r="M61" s="28" t="n">
        <f aca="false">IF(Supuestos!$C$23=1,AVERAGE(I61:J61),MIN(I61:J61))</f>
        <v>2.875</v>
      </c>
      <c r="N61" s="28" t="n">
        <f aca="false">INDEX(IF(H61=1,Factores!$C$6:$C$9,Factores!$B$6:$B$9),MATCH(M61,Factores!$A$6:$A$9,1))</f>
        <v>0.88</v>
      </c>
      <c r="O61" s="28" t="n">
        <f aca="false">INDEX(Factores!$B$13:$B$16,MATCH(B61,Factores!$A$13:$A$16,1))</f>
        <v>1</v>
      </c>
      <c r="P61" s="28" t="n">
        <f aca="false">M61*N61*O61</f>
        <v>2.53</v>
      </c>
      <c r="Q61" s="15" t="n">
        <f aca="false">LE!B59</f>
        <v>3.95379585695923</v>
      </c>
      <c r="R61" s="27" t="n">
        <f aca="false">D61/$D$3</f>
        <v>0.00371132920963421</v>
      </c>
    </row>
    <row r="62" customFormat="false" ht="15" hidden="false" customHeight="false" outlineLevel="0" collapsed="false">
      <c r="A62" s="11" t="n">
        <v>57</v>
      </c>
      <c r="B62" s="11" t="n">
        <v>83</v>
      </c>
      <c r="C62" s="22" t="s">
        <v>147</v>
      </c>
      <c r="D62" s="10" t="n">
        <v>1.2775</v>
      </c>
      <c r="E62" s="11" t="n">
        <v>5</v>
      </c>
      <c r="F62" s="5" t="str">
        <f aca="false">INDEX(Factores!$C$29:$C$36,MATCH(E62,Factores!$A$29:$A$36,0))</f>
        <v>A-</v>
      </c>
      <c r="G62" s="8" t="n">
        <v>0.048</v>
      </c>
      <c r="H62" s="11" t="n">
        <v>1</v>
      </c>
      <c r="I62" s="20" t="n">
        <v>2.25</v>
      </c>
      <c r="J62" s="20" t="n">
        <v>3.5</v>
      </c>
      <c r="K62" s="11" t="n">
        <v>7</v>
      </c>
      <c r="L62" s="22" t="s">
        <v>153</v>
      </c>
      <c r="M62" s="28" t="n">
        <f aca="false">IF(Supuestos!$C$23=1,AVERAGE(I62:J62),MIN(I62:J62))</f>
        <v>2.875</v>
      </c>
      <c r="N62" s="28" t="n">
        <f aca="false">INDEX(IF(H62=1,Factores!$C$6:$C$9,Factores!$B$6:$B$9),MATCH(M62,Factores!$A$6:$A$9,1))</f>
        <v>0.82</v>
      </c>
      <c r="O62" s="28" t="n">
        <f aca="false">INDEX(Factores!$B$13:$B$16,MATCH(B62,Factores!$A$13:$A$16,1))</f>
        <v>0.95</v>
      </c>
      <c r="P62" s="28" t="n">
        <f aca="false">M62*N62*O62</f>
        <v>2.239625</v>
      </c>
      <c r="Q62" s="15" t="n">
        <f aca="false">LE!B60</f>
        <v>5.76544855271757</v>
      </c>
      <c r="R62" s="27" t="n">
        <f aca="false">D62/$D$3</f>
        <v>0.00283888573457141</v>
      </c>
    </row>
    <row r="63" customFormat="false" ht="15" hidden="false" customHeight="false" outlineLevel="0" collapsed="false">
      <c r="A63" s="11" t="n">
        <v>58</v>
      </c>
      <c r="B63" s="11" t="n">
        <v>86</v>
      </c>
      <c r="C63" s="22" t="s">
        <v>150</v>
      </c>
      <c r="D63" s="10" t="n">
        <v>1.4352</v>
      </c>
      <c r="E63" s="11" t="n">
        <v>3</v>
      </c>
      <c r="F63" s="5" t="str">
        <f aca="false">INDEX(Factores!$C$29:$C$36,MATCH(E63,Factores!$A$29:$A$36,0))</f>
        <v>A</v>
      </c>
      <c r="G63" s="8" t="n">
        <v>0.0681</v>
      </c>
      <c r="H63" s="11" t="n">
        <v>0</v>
      </c>
      <c r="I63" s="20" t="n">
        <v>1.25</v>
      </c>
      <c r="J63" s="20" t="n">
        <v>1</v>
      </c>
      <c r="K63" s="11" t="n">
        <v>9</v>
      </c>
      <c r="L63" s="22" t="s">
        <v>149</v>
      </c>
      <c r="M63" s="28" t="n">
        <f aca="false">IF(Supuestos!$C$23=1,AVERAGE(I63:J63),MIN(I63:J63))</f>
        <v>1.125</v>
      </c>
      <c r="N63" s="28" t="n">
        <f aca="false">INDEX(IF(H63=1,Factores!$C$6:$C$9,Factores!$B$6:$B$9),MATCH(M63,Factores!$A$6:$A$9,1))</f>
        <v>0.95</v>
      </c>
      <c r="O63" s="28" t="n">
        <f aca="false">INDEX(Factores!$B$13:$B$16,MATCH(B63,Factores!$A$13:$A$16,1))</f>
        <v>1</v>
      </c>
      <c r="P63" s="28" t="n">
        <f aca="false">M63*N63*O63</f>
        <v>1.06875</v>
      </c>
      <c r="Q63" s="15" t="n">
        <f aca="false">LE!B61</f>
        <v>6.93823652514313</v>
      </c>
      <c r="R63" s="27" t="n">
        <f aca="false">D63/$D$3</f>
        <v>0.00318932978963357</v>
      </c>
    </row>
    <row r="64" customFormat="false" ht="15" hidden="false" customHeight="false" outlineLevel="0" collapsed="false">
      <c r="A64" s="11" t="n">
        <v>59</v>
      </c>
      <c r="B64" s="11" t="n">
        <v>90</v>
      </c>
      <c r="C64" s="22" t="s">
        <v>147</v>
      </c>
      <c r="D64" s="10" t="n">
        <v>1.6037</v>
      </c>
      <c r="E64" s="11" t="n">
        <v>4</v>
      </c>
      <c r="F64" s="5" t="str">
        <f aca="false">INDEX(Factores!$C$29:$C$36,MATCH(E64,Factores!$A$29:$A$36,0))</f>
        <v>A</v>
      </c>
      <c r="G64" s="8" t="n">
        <v>0.0682</v>
      </c>
      <c r="H64" s="11" t="n">
        <v>0</v>
      </c>
      <c r="I64" s="20" t="n">
        <v>2</v>
      </c>
      <c r="J64" s="20" t="n">
        <v>2.25</v>
      </c>
      <c r="K64" s="11" t="n">
        <v>7</v>
      </c>
      <c r="L64" s="22" t="s">
        <v>149</v>
      </c>
      <c r="M64" s="28" t="n">
        <f aca="false">IF(Supuestos!$C$23=1,AVERAGE(I64:J64),MIN(I64:J64))</f>
        <v>2.125</v>
      </c>
      <c r="N64" s="28" t="n">
        <f aca="false">INDEX(IF(H64=1,Factores!$C$6:$C$9,Factores!$B$6:$B$9),MATCH(M64,Factores!$A$6:$A$9,1))</f>
        <v>0.88</v>
      </c>
      <c r="O64" s="28" t="n">
        <f aca="false">INDEX(Factores!$B$13:$B$16,MATCH(B64,Factores!$A$13:$A$16,1))</f>
        <v>1</v>
      </c>
      <c r="P64" s="28" t="n">
        <f aca="false">M64*N64*O64</f>
        <v>1.87</v>
      </c>
      <c r="Q64" s="15" t="n">
        <f aca="false">LE!B62</f>
        <v>3.45377679863021</v>
      </c>
      <c r="R64" s="27" t="n">
        <f aca="false">D64/$D$3</f>
        <v>0.00356377381802909</v>
      </c>
    </row>
    <row r="65" customFormat="false" ht="15" hidden="false" customHeight="false" outlineLevel="0" collapsed="false">
      <c r="A65" s="11" t="n">
        <v>60</v>
      </c>
      <c r="B65" s="11" t="n">
        <v>80</v>
      </c>
      <c r="C65" s="22" t="s">
        <v>147</v>
      </c>
      <c r="D65" s="10" t="n">
        <v>1.4072</v>
      </c>
      <c r="E65" s="11" t="n">
        <v>3</v>
      </c>
      <c r="F65" s="5" t="str">
        <f aca="false">INDEX(Factores!$C$29:$C$36,MATCH(E65,Factores!$A$29:$A$36,0))</f>
        <v>A</v>
      </c>
      <c r="G65" s="8" t="n">
        <v>0.0401</v>
      </c>
      <c r="H65" s="11" t="n">
        <v>0</v>
      </c>
      <c r="I65" s="20" t="n">
        <v>1.75</v>
      </c>
      <c r="J65" s="20" t="n">
        <v>1.75</v>
      </c>
      <c r="K65" s="11" t="n">
        <v>4</v>
      </c>
      <c r="L65" s="22" t="s">
        <v>151</v>
      </c>
      <c r="M65" s="28" t="n">
        <f aca="false">IF(Supuestos!$C$23=1,AVERAGE(I65:J65),MIN(I65:J65))</f>
        <v>1.75</v>
      </c>
      <c r="N65" s="28" t="n">
        <f aca="false">INDEX(IF(H65=1,Factores!$C$6:$C$9,Factores!$B$6:$B$9),MATCH(M65,Factores!$A$6:$A$9,1))</f>
        <v>0.88</v>
      </c>
      <c r="O65" s="28" t="n">
        <f aca="false">INDEX(Factores!$B$13:$B$16,MATCH(B65,Factores!$A$13:$A$16,1))</f>
        <v>0.95</v>
      </c>
      <c r="P65" s="28" t="n">
        <f aca="false">M65*N65*O65</f>
        <v>1.463</v>
      </c>
      <c r="Q65" s="15" t="n">
        <f aca="false">LE!B63</f>
        <v>9.21453185671789</v>
      </c>
      <c r="R65" s="27" t="n">
        <f aca="false">D65/$D$3</f>
        <v>0.00312710763654707</v>
      </c>
    </row>
    <row r="66" customFormat="false" ht="15" hidden="false" customHeight="false" outlineLevel="0" collapsed="false">
      <c r="A66" s="11" t="n">
        <v>61</v>
      </c>
      <c r="B66" s="11" t="n">
        <v>84</v>
      </c>
      <c r="C66" s="22" t="s">
        <v>150</v>
      </c>
      <c r="D66" s="10" t="n">
        <v>1.833</v>
      </c>
      <c r="E66" s="11" t="n">
        <v>4</v>
      </c>
      <c r="F66" s="5" t="str">
        <f aca="false">INDEX(Factores!$C$29:$C$36,MATCH(E66,Factores!$A$29:$A$36,0))</f>
        <v>A</v>
      </c>
      <c r="G66" s="8" t="n">
        <v>0.056</v>
      </c>
      <c r="H66" s="11" t="n">
        <v>1</v>
      </c>
      <c r="I66" s="20" t="n">
        <v>3</v>
      </c>
      <c r="J66" s="20" t="n">
        <v>4.25</v>
      </c>
      <c r="K66" s="11" t="n">
        <v>3</v>
      </c>
      <c r="L66" s="22" t="s">
        <v>148</v>
      </c>
      <c r="M66" s="28" t="n">
        <f aca="false">IF(Supuestos!$C$23=1,AVERAGE(I66:J66),MIN(I66:J66))</f>
        <v>3.625</v>
      </c>
      <c r="N66" s="28" t="n">
        <f aca="false">INDEX(IF(H66=1,Factores!$C$6:$C$9,Factores!$B$6:$B$9),MATCH(M66,Factores!$A$6:$A$9,1))</f>
        <v>0.74</v>
      </c>
      <c r="O66" s="28" t="n">
        <f aca="false">INDEX(Factores!$B$13:$B$16,MATCH(B66,Factores!$A$13:$A$16,1))</f>
        <v>0.95</v>
      </c>
      <c r="P66" s="28" t="n">
        <f aca="false">M66*N66*O66</f>
        <v>2.548375</v>
      </c>
      <c r="Q66" s="15" t="n">
        <f aca="false">LE!B64</f>
        <v>4.77795302246003</v>
      </c>
      <c r="R66" s="27" t="n">
        <f aca="false">D66/$D$3</f>
        <v>0.00407332880741244</v>
      </c>
    </row>
    <row r="67" customFormat="false" ht="15" hidden="false" customHeight="false" outlineLevel="0" collapsed="false">
      <c r="A67" s="11" t="n">
        <v>62</v>
      </c>
      <c r="B67" s="11" t="n">
        <v>81</v>
      </c>
      <c r="C67" s="22" t="s">
        <v>147</v>
      </c>
      <c r="D67" s="10" t="n">
        <v>3.3915</v>
      </c>
      <c r="E67" s="11" t="n">
        <v>7</v>
      </c>
      <c r="F67" s="5" t="str">
        <f aca="false">INDEX(Factores!$C$29:$C$36,MATCH(E67,Factores!$A$29:$A$36,0))</f>
        <v>A+</v>
      </c>
      <c r="G67" s="8" t="n">
        <v>0.0492</v>
      </c>
      <c r="H67" s="11" t="n">
        <v>1</v>
      </c>
      <c r="I67" s="20" t="n">
        <v>1.5</v>
      </c>
      <c r="J67" s="20" t="n">
        <v>2</v>
      </c>
      <c r="K67" s="11" t="n">
        <v>11</v>
      </c>
      <c r="L67" s="22" t="s">
        <v>149</v>
      </c>
      <c r="M67" s="28" t="n">
        <f aca="false">IF(Supuestos!$C$23=1,AVERAGE(I67:J67),MIN(I67:J67))</f>
        <v>1.75</v>
      </c>
      <c r="N67" s="28" t="n">
        <f aca="false">INDEX(IF(H67=1,Factores!$C$6:$C$9,Factores!$B$6:$B$9),MATCH(M67,Factores!$A$6:$A$9,1))</f>
        <v>0.82</v>
      </c>
      <c r="O67" s="28" t="n">
        <f aca="false">INDEX(Factores!$B$13:$B$16,MATCH(B67,Factores!$A$13:$A$16,1))</f>
        <v>0.95</v>
      </c>
      <c r="P67" s="28" t="n">
        <f aca="false">M67*N67*O67</f>
        <v>1.36325</v>
      </c>
      <c r="Q67" s="15" t="n">
        <f aca="false">LE!B65</f>
        <v>8.85172683196744</v>
      </c>
      <c r="R67" s="27" t="n">
        <f aca="false">D67/$D$3</f>
        <v>0.0075366582926019</v>
      </c>
    </row>
    <row r="68" customFormat="false" ht="15" hidden="false" customHeight="false" outlineLevel="0" collapsed="false">
      <c r="A68" s="11" t="n">
        <v>63</v>
      </c>
      <c r="B68" s="11" t="n">
        <v>84</v>
      </c>
      <c r="C68" s="22" t="s">
        <v>150</v>
      </c>
      <c r="D68" s="10" t="n">
        <v>1.9074</v>
      </c>
      <c r="E68" s="11" t="n">
        <v>2</v>
      </c>
      <c r="F68" s="5" t="str">
        <f aca="false">INDEX(Factores!$C$29:$C$36,MATCH(E68,Factores!$A$29:$A$36,0))</f>
        <v>A+</v>
      </c>
      <c r="G68" s="8" t="n">
        <v>0.0522</v>
      </c>
      <c r="H68" s="11" t="n">
        <v>0</v>
      </c>
      <c r="I68" s="20" t="n">
        <v>1.75</v>
      </c>
      <c r="J68" s="20" t="n">
        <v>1.25</v>
      </c>
      <c r="K68" s="11" t="n">
        <v>5</v>
      </c>
      <c r="L68" s="22" t="s">
        <v>151</v>
      </c>
      <c r="M68" s="28" t="n">
        <f aca="false">IF(Supuestos!$C$23=1,AVERAGE(I68:J68),MIN(I68:J68))</f>
        <v>1.5</v>
      </c>
      <c r="N68" s="28" t="n">
        <f aca="false">INDEX(IF(H68=1,Factores!$C$6:$C$9,Factores!$B$6:$B$9),MATCH(M68,Factores!$A$6:$A$9,1))</f>
        <v>0.88</v>
      </c>
      <c r="O68" s="28" t="n">
        <f aca="false">INDEX(Factores!$B$13:$B$16,MATCH(B68,Factores!$A$13:$A$16,1))</f>
        <v>0.95</v>
      </c>
      <c r="P68" s="28" t="n">
        <f aca="false">M68*N68*O68</f>
        <v>1.254</v>
      </c>
      <c r="Q68" s="15" t="n">
        <f aca="false">LE!B66</f>
        <v>7.42841297818769</v>
      </c>
      <c r="R68" s="27" t="n">
        <f aca="false">D68/$D$3</f>
        <v>0.00423866195704227</v>
      </c>
    </row>
    <row r="69" customFormat="false" ht="15" hidden="false" customHeight="false" outlineLevel="0" collapsed="false">
      <c r="A69" s="11" t="n">
        <v>64</v>
      </c>
      <c r="B69" s="11" t="n">
        <v>77</v>
      </c>
      <c r="C69" s="22" t="s">
        <v>150</v>
      </c>
      <c r="D69" s="10" t="n">
        <v>1.4985</v>
      </c>
      <c r="E69" s="11" t="n">
        <v>3</v>
      </c>
      <c r="F69" s="5" t="str">
        <f aca="false">INDEX(Factores!$C$29:$C$36,MATCH(E69,Factores!$A$29:$A$36,0))</f>
        <v>A</v>
      </c>
      <c r="G69" s="8" t="n">
        <v>0.0407</v>
      </c>
      <c r="H69" s="11" t="n">
        <v>0</v>
      </c>
      <c r="I69" s="20" t="n">
        <v>3.5</v>
      </c>
      <c r="J69" s="20" t="n">
        <v>3</v>
      </c>
      <c r="K69" s="11" t="n">
        <v>10</v>
      </c>
      <c r="L69" s="22" t="s">
        <v>154</v>
      </c>
      <c r="M69" s="28" t="n">
        <f aca="false">IF(Supuestos!$C$23=1,AVERAGE(I69:J69),MIN(I69:J69))</f>
        <v>3.25</v>
      </c>
      <c r="N69" s="28" t="n">
        <f aca="false">INDEX(IF(H69=1,Factores!$C$6:$C$9,Factores!$B$6:$B$9),MATCH(M69,Factores!$A$6:$A$9,1))</f>
        <v>0.8</v>
      </c>
      <c r="O69" s="28" t="n">
        <f aca="false">INDEX(Factores!$B$13:$B$16,MATCH(B69,Factores!$A$13:$A$16,1))</f>
        <v>0.95</v>
      </c>
      <c r="P69" s="28" t="n">
        <f aca="false">M69*N69*O69</f>
        <v>2.47</v>
      </c>
      <c r="Q69" s="15" t="n">
        <f aca="false">LE!B67</f>
        <v>9.03582168201309</v>
      </c>
      <c r="R69" s="27" t="n">
        <f aca="false">D69/$D$3</f>
        <v>0.00332999630000411</v>
      </c>
    </row>
    <row r="70" customFormat="false" ht="15" hidden="false" customHeight="false" outlineLevel="0" collapsed="false">
      <c r="A70" s="11" t="n">
        <v>65</v>
      </c>
      <c r="B70" s="11" t="n">
        <v>80</v>
      </c>
      <c r="C70" s="22" t="s">
        <v>150</v>
      </c>
      <c r="D70" s="10" t="n">
        <v>0.6843</v>
      </c>
      <c r="E70" s="11" t="n">
        <v>5</v>
      </c>
      <c r="F70" s="5" t="str">
        <f aca="false">INDEX(Factores!$C$29:$C$36,MATCH(E70,Factores!$A$29:$A$36,0))</f>
        <v>A-</v>
      </c>
      <c r="G70" s="8" t="n">
        <v>0.0431</v>
      </c>
      <c r="H70" s="11" t="n">
        <v>0</v>
      </c>
      <c r="I70" s="20" t="n">
        <v>5.5</v>
      </c>
      <c r="J70" s="20" t="n">
        <v>6</v>
      </c>
      <c r="K70" s="11" t="n">
        <v>4</v>
      </c>
      <c r="L70" s="22" t="s">
        <v>153</v>
      </c>
      <c r="M70" s="28" t="n">
        <f aca="false">IF(Supuestos!$C$23=1,AVERAGE(I70:J70),MIN(I70:J70))</f>
        <v>5.75</v>
      </c>
      <c r="N70" s="28" t="n">
        <f aca="false">INDEX(IF(H70=1,Factores!$C$6:$C$9,Factores!$B$6:$B$9),MATCH(M70,Factores!$A$6:$A$9,1))</f>
        <v>0.72</v>
      </c>
      <c r="O70" s="28" t="n">
        <f aca="false">INDEX(Factores!$B$13:$B$16,MATCH(B70,Factores!$A$13:$A$16,1))</f>
        <v>0.95</v>
      </c>
      <c r="P70" s="28" t="n">
        <f aca="false">M70*N70*O70</f>
        <v>3.933</v>
      </c>
      <c r="Q70" s="15" t="n">
        <f aca="false">LE!B68</f>
        <v>4.99411237688886</v>
      </c>
      <c r="R70" s="27" t="n">
        <f aca="false">D70/$D$3</f>
        <v>0.00152066497703891</v>
      </c>
    </row>
    <row r="71" customFormat="false" ht="15" hidden="false" customHeight="false" outlineLevel="0" collapsed="false">
      <c r="A71" s="11" t="n">
        <v>66</v>
      </c>
      <c r="B71" s="11" t="n">
        <v>82</v>
      </c>
      <c r="C71" s="22" t="s">
        <v>150</v>
      </c>
      <c r="D71" s="10" t="n">
        <v>1.7401</v>
      </c>
      <c r="E71" s="11" t="n">
        <v>1</v>
      </c>
      <c r="F71" s="5" t="str">
        <f aca="false">INDEX(Factores!$C$29:$C$36,MATCH(E71,Factores!$A$29:$A$36,0))</f>
        <v>A+</v>
      </c>
      <c r="G71" s="8" t="n">
        <v>0.0463</v>
      </c>
      <c r="H71" s="11" t="n">
        <v>0</v>
      </c>
      <c r="I71" s="20" t="n">
        <v>5</v>
      </c>
      <c r="J71" s="20" t="n">
        <v>5.75</v>
      </c>
      <c r="K71" s="11" t="n">
        <v>4</v>
      </c>
      <c r="L71" s="22" t="s">
        <v>153</v>
      </c>
      <c r="M71" s="28" t="n">
        <f aca="false">IF(Supuestos!$C$23=1,AVERAGE(I71:J71),MIN(I71:J71))</f>
        <v>5.375</v>
      </c>
      <c r="N71" s="28" t="n">
        <f aca="false">INDEX(IF(H71=1,Factores!$C$6:$C$9,Factores!$B$6:$B$9),MATCH(M71,Factores!$A$6:$A$9,1))</f>
        <v>0.72</v>
      </c>
      <c r="O71" s="28" t="n">
        <f aca="false">INDEX(Factores!$B$13:$B$16,MATCH(B71,Factores!$A$13:$A$16,1))</f>
        <v>0.95</v>
      </c>
      <c r="P71" s="28" t="n">
        <f aca="false">M71*N71*O71</f>
        <v>3.6765</v>
      </c>
      <c r="Q71" s="15" t="n">
        <f aca="false">LE!B69</f>
        <v>4.29974062818122</v>
      </c>
      <c r="R71" s="27" t="n">
        <f aca="false">D71/$D$3</f>
        <v>0.00386688459235045</v>
      </c>
    </row>
    <row r="72" customFormat="false" ht="15" hidden="false" customHeight="false" outlineLevel="0" collapsed="false">
      <c r="A72" s="11" t="n">
        <v>67</v>
      </c>
      <c r="B72" s="11" t="n">
        <v>87</v>
      </c>
      <c r="C72" s="22" t="s">
        <v>150</v>
      </c>
      <c r="D72" s="10" t="n">
        <v>0.6086</v>
      </c>
      <c r="E72" s="11" t="n">
        <v>8</v>
      </c>
      <c r="F72" s="5" t="str">
        <f aca="false">INDEX(Factores!$C$29:$C$36,MATCH(E72,Factores!$A$29:$A$36,0))</f>
        <v>B++</v>
      </c>
      <c r="G72" s="8" t="n">
        <v>0.0632</v>
      </c>
      <c r="H72" s="11" t="n">
        <v>1</v>
      </c>
      <c r="I72" s="20" t="n">
        <v>2</v>
      </c>
      <c r="J72" s="20" t="n">
        <v>2.25</v>
      </c>
      <c r="K72" s="11" t="n">
        <v>3</v>
      </c>
      <c r="L72" s="22" t="s">
        <v>153</v>
      </c>
      <c r="M72" s="28" t="n">
        <f aca="false">IF(Supuestos!$C$23=1,AVERAGE(I72:J72),MIN(I72:J72))</f>
        <v>2.125</v>
      </c>
      <c r="N72" s="28" t="n">
        <f aca="false">INDEX(IF(H72=1,Factores!$C$6:$C$9,Factores!$B$6:$B$9),MATCH(M72,Factores!$A$6:$A$9,1))</f>
        <v>0.82</v>
      </c>
      <c r="O72" s="28" t="n">
        <f aca="false">INDEX(Factores!$B$13:$B$16,MATCH(B72,Factores!$A$13:$A$16,1))</f>
        <v>1</v>
      </c>
      <c r="P72" s="28" t="n">
        <f aca="false">M72*N72*O72</f>
        <v>1.7425</v>
      </c>
      <c r="Q72" s="15" t="n">
        <f aca="false">LE!B70</f>
        <v>4.81426499979498</v>
      </c>
      <c r="R72" s="27" t="n">
        <f aca="false">D72/$D$3</f>
        <v>0.00135244294173007</v>
      </c>
    </row>
    <row r="73" customFormat="false" ht="15" hidden="false" customHeight="false" outlineLevel="0" collapsed="false">
      <c r="A73" s="11" t="n">
        <v>68</v>
      </c>
      <c r="B73" s="11" t="n">
        <v>89</v>
      </c>
      <c r="C73" s="22" t="s">
        <v>150</v>
      </c>
      <c r="D73" s="10" t="n">
        <v>0.7752</v>
      </c>
      <c r="E73" s="11" t="n">
        <v>3</v>
      </c>
      <c r="F73" s="5" t="str">
        <f aca="false">INDEX(Factores!$C$29:$C$36,MATCH(E73,Factores!$A$29:$A$36,0))</f>
        <v>A</v>
      </c>
      <c r="G73" s="8" t="n">
        <v>0.0706</v>
      </c>
      <c r="H73" s="11" t="n">
        <v>0</v>
      </c>
      <c r="I73" s="20" t="n">
        <v>2.25</v>
      </c>
      <c r="J73" s="20" t="n">
        <v>2.25</v>
      </c>
      <c r="K73" s="11" t="n">
        <v>5</v>
      </c>
      <c r="L73" s="22" t="s">
        <v>149</v>
      </c>
      <c r="M73" s="28" t="n">
        <f aca="false">IF(Supuestos!$C$23=1,AVERAGE(I73:J73),MIN(I73:J73))</f>
        <v>2.25</v>
      </c>
      <c r="N73" s="28" t="n">
        <f aca="false">INDEX(IF(H73=1,Factores!$C$6:$C$9,Factores!$B$6:$B$9),MATCH(M73,Factores!$A$6:$A$9,1))</f>
        <v>0.88</v>
      </c>
      <c r="O73" s="28" t="n">
        <f aca="false">INDEX(Factores!$B$13:$B$16,MATCH(B73,Factores!$A$13:$A$16,1))</f>
        <v>1</v>
      </c>
      <c r="P73" s="28" t="n">
        <f aca="false">M73*N73*O73</f>
        <v>1.98</v>
      </c>
      <c r="Q73" s="15" t="n">
        <f aca="false">LE!B71</f>
        <v>3.62458384182796</v>
      </c>
      <c r="R73" s="27" t="n">
        <f aca="false">D73/$D$3</f>
        <v>0.00172266475259472</v>
      </c>
    </row>
    <row r="74" customFormat="false" ht="15" hidden="false" customHeight="false" outlineLevel="0" collapsed="false">
      <c r="A74" s="11" t="n">
        <v>69</v>
      </c>
      <c r="B74" s="11" t="n">
        <v>76</v>
      </c>
      <c r="C74" s="22" t="s">
        <v>150</v>
      </c>
      <c r="D74" s="10" t="n">
        <v>2.1468</v>
      </c>
      <c r="E74" s="11" t="n">
        <v>2</v>
      </c>
      <c r="F74" s="5" t="str">
        <f aca="false">INDEX(Factores!$C$29:$C$36,MATCH(E74,Factores!$A$29:$A$36,0))</f>
        <v>A+</v>
      </c>
      <c r="G74" s="8" t="n">
        <v>0.0325</v>
      </c>
      <c r="H74" s="11" t="n">
        <v>0</v>
      </c>
      <c r="I74" s="20" t="n">
        <v>4</v>
      </c>
      <c r="J74" s="20" t="n">
        <v>4.5</v>
      </c>
      <c r="K74" s="11" t="n">
        <v>11</v>
      </c>
      <c r="L74" s="22" t="s">
        <v>155</v>
      </c>
      <c r="M74" s="28" t="n">
        <f aca="false">IF(Supuestos!$C$23=1,AVERAGE(I74:J74),MIN(I74:J74))</f>
        <v>4.25</v>
      </c>
      <c r="N74" s="28" t="n">
        <f aca="false">INDEX(IF(H74=1,Factores!$C$6:$C$9,Factores!$B$6:$B$9),MATCH(M74,Factores!$A$6:$A$9,1))</f>
        <v>0.8</v>
      </c>
      <c r="O74" s="28" t="n">
        <f aca="false">INDEX(Factores!$B$13:$B$16,MATCH(B74,Factores!$A$13:$A$16,1))</f>
        <v>0.95</v>
      </c>
      <c r="P74" s="28" t="n">
        <f aca="false">M74*N74*O74</f>
        <v>3.23</v>
      </c>
      <c r="Q74" s="15" t="n">
        <f aca="false">LE!B72</f>
        <v>8.44949335418303</v>
      </c>
      <c r="R74" s="27" t="n">
        <f aca="false">D74/$D$3</f>
        <v>0.00477066136593182</v>
      </c>
    </row>
    <row r="75" customFormat="false" ht="15" hidden="false" customHeight="false" outlineLevel="0" collapsed="false">
      <c r="A75" s="11" t="n">
        <v>70</v>
      </c>
      <c r="B75" s="11" t="n">
        <v>79</v>
      </c>
      <c r="C75" s="22" t="s">
        <v>150</v>
      </c>
      <c r="D75" s="10" t="n">
        <v>2.0081</v>
      </c>
      <c r="E75" s="11" t="n">
        <v>5</v>
      </c>
      <c r="F75" s="5" t="str">
        <f aca="false">INDEX(Factores!$C$29:$C$36,MATCH(E75,Factores!$A$29:$A$36,0))</f>
        <v>A-</v>
      </c>
      <c r="G75" s="8" t="n">
        <v>0.0438</v>
      </c>
      <c r="H75" s="11" t="n">
        <v>0</v>
      </c>
      <c r="I75" s="20" t="n">
        <v>2</v>
      </c>
      <c r="J75" s="20" t="n">
        <v>2.25</v>
      </c>
      <c r="K75" s="11" t="n">
        <v>8</v>
      </c>
      <c r="L75" s="22" t="s">
        <v>152</v>
      </c>
      <c r="M75" s="28" t="n">
        <f aca="false">IF(Supuestos!$C$23=1,AVERAGE(I75:J75),MIN(I75:J75))</f>
        <v>2.125</v>
      </c>
      <c r="N75" s="28" t="n">
        <f aca="false">INDEX(IF(H75=1,Factores!$C$6:$C$9,Factores!$B$6:$B$9),MATCH(M75,Factores!$A$6:$A$9,1))</f>
        <v>0.88</v>
      </c>
      <c r="O75" s="28" t="n">
        <f aca="false">INDEX(Factores!$B$13:$B$16,MATCH(B75,Factores!$A$13:$A$16,1))</f>
        <v>0.95</v>
      </c>
      <c r="P75" s="28" t="n">
        <f aca="false">M75*N75*O75</f>
        <v>1.7765</v>
      </c>
      <c r="Q75" s="15" t="n">
        <f aca="false">LE!B73</f>
        <v>9.10101656511559</v>
      </c>
      <c r="R75" s="27" t="n">
        <f aca="false">D75/$D$3</f>
        <v>0.00446243948617835</v>
      </c>
    </row>
    <row r="76" customFormat="false" ht="15" hidden="false" customHeight="false" outlineLevel="0" collapsed="false">
      <c r="A76" s="11" t="n">
        <v>71</v>
      </c>
      <c r="B76" s="11" t="n">
        <v>86</v>
      </c>
      <c r="C76" s="22" t="s">
        <v>147</v>
      </c>
      <c r="D76" s="10" t="n">
        <v>1.366</v>
      </c>
      <c r="E76" s="11" t="n">
        <v>6</v>
      </c>
      <c r="F76" s="5" t="str">
        <f aca="false">INDEX(Factores!$C$29:$C$36,MATCH(E76,Factores!$A$29:$A$36,0))</f>
        <v>A</v>
      </c>
      <c r="G76" s="8" t="n">
        <v>0.0596</v>
      </c>
      <c r="H76" s="11" t="n">
        <v>1</v>
      </c>
      <c r="I76" s="20" t="n">
        <v>1.25</v>
      </c>
      <c r="J76" s="20" t="n">
        <v>1.25</v>
      </c>
      <c r="K76" s="11" t="n">
        <v>3</v>
      </c>
      <c r="L76" s="22" t="s">
        <v>149</v>
      </c>
      <c r="M76" s="28" t="n">
        <f aca="false">IF(Supuestos!$C$23=1,AVERAGE(I76:J76),MIN(I76:J76))</f>
        <v>1.25</v>
      </c>
      <c r="N76" s="28" t="n">
        <f aca="false">INDEX(IF(H76=1,Factores!$C$6:$C$9,Factores!$B$6:$B$9),MATCH(M76,Factores!$A$6:$A$9,1))</f>
        <v>0.9</v>
      </c>
      <c r="O76" s="28" t="n">
        <f aca="false">INDEX(Factores!$B$13:$B$16,MATCH(B76,Factores!$A$13:$A$16,1))</f>
        <v>1</v>
      </c>
      <c r="P76" s="28" t="n">
        <f aca="false">M76*N76*O76</f>
        <v>1.125</v>
      </c>
      <c r="Q76" s="15" t="n">
        <f aca="false">LE!B74</f>
        <v>6.77038770327301</v>
      </c>
      <c r="R76" s="27" t="n">
        <f aca="false">D76/$D$3</f>
        <v>0.0030355521827198</v>
      </c>
    </row>
    <row r="77" customFormat="false" ht="15" hidden="false" customHeight="false" outlineLevel="0" collapsed="false">
      <c r="A77" s="11" t="n">
        <v>72</v>
      </c>
      <c r="B77" s="11" t="n">
        <v>73</v>
      </c>
      <c r="C77" s="22" t="s">
        <v>147</v>
      </c>
      <c r="D77" s="10" t="n">
        <v>0.677</v>
      </c>
      <c r="E77" s="11" t="n">
        <v>4</v>
      </c>
      <c r="F77" s="5" t="str">
        <f aca="false">INDEX(Factores!$C$29:$C$36,MATCH(E77,Factores!$A$29:$A$36,0))</f>
        <v>A</v>
      </c>
      <c r="G77" s="8" t="n">
        <v>0.0388</v>
      </c>
      <c r="H77" s="11" t="n">
        <v>1</v>
      </c>
      <c r="I77" s="20" t="n">
        <v>2</v>
      </c>
      <c r="J77" s="20" t="n">
        <v>2.5</v>
      </c>
      <c r="K77" s="11" t="n">
        <v>9</v>
      </c>
      <c r="L77" s="22" t="s">
        <v>151</v>
      </c>
      <c r="M77" s="28" t="n">
        <f aca="false">IF(Supuestos!$C$23=1,AVERAGE(I77:J77),MIN(I77:J77))</f>
        <v>2.25</v>
      </c>
      <c r="N77" s="28" t="n">
        <f aca="false">INDEX(IF(H77=1,Factores!$C$6:$C$9,Factores!$B$6:$B$9),MATCH(M77,Factores!$A$6:$A$9,1))</f>
        <v>0.82</v>
      </c>
      <c r="O77" s="28" t="n">
        <f aca="false">INDEX(Factores!$B$13:$B$16,MATCH(B77,Factores!$A$13:$A$16,1))</f>
        <v>0.9</v>
      </c>
      <c r="P77" s="28" t="n">
        <f aca="false">M77*N77*O77</f>
        <v>1.6605</v>
      </c>
      <c r="Q77" s="15" t="n">
        <f aca="false">LE!B75</f>
        <v>13.8342577495958</v>
      </c>
      <c r="R77" s="27" t="n">
        <f aca="false">D77/$D$3</f>
        <v>0.00150444277284136</v>
      </c>
    </row>
    <row r="78" customFormat="false" ht="15" hidden="false" customHeight="false" outlineLevel="0" collapsed="false">
      <c r="A78" s="11" t="n">
        <v>73</v>
      </c>
      <c r="B78" s="11" t="n">
        <v>81</v>
      </c>
      <c r="C78" s="22" t="s">
        <v>147</v>
      </c>
      <c r="D78" s="10" t="n">
        <v>1.2365</v>
      </c>
      <c r="E78" s="11" t="n">
        <v>7</v>
      </c>
      <c r="F78" s="5" t="str">
        <f aca="false">INDEX(Factores!$C$29:$C$36,MATCH(E78,Factores!$A$29:$A$36,0))</f>
        <v>A+</v>
      </c>
      <c r="G78" s="8" t="n">
        <v>0.0447</v>
      </c>
      <c r="H78" s="11" t="n">
        <v>0</v>
      </c>
      <c r="I78" s="20" t="n">
        <v>2.5</v>
      </c>
      <c r="J78" s="20" t="n">
        <v>1.5</v>
      </c>
      <c r="K78" s="11" t="n">
        <v>11</v>
      </c>
      <c r="L78" s="22" t="s">
        <v>152</v>
      </c>
      <c r="M78" s="28" t="n">
        <f aca="false">IF(Supuestos!$C$23=1,AVERAGE(I78:J78),MIN(I78:J78))</f>
        <v>2</v>
      </c>
      <c r="N78" s="28" t="n">
        <f aca="false">INDEX(IF(H78=1,Factores!$C$6:$C$9,Factores!$B$6:$B$9),MATCH(M78,Factores!$A$6:$A$9,1))</f>
        <v>0.88</v>
      </c>
      <c r="O78" s="28" t="n">
        <f aca="false">INDEX(Factores!$B$13:$B$16,MATCH(B78,Factores!$A$13:$A$16,1))</f>
        <v>0.95</v>
      </c>
      <c r="P78" s="28" t="n">
        <f aca="false">M78*N78*O78</f>
        <v>1.672</v>
      </c>
      <c r="Q78" s="15" t="n">
        <f aca="false">LE!B76</f>
        <v>8.07218027340954</v>
      </c>
      <c r="R78" s="27" t="n">
        <f aca="false">D78/$D$3</f>
        <v>0.00274777472469475</v>
      </c>
    </row>
    <row r="79" customFormat="false" ht="15" hidden="false" customHeight="false" outlineLevel="0" collapsed="false">
      <c r="A79" s="11" t="n">
        <v>74</v>
      </c>
      <c r="B79" s="11" t="n">
        <v>83</v>
      </c>
      <c r="C79" s="22" t="s">
        <v>147</v>
      </c>
      <c r="D79" s="10" t="n">
        <v>1.0767</v>
      </c>
      <c r="E79" s="11" t="n">
        <v>1</v>
      </c>
      <c r="F79" s="5" t="str">
        <f aca="false">INDEX(Factores!$C$29:$C$36,MATCH(E79,Factores!$A$29:$A$36,0))</f>
        <v>A+</v>
      </c>
      <c r="G79" s="8" t="n">
        <v>0.058</v>
      </c>
      <c r="H79" s="11" t="n">
        <v>0</v>
      </c>
      <c r="I79" s="20" t="n">
        <v>1.5</v>
      </c>
      <c r="J79" s="20" t="n">
        <v>1.75</v>
      </c>
      <c r="K79" s="11" t="n">
        <v>4</v>
      </c>
      <c r="L79" s="22" t="s">
        <v>149</v>
      </c>
      <c r="M79" s="28" t="n">
        <f aca="false">IF(Supuestos!$C$23=1,AVERAGE(I79:J79),MIN(I79:J79))</f>
        <v>1.625</v>
      </c>
      <c r="N79" s="28" t="n">
        <f aca="false">INDEX(IF(H79=1,Factores!$C$6:$C$9,Factores!$B$6:$B$9),MATCH(M79,Factores!$A$6:$A$9,1))</f>
        <v>0.88</v>
      </c>
      <c r="O79" s="28" t="n">
        <f aca="false">INDEX(Factores!$B$13:$B$16,MATCH(B79,Factores!$A$13:$A$16,1))</f>
        <v>0.95</v>
      </c>
      <c r="P79" s="28" t="n">
        <f aca="false">M79*N79*O79</f>
        <v>1.3585</v>
      </c>
      <c r="Q79" s="15" t="n">
        <f aca="false">LE!B77</f>
        <v>7.69177941782636</v>
      </c>
      <c r="R79" s="27" t="n">
        <f aca="false">D79/$D$3</f>
        <v>0.0023926640081511</v>
      </c>
    </row>
    <row r="80" customFormat="false" ht="15" hidden="false" customHeight="false" outlineLevel="0" collapsed="false">
      <c r="A80" s="11" t="n">
        <v>75</v>
      </c>
      <c r="B80" s="11" t="n">
        <v>89</v>
      </c>
      <c r="C80" s="22" t="s">
        <v>147</v>
      </c>
      <c r="D80" s="10" t="n">
        <v>1.9463</v>
      </c>
      <c r="E80" s="11" t="n">
        <v>3</v>
      </c>
      <c r="F80" s="5" t="str">
        <f aca="false">INDEX(Factores!$C$29:$C$36,MATCH(E80,Factores!$A$29:$A$36,0))</f>
        <v>A</v>
      </c>
      <c r="G80" s="8" t="n">
        <v>0.0673</v>
      </c>
      <c r="H80" s="11" t="n">
        <v>1</v>
      </c>
      <c r="I80" s="20" t="n">
        <v>1</v>
      </c>
      <c r="J80" s="20" t="n">
        <v>1</v>
      </c>
      <c r="K80" s="11" t="n">
        <v>7</v>
      </c>
      <c r="L80" s="22" t="s">
        <v>148</v>
      </c>
      <c r="M80" s="28" t="n">
        <f aca="false">IF(Supuestos!$C$23=1,AVERAGE(I80:J80),MIN(I80:J80))</f>
        <v>1</v>
      </c>
      <c r="N80" s="28" t="n">
        <f aca="false">INDEX(IF(H80=1,Factores!$C$6:$C$9,Factores!$B$6:$B$9),MATCH(M80,Factores!$A$6:$A$9,1))</f>
        <v>0.9</v>
      </c>
      <c r="O80" s="28" t="n">
        <f aca="false">INDEX(Factores!$B$13:$B$16,MATCH(B80,Factores!$A$13:$A$16,1))</f>
        <v>1</v>
      </c>
      <c r="P80" s="28" t="n">
        <f aca="false">M80*N80*O80</f>
        <v>0.9</v>
      </c>
      <c r="Q80" s="15" t="n">
        <f aca="false">LE!B78</f>
        <v>6.08814643668054</v>
      </c>
      <c r="R80" s="27" t="n">
        <f aca="false">D80/$D$3</f>
        <v>0.00432510630543744</v>
      </c>
    </row>
    <row r="81" customFormat="false" ht="15" hidden="false" customHeight="false" outlineLevel="0" collapsed="false">
      <c r="A81" s="11" t="n">
        <v>76</v>
      </c>
      <c r="B81" s="11" t="n">
        <v>86</v>
      </c>
      <c r="C81" s="22" t="s">
        <v>150</v>
      </c>
      <c r="D81" s="10" t="n">
        <v>4.0364</v>
      </c>
      <c r="E81" s="11" t="n">
        <v>5</v>
      </c>
      <c r="F81" s="5" t="str">
        <f aca="false">INDEX(Factores!$C$29:$C$36,MATCH(E81,Factores!$A$29:$A$36,0))</f>
        <v>A-</v>
      </c>
      <c r="G81" s="8" t="n">
        <v>0.0595</v>
      </c>
      <c r="H81" s="11" t="n">
        <v>0</v>
      </c>
      <c r="I81" s="20" t="n">
        <v>1</v>
      </c>
      <c r="J81" s="20" t="n">
        <v>1.25</v>
      </c>
      <c r="K81" s="11" t="n">
        <v>11</v>
      </c>
      <c r="L81" s="22" t="s">
        <v>154</v>
      </c>
      <c r="M81" s="28" t="n">
        <f aca="false">IF(Supuestos!$C$23=1,AVERAGE(I81:J81),MIN(I81:J81))</f>
        <v>1.125</v>
      </c>
      <c r="N81" s="28" t="n">
        <f aca="false">INDEX(IF(H81=1,Factores!$C$6:$C$9,Factores!$B$6:$B$9),MATCH(M81,Factores!$A$6:$A$9,1))</f>
        <v>0.95</v>
      </c>
      <c r="O81" s="28" t="n">
        <f aca="false">INDEX(Factores!$B$13:$B$16,MATCH(B81,Factores!$A$13:$A$16,1))</f>
        <v>1</v>
      </c>
      <c r="P81" s="28" t="n">
        <f aca="false">M81*N81*O81</f>
        <v>1.06875</v>
      </c>
      <c r="Q81" s="15" t="n">
        <f aca="false">LE!B79</f>
        <v>6.93823652514313</v>
      </c>
      <c r="R81" s="27" t="n">
        <f aca="false">D81/$D$3</f>
        <v>0.0089697678113691</v>
      </c>
    </row>
    <row r="82" customFormat="false" ht="15" hidden="false" customHeight="false" outlineLevel="0" collapsed="false">
      <c r="A82" s="11" t="n">
        <v>77</v>
      </c>
      <c r="B82" s="11" t="n">
        <v>81</v>
      </c>
      <c r="C82" s="22" t="s">
        <v>147</v>
      </c>
      <c r="D82" s="10" t="n">
        <v>1.6112</v>
      </c>
      <c r="E82" s="11" t="n">
        <v>7</v>
      </c>
      <c r="F82" s="5" t="str">
        <f aca="false">INDEX(Factores!$C$29:$C$36,MATCH(E82,Factores!$A$29:$A$36,0))</f>
        <v>A+</v>
      </c>
      <c r="G82" s="8" t="n">
        <v>0.0504</v>
      </c>
      <c r="H82" s="11" t="n">
        <v>0</v>
      </c>
      <c r="I82" s="20" t="n">
        <v>2.75</v>
      </c>
      <c r="J82" s="20" t="n">
        <v>2.75</v>
      </c>
      <c r="K82" s="11" t="n">
        <v>5</v>
      </c>
      <c r="L82" s="22" t="s">
        <v>155</v>
      </c>
      <c r="M82" s="28" t="n">
        <f aca="false">IF(Supuestos!$C$23=1,AVERAGE(I82:J82),MIN(I82:J82))</f>
        <v>2.75</v>
      </c>
      <c r="N82" s="28" t="n">
        <f aca="false">INDEX(IF(H82=1,Factores!$C$6:$C$9,Factores!$B$6:$B$9),MATCH(M82,Factores!$A$6:$A$9,1))</f>
        <v>0.88</v>
      </c>
      <c r="O82" s="28" t="n">
        <f aca="false">INDEX(Factores!$B$13:$B$16,MATCH(B82,Factores!$A$13:$A$16,1))</f>
        <v>0.95</v>
      </c>
      <c r="P82" s="28" t="n">
        <f aca="false">M82*N82*O82</f>
        <v>2.299</v>
      </c>
      <c r="Q82" s="15" t="n">
        <f aca="false">LE!B80</f>
        <v>6.75592308640667</v>
      </c>
      <c r="R82" s="27" t="n">
        <f aca="false">D82/$D$3</f>
        <v>0.00358044046617726</v>
      </c>
    </row>
    <row r="83" customFormat="false" ht="15" hidden="false" customHeight="false" outlineLevel="0" collapsed="false">
      <c r="A83" s="11" t="n">
        <v>78</v>
      </c>
      <c r="B83" s="11" t="n">
        <v>81</v>
      </c>
      <c r="C83" s="22" t="s">
        <v>147</v>
      </c>
      <c r="D83" s="10" t="n">
        <v>1.0291</v>
      </c>
      <c r="E83" s="11" t="n">
        <v>4</v>
      </c>
      <c r="F83" s="5" t="str">
        <f aca="false">INDEX(Factores!$C$29:$C$36,MATCH(E83,Factores!$A$29:$A$36,0))</f>
        <v>A</v>
      </c>
      <c r="G83" s="8" t="n">
        <v>0.0511</v>
      </c>
      <c r="H83" s="11" t="n">
        <v>0</v>
      </c>
      <c r="I83" s="20" t="n">
        <v>1.5</v>
      </c>
      <c r="J83" s="20" t="n">
        <v>1.25</v>
      </c>
      <c r="K83" s="11" t="n">
        <v>6</v>
      </c>
      <c r="L83" s="22" t="s">
        <v>149</v>
      </c>
      <c r="M83" s="28" t="n">
        <f aca="false">IF(Supuestos!$C$23=1,AVERAGE(I83:J83),MIN(I83:J83))</f>
        <v>1.375</v>
      </c>
      <c r="N83" s="28" t="n">
        <f aca="false">INDEX(IF(H83=1,Factores!$C$6:$C$9,Factores!$B$6:$B$9),MATCH(M83,Factores!$A$6:$A$9,1))</f>
        <v>0.95</v>
      </c>
      <c r="O83" s="28" t="n">
        <f aca="false">INDEX(Factores!$B$13:$B$16,MATCH(B83,Factores!$A$13:$A$16,1))</f>
        <v>0.95</v>
      </c>
      <c r="P83" s="28" t="n">
        <f aca="false">M83*N83*O83</f>
        <v>1.2409375</v>
      </c>
      <c r="Q83" s="15" t="n">
        <f aca="false">LE!B81</f>
        <v>9.18848081019783</v>
      </c>
      <c r="R83" s="27" t="n">
        <f aca="false">D83/$D$3</f>
        <v>0.00228688634790406</v>
      </c>
    </row>
    <row r="84" customFormat="false" ht="15" hidden="false" customHeight="false" outlineLevel="0" collapsed="false">
      <c r="A84" s="11" t="n">
        <v>79</v>
      </c>
      <c r="B84" s="11" t="n">
        <v>82</v>
      </c>
      <c r="C84" s="22" t="s">
        <v>150</v>
      </c>
      <c r="D84" s="10" t="n">
        <v>0.863</v>
      </c>
      <c r="E84" s="11" t="n">
        <v>4</v>
      </c>
      <c r="F84" s="5" t="str">
        <f aca="false">INDEX(Factores!$C$29:$C$36,MATCH(E84,Factores!$A$29:$A$36,0))</f>
        <v>A</v>
      </c>
      <c r="G84" s="8" t="n">
        <v>0.0551</v>
      </c>
      <c r="H84" s="11" t="n">
        <v>0</v>
      </c>
      <c r="I84" s="20" t="n">
        <v>2</v>
      </c>
      <c r="J84" s="20" t="n">
        <v>2.25</v>
      </c>
      <c r="K84" s="11" t="n">
        <v>8</v>
      </c>
      <c r="L84" s="22" t="s">
        <v>152</v>
      </c>
      <c r="M84" s="28" t="n">
        <f aca="false">IF(Supuestos!$C$23=1,AVERAGE(I84:J84),MIN(I84:J84))</f>
        <v>2.125</v>
      </c>
      <c r="N84" s="28" t="n">
        <f aca="false">INDEX(IF(H84=1,Factores!$C$6:$C$9,Factores!$B$6:$B$9),MATCH(M84,Factores!$A$6:$A$9,1))</f>
        <v>0.88</v>
      </c>
      <c r="O84" s="28" t="n">
        <f aca="false">INDEX(Factores!$B$13:$B$16,MATCH(B84,Factores!$A$13:$A$16,1))</f>
        <v>0.95</v>
      </c>
      <c r="P84" s="28" t="n">
        <f aca="false">M84*N84*O84</f>
        <v>1.7765</v>
      </c>
      <c r="Q84" s="15" t="n">
        <f aca="false">LE!B82</f>
        <v>7.23916863483146</v>
      </c>
      <c r="R84" s="27" t="n">
        <f aca="false">D84/$D$3</f>
        <v>0.00191777564691595</v>
      </c>
    </row>
    <row r="85" customFormat="false" ht="15" hidden="false" customHeight="false" outlineLevel="0" collapsed="false">
      <c r="A85" s="11" t="n">
        <v>80</v>
      </c>
      <c r="B85" s="11" t="n">
        <v>91</v>
      </c>
      <c r="C85" s="22" t="s">
        <v>147</v>
      </c>
      <c r="D85" s="10" t="n">
        <v>1.4249</v>
      </c>
      <c r="E85" s="11" t="n">
        <v>3</v>
      </c>
      <c r="F85" s="5" t="str">
        <f aca="false">INDEX(Factores!$C$29:$C$36,MATCH(E85,Factores!$A$29:$A$36,0))</f>
        <v>A</v>
      </c>
      <c r="G85" s="8" t="n">
        <v>0.0738</v>
      </c>
      <c r="H85" s="11" t="n">
        <v>0</v>
      </c>
      <c r="I85" s="20" t="n">
        <v>2.25</v>
      </c>
      <c r="J85" s="20" t="n">
        <v>2</v>
      </c>
      <c r="K85" s="11" t="n">
        <v>11</v>
      </c>
      <c r="L85" s="22" t="s">
        <v>152</v>
      </c>
      <c r="M85" s="28" t="n">
        <f aca="false">IF(Supuestos!$C$23=1,AVERAGE(I85:J85),MIN(I85:J85))</f>
        <v>2.125</v>
      </c>
      <c r="N85" s="28" t="n">
        <f aca="false">INDEX(IF(H85=1,Factores!$C$6:$C$9,Factores!$B$6:$B$9),MATCH(M85,Factores!$A$6:$A$9,1))</f>
        <v>0.88</v>
      </c>
      <c r="O85" s="28" t="n">
        <f aca="false">INDEX(Factores!$B$13:$B$16,MATCH(B85,Factores!$A$13:$A$16,1))</f>
        <v>1</v>
      </c>
      <c r="P85" s="28" t="n">
        <f aca="false">M85*N85*O85</f>
        <v>1.87</v>
      </c>
      <c r="Q85" s="15" t="n">
        <f aca="false">LE!B83</f>
        <v>3.13365126350184</v>
      </c>
      <c r="R85" s="27" t="n">
        <f aca="false">D85/$D$3</f>
        <v>0.00316644092617675</v>
      </c>
    </row>
    <row r="86" customFormat="false" ht="15" hidden="false" customHeight="false" outlineLevel="0" collapsed="false">
      <c r="A86" s="11" t="n">
        <v>81</v>
      </c>
      <c r="B86" s="11" t="n">
        <v>81</v>
      </c>
      <c r="C86" s="22" t="s">
        <v>147</v>
      </c>
      <c r="D86" s="10" t="n">
        <v>1.3496</v>
      </c>
      <c r="E86" s="11" t="n">
        <v>4</v>
      </c>
      <c r="F86" s="5" t="str">
        <f aca="false">INDEX(Factores!$C$29:$C$36,MATCH(E86,Factores!$A$29:$A$36,0))</f>
        <v>A</v>
      </c>
      <c r="G86" s="8" t="n">
        <v>0.0451</v>
      </c>
      <c r="H86" s="11" t="n">
        <v>0</v>
      </c>
      <c r="I86" s="20" t="n">
        <v>2.75</v>
      </c>
      <c r="J86" s="20" t="n">
        <v>2.25</v>
      </c>
      <c r="K86" s="11" t="n">
        <v>11</v>
      </c>
      <c r="L86" s="22" t="s">
        <v>151</v>
      </c>
      <c r="M86" s="28" t="n">
        <f aca="false">IF(Supuestos!$C$23=1,AVERAGE(I86:J86),MIN(I86:J86))</f>
        <v>2.5</v>
      </c>
      <c r="N86" s="28" t="n">
        <f aca="false">INDEX(IF(H86=1,Factores!$C$6:$C$9,Factores!$B$6:$B$9),MATCH(M86,Factores!$A$6:$A$9,1))</f>
        <v>0.88</v>
      </c>
      <c r="O86" s="28" t="n">
        <f aca="false">INDEX(Factores!$B$13:$B$16,MATCH(B86,Factores!$A$13:$A$16,1))</f>
        <v>0.95</v>
      </c>
      <c r="P86" s="28" t="n">
        <f aca="false">M86*N86*O86</f>
        <v>2.09</v>
      </c>
      <c r="Q86" s="15" t="n">
        <f aca="false">LE!B84</f>
        <v>7.15904155560467</v>
      </c>
      <c r="R86" s="27" t="n">
        <f aca="false">D86/$D$3</f>
        <v>0.00299910777876913</v>
      </c>
    </row>
    <row r="87" customFormat="false" ht="15" hidden="false" customHeight="false" outlineLevel="0" collapsed="false">
      <c r="A87" s="11" t="n">
        <v>82</v>
      </c>
      <c r="B87" s="11" t="n">
        <v>81</v>
      </c>
      <c r="C87" s="22" t="s">
        <v>150</v>
      </c>
      <c r="D87" s="10" t="n">
        <v>0.8704</v>
      </c>
      <c r="E87" s="11" t="n">
        <v>4</v>
      </c>
      <c r="F87" s="5" t="str">
        <f aca="false">INDEX(Factores!$C$29:$C$36,MATCH(E87,Factores!$A$29:$A$36,0))</f>
        <v>A</v>
      </c>
      <c r="G87" s="8" t="n">
        <v>0.0453</v>
      </c>
      <c r="H87" s="11" t="n">
        <v>0</v>
      </c>
      <c r="I87" s="20" t="n">
        <v>1.75</v>
      </c>
      <c r="J87" s="20" t="n">
        <v>1.25</v>
      </c>
      <c r="K87" s="11" t="n">
        <v>9</v>
      </c>
      <c r="L87" s="22" t="s">
        <v>154</v>
      </c>
      <c r="M87" s="28" t="n">
        <f aca="false">IF(Supuestos!$C$23=1,AVERAGE(I87:J87),MIN(I87:J87))</f>
        <v>1.5</v>
      </c>
      <c r="N87" s="28" t="n">
        <f aca="false">INDEX(IF(H87=1,Factores!$C$6:$C$9,Factores!$B$6:$B$9),MATCH(M87,Factores!$A$6:$A$9,1))</f>
        <v>0.88</v>
      </c>
      <c r="O87" s="28" t="n">
        <f aca="false">INDEX(Factores!$B$13:$B$16,MATCH(B87,Factores!$A$13:$A$16,1))</f>
        <v>0.95</v>
      </c>
      <c r="P87" s="28" t="n">
        <f aca="false">M87*N87*O87</f>
        <v>1.254</v>
      </c>
      <c r="Q87" s="15" t="n">
        <f aca="false">LE!B85</f>
        <v>9.15171337311395</v>
      </c>
      <c r="R87" s="27" t="n">
        <f aca="false">D87/$D$3</f>
        <v>0.00193422007308881</v>
      </c>
    </row>
    <row r="88" customFormat="false" ht="15" hidden="false" customHeight="false" outlineLevel="0" collapsed="false">
      <c r="A88" s="11" t="n">
        <v>83</v>
      </c>
      <c r="B88" s="11" t="n">
        <v>85</v>
      </c>
      <c r="C88" s="22" t="s">
        <v>150</v>
      </c>
      <c r="D88" s="10" t="n">
        <v>1.5399</v>
      </c>
      <c r="E88" s="11" t="n">
        <v>7</v>
      </c>
      <c r="F88" s="5" t="str">
        <f aca="false">INDEX(Factores!$C$29:$C$36,MATCH(E88,Factores!$A$29:$A$36,0))</f>
        <v>A+</v>
      </c>
      <c r="G88" s="8" t="n">
        <v>0.0595</v>
      </c>
      <c r="H88" s="11" t="n">
        <v>0</v>
      </c>
      <c r="I88" s="20" t="n">
        <v>2.5</v>
      </c>
      <c r="J88" s="20" t="n">
        <v>2.5</v>
      </c>
      <c r="K88" s="11" t="n">
        <v>5</v>
      </c>
      <c r="L88" s="22" t="s">
        <v>149</v>
      </c>
      <c r="M88" s="28" t="n">
        <f aca="false">IF(Supuestos!$C$23=1,AVERAGE(I88:J88),MIN(I88:J88))</f>
        <v>2.5</v>
      </c>
      <c r="N88" s="28" t="n">
        <f aca="false">INDEX(IF(H88=1,Factores!$C$6:$C$9,Factores!$B$6:$B$9),MATCH(M88,Factores!$A$6:$A$9,1))</f>
        <v>0.88</v>
      </c>
      <c r="O88" s="28" t="n">
        <f aca="false">INDEX(Factores!$B$13:$B$16,MATCH(B88,Factores!$A$13:$A$16,1))</f>
        <v>1</v>
      </c>
      <c r="P88" s="28" t="n">
        <f aca="false">M88*N88*O88</f>
        <v>2.2</v>
      </c>
      <c r="Q88" s="15" t="n">
        <f aca="false">LE!B86</f>
        <v>4.86707681301698</v>
      </c>
      <c r="R88" s="27" t="n">
        <f aca="false">D88/$D$3</f>
        <v>0.003421996197782</v>
      </c>
    </row>
    <row r="89" customFormat="false" ht="15" hidden="false" customHeight="false" outlineLevel="0" collapsed="false">
      <c r="A89" s="11" t="n">
        <v>84</v>
      </c>
      <c r="B89" s="11" t="n">
        <v>82</v>
      </c>
      <c r="C89" s="22" t="s">
        <v>147</v>
      </c>
      <c r="D89" s="10" t="n">
        <v>0.8706</v>
      </c>
      <c r="E89" s="11" t="n">
        <v>6</v>
      </c>
      <c r="F89" s="5" t="str">
        <f aca="false">INDEX(Factores!$C$29:$C$36,MATCH(E89,Factores!$A$29:$A$36,0))</f>
        <v>A</v>
      </c>
      <c r="G89" s="8" t="n">
        <v>0.0523</v>
      </c>
      <c r="H89" s="11" t="n">
        <v>1</v>
      </c>
      <c r="I89" s="20" t="n">
        <v>1.25</v>
      </c>
      <c r="J89" s="20" t="n">
        <v>1.5</v>
      </c>
      <c r="K89" s="11" t="n">
        <v>7</v>
      </c>
      <c r="L89" s="22" t="s">
        <v>154</v>
      </c>
      <c r="M89" s="28" t="n">
        <f aca="false">IF(Supuestos!$C$23=1,AVERAGE(I89:J89),MIN(I89:J89))</f>
        <v>1.375</v>
      </c>
      <c r="N89" s="28" t="n">
        <f aca="false">INDEX(IF(H89=1,Factores!$C$6:$C$9,Factores!$B$6:$B$9),MATCH(M89,Factores!$A$6:$A$9,1))</f>
        <v>0.9</v>
      </c>
      <c r="O89" s="28" t="n">
        <f aca="false">INDEX(Factores!$B$13:$B$16,MATCH(B89,Factores!$A$13:$A$16,1))</f>
        <v>0.95</v>
      </c>
      <c r="P89" s="28" t="n">
        <f aca="false">M89*N89*O89</f>
        <v>1.175625</v>
      </c>
      <c r="Q89" s="15" t="n">
        <f aca="false">LE!B87</f>
        <v>8.77647126919738</v>
      </c>
      <c r="R89" s="27" t="n">
        <f aca="false">D89/$D$3</f>
        <v>0.00193466451703943</v>
      </c>
    </row>
    <row r="90" customFormat="false" ht="15" hidden="false" customHeight="false" outlineLevel="0" collapsed="false">
      <c r="A90" s="11" t="n">
        <v>85</v>
      </c>
      <c r="B90" s="11" t="n">
        <v>82</v>
      </c>
      <c r="C90" s="22" t="s">
        <v>147</v>
      </c>
      <c r="D90" s="10" t="n">
        <v>2.4105</v>
      </c>
      <c r="E90" s="11" t="n">
        <v>5</v>
      </c>
      <c r="F90" s="5" t="str">
        <f aca="false">INDEX(Factores!$C$29:$C$36,MATCH(E90,Factores!$A$29:$A$36,0))</f>
        <v>A-</v>
      </c>
      <c r="G90" s="8" t="n">
        <v>0.0556</v>
      </c>
      <c r="H90" s="11" t="n">
        <v>0</v>
      </c>
      <c r="I90" s="20" t="n">
        <v>1.75</v>
      </c>
      <c r="J90" s="20" t="n">
        <v>2.25</v>
      </c>
      <c r="K90" s="11" t="n">
        <v>4</v>
      </c>
      <c r="L90" s="22" t="s">
        <v>148</v>
      </c>
      <c r="M90" s="28" t="n">
        <f aca="false">IF(Supuestos!$C$23=1,AVERAGE(I90:J90),MIN(I90:J90))</f>
        <v>2</v>
      </c>
      <c r="N90" s="28" t="n">
        <f aca="false">INDEX(IF(H90=1,Factores!$C$6:$C$9,Factores!$B$6:$B$9),MATCH(M90,Factores!$A$6:$A$9,1))</f>
        <v>0.88</v>
      </c>
      <c r="O90" s="28" t="n">
        <f aca="false">INDEX(Factores!$B$13:$B$16,MATCH(B90,Factores!$A$13:$A$16,1))</f>
        <v>0.95</v>
      </c>
      <c r="P90" s="28" t="n">
        <f aca="false">M90*N90*O90</f>
        <v>1.672</v>
      </c>
      <c r="Q90" s="15" t="n">
        <f aca="false">LE!B88</f>
        <v>7.4784270766979</v>
      </c>
      <c r="R90" s="27" t="n">
        <f aca="false">D90/$D$3</f>
        <v>0.00535666071482143</v>
      </c>
    </row>
    <row r="91" customFormat="false" ht="15" hidden="false" customHeight="false" outlineLevel="0" collapsed="false">
      <c r="A91" s="11" t="n">
        <v>86</v>
      </c>
      <c r="B91" s="11" t="n">
        <v>77</v>
      </c>
      <c r="C91" s="22" t="s">
        <v>147</v>
      </c>
      <c r="D91" s="10" t="n">
        <v>2.3574</v>
      </c>
      <c r="E91" s="11" t="n">
        <v>7</v>
      </c>
      <c r="F91" s="5" t="str">
        <f aca="false">INDEX(Factores!$C$29:$C$36,MATCH(E91,Factores!$A$29:$A$36,0))</f>
        <v>A+</v>
      </c>
      <c r="G91" s="8" t="n">
        <v>0.0392</v>
      </c>
      <c r="H91" s="11" t="n">
        <v>0</v>
      </c>
      <c r="I91" s="20" t="n">
        <v>1.25</v>
      </c>
      <c r="J91" s="20" t="n">
        <v>1.25</v>
      </c>
      <c r="K91" s="11" t="n">
        <v>6</v>
      </c>
      <c r="L91" s="22" t="s">
        <v>151</v>
      </c>
      <c r="M91" s="28" t="n">
        <f aca="false">IF(Supuestos!$C$23=1,AVERAGE(I91:J91),MIN(I91:J91))</f>
        <v>1.25</v>
      </c>
      <c r="N91" s="28" t="n">
        <f aca="false">INDEX(IF(H91=1,Factores!$C$6:$C$9,Factores!$B$6:$B$9),MATCH(M91,Factores!$A$6:$A$9,1))</f>
        <v>0.95</v>
      </c>
      <c r="O91" s="28" t="n">
        <f aca="false">INDEX(Factores!$B$13:$B$16,MATCH(B91,Factores!$A$13:$A$16,1))</f>
        <v>0.95</v>
      </c>
      <c r="P91" s="28" t="n">
        <f aca="false">M91*N91*O91</f>
        <v>1.128125</v>
      </c>
      <c r="Q91" s="15" t="n">
        <f aca="false">LE!B89</f>
        <v>12.1321670001565</v>
      </c>
      <c r="R91" s="27" t="n">
        <f aca="false">D91/$D$3</f>
        <v>0.00523866084593239</v>
      </c>
    </row>
    <row r="92" customFormat="false" ht="15" hidden="false" customHeight="false" outlineLevel="0" collapsed="false">
      <c r="A92" s="11" t="n">
        <v>87</v>
      </c>
      <c r="B92" s="11" t="n">
        <v>83</v>
      </c>
      <c r="C92" s="22" t="s">
        <v>150</v>
      </c>
      <c r="D92" s="10" t="n">
        <v>2.381</v>
      </c>
      <c r="E92" s="11" t="n">
        <v>1</v>
      </c>
      <c r="F92" s="5" t="str">
        <f aca="false">INDEX(Factores!$C$29:$C$36,MATCH(E92,Factores!$A$29:$A$36,0))</f>
        <v>A+</v>
      </c>
      <c r="G92" s="8" t="n">
        <v>0.0567</v>
      </c>
      <c r="H92" s="11" t="n">
        <v>0</v>
      </c>
      <c r="I92" s="20" t="n">
        <v>3.25</v>
      </c>
      <c r="J92" s="20" t="n">
        <v>4</v>
      </c>
      <c r="K92" s="11" t="n">
        <v>11</v>
      </c>
      <c r="L92" s="22" t="s">
        <v>155</v>
      </c>
      <c r="M92" s="28" t="n">
        <f aca="false">IF(Supuestos!$C$23=1,AVERAGE(I92:J92),MIN(I92:J92))</f>
        <v>3.625</v>
      </c>
      <c r="N92" s="28" t="n">
        <f aca="false">INDEX(IF(H92=1,Factores!$C$6:$C$9,Factores!$B$6:$B$9),MATCH(M92,Factores!$A$6:$A$9,1))</f>
        <v>0.8</v>
      </c>
      <c r="O92" s="28" t="n">
        <f aca="false">INDEX(Factores!$B$13:$B$16,MATCH(B92,Factores!$A$13:$A$16,1))</f>
        <v>0.95</v>
      </c>
      <c r="P92" s="28" t="n">
        <f aca="false">M92*N92*O92</f>
        <v>2.755</v>
      </c>
      <c r="Q92" s="15" t="n">
        <f aca="false">LE!B90</f>
        <v>4.94861966545098</v>
      </c>
      <c r="R92" s="27" t="n">
        <f aca="false">D92/$D$3</f>
        <v>0.0052911052321053</v>
      </c>
    </row>
    <row r="93" customFormat="false" ht="15" hidden="false" customHeight="false" outlineLevel="0" collapsed="false">
      <c r="A93" s="11" t="n">
        <v>88</v>
      </c>
      <c r="B93" s="11" t="n">
        <v>81</v>
      </c>
      <c r="C93" s="22" t="s">
        <v>150</v>
      </c>
      <c r="D93" s="10" t="n">
        <v>1.1806</v>
      </c>
      <c r="E93" s="11" t="n">
        <v>5</v>
      </c>
      <c r="F93" s="5" t="str">
        <f aca="false">INDEX(Factores!$C$29:$C$36,MATCH(E93,Factores!$A$29:$A$36,0))</f>
        <v>A-</v>
      </c>
      <c r="G93" s="8" t="n">
        <v>0.0536</v>
      </c>
      <c r="H93" s="11" t="n">
        <v>0</v>
      </c>
      <c r="I93" s="20" t="n">
        <v>2</v>
      </c>
      <c r="J93" s="20" t="n">
        <v>2</v>
      </c>
      <c r="K93" s="11" t="n">
        <v>3</v>
      </c>
      <c r="L93" s="22" t="s">
        <v>151</v>
      </c>
      <c r="M93" s="28" t="n">
        <f aca="false">IF(Supuestos!$C$23=1,AVERAGE(I93:J93),MIN(I93:J93))</f>
        <v>2</v>
      </c>
      <c r="N93" s="28" t="n">
        <f aca="false">INDEX(IF(H93=1,Factores!$C$6:$C$9,Factores!$B$6:$B$9),MATCH(M93,Factores!$A$6:$A$9,1))</f>
        <v>0.88</v>
      </c>
      <c r="O93" s="28" t="n">
        <f aca="false">INDEX(Factores!$B$13:$B$16,MATCH(B93,Factores!$A$13:$A$16,1))</f>
        <v>0.95</v>
      </c>
      <c r="P93" s="28" t="n">
        <f aca="false">M93*N93*O93</f>
        <v>1.672</v>
      </c>
      <c r="Q93" s="15" t="n">
        <f aca="false">LE!B91</f>
        <v>8.07218027340954</v>
      </c>
      <c r="R93" s="27" t="n">
        <f aca="false">D93/$D$3</f>
        <v>0.00262355264049707</v>
      </c>
    </row>
    <row r="94" customFormat="false" ht="15" hidden="false" customHeight="false" outlineLevel="0" collapsed="false">
      <c r="A94" s="11" t="n">
        <v>89</v>
      </c>
      <c r="B94" s="11" t="n">
        <v>89</v>
      </c>
      <c r="C94" s="22" t="s">
        <v>147</v>
      </c>
      <c r="D94" s="10" t="n">
        <v>1.8421</v>
      </c>
      <c r="E94" s="11" t="n">
        <v>3</v>
      </c>
      <c r="F94" s="5" t="str">
        <f aca="false">INDEX(Factores!$C$29:$C$36,MATCH(E94,Factores!$A$29:$A$36,0))</f>
        <v>A</v>
      </c>
      <c r="G94" s="8" t="n">
        <v>0.0682</v>
      </c>
      <c r="H94" s="11" t="n">
        <v>0</v>
      </c>
      <c r="I94" s="20" t="n">
        <v>1.5</v>
      </c>
      <c r="J94" s="20" t="n">
        <v>1.5</v>
      </c>
      <c r="K94" s="11" t="n">
        <v>4</v>
      </c>
      <c r="L94" s="22" t="s">
        <v>155</v>
      </c>
      <c r="M94" s="28" t="n">
        <f aca="false">IF(Supuestos!$C$23=1,AVERAGE(I94:J94),MIN(I94:J94))</f>
        <v>1.5</v>
      </c>
      <c r="N94" s="28" t="n">
        <f aca="false">INDEX(IF(H94=1,Factores!$C$6:$C$9,Factores!$B$6:$B$9),MATCH(M94,Factores!$A$6:$A$9,1))</f>
        <v>0.88</v>
      </c>
      <c r="O94" s="28" t="n">
        <f aca="false">INDEX(Factores!$B$13:$B$16,MATCH(B94,Factores!$A$13:$A$16,1))</f>
        <v>1</v>
      </c>
      <c r="P94" s="28" t="n">
        <f aca="false">M94*N94*O94</f>
        <v>1.32</v>
      </c>
      <c r="Q94" s="15" t="n">
        <f aca="false">LE!B92</f>
        <v>4.90041622314924</v>
      </c>
      <c r="R94" s="27" t="n">
        <f aca="false">D94/$D$3</f>
        <v>0.00409355100716555</v>
      </c>
    </row>
    <row r="95" customFormat="false" ht="15" hidden="false" customHeight="false" outlineLevel="0" collapsed="false">
      <c r="A95" s="11" t="n">
        <v>90</v>
      </c>
      <c r="B95" s="11" t="n">
        <v>86</v>
      </c>
      <c r="C95" s="22" t="s">
        <v>150</v>
      </c>
      <c r="D95" s="10" t="n">
        <v>1.377</v>
      </c>
      <c r="E95" s="11" t="n">
        <v>5</v>
      </c>
      <c r="F95" s="5" t="str">
        <f aca="false">INDEX(Factores!$C$29:$C$36,MATCH(E95,Factores!$A$29:$A$36,0))</f>
        <v>A-</v>
      </c>
      <c r="G95" s="8" t="n">
        <v>0.0541</v>
      </c>
      <c r="H95" s="11" t="n">
        <v>0</v>
      </c>
      <c r="I95" s="20" t="n">
        <v>1.75</v>
      </c>
      <c r="J95" s="20" t="n">
        <v>2</v>
      </c>
      <c r="K95" s="11" t="n">
        <v>3</v>
      </c>
      <c r="L95" s="22" t="s">
        <v>149</v>
      </c>
      <c r="M95" s="28" t="n">
        <f aca="false">IF(Supuestos!$C$23=1,AVERAGE(I95:J95),MIN(I95:J95))</f>
        <v>1.875</v>
      </c>
      <c r="N95" s="28" t="n">
        <f aca="false">INDEX(IF(H95=1,Factores!$C$6:$C$9,Factores!$B$6:$B$9),MATCH(M95,Factores!$A$6:$A$9,1))</f>
        <v>0.88</v>
      </c>
      <c r="O95" s="28" t="n">
        <f aca="false">INDEX(Factores!$B$13:$B$16,MATCH(B95,Factores!$A$13:$A$16,1))</f>
        <v>1</v>
      </c>
      <c r="P95" s="28" t="n">
        <f aca="false">M95*N95*O95</f>
        <v>1.65</v>
      </c>
      <c r="Q95" s="15" t="n">
        <f aca="false">LE!B93</f>
        <v>5.44826147771759</v>
      </c>
      <c r="R95" s="27" t="n">
        <f aca="false">D95/$D$3</f>
        <v>0.00305999660000378</v>
      </c>
    </row>
    <row r="96" customFormat="false" ht="15" hidden="false" customHeight="false" outlineLevel="0" collapsed="false">
      <c r="A96" s="11" t="n">
        <v>91</v>
      </c>
      <c r="B96" s="11" t="n">
        <v>83</v>
      </c>
      <c r="C96" s="22" t="s">
        <v>147</v>
      </c>
      <c r="D96" s="10" t="n">
        <v>1.2268</v>
      </c>
      <c r="E96" s="11" t="n">
        <v>2</v>
      </c>
      <c r="F96" s="5" t="str">
        <f aca="false">INDEX(Factores!$C$29:$C$36,MATCH(E96,Factores!$A$29:$A$36,0))</f>
        <v>A+</v>
      </c>
      <c r="G96" s="8" t="n">
        <v>0.0478</v>
      </c>
      <c r="H96" s="11" t="n">
        <v>0</v>
      </c>
      <c r="I96" s="20" t="n">
        <v>1.75</v>
      </c>
      <c r="J96" s="20" t="n">
        <v>2.25</v>
      </c>
      <c r="K96" s="11" t="n">
        <v>4</v>
      </c>
      <c r="L96" s="22" t="s">
        <v>151</v>
      </c>
      <c r="M96" s="28" t="n">
        <f aca="false">IF(Supuestos!$C$23=1,AVERAGE(I96:J96),MIN(I96:J96))</f>
        <v>2</v>
      </c>
      <c r="N96" s="28" t="n">
        <f aca="false">INDEX(IF(H96=1,Factores!$C$6:$C$9,Factores!$B$6:$B$9),MATCH(M96,Factores!$A$6:$A$9,1))</f>
        <v>0.88</v>
      </c>
      <c r="O96" s="28" t="n">
        <f aca="false">INDEX(Factores!$B$13:$B$16,MATCH(B96,Factores!$A$13:$A$16,1))</f>
        <v>0.95</v>
      </c>
      <c r="P96" s="28" t="n">
        <f aca="false">M96*N96*O96</f>
        <v>1.672</v>
      </c>
      <c r="Q96" s="15" t="n">
        <f aca="false">LE!B94</f>
        <v>6.91439887581658</v>
      </c>
      <c r="R96" s="27" t="n">
        <f aca="false">D96/$D$3</f>
        <v>0.00272621919308979</v>
      </c>
    </row>
    <row r="97" customFormat="false" ht="15" hidden="false" customHeight="false" outlineLevel="0" collapsed="false">
      <c r="A97" s="11" t="n">
        <v>92</v>
      </c>
      <c r="B97" s="11" t="n">
        <v>86</v>
      </c>
      <c r="C97" s="22" t="s">
        <v>150</v>
      </c>
      <c r="D97" s="10" t="n">
        <v>1.2545</v>
      </c>
      <c r="E97" s="11" t="n">
        <v>3</v>
      </c>
      <c r="F97" s="5" t="str">
        <f aca="false">INDEX(Factores!$C$29:$C$36,MATCH(E97,Factores!$A$29:$A$36,0))</f>
        <v>A</v>
      </c>
      <c r="G97" s="8" t="n">
        <v>0.0542</v>
      </c>
      <c r="H97" s="11" t="n">
        <v>0</v>
      </c>
      <c r="I97" s="20" t="n">
        <v>2.75</v>
      </c>
      <c r="J97" s="20" t="n">
        <v>2.5</v>
      </c>
      <c r="K97" s="11" t="n">
        <v>8</v>
      </c>
      <c r="L97" s="22" t="s">
        <v>153</v>
      </c>
      <c r="M97" s="28" t="n">
        <f aca="false">IF(Supuestos!$C$23=1,AVERAGE(I97:J97),MIN(I97:J97))</f>
        <v>2.625</v>
      </c>
      <c r="N97" s="28" t="n">
        <f aca="false">INDEX(IF(H97=1,Factores!$C$6:$C$9,Factores!$B$6:$B$9),MATCH(M97,Factores!$A$6:$A$9,1))</f>
        <v>0.88</v>
      </c>
      <c r="O97" s="28" t="n">
        <f aca="false">INDEX(Factores!$B$13:$B$16,MATCH(B97,Factores!$A$13:$A$16,1))</f>
        <v>1</v>
      </c>
      <c r="P97" s="28" t="n">
        <f aca="false">M97*N97*O97</f>
        <v>2.31</v>
      </c>
      <c r="Q97" s="15" t="n">
        <f aca="false">LE!B95</f>
        <v>4.2631572786521</v>
      </c>
      <c r="R97" s="27" t="n">
        <f aca="false">D97/$D$3</f>
        <v>0.00278777468025036</v>
      </c>
    </row>
    <row r="98" customFormat="false" ht="15" hidden="false" customHeight="false" outlineLevel="0" collapsed="false">
      <c r="A98" s="11" t="n">
        <v>93</v>
      </c>
      <c r="B98" s="11" t="n">
        <v>81</v>
      </c>
      <c r="C98" s="22" t="s">
        <v>147</v>
      </c>
      <c r="D98" s="10" t="n">
        <v>0.8142</v>
      </c>
      <c r="E98" s="11" t="n">
        <v>6</v>
      </c>
      <c r="F98" s="5" t="str">
        <f aca="false">INDEX(Factores!$C$29:$C$36,MATCH(E98,Factores!$A$29:$A$36,0))</f>
        <v>A</v>
      </c>
      <c r="G98" s="8" t="n">
        <v>0.0539</v>
      </c>
      <c r="H98" s="11" t="n">
        <v>0</v>
      </c>
      <c r="I98" s="20" t="n">
        <v>1</v>
      </c>
      <c r="J98" s="20" t="n">
        <v>1</v>
      </c>
      <c r="K98" s="11" t="n">
        <v>6</v>
      </c>
      <c r="L98" s="22" t="s">
        <v>148</v>
      </c>
      <c r="M98" s="28" t="n">
        <f aca="false">IF(Supuestos!$C$23=1,AVERAGE(I98:J98),MIN(I98:J98))</f>
        <v>1</v>
      </c>
      <c r="N98" s="28" t="n">
        <f aca="false">INDEX(IF(H98=1,Factores!$C$6:$C$9,Factores!$B$6:$B$9),MATCH(M98,Factores!$A$6:$A$9,1))</f>
        <v>0.95</v>
      </c>
      <c r="O98" s="28" t="n">
        <f aca="false">INDEX(Factores!$B$13:$B$16,MATCH(B98,Factores!$A$13:$A$16,1))</f>
        <v>0.95</v>
      </c>
      <c r="P98" s="28" t="n">
        <f aca="false">M98*N98*O98</f>
        <v>0.9025</v>
      </c>
      <c r="Q98" s="15" t="n">
        <f aca="false">LE!B96</f>
        <v>10.2127984188882</v>
      </c>
      <c r="R98" s="27" t="n">
        <f aca="false">D98/$D$3</f>
        <v>0.0018093313229652</v>
      </c>
    </row>
    <row r="99" customFormat="false" ht="15" hidden="false" customHeight="false" outlineLevel="0" collapsed="false">
      <c r="A99" s="11" t="n">
        <v>94</v>
      </c>
      <c r="B99" s="11" t="n">
        <v>88</v>
      </c>
      <c r="C99" s="22" t="s">
        <v>147</v>
      </c>
      <c r="D99" s="10" t="n">
        <v>0.7631</v>
      </c>
      <c r="E99" s="11" t="n">
        <v>1</v>
      </c>
      <c r="F99" s="5" t="str">
        <f aca="false">INDEX(Factores!$C$29:$C$36,MATCH(E99,Factores!$A$29:$A$36,0))</f>
        <v>A+</v>
      </c>
      <c r="G99" s="8" t="n">
        <v>0.0616</v>
      </c>
      <c r="H99" s="11" t="n">
        <v>1</v>
      </c>
      <c r="I99" s="20" t="n">
        <v>1.25</v>
      </c>
      <c r="J99" s="20" t="n">
        <v>1.25</v>
      </c>
      <c r="K99" s="11" t="n">
        <v>9</v>
      </c>
      <c r="L99" s="22" t="s">
        <v>153</v>
      </c>
      <c r="M99" s="28" t="n">
        <f aca="false">IF(Supuestos!$C$23=1,AVERAGE(I99:J99),MIN(I99:J99))</f>
        <v>1.25</v>
      </c>
      <c r="N99" s="28" t="n">
        <f aca="false">INDEX(IF(H99=1,Factores!$C$6:$C$9,Factores!$B$6:$B$9),MATCH(M99,Factores!$A$6:$A$9,1))</f>
        <v>0.9</v>
      </c>
      <c r="O99" s="28" t="n">
        <f aca="false">INDEX(Factores!$B$13:$B$16,MATCH(B99,Factores!$A$13:$A$16,1))</f>
        <v>1</v>
      </c>
      <c r="P99" s="28" t="n">
        <f aca="false">M99*N99*O99</f>
        <v>1.125</v>
      </c>
      <c r="Q99" s="15" t="n">
        <f aca="false">LE!B97</f>
        <v>5.83694211076874</v>
      </c>
      <c r="R99" s="27" t="n">
        <f aca="false">D99/$D$3</f>
        <v>0.00169577589358234</v>
      </c>
    </row>
    <row r="100" customFormat="false" ht="15" hidden="false" customHeight="false" outlineLevel="0" collapsed="false">
      <c r="A100" s="11" t="n">
        <v>95</v>
      </c>
      <c r="B100" s="11" t="n">
        <v>83</v>
      </c>
      <c r="C100" s="22" t="s">
        <v>147</v>
      </c>
      <c r="D100" s="10" t="n">
        <v>2.0893</v>
      </c>
      <c r="E100" s="11" t="n">
        <v>2</v>
      </c>
      <c r="F100" s="5" t="str">
        <f aca="false">INDEX(Factores!$C$29:$C$36,MATCH(E100,Factores!$A$29:$A$36,0))</f>
        <v>A+</v>
      </c>
      <c r="G100" s="8" t="n">
        <v>0.0574</v>
      </c>
      <c r="H100" s="11" t="n">
        <v>0</v>
      </c>
      <c r="I100" s="20" t="n">
        <v>1.75</v>
      </c>
      <c r="J100" s="20" t="n">
        <v>1.75</v>
      </c>
      <c r="K100" s="11" t="n">
        <v>8</v>
      </c>
      <c r="L100" s="22" t="s">
        <v>151</v>
      </c>
      <c r="M100" s="28" t="n">
        <f aca="false">IF(Supuestos!$C$23=1,AVERAGE(I100:J100),MIN(I100:J100))</f>
        <v>1.75</v>
      </c>
      <c r="N100" s="28" t="n">
        <f aca="false">INDEX(IF(H100=1,Factores!$C$6:$C$9,Factores!$B$6:$B$9),MATCH(M100,Factores!$A$6:$A$9,1))</f>
        <v>0.88</v>
      </c>
      <c r="O100" s="28" t="n">
        <f aca="false">INDEX(Factores!$B$13:$B$16,MATCH(B100,Factores!$A$13:$A$16,1))</f>
        <v>0.95</v>
      </c>
      <c r="P100" s="28" t="n">
        <f aca="false">M100*N100*O100</f>
        <v>1.463</v>
      </c>
      <c r="Q100" s="15" t="n">
        <f aca="false">LE!B98</f>
        <v>7.41975713786944</v>
      </c>
      <c r="R100" s="27" t="n">
        <f aca="false">D100/$D$3</f>
        <v>0.00464288373012919</v>
      </c>
    </row>
    <row r="101" customFormat="false" ht="15" hidden="false" customHeight="false" outlineLevel="0" collapsed="false">
      <c r="A101" s="11" t="n">
        <v>96</v>
      </c>
      <c r="B101" s="11" t="n">
        <v>86</v>
      </c>
      <c r="C101" s="22" t="s">
        <v>147</v>
      </c>
      <c r="D101" s="10" t="n">
        <v>1.3409</v>
      </c>
      <c r="E101" s="11" t="n">
        <v>3</v>
      </c>
      <c r="F101" s="5" t="str">
        <f aca="false">INDEX(Factores!$C$29:$C$36,MATCH(E101,Factores!$A$29:$A$36,0))</f>
        <v>A</v>
      </c>
      <c r="G101" s="8" t="n">
        <v>0.0623</v>
      </c>
      <c r="H101" s="11" t="n">
        <v>0</v>
      </c>
      <c r="I101" s="20" t="n">
        <v>6</v>
      </c>
      <c r="J101" s="20" t="n">
        <v>5</v>
      </c>
      <c r="K101" s="11" t="n">
        <v>11</v>
      </c>
      <c r="L101" s="22" t="s">
        <v>154</v>
      </c>
      <c r="M101" s="28" t="n">
        <f aca="false">IF(Supuestos!$C$23=1,AVERAGE(I101:J101),MIN(I101:J101))</f>
        <v>5.5</v>
      </c>
      <c r="N101" s="28" t="n">
        <f aca="false">INDEX(IF(H101=1,Factores!$C$6:$C$9,Factores!$B$6:$B$9),MATCH(M101,Factores!$A$6:$A$9,1))</f>
        <v>0.72</v>
      </c>
      <c r="O101" s="28" t="n">
        <f aca="false">INDEX(Factores!$B$13:$B$16,MATCH(B101,Factores!$A$13:$A$16,1))</f>
        <v>1</v>
      </c>
      <c r="P101" s="28" t="n">
        <f aca="false">M101*N101*O101</f>
        <v>3.96</v>
      </c>
      <c r="Q101" s="15" t="n">
        <f aca="false">LE!B99</f>
        <v>2.58806482112566</v>
      </c>
      <c r="R101" s="27" t="n">
        <f aca="false">D101/$D$3</f>
        <v>0.00297977446691726</v>
      </c>
    </row>
    <row r="102" customFormat="false" ht="15" hidden="false" customHeight="false" outlineLevel="0" collapsed="false">
      <c r="A102" s="11" t="n">
        <v>97</v>
      </c>
      <c r="B102" s="11" t="n">
        <v>77</v>
      </c>
      <c r="C102" s="22" t="s">
        <v>150</v>
      </c>
      <c r="D102" s="10" t="n">
        <v>1.6108</v>
      </c>
      <c r="E102" s="11" t="n">
        <v>6</v>
      </c>
      <c r="F102" s="5" t="str">
        <f aca="false">INDEX(Factores!$C$29:$C$36,MATCH(E102,Factores!$A$29:$A$36,0))</f>
        <v>A</v>
      </c>
      <c r="G102" s="8" t="n">
        <v>0.0444</v>
      </c>
      <c r="H102" s="11" t="n">
        <v>0</v>
      </c>
      <c r="I102" s="20" t="n">
        <v>3</v>
      </c>
      <c r="J102" s="20" t="n">
        <v>3.75</v>
      </c>
      <c r="K102" s="11" t="n">
        <v>5</v>
      </c>
      <c r="L102" s="22" t="s">
        <v>148</v>
      </c>
      <c r="M102" s="28" t="n">
        <f aca="false">IF(Supuestos!$C$23=1,AVERAGE(I102:J102),MIN(I102:J102))</f>
        <v>3.375</v>
      </c>
      <c r="N102" s="28" t="n">
        <f aca="false">INDEX(IF(H102=1,Factores!$C$6:$C$9,Factores!$B$6:$B$9),MATCH(M102,Factores!$A$6:$A$9,1))</f>
        <v>0.8</v>
      </c>
      <c r="O102" s="28" t="n">
        <f aca="false">INDEX(Factores!$B$13:$B$16,MATCH(B102,Factores!$A$13:$A$16,1))</f>
        <v>0.95</v>
      </c>
      <c r="P102" s="28" t="n">
        <f aca="false">M102*N102*O102</f>
        <v>2.565</v>
      </c>
      <c r="Q102" s="15" t="n">
        <f aca="false">LE!B100</f>
        <v>8.8579178972273</v>
      </c>
      <c r="R102" s="27" t="n">
        <f aca="false">D102/$D$3</f>
        <v>0.00357955157827602</v>
      </c>
    </row>
    <row r="103" customFormat="false" ht="15" hidden="false" customHeight="false" outlineLevel="0" collapsed="false">
      <c r="A103" s="11" t="n">
        <v>98</v>
      </c>
      <c r="B103" s="11" t="n">
        <v>85</v>
      </c>
      <c r="C103" s="22" t="s">
        <v>150</v>
      </c>
      <c r="D103" s="10" t="n">
        <v>2.2936</v>
      </c>
      <c r="E103" s="11" t="n">
        <v>2</v>
      </c>
      <c r="F103" s="5" t="str">
        <f aca="false">INDEX(Factores!$C$29:$C$36,MATCH(E103,Factores!$A$29:$A$36,0))</f>
        <v>A+</v>
      </c>
      <c r="G103" s="8" t="n">
        <v>0.0615</v>
      </c>
      <c r="H103" s="11" t="n">
        <v>1</v>
      </c>
      <c r="I103" s="20" t="n">
        <v>2</v>
      </c>
      <c r="J103" s="20" t="n">
        <v>1.75</v>
      </c>
      <c r="K103" s="11" t="n">
        <v>6</v>
      </c>
      <c r="L103" s="22" t="s">
        <v>155</v>
      </c>
      <c r="M103" s="28" t="n">
        <f aca="false">IF(Supuestos!$C$23=1,AVERAGE(I103:J103),MIN(I103:J103))</f>
        <v>1.875</v>
      </c>
      <c r="N103" s="28" t="n">
        <f aca="false">INDEX(IF(H103=1,Factores!$C$6:$C$9,Factores!$B$6:$B$9),MATCH(M103,Factores!$A$6:$A$9,1))</f>
        <v>0.82</v>
      </c>
      <c r="O103" s="28" t="n">
        <f aca="false">INDEX(Factores!$B$13:$B$16,MATCH(B103,Factores!$A$13:$A$16,1))</f>
        <v>1</v>
      </c>
      <c r="P103" s="28" t="n">
        <f aca="false">M103*N103*O103</f>
        <v>1.5375</v>
      </c>
      <c r="Q103" s="15" t="n">
        <f aca="false">LE!B101</f>
        <v>6.18165159176026</v>
      </c>
      <c r="R103" s="27" t="n">
        <f aca="false">D103/$D$3</f>
        <v>0.00509688322568531</v>
      </c>
    </row>
    <row r="104" customFormat="false" ht="15" hidden="false" customHeight="false" outlineLevel="0" collapsed="false">
      <c r="A104" s="11" t="n">
        <v>99</v>
      </c>
      <c r="B104" s="11" t="n">
        <v>75</v>
      </c>
      <c r="C104" s="22" t="s">
        <v>150</v>
      </c>
      <c r="D104" s="10" t="n">
        <v>0.67</v>
      </c>
      <c r="E104" s="11" t="n">
        <v>6</v>
      </c>
      <c r="F104" s="5" t="str">
        <f aca="false">INDEX(Factores!$C$29:$C$36,MATCH(E104,Factores!$A$29:$A$36,0))</f>
        <v>A</v>
      </c>
      <c r="G104" s="8" t="n">
        <v>0.0321</v>
      </c>
      <c r="H104" s="11" t="n">
        <v>0</v>
      </c>
      <c r="I104" s="20" t="n">
        <v>2.75</v>
      </c>
      <c r="J104" s="20" t="n">
        <v>3</v>
      </c>
      <c r="K104" s="11" t="n">
        <v>3</v>
      </c>
      <c r="L104" s="22" t="s">
        <v>155</v>
      </c>
      <c r="M104" s="28" t="n">
        <f aca="false">IF(Supuestos!$C$23=1,AVERAGE(I104:J104),MIN(I104:J104))</f>
        <v>2.875</v>
      </c>
      <c r="N104" s="28" t="n">
        <f aca="false">INDEX(IF(H104=1,Factores!$C$6:$C$9,Factores!$B$6:$B$9),MATCH(M104,Factores!$A$6:$A$9,1))</f>
        <v>0.88</v>
      </c>
      <c r="O104" s="28" t="n">
        <f aca="false">INDEX(Factores!$B$13:$B$16,MATCH(B104,Factores!$A$13:$A$16,1))</f>
        <v>0.95</v>
      </c>
      <c r="P104" s="28" t="n">
        <f aca="false">M104*N104*O104</f>
        <v>2.4035</v>
      </c>
      <c r="Q104" s="15" t="n">
        <f aca="false">LE!B102</f>
        <v>10.6685846310336</v>
      </c>
      <c r="R104" s="27" t="n">
        <f aca="false">D104/$D$3</f>
        <v>0.00148888723456974</v>
      </c>
    </row>
    <row r="105" customFormat="false" ht="15" hidden="false" customHeight="false" outlineLevel="0" collapsed="false">
      <c r="A105" s="11" t="n">
        <v>100</v>
      </c>
      <c r="B105" s="11" t="n">
        <v>73</v>
      </c>
      <c r="C105" s="22" t="s">
        <v>150</v>
      </c>
      <c r="D105" s="10" t="n">
        <v>1.0269</v>
      </c>
      <c r="E105" s="11" t="n">
        <v>2</v>
      </c>
      <c r="F105" s="5" t="str">
        <f aca="false">INDEX(Factores!$C$29:$C$36,MATCH(E105,Factores!$A$29:$A$36,0))</f>
        <v>A+</v>
      </c>
      <c r="G105" s="8" t="n">
        <v>0.0267</v>
      </c>
      <c r="H105" s="11" t="n">
        <v>1</v>
      </c>
      <c r="I105" s="20" t="n">
        <v>5</v>
      </c>
      <c r="J105" s="20" t="n">
        <v>4.25</v>
      </c>
      <c r="K105" s="11" t="n">
        <v>11</v>
      </c>
      <c r="L105" s="22" t="s">
        <v>148</v>
      </c>
      <c r="M105" s="28" t="n">
        <f aca="false">IF(Supuestos!$C$23=1,AVERAGE(I105:J105),MIN(I105:J105))</f>
        <v>4.625</v>
      </c>
      <c r="N105" s="28" t="n">
        <f aca="false">INDEX(IF(H105=1,Factores!$C$6:$C$9,Factores!$B$6:$B$9),MATCH(M105,Factores!$A$6:$A$9,1))</f>
        <v>0.74</v>
      </c>
      <c r="O105" s="28" t="n">
        <f aca="false">INDEX(Factores!$B$13:$B$16,MATCH(B105,Factores!$A$13:$A$16,1))</f>
        <v>0.9</v>
      </c>
      <c r="P105" s="28" t="n">
        <f aca="false">M105*N105*O105</f>
        <v>3.08025</v>
      </c>
      <c r="Q105" s="15" t="n">
        <f aca="false">LE!B103</f>
        <v>11.077569715564</v>
      </c>
      <c r="R105" s="27" t="n">
        <f aca="false">D105/$D$3</f>
        <v>0.00228199746444726</v>
      </c>
    </row>
    <row r="106" customFormat="false" ht="15" hidden="false" customHeight="false" outlineLevel="0" collapsed="false">
      <c r="A106" s="11" t="n">
        <v>101</v>
      </c>
      <c r="B106" s="11" t="n">
        <v>81</v>
      </c>
      <c r="C106" s="22" t="s">
        <v>147</v>
      </c>
      <c r="D106" s="10" t="n">
        <v>1.5813</v>
      </c>
      <c r="E106" s="11" t="n">
        <v>2</v>
      </c>
      <c r="F106" s="5" t="str">
        <f aca="false">INDEX(Factores!$C$29:$C$36,MATCH(E106,Factores!$A$29:$A$36,0))</f>
        <v>A+</v>
      </c>
      <c r="G106" s="8" t="n">
        <v>0.0478</v>
      </c>
      <c r="H106" s="11" t="n">
        <v>0</v>
      </c>
      <c r="I106" s="20" t="n">
        <v>1.75</v>
      </c>
      <c r="J106" s="20" t="n">
        <v>2</v>
      </c>
      <c r="K106" s="11" t="n">
        <v>10</v>
      </c>
      <c r="L106" s="22" t="s">
        <v>154</v>
      </c>
      <c r="M106" s="28" t="n">
        <f aca="false">IF(Supuestos!$C$23=1,AVERAGE(I106:J106),MIN(I106:J106))</f>
        <v>1.875</v>
      </c>
      <c r="N106" s="28" t="n">
        <f aca="false">INDEX(IF(H106=1,Factores!$C$6:$C$9,Factores!$B$6:$B$9),MATCH(M106,Factores!$A$6:$A$9,1))</f>
        <v>0.88</v>
      </c>
      <c r="O106" s="28" t="n">
        <f aca="false">INDEX(Factores!$B$13:$B$16,MATCH(B106,Factores!$A$13:$A$16,1))</f>
        <v>0.95</v>
      </c>
      <c r="P106" s="28" t="n">
        <f aca="false">M106*N106*O106</f>
        <v>1.5675</v>
      </c>
      <c r="Q106" s="15" t="n">
        <f aca="false">LE!B104</f>
        <v>8.32525304026305</v>
      </c>
      <c r="R106" s="27" t="n">
        <f aca="false">D106/$D$3</f>
        <v>0.00351399609555989</v>
      </c>
    </row>
    <row r="107" customFormat="false" ht="15" hidden="false" customHeight="false" outlineLevel="0" collapsed="false">
      <c r="A107" s="11" t="n">
        <v>102</v>
      </c>
      <c r="B107" s="11" t="n">
        <v>79</v>
      </c>
      <c r="C107" s="22" t="s">
        <v>147</v>
      </c>
      <c r="D107" s="10" t="n">
        <v>1.7434</v>
      </c>
      <c r="E107" s="11" t="n">
        <v>4</v>
      </c>
      <c r="F107" s="5" t="str">
        <f aca="false">INDEX(Factores!$C$29:$C$36,MATCH(E107,Factores!$A$29:$A$36,0))</f>
        <v>A</v>
      </c>
      <c r="G107" s="8" t="n">
        <v>0.0432</v>
      </c>
      <c r="H107" s="11" t="n">
        <v>0</v>
      </c>
      <c r="I107" s="20" t="n">
        <v>1.75</v>
      </c>
      <c r="J107" s="20" t="n">
        <v>2</v>
      </c>
      <c r="K107" s="11" t="n">
        <v>5</v>
      </c>
      <c r="L107" s="22" t="s">
        <v>151</v>
      </c>
      <c r="M107" s="28" t="n">
        <f aca="false">IF(Supuestos!$C$23=1,AVERAGE(I107:J107),MIN(I107:J107))</f>
        <v>1.875</v>
      </c>
      <c r="N107" s="28" t="n">
        <f aca="false">INDEX(IF(H107=1,Factores!$C$6:$C$9,Factores!$B$6:$B$9),MATCH(M107,Factores!$A$6:$A$9,1))</f>
        <v>0.88</v>
      </c>
      <c r="O107" s="28" t="n">
        <f aca="false">INDEX(Factores!$B$13:$B$16,MATCH(B107,Factores!$A$13:$A$16,1))</f>
        <v>0.95</v>
      </c>
      <c r="P107" s="28" t="n">
        <f aca="false">M107*N107*O107</f>
        <v>1.5675</v>
      </c>
      <c r="Q107" s="15" t="n">
        <f aca="false">LE!B105</f>
        <v>9.60205306295506</v>
      </c>
      <c r="R107" s="27" t="n">
        <f aca="false">D107/$D$3</f>
        <v>0.00387421791753565</v>
      </c>
    </row>
    <row r="108" customFormat="false" ht="15" hidden="false" customHeight="false" outlineLevel="0" collapsed="false">
      <c r="A108" s="11" t="n">
        <v>103</v>
      </c>
      <c r="B108" s="11" t="n">
        <v>84</v>
      </c>
      <c r="C108" s="22" t="s">
        <v>150</v>
      </c>
      <c r="D108" s="10" t="n">
        <v>1.2333</v>
      </c>
      <c r="E108" s="11" t="n">
        <v>5</v>
      </c>
      <c r="F108" s="5" t="str">
        <f aca="false">INDEX(Factores!$C$29:$C$36,MATCH(E108,Factores!$A$29:$A$36,0))</f>
        <v>A-</v>
      </c>
      <c r="G108" s="8" t="n">
        <v>0.0529</v>
      </c>
      <c r="H108" s="11" t="n">
        <v>0</v>
      </c>
      <c r="I108" s="20" t="n">
        <v>3.5</v>
      </c>
      <c r="J108" s="20" t="n">
        <v>3.25</v>
      </c>
      <c r="K108" s="11" t="n">
        <v>5</v>
      </c>
      <c r="L108" s="22" t="s">
        <v>154</v>
      </c>
      <c r="M108" s="28" t="n">
        <f aca="false">IF(Supuestos!$C$23=1,AVERAGE(I108:J108),MIN(I108:J108))</f>
        <v>3.375</v>
      </c>
      <c r="N108" s="28" t="n">
        <f aca="false">INDEX(IF(H108=1,Factores!$C$6:$C$9,Factores!$B$6:$B$9),MATCH(M108,Factores!$A$6:$A$9,1))</f>
        <v>0.8</v>
      </c>
      <c r="O108" s="28" t="n">
        <f aca="false">INDEX(Factores!$B$13:$B$16,MATCH(B108,Factores!$A$13:$A$16,1))</f>
        <v>0.95</v>
      </c>
      <c r="P108" s="28" t="n">
        <f aca="false">M108*N108*O108</f>
        <v>2.565</v>
      </c>
      <c r="Q108" s="15" t="n">
        <f aca="false">LE!B106</f>
        <v>4.75359497869269</v>
      </c>
      <c r="R108" s="27" t="n">
        <f aca="false">D108/$D$3</f>
        <v>0.00274066362148487</v>
      </c>
    </row>
    <row r="109" customFormat="false" ht="15" hidden="false" customHeight="false" outlineLevel="0" collapsed="false">
      <c r="A109" s="11" t="n">
        <v>104</v>
      </c>
      <c r="B109" s="11" t="n">
        <v>94</v>
      </c>
      <c r="C109" s="22" t="s">
        <v>150</v>
      </c>
      <c r="D109" s="10" t="n">
        <v>2.3222</v>
      </c>
      <c r="E109" s="11" t="n">
        <v>7</v>
      </c>
      <c r="F109" s="5" t="str">
        <f aca="false">INDEX(Factores!$C$29:$C$36,MATCH(E109,Factores!$A$29:$A$36,0))</f>
        <v>A+</v>
      </c>
      <c r="G109" s="8" t="n">
        <v>0.0799</v>
      </c>
      <c r="H109" s="11" t="n">
        <v>1</v>
      </c>
      <c r="I109" s="20" t="n">
        <v>2.5</v>
      </c>
      <c r="J109" s="20" t="n">
        <v>3.75</v>
      </c>
      <c r="K109" s="11" t="n">
        <v>11</v>
      </c>
      <c r="L109" s="22" t="s">
        <v>155</v>
      </c>
      <c r="M109" s="28" t="n">
        <f aca="false">IF(Supuestos!$C$23=1,AVERAGE(I109:J109),MIN(I109:J109))</f>
        <v>3.125</v>
      </c>
      <c r="N109" s="28" t="n">
        <f aca="false">INDEX(IF(H109=1,Factores!$C$6:$C$9,Factores!$B$6:$B$9),MATCH(M109,Factores!$A$6:$A$9,1))</f>
        <v>0.74</v>
      </c>
      <c r="O109" s="28" t="n">
        <f aca="false">INDEX(Factores!$B$13:$B$16,MATCH(B109,Factores!$A$13:$A$16,1))</f>
        <v>1</v>
      </c>
      <c r="P109" s="28" t="n">
        <f aca="false">M109*N109*O109</f>
        <v>2.3125</v>
      </c>
      <c r="Q109" s="15" t="n">
        <f aca="false">LE!B107</f>
        <v>1.8533219888872</v>
      </c>
      <c r="R109" s="27" t="n">
        <f aca="false">D109/$D$3</f>
        <v>0.00516043871062366</v>
      </c>
    </row>
    <row r="110" customFormat="false" ht="15" hidden="false" customHeight="false" outlineLevel="0" collapsed="false">
      <c r="A110" s="11" t="n">
        <v>105</v>
      </c>
      <c r="B110" s="11" t="n">
        <v>79</v>
      </c>
      <c r="C110" s="22" t="s">
        <v>147</v>
      </c>
      <c r="D110" s="10" t="n">
        <v>1.6065</v>
      </c>
      <c r="E110" s="11" t="n">
        <v>7</v>
      </c>
      <c r="F110" s="5" t="str">
        <f aca="false">INDEX(Factores!$C$29:$C$36,MATCH(E110,Factores!$A$29:$A$36,0))</f>
        <v>A+</v>
      </c>
      <c r="G110" s="8" t="n">
        <v>0.0489</v>
      </c>
      <c r="H110" s="11" t="n">
        <v>0</v>
      </c>
      <c r="I110" s="20" t="n">
        <v>2.75</v>
      </c>
      <c r="J110" s="20" t="n">
        <v>3</v>
      </c>
      <c r="K110" s="11" t="n">
        <v>7</v>
      </c>
      <c r="L110" s="22" t="s">
        <v>152</v>
      </c>
      <c r="M110" s="28" t="n">
        <f aca="false">IF(Supuestos!$C$23=1,AVERAGE(I110:J110),MIN(I110:J110))</f>
        <v>2.875</v>
      </c>
      <c r="N110" s="28" t="n">
        <f aca="false">INDEX(IF(H110=1,Factores!$C$6:$C$9,Factores!$B$6:$B$9),MATCH(M110,Factores!$A$6:$A$9,1))</f>
        <v>0.88</v>
      </c>
      <c r="O110" s="28" t="n">
        <f aca="false">INDEX(Factores!$B$13:$B$16,MATCH(B110,Factores!$A$13:$A$16,1))</f>
        <v>0.95</v>
      </c>
      <c r="P110" s="28" t="n">
        <f aca="false">M110*N110*O110</f>
        <v>2.4035</v>
      </c>
      <c r="Q110" s="15" t="n">
        <f aca="false">LE!B108</f>
        <v>7.79310343298112</v>
      </c>
      <c r="R110" s="27" t="n">
        <f aca="false">D110/$D$3</f>
        <v>0.00356999603333774</v>
      </c>
    </row>
    <row r="111" customFormat="false" ht="15" hidden="false" customHeight="false" outlineLevel="0" collapsed="false">
      <c r="A111" s="11" t="n">
        <v>106</v>
      </c>
      <c r="B111" s="11" t="n">
        <v>80</v>
      </c>
      <c r="C111" s="22" t="s">
        <v>150</v>
      </c>
      <c r="D111" s="10" t="n">
        <v>0.8465</v>
      </c>
      <c r="E111" s="11" t="n">
        <v>2</v>
      </c>
      <c r="F111" s="5" t="str">
        <f aca="false">INDEX(Factores!$C$29:$C$36,MATCH(E111,Factores!$A$29:$A$36,0))</f>
        <v>A+</v>
      </c>
      <c r="G111" s="8" t="n">
        <v>0.0382</v>
      </c>
      <c r="H111" s="11" t="n">
        <v>0</v>
      </c>
      <c r="I111" s="20" t="n">
        <v>1.5</v>
      </c>
      <c r="J111" s="20" t="n">
        <v>2.25</v>
      </c>
      <c r="K111" s="11" t="n">
        <v>11</v>
      </c>
      <c r="L111" s="22" t="s">
        <v>155</v>
      </c>
      <c r="M111" s="28" t="n">
        <f aca="false">IF(Supuestos!$C$23=1,AVERAGE(I111:J111),MIN(I111:J111))</f>
        <v>1.875</v>
      </c>
      <c r="N111" s="28" t="n">
        <f aca="false">INDEX(IF(H111=1,Factores!$C$6:$C$9,Factores!$B$6:$B$9),MATCH(M111,Factores!$A$6:$A$9,1))</f>
        <v>0.88</v>
      </c>
      <c r="O111" s="28" t="n">
        <f aca="false">INDEX(Factores!$B$13:$B$16,MATCH(B111,Factores!$A$13:$A$16,1))</f>
        <v>0.95</v>
      </c>
      <c r="P111" s="28" t="n">
        <f aca="false">M111*N111*O111</f>
        <v>1.5675</v>
      </c>
      <c r="Q111" s="15" t="n">
        <f aca="false">LE!B109</f>
        <v>8.94987662879531</v>
      </c>
      <c r="R111" s="27" t="n">
        <f aca="false">D111/$D$3</f>
        <v>0.00188110902098998</v>
      </c>
    </row>
    <row r="112" customFormat="false" ht="15" hidden="false" customHeight="false" outlineLevel="0" collapsed="false">
      <c r="A112" s="11" t="n">
        <v>107</v>
      </c>
      <c r="B112" s="11" t="n">
        <v>84</v>
      </c>
      <c r="C112" s="22" t="s">
        <v>150</v>
      </c>
      <c r="D112" s="10" t="n">
        <v>0.9613</v>
      </c>
      <c r="E112" s="11" t="n">
        <v>5</v>
      </c>
      <c r="F112" s="5" t="str">
        <f aca="false">INDEX(Factores!$C$29:$C$36,MATCH(E112,Factores!$A$29:$A$36,0))</f>
        <v>A-</v>
      </c>
      <c r="G112" s="8" t="n">
        <v>0.056</v>
      </c>
      <c r="H112" s="11" t="n">
        <v>1</v>
      </c>
      <c r="I112" s="20" t="n">
        <v>4.75</v>
      </c>
      <c r="J112" s="20" t="n">
        <v>5.75</v>
      </c>
      <c r="K112" s="11" t="n">
        <v>5</v>
      </c>
      <c r="L112" s="22" t="s">
        <v>155</v>
      </c>
      <c r="M112" s="28" t="n">
        <f aca="false">IF(Supuestos!$C$23=1,AVERAGE(I112:J112),MIN(I112:J112))</f>
        <v>5.25</v>
      </c>
      <c r="N112" s="28" t="n">
        <f aca="false">INDEX(IF(H112=1,Factores!$C$6:$C$9,Factores!$B$6:$B$9),MATCH(M112,Factores!$A$6:$A$9,1))</f>
        <v>0.66</v>
      </c>
      <c r="O112" s="28" t="n">
        <f aca="false">INDEX(Factores!$B$13:$B$16,MATCH(B112,Factores!$A$13:$A$16,1))</f>
        <v>0.95</v>
      </c>
      <c r="P112" s="28" t="n">
        <f aca="false">M112*N112*O112</f>
        <v>3.29175</v>
      </c>
      <c r="Q112" s="15" t="n">
        <f aca="false">LE!B110</f>
        <v>3.85039995032098</v>
      </c>
      <c r="R112" s="27" t="n">
        <f aca="false">D112/$D$3</f>
        <v>0.00213621984864461</v>
      </c>
    </row>
    <row r="113" customFormat="false" ht="15" hidden="false" customHeight="false" outlineLevel="0" collapsed="false">
      <c r="A113" s="11" t="n">
        <v>108</v>
      </c>
      <c r="B113" s="11" t="n">
        <v>85</v>
      </c>
      <c r="C113" s="22" t="s">
        <v>150</v>
      </c>
      <c r="D113" s="10" t="n">
        <v>2.0998</v>
      </c>
      <c r="E113" s="11" t="n">
        <v>4</v>
      </c>
      <c r="F113" s="5" t="str">
        <f aca="false">INDEX(Factores!$C$29:$C$36,MATCH(E113,Factores!$A$29:$A$36,0))</f>
        <v>A</v>
      </c>
      <c r="G113" s="8" t="n">
        <v>0.0539</v>
      </c>
      <c r="H113" s="11" t="n">
        <v>1</v>
      </c>
      <c r="I113" s="20" t="n">
        <v>4.25</v>
      </c>
      <c r="J113" s="20" t="n">
        <v>3.75</v>
      </c>
      <c r="K113" s="11" t="n">
        <v>4</v>
      </c>
      <c r="L113" s="22" t="s">
        <v>153</v>
      </c>
      <c r="M113" s="28" t="n">
        <f aca="false">IF(Supuestos!$C$23=1,AVERAGE(I113:J113),MIN(I113:J113))</f>
        <v>4</v>
      </c>
      <c r="N113" s="28" t="n">
        <f aca="false">INDEX(IF(H113=1,Factores!$C$6:$C$9,Factores!$B$6:$B$9),MATCH(M113,Factores!$A$6:$A$9,1))</f>
        <v>0.74</v>
      </c>
      <c r="O113" s="28" t="n">
        <f aca="false">INDEX(Factores!$B$13:$B$16,MATCH(B113,Factores!$A$13:$A$16,1))</f>
        <v>1</v>
      </c>
      <c r="P113" s="28" t="n">
        <f aca="false">M113*N113*O113</f>
        <v>2.96</v>
      </c>
      <c r="Q113" s="15" t="n">
        <f aca="false">LE!B111</f>
        <v>3.81716177753433</v>
      </c>
      <c r="R113" s="27" t="n">
        <f aca="false">D113/$D$3</f>
        <v>0.00466621703753663</v>
      </c>
    </row>
    <row r="114" customFormat="false" ht="15" hidden="false" customHeight="false" outlineLevel="0" collapsed="false">
      <c r="A114" s="11" t="n">
        <v>109</v>
      </c>
      <c r="B114" s="11" t="n">
        <v>82</v>
      </c>
      <c r="C114" s="22" t="s">
        <v>147</v>
      </c>
      <c r="D114" s="10" t="n">
        <v>1.8006</v>
      </c>
      <c r="E114" s="11" t="n">
        <v>3</v>
      </c>
      <c r="F114" s="5" t="str">
        <f aca="false">INDEX(Factores!$C$29:$C$36,MATCH(E114,Factores!$A$29:$A$36,0))</f>
        <v>A</v>
      </c>
      <c r="G114" s="8" t="n">
        <v>0.0507</v>
      </c>
      <c r="H114" s="11" t="n">
        <v>0</v>
      </c>
      <c r="I114" s="20" t="n">
        <v>2.5</v>
      </c>
      <c r="J114" s="20" t="n">
        <v>2.25</v>
      </c>
      <c r="K114" s="11" t="n">
        <v>8</v>
      </c>
      <c r="L114" s="22" t="s">
        <v>154</v>
      </c>
      <c r="M114" s="28" t="n">
        <f aca="false">IF(Supuestos!$C$23=1,AVERAGE(I114:J114),MIN(I114:J114))</f>
        <v>2.375</v>
      </c>
      <c r="N114" s="28" t="n">
        <f aca="false">INDEX(IF(H114=1,Factores!$C$6:$C$9,Factores!$B$6:$B$9),MATCH(M114,Factores!$A$6:$A$9,1))</f>
        <v>0.88</v>
      </c>
      <c r="O114" s="28" t="n">
        <f aca="false">INDEX(Factores!$B$13:$B$16,MATCH(B114,Factores!$A$13:$A$16,1))</f>
        <v>0.95</v>
      </c>
      <c r="P114" s="28" t="n">
        <f aca="false">M114*N114*O114</f>
        <v>1.9855</v>
      </c>
      <c r="Q114" s="15" t="n">
        <f aca="false">LE!B112</f>
        <v>6.79175411769791</v>
      </c>
      <c r="R114" s="27" t="n">
        <f aca="false">D114/$D$3</f>
        <v>0.00400132888741235</v>
      </c>
    </row>
    <row r="115" customFormat="false" ht="15" hidden="false" customHeight="false" outlineLevel="0" collapsed="false">
      <c r="A115" s="11" t="n">
        <v>110</v>
      </c>
      <c r="B115" s="11" t="n">
        <v>82</v>
      </c>
      <c r="C115" s="22" t="s">
        <v>150</v>
      </c>
      <c r="D115" s="10" t="n">
        <v>0.6218</v>
      </c>
      <c r="E115" s="11" t="n">
        <v>6</v>
      </c>
      <c r="F115" s="5" t="str">
        <f aca="false">INDEX(Factores!$C$29:$C$36,MATCH(E115,Factores!$A$29:$A$36,0))</f>
        <v>A</v>
      </c>
      <c r="G115" s="8" t="n">
        <v>0.0534</v>
      </c>
      <c r="H115" s="11" t="n">
        <v>0</v>
      </c>
      <c r="I115" s="20" t="n">
        <v>2.75</v>
      </c>
      <c r="J115" s="20" t="n">
        <v>3</v>
      </c>
      <c r="K115" s="11" t="n">
        <v>10</v>
      </c>
      <c r="L115" s="22" t="s">
        <v>154</v>
      </c>
      <c r="M115" s="28" t="n">
        <f aca="false">IF(Supuestos!$C$23=1,AVERAGE(I115:J115),MIN(I115:J115))</f>
        <v>2.875</v>
      </c>
      <c r="N115" s="28" t="n">
        <f aca="false">INDEX(IF(H115=1,Factores!$C$6:$C$9,Factores!$B$6:$B$9),MATCH(M115,Factores!$A$6:$A$9,1))</f>
        <v>0.88</v>
      </c>
      <c r="O115" s="28" t="n">
        <f aca="false">INDEX(Factores!$B$13:$B$16,MATCH(B115,Factores!$A$13:$A$16,1))</f>
        <v>0.95</v>
      </c>
      <c r="P115" s="28" t="n">
        <f aca="false">M115*N115*O115</f>
        <v>2.4035</v>
      </c>
      <c r="Q115" s="15" t="n">
        <f aca="false">LE!B113</f>
        <v>6.00768871290442</v>
      </c>
      <c r="R115" s="27" t="n">
        <f aca="false">D115/$D$3</f>
        <v>0.00138177624247084</v>
      </c>
    </row>
    <row r="116" customFormat="false" ht="15" hidden="false" customHeight="false" outlineLevel="0" collapsed="false">
      <c r="A116" s="11" t="n">
        <v>111</v>
      </c>
      <c r="B116" s="11" t="n">
        <v>87</v>
      </c>
      <c r="C116" s="22" t="s">
        <v>147</v>
      </c>
      <c r="D116" s="10" t="n">
        <v>2.6801</v>
      </c>
      <c r="E116" s="11" t="n">
        <v>7</v>
      </c>
      <c r="F116" s="5" t="str">
        <f aca="false">INDEX(Factores!$C$29:$C$36,MATCH(E116,Factores!$A$29:$A$36,0))</f>
        <v>A+</v>
      </c>
      <c r="G116" s="8" t="n">
        <v>0.0623</v>
      </c>
      <c r="H116" s="11" t="n">
        <v>1</v>
      </c>
      <c r="I116" s="20" t="n">
        <v>1</v>
      </c>
      <c r="J116" s="20" t="n">
        <v>1</v>
      </c>
      <c r="K116" s="11" t="n">
        <v>3</v>
      </c>
      <c r="L116" s="22" t="s">
        <v>152</v>
      </c>
      <c r="M116" s="28" t="n">
        <f aca="false">IF(Supuestos!$C$23=1,AVERAGE(I116:J116),MIN(I116:J116))</f>
        <v>1</v>
      </c>
      <c r="N116" s="28" t="n">
        <f aca="false">INDEX(IF(H116=1,Factores!$C$6:$C$9,Factores!$B$6:$B$9),MATCH(M116,Factores!$A$6:$A$9,1))</f>
        <v>0.9</v>
      </c>
      <c r="O116" s="28" t="n">
        <f aca="false">INDEX(Factores!$B$13:$B$16,MATCH(B116,Factores!$A$13:$A$16,1))</f>
        <v>1</v>
      </c>
      <c r="P116" s="28" t="n">
        <f aca="false">M116*N116*O116</f>
        <v>0.9</v>
      </c>
      <c r="Q116" s="15" t="n">
        <f aca="false">LE!B114</f>
        <v>6.99311736304025</v>
      </c>
      <c r="R116" s="27" t="n">
        <f aca="false">D116/$D$3</f>
        <v>0.00595577116025427</v>
      </c>
    </row>
    <row r="117" customFormat="false" ht="15" hidden="false" customHeight="false" outlineLevel="0" collapsed="false">
      <c r="A117" s="11" t="n">
        <v>112</v>
      </c>
      <c r="B117" s="11" t="n">
        <v>86</v>
      </c>
      <c r="C117" s="22" t="s">
        <v>147</v>
      </c>
      <c r="D117" s="10" t="n">
        <v>1.9126</v>
      </c>
      <c r="E117" s="11" t="n">
        <v>3</v>
      </c>
      <c r="F117" s="5" t="str">
        <f aca="false">INDEX(Factores!$C$29:$C$36,MATCH(E117,Factores!$A$29:$A$36,0))</f>
        <v>A</v>
      </c>
      <c r="G117" s="8" t="n">
        <v>0.0631</v>
      </c>
      <c r="H117" s="11" t="n">
        <v>0</v>
      </c>
      <c r="I117" s="20" t="n">
        <v>2.75</v>
      </c>
      <c r="J117" s="20" t="n">
        <v>2.75</v>
      </c>
      <c r="K117" s="11" t="n">
        <v>9</v>
      </c>
      <c r="L117" s="22" t="s">
        <v>149</v>
      </c>
      <c r="M117" s="28" t="n">
        <f aca="false">IF(Supuestos!$C$23=1,AVERAGE(I117:J117),MIN(I117:J117))</f>
        <v>2.75</v>
      </c>
      <c r="N117" s="28" t="n">
        <f aca="false">INDEX(IF(H117=1,Factores!$C$6:$C$9,Factores!$B$6:$B$9),MATCH(M117,Factores!$A$6:$A$9,1))</f>
        <v>0.88</v>
      </c>
      <c r="O117" s="28" t="n">
        <f aca="false">INDEX(Factores!$B$13:$B$16,MATCH(B117,Factores!$A$13:$A$16,1))</f>
        <v>1</v>
      </c>
      <c r="P117" s="28" t="n">
        <f aca="false">M117*N117*O117</f>
        <v>2.42</v>
      </c>
      <c r="Q117" s="15" t="n">
        <f aca="false">LE!B115</f>
        <v>4.10399425881195</v>
      </c>
      <c r="R117" s="27" t="n">
        <f aca="false">D117/$D$3</f>
        <v>0.00425021749975833</v>
      </c>
    </row>
    <row r="118" customFormat="false" ht="15" hidden="false" customHeight="false" outlineLevel="0" collapsed="false">
      <c r="A118" s="11" t="n">
        <v>113</v>
      </c>
      <c r="B118" s="11" t="n">
        <v>78</v>
      </c>
      <c r="C118" s="22" t="s">
        <v>147</v>
      </c>
      <c r="D118" s="10" t="n">
        <v>2.6748</v>
      </c>
      <c r="E118" s="11" t="n">
        <v>7</v>
      </c>
      <c r="F118" s="5" t="str">
        <f aca="false">INDEX(Factores!$C$29:$C$36,MATCH(E118,Factores!$A$29:$A$36,0))</f>
        <v>A+</v>
      </c>
      <c r="G118" s="8" t="n">
        <v>0.0336</v>
      </c>
      <c r="H118" s="11" t="n">
        <v>0</v>
      </c>
      <c r="I118" s="20" t="n">
        <v>1.75</v>
      </c>
      <c r="J118" s="20" t="n">
        <v>1.75</v>
      </c>
      <c r="K118" s="11" t="n">
        <v>3</v>
      </c>
      <c r="L118" s="22" t="s">
        <v>151</v>
      </c>
      <c r="M118" s="28" t="n">
        <f aca="false">IF(Supuestos!$C$23=1,AVERAGE(I118:J118),MIN(I118:J118))</f>
        <v>1.75</v>
      </c>
      <c r="N118" s="28" t="n">
        <f aca="false">INDEX(IF(H118=1,Factores!$C$6:$C$9,Factores!$B$6:$B$9),MATCH(M118,Factores!$A$6:$A$9,1))</f>
        <v>0.88</v>
      </c>
      <c r="O118" s="28" t="n">
        <f aca="false">INDEX(Factores!$B$13:$B$16,MATCH(B118,Factores!$A$13:$A$16,1))</f>
        <v>0.95</v>
      </c>
      <c r="P118" s="28" t="n">
        <f aca="false">M118*N118*O118</f>
        <v>1.463</v>
      </c>
      <c r="Q118" s="15" t="n">
        <f aca="false">LE!B116</f>
        <v>10.5435458704076</v>
      </c>
      <c r="R118" s="27" t="n">
        <f aca="false">D118/$D$3</f>
        <v>0.00594399339556289</v>
      </c>
    </row>
    <row r="119" customFormat="false" ht="15" hidden="false" customHeight="false" outlineLevel="0" collapsed="false">
      <c r="A119" s="11" t="n">
        <v>114</v>
      </c>
      <c r="B119" s="11" t="n">
        <v>83</v>
      </c>
      <c r="C119" s="22" t="s">
        <v>147</v>
      </c>
      <c r="D119" s="10" t="n">
        <v>1.2296</v>
      </c>
      <c r="E119" s="11" t="n">
        <v>1</v>
      </c>
      <c r="F119" s="5" t="str">
        <f aca="false">INDEX(Factores!$C$29:$C$36,MATCH(E119,Factores!$A$29:$A$36,0))</f>
        <v>A+</v>
      </c>
      <c r="G119" s="8" t="n">
        <v>0.0569</v>
      </c>
      <c r="H119" s="11" t="n">
        <v>0</v>
      </c>
      <c r="I119" s="20" t="n">
        <v>2.5</v>
      </c>
      <c r="J119" s="20" t="n">
        <v>1.75</v>
      </c>
      <c r="K119" s="11" t="n">
        <v>9</v>
      </c>
      <c r="L119" s="22" t="s">
        <v>152</v>
      </c>
      <c r="M119" s="28" t="n">
        <f aca="false">IF(Supuestos!$C$23=1,AVERAGE(I119:J119),MIN(I119:J119))</f>
        <v>2.125</v>
      </c>
      <c r="N119" s="28" t="n">
        <f aca="false">INDEX(IF(H119=1,Factores!$C$6:$C$9,Factores!$B$6:$B$9),MATCH(M119,Factores!$A$6:$A$9,1))</f>
        <v>0.88</v>
      </c>
      <c r="O119" s="28" t="n">
        <f aca="false">INDEX(Factores!$B$13:$B$16,MATCH(B119,Factores!$A$13:$A$16,1))</f>
        <v>0.95</v>
      </c>
      <c r="P119" s="28" t="n">
        <f aca="false">M119*N119*O119</f>
        <v>1.7765</v>
      </c>
      <c r="Q119" s="15" t="n">
        <f aca="false">LE!B117</f>
        <v>6.67968823637793</v>
      </c>
      <c r="R119" s="27" t="n">
        <f aca="false">D119/$D$3</f>
        <v>0.00273244140839844</v>
      </c>
    </row>
    <row r="120" customFormat="false" ht="15" hidden="false" customHeight="false" outlineLevel="0" collapsed="false">
      <c r="A120" s="11" t="n">
        <v>115</v>
      </c>
      <c r="B120" s="11" t="n">
        <v>83</v>
      </c>
      <c r="C120" s="22" t="s">
        <v>147</v>
      </c>
      <c r="D120" s="10" t="n">
        <v>1.2793</v>
      </c>
      <c r="E120" s="11" t="n">
        <v>1</v>
      </c>
      <c r="F120" s="5" t="str">
        <f aca="false">INDEX(Factores!$C$29:$C$36,MATCH(E120,Factores!$A$29:$A$36,0))</f>
        <v>A+</v>
      </c>
      <c r="G120" s="8" t="n">
        <v>0.0501</v>
      </c>
      <c r="H120" s="11" t="n">
        <v>0</v>
      </c>
      <c r="I120" s="20" t="n">
        <v>2.75</v>
      </c>
      <c r="J120" s="20" t="n">
        <v>2.75</v>
      </c>
      <c r="K120" s="11" t="n">
        <v>10</v>
      </c>
      <c r="L120" s="22" t="s">
        <v>148</v>
      </c>
      <c r="M120" s="28" t="n">
        <f aca="false">IF(Supuestos!$C$23=1,AVERAGE(I120:J120),MIN(I120:J120))</f>
        <v>2.75</v>
      </c>
      <c r="N120" s="28" t="n">
        <f aca="false">INDEX(IF(H120=1,Factores!$C$6:$C$9,Factores!$B$6:$B$9),MATCH(M120,Factores!$A$6:$A$9,1))</f>
        <v>0.88</v>
      </c>
      <c r="O120" s="28" t="n">
        <f aca="false">INDEX(Factores!$B$13:$B$16,MATCH(B120,Factores!$A$13:$A$16,1))</f>
        <v>0.95</v>
      </c>
      <c r="P120" s="28" t="n">
        <f aca="false">M120*N120*O120</f>
        <v>2.299</v>
      </c>
      <c r="Q120" s="15" t="n">
        <f aca="false">LE!B118</f>
        <v>5.66155154780422</v>
      </c>
      <c r="R120" s="27" t="n">
        <f aca="false">D120/$D$3</f>
        <v>0.00284288573012697</v>
      </c>
    </row>
    <row r="121" customFormat="false" ht="15" hidden="false" customHeight="false" outlineLevel="0" collapsed="false">
      <c r="A121" s="11" t="n">
        <v>116</v>
      </c>
      <c r="B121" s="11" t="n">
        <v>78</v>
      </c>
      <c r="C121" s="22" t="s">
        <v>150</v>
      </c>
      <c r="D121" s="10" t="n">
        <v>0.8803</v>
      </c>
      <c r="E121" s="11" t="n">
        <v>5</v>
      </c>
      <c r="F121" s="5" t="str">
        <f aca="false">INDEX(Factores!$C$29:$C$36,MATCH(E121,Factores!$A$29:$A$36,0))</f>
        <v>A-</v>
      </c>
      <c r="G121" s="8" t="n">
        <v>0.0425</v>
      </c>
      <c r="H121" s="11" t="n">
        <v>0</v>
      </c>
      <c r="I121" s="20" t="n">
        <v>1.75</v>
      </c>
      <c r="J121" s="20" t="n">
        <v>1</v>
      </c>
      <c r="K121" s="11" t="n">
        <v>10</v>
      </c>
      <c r="L121" s="22" t="s">
        <v>149</v>
      </c>
      <c r="M121" s="28" t="n">
        <f aca="false">IF(Supuestos!$C$23=1,AVERAGE(I121:J121),MIN(I121:J121))</f>
        <v>1.375</v>
      </c>
      <c r="N121" s="28" t="n">
        <f aca="false">INDEX(IF(H121=1,Factores!$C$6:$C$9,Factores!$B$6:$B$9),MATCH(M121,Factores!$A$6:$A$9,1))</f>
        <v>0.95</v>
      </c>
      <c r="O121" s="28" t="n">
        <f aca="false">INDEX(Factores!$B$13:$B$16,MATCH(B121,Factores!$A$13:$A$16,1))</f>
        <v>0.95</v>
      </c>
      <c r="P121" s="28" t="n">
        <f aca="false">M121*N121*O121</f>
        <v>1.2409375</v>
      </c>
      <c r="Q121" s="15" t="n">
        <f aca="false">LE!B119</f>
        <v>11.1306695552403</v>
      </c>
      <c r="R121" s="27" t="n">
        <f aca="false">D121/$D$3</f>
        <v>0.00195622004864439</v>
      </c>
    </row>
    <row r="122" customFormat="false" ht="15" hidden="false" customHeight="false" outlineLevel="0" collapsed="false">
      <c r="A122" s="11" t="n">
        <v>117</v>
      </c>
      <c r="B122" s="11" t="n">
        <v>84</v>
      </c>
      <c r="C122" s="22" t="s">
        <v>150</v>
      </c>
      <c r="D122" s="10" t="n">
        <v>4.5767</v>
      </c>
      <c r="E122" s="11" t="n">
        <v>2</v>
      </c>
      <c r="F122" s="5" t="str">
        <f aca="false">INDEX(Factores!$C$29:$C$36,MATCH(E122,Factores!$A$29:$A$36,0))</f>
        <v>A+</v>
      </c>
      <c r="G122" s="8" t="n">
        <v>0.0557</v>
      </c>
      <c r="H122" s="11" t="n">
        <v>1</v>
      </c>
      <c r="I122" s="20" t="n">
        <v>1</v>
      </c>
      <c r="J122" s="20" t="n">
        <v>1</v>
      </c>
      <c r="K122" s="11" t="n">
        <v>8</v>
      </c>
      <c r="L122" s="22" t="s">
        <v>152</v>
      </c>
      <c r="M122" s="28" t="n">
        <f aca="false">IF(Supuestos!$C$23=1,AVERAGE(I122:J122),MIN(I122:J122))</f>
        <v>1</v>
      </c>
      <c r="N122" s="28" t="n">
        <f aca="false">INDEX(IF(H122=1,Factores!$C$6:$C$9,Factores!$B$6:$B$9),MATCH(M122,Factores!$A$6:$A$9,1))</f>
        <v>0.9</v>
      </c>
      <c r="O122" s="28" t="n">
        <f aca="false">INDEX(Factores!$B$13:$B$16,MATCH(B122,Factores!$A$13:$A$16,1))</f>
        <v>0.95</v>
      </c>
      <c r="P122" s="28" t="n">
        <f aca="false">M122*N122*O122</f>
        <v>0.855</v>
      </c>
      <c r="Q122" s="15" t="n">
        <f aca="false">LE!B120</f>
        <v>8.66411010150022</v>
      </c>
      <c r="R122" s="27" t="n">
        <f aca="false">D122/$D$3</f>
        <v>0.0101704331439632</v>
      </c>
    </row>
    <row r="123" customFormat="false" ht="15" hidden="false" customHeight="false" outlineLevel="0" collapsed="false">
      <c r="A123" s="11" t="n">
        <v>118</v>
      </c>
      <c r="B123" s="11" t="n">
        <v>79</v>
      </c>
      <c r="C123" s="22" t="s">
        <v>150</v>
      </c>
      <c r="D123" s="10" t="n">
        <v>1.3504</v>
      </c>
      <c r="E123" s="11" t="n">
        <v>4</v>
      </c>
      <c r="F123" s="5" t="str">
        <f aca="false">INDEX(Factores!$C$29:$C$36,MATCH(E123,Factores!$A$29:$A$36,0))</f>
        <v>A</v>
      </c>
      <c r="G123" s="8" t="n">
        <v>0.0322</v>
      </c>
      <c r="H123" s="11" t="n">
        <v>0</v>
      </c>
      <c r="I123" s="20" t="n">
        <v>2.25</v>
      </c>
      <c r="J123" s="20" t="n">
        <v>2</v>
      </c>
      <c r="K123" s="11" t="n">
        <v>7</v>
      </c>
      <c r="L123" s="22" t="s">
        <v>151</v>
      </c>
      <c r="M123" s="28" t="n">
        <f aca="false">IF(Supuestos!$C$23=1,AVERAGE(I123:J123),MIN(I123:J123))</f>
        <v>2.125</v>
      </c>
      <c r="N123" s="28" t="n">
        <f aca="false">INDEX(IF(H123=1,Factores!$C$6:$C$9,Factores!$B$6:$B$9),MATCH(M123,Factores!$A$6:$A$9,1))</f>
        <v>0.88</v>
      </c>
      <c r="O123" s="28" t="n">
        <f aca="false">INDEX(Factores!$B$13:$B$16,MATCH(B123,Factores!$A$13:$A$16,1))</f>
        <v>0.95</v>
      </c>
      <c r="P123" s="28" t="n">
        <f aca="false">M123*N123*O123</f>
        <v>1.7765</v>
      </c>
      <c r="Q123" s="15" t="n">
        <f aca="false">LE!B121</f>
        <v>9.10101656511559</v>
      </c>
      <c r="R123" s="27" t="n">
        <f aca="false">D123/$D$3</f>
        <v>0.00300088555457161</v>
      </c>
    </row>
    <row r="124" customFormat="false" ht="15" hidden="false" customHeight="false" outlineLevel="0" collapsed="false">
      <c r="A124" s="11" t="n">
        <v>119</v>
      </c>
      <c r="B124" s="11" t="n">
        <v>88</v>
      </c>
      <c r="C124" s="22" t="s">
        <v>147</v>
      </c>
      <c r="D124" s="10" t="n">
        <v>2.9855</v>
      </c>
      <c r="E124" s="11" t="n">
        <v>3</v>
      </c>
      <c r="F124" s="5" t="str">
        <f aca="false">INDEX(Factores!$C$29:$C$36,MATCH(E124,Factores!$A$29:$A$36,0))</f>
        <v>A</v>
      </c>
      <c r="G124" s="8" t="n">
        <v>0.062</v>
      </c>
      <c r="H124" s="11" t="n">
        <v>0</v>
      </c>
      <c r="I124" s="20" t="n">
        <v>1.5</v>
      </c>
      <c r="J124" s="20" t="n">
        <v>1.25</v>
      </c>
      <c r="K124" s="11" t="n">
        <v>4</v>
      </c>
      <c r="L124" s="22" t="s">
        <v>153</v>
      </c>
      <c r="M124" s="28" t="n">
        <f aca="false">IF(Supuestos!$C$23=1,AVERAGE(I124:J124),MIN(I124:J124))</f>
        <v>1.375</v>
      </c>
      <c r="N124" s="28" t="n">
        <f aca="false">INDEX(IF(H124=1,Factores!$C$6:$C$9,Factores!$B$6:$B$9),MATCH(M124,Factores!$A$6:$A$9,1))</f>
        <v>0.95</v>
      </c>
      <c r="O124" s="28" t="n">
        <f aca="false">INDEX(Factores!$B$13:$B$16,MATCH(B124,Factores!$A$13:$A$16,1))</f>
        <v>1</v>
      </c>
      <c r="P124" s="28" t="n">
        <f aca="false">M124*N124*O124</f>
        <v>1.30625</v>
      </c>
      <c r="Q124" s="15" t="n">
        <f aca="false">LE!B122</f>
        <v>5.3525494152483</v>
      </c>
      <c r="R124" s="27" t="n">
        <f aca="false">D124/$D$3</f>
        <v>0.0066344370728477</v>
      </c>
    </row>
    <row r="125" customFormat="false" ht="15" hidden="false" customHeight="false" outlineLevel="0" collapsed="false">
      <c r="A125" s="11" t="n">
        <v>120</v>
      </c>
      <c r="B125" s="11" t="n">
        <v>84</v>
      </c>
      <c r="C125" s="22" t="s">
        <v>147</v>
      </c>
      <c r="D125" s="10" t="n">
        <v>1.0921</v>
      </c>
      <c r="E125" s="11" t="n">
        <v>1</v>
      </c>
      <c r="F125" s="5" t="str">
        <f aca="false">INDEX(Factores!$C$29:$C$36,MATCH(E125,Factores!$A$29:$A$36,0))</f>
        <v>A+</v>
      </c>
      <c r="G125" s="8" t="n">
        <v>0.0559</v>
      </c>
      <c r="H125" s="11" t="n">
        <v>0</v>
      </c>
      <c r="I125" s="20" t="n">
        <v>1.75</v>
      </c>
      <c r="J125" s="20" t="n">
        <v>1.75</v>
      </c>
      <c r="K125" s="11" t="n">
        <v>7</v>
      </c>
      <c r="L125" s="22" t="s">
        <v>154</v>
      </c>
      <c r="M125" s="28" t="n">
        <f aca="false">IF(Supuestos!$C$23=1,AVERAGE(I125:J125),MIN(I125:J125))</f>
        <v>1.75</v>
      </c>
      <c r="N125" s="28" t="n">
        <f aca="false">INDEX(IF(H125=1,Factores!$C$6:$C$9,Factores!$B$6:$B$9),MATCH(M125,Factores!$A$6:$A$9,1))</f>
        <v>0.88</v>
      </c>
      <c r="O125" s="28" t="n">
        <f aca="false">INDEX(Factores!$B$13:$B$16,MATCH(B125,Factores!$A$13:$A$16,1))</f>
        <v>0.95</v>
      </c>
      <c r="P125" s="28" t="n">
        <f aca="false">M125*N125*O125</f>
        <v>1.463</v>
      </c>
      <c r="Q125" s="15" t="n">
        <f aca="false">LE!B123</f>
        <v>6.87641339439771</v>
      </c>
      <c r="R125" s="27" t="n">
        <f aca="false">D125/$D$3</f>
        <v>0.00242688619234868</v>
      </c>
    </row>
    <row r="126" customFormat="false" ht="15" hidden="false" customHeight="false" outlineLevel="0" collapsed="false">
      <c r="A126" s="11" t="n">
        <v>121</v>
      </c>
      <c r="B126" s="11" t="n">
        <v>83</v>
      </c>
      <c r="C126" s="22" t="s">
        <v>147</v>
      </c>
      <c r="D126" s="10" t="n">
        <v>1.5732</v>
      </c>
      <c r="E126" s="11" t="n">
        <v>5</v>
      </c>
      <c r="F126" s="5" t="str">
        <f aca="false">INDEX(Factores!$C$29:$C$36,MATCH(E126,Factores!$A$29:$A$36,0))</f>
        <v>A-</v>
      </c>
      <c r="G126" s="8" t="n">
        <v>0.0587</v>
      </c>
      <c r="H126" s="11" t="n">
        <v>1</v>
      </c>
      <c r="I126" s="20" t="n">
        <v>1.5</v>
      </c>
      <c r="J126" s="20" t="n">
        <v>1.5</v>
      </c>
      <c r="K126" s="11" t="n">
        <v>11</v>
      </c>
      <c r="L126" s="22" t="s">
        <v>151</v>
      </c>
      <c r="M126" s="28" t="n">
        <f aca="false">IF(Supuestos!$C$23=1,AVERAGE(I126:J126),MIN(I126:J126))</f>
        <v>1.5</v>
      </c>
      <c r="N126" s="28" t="n">
        <f aca="false">INDEX(IF(H126=1,Factores!$C$6:$C$9,Factores!$B$6:$B$9),MATCH(M126,Factores!$A$6:$A$9,1))</f>
        <v>0.82</v>
      </c>
      <c r="O126" s="28" t="n">
        <f aca="false">INDEX(Factores!$B$13:$B$16,MATCH(B126,Factores!$A$13:$A$16,1))</f>
        <v>0.95</v>
      </c>
      <c r="P126" s="28" t="n">
        <f aca="false">M126*N126*O126</f>
        <v>1.1685</v>
      </c>
      <c r="Q126" s="15" t="n">
        <f aca="false">LE!B124</f>
        <v>8.2224723271336</v>
      </c>
      <c r="R126" s="27" t="n">
        <f aca="false">D126/$D$3</f>
        <v>0.00349599611555987</v>
      </c>
    </row>
    <row r="127" customFormat="false" ht="15" hidden="false" customHeight="false" outlineLevel="0" collapsed="false">
      <c r="A127" s="11" t="n">
        <v>122</v>
      </c>
      <c r="B127" s="11" t="n">
        <v>80</v>
      </c>
      <c r="C127" s="22" t="s">
        <v>150</v>
      </c>
      <c r="D127" s="10" t="n">
        <v>0.6888</v>
      </c>
      <c r="E127" s="11" t="n">
        <v>5</v>
      </c>
      <c r="F127" s="5" t="str">
        <f aca="false">INDEX(Factores!$C$29:$C$36,MATCH(E127,Factores!$A$29:$A$36,0))</f>
        <v>A-</v>
      </c>
      <c r="G127" s="8" t="n">
        <v>0.0461</v>
      </c>
      <c r="H127" s="11" t="n">
        <v>0</v>
      </c>
      <c r="I127" s="20" t="n">
        <v>1.75</v>
      </c>
      <c r="J127" s="20" t="n">
        <v>1.25</v>
      </c>
      <c r="K127" s="11" t="n">
        <v>6</v>
      </c>
      <c r="L127" s="22" t="s">
        <v>153</v>
      </c>
      <c r="M127" s="28" t="n">
        <f aca="false">IF(Supuestos!$C$23=1,AVERAGE(I127:J127),MIN(I127:J127))</f>
        <v>1.5</v>
      </c>
      <c r="N127" s="28" t="n">
        <f aca="false">INDEX(IF(H127=1,Factores!$C$6:$C$9,Factores!$B$6:$B$9),MATCH(M127,Factores!$A$6:$A$9,1))</f>
        <v>0.88</v>
      </c>
      <c r="O127" s="28" t="n">
        <f aca="false">INDEX(Factores!$B$13:$B$16,MATCH(B127,Factores!$A$13:$A$16,1))</f>
        <v>0.95</v>
      </c>
      <c r="P127" s="28" t="n">
        <f aca="false">M127*N127*O127</f>
        <v>1.254</v>
      </c>
      <c r="Q127" s="15" t="n">
        <f aca="false">LE!B125</f>
        <v>9.77570802783928</v>
      </c>
      <c r="R127" s="27" t="n">
        <f aca="false">D127/$D$3</f>
        <v>0.00153066496592782</v>
      </c>
    </row>
    <row r="128" customFormat="false" ht="15" hidden="false" customHeight="false" outlineLevel="0" collapsed="false">
      <c r="A128" s="11" t="n">
        <v>123</v>
      </c>
      <c r="B128" s="11" t="n">
        <v>82</v>
      </c>
      <c r="C128" s="22" t="s">
        <v>147</v>
      </c>
      <c r="D128" s="10" t="n">
        <v>1.2301</v>
      </c>
      <c r="E128" s="11" t="n">
        <v>1</v>
      </c>
      <c r="F128" s="5" t="str">
        <f aca="false">INDEX(Factores!$C$29:$C$36,MATCH(E128,Factores!$A$29:$A$36,0))</f>
        <v>A+</v>
      </c>
      <c r="G128" s="8" t="n">
        <v>0.051</v>
      </c>
      <c r="H128" s="11" t="n">
        <v>0</v>
      </c>
      <c r="I128" s="20" t="n">
        <v>1</v>
      </c>
      <c r="J128" s="20" t="n">
        <v>1</v>
      </c>
      <c r="K128" s="11" t="n">
        <v>5</v>
      </c>
      <c r="L128" s="22" t="s">
        <v>148</v>
      </c>
      <c r="M128" s="28" t="n">
        <f aca="false">IF(Supuestos!$C$23=1,AVERAGE(I128:J128),MIN(I128:J128))</f>
        <v>1</v>
      </c>
      <c r="N128" s="28" t="n">
        <f aca="false">INDEX(IF(H128=1,Factores!$C$6:$C$9,Factores!$B$6:$B$9),MATCH(M128,Factores!$A$6:$A$9,1))</f>
        <v>0.95</v>
      </c>
      <c r="O128" s="28" t="n">
        <f aca="false">INDEX(Factores!$B$13:$B$16,MATCH(B128,Factores!$A$13:$A$16,1))</f>
        <v>0.95</v>
      </c>
      <c r="P128" s="28" t="n">
        <f aca="false">M128*N128*O128</f>
        <v>0.9025</v>
      </c>
      <c r="Q128" s="15" t="n">
        <f aca="false">LE!B126</f>
        <v>9.62191016629205</v>
      </c>
      <c r="R128" s="27" t="n">
        <f aca="false">D128/$D$3</f>
        <v>0.00273355251827498</v>
      </c>
    </row>
    <row r="129" customFormat="false" ht="15" hidden="false" customHeight="false" outlineLevel="0" collapsed="false">
      <c r="A129" s="11" t="n">
        <v>124</v>
      </c>
      <c r="B129" s="11" t="n">
        <v>73</v>
      </c>
      <c r="C129" s="22" t="s">
        <v>147</v>
      </c>
      <c r="D129" s="10" t="n">
        <v>2.2752</v>
      </c>
      <c r="E129" s="11" t="n">
        <v>2</v>
      </c>
      <c r="F129" s="5" t="str">
        <f aca="false">INDEX(Factores!$C$29:$C$36,MATCH(E129,Factores!$A$29:$A$36,0))</f>
        <v>A+</v>
      </c>
      <c r="G129" s="8" t="n">
        <v>0.0218</v>
      </c>
      <c r="H129" s="11" t="n">
        <v>0</v>
      </c>
      <c r="I129" s="20" t="n">
        <v>3.5</v>
      </c>
      <c r="J129" s="20" t="n">
        <v>2.75</v>
      </c>
      <c r="K129" s="11" t="n">
        <v>10</v>
      </c>
      <c r="L129" s="22" t="s">
        <v>154</v>
      </c>
      <c r="M129" s="28" t="n">
        <f aca="false">IF(Supuestos!$C$23=1,AVERAGE(I129:J129),MIN(I129:J129))</f>
        <v>3.125</v>
      </c>
      <c r="N129" s="28" t="n">
        <f aca="false">INDEX(IF(H129=1,Factores!$C$6:$C$9,Factores!$B$6:$B$9),MATCH(M129,Factores!$A$6:$A$9,1))</f>
        <v>0.8</v>
      </c>
      <c r="O129" s="28" t="n">
        <f aca="false">INDEX(Factores!$B$13:$B$16,MATCH(B129,Factores!$A$13:$A$16,1))</f>
        <v>0.9</v>
      </c>
      <c r="P129" s="28" t="n">
        <f aca="false">M129*N129*O129</f>
        <v>2.25</v>
      </c>
      <c r="Q129" s="15" t="n">
        <f aca="false">LE!B127</f>
        <v>12.5965003632297</v>
      </c>
      <c r="R129" s="27" t="n">
        <f aca="false">D129/$D$3</f>
        <v>0.00505599438222846</v>
      </c>
    </row>
    <row r="130" customFormat="false" ht="15" hidden="false" customHeight="false" outlineLevel="0" collapsed="false">
      <c r="A130" s="11" t="n">
        <v>125</v>
      </c>
      <c r="B130" s="11" t="n">
        <v>77</v>
      </c>
      <c r="C130" s="22" t="s">
        <v>147</v>
      </c>
      <c r="D130" s="10" t="n">
        <v>0.832</v>
      </c>
      <c r="E130" s="11" t="n">
        <v>6</v>
      </c>
      <c r="F130" s="5" t="str">
        <f aca="false">INDEX(Factores!$C$29:$C$36,MATCH(E130,Factores!$A$29:$A$36,0))</f>
        <v>A</v>
      </c>
      <c r="G130" s="8" t="n">
        <v>0.0432</v>
      </c>
      <c r="H130" s="11" t="n">
        <v>0</v>
      </c>
      <c r="I130" s="20" t="n">
        <v>2.25</v>
      </c>
      <c r="J130" s="20" t="n">
        <v>1.5</v>
      </c>
      <c r="K130" s="11" t="n">
        <v>7</v>
      </c>
      <c r="L130" s="22" t="s">
        <v>151</v>
      </c>
      <c r="M130" s="28" t="n">
        <f aca="false">IF(Supuestos!$C$23=1,AVERAGE(I130:J130),MIN(I130:J130))</f>
        <v>1.875</v>
      </c>
      <c r="N130" s="28" t="n">
        <f aca="false">INDEX(IF(H130=1,Factores!$C$6:$C$9,Factores!$B$6:$B$9),MATCH(M130,Factores!$A$6:$A$9,1))</f>
        <v>0.88</v>
      </c>
      <c r="O130" s="28" t="n">
        <f aca="false">INDEX(Factores!$B$13:$B$16,MATCH(B130,Factores!$A$13:$A$16,1))</f>
        <v>0.95</v>
      </c>
      <c r="P130" s="28" t="n">
        <f aca="false">M130*N130*O130</f>
        <v>1.5675</v>
      </c>
      <c r="Q130" s="15" t="n">
        <f aca="false">LE!B128</f>
        <v>10.9858981425424</v>
      </c>
      <c r="R130" s="27" t="n">
        <f aca="false">D130/$D$3</f>
        <v>0.00184888683457018</v>
      </c>
    </row>
    <row r="131" customFormat="false" ht="15" hidden="false" customHeight="false" outlineLevel="0" collapsed="false">
      <c r="A131" s="11" t="n">
        <v>126</v>
      </c>
      <c r="B131" s="11" t="n">
        <v>85</v>
      </c>
      <c r="C131" s="22" t="s">
        <v>150</v>
      </c>
      <c r="D131" s="10" t="n">
        <v>2.3676</v>
      </c>
      <c r="E131" s="11" t="n">
        <v>7</v>
      </c>
      <c r="F131" s="5" t="str">
        <f aca="false">INDEX(Factores!$C$29:$C$36,MATCH(E131,Factores!$A$29:$A$36,0))</f>
        <v>A+</v>
      </c>
      <c r="G131" s="8" t="n">
        <v>0.0647</v>
      </c>
      <c r="H131" s="11" t="n">
        <v>0</v>
      </c>
      <c r="I131" s="20" t="n">
        <v>3.25</v>
      </c>
      <c r="J131" s="20" t="n">
        <v>2.75</v>
      </c>
      <c r="K131" s="11" t="n">
        <v>11</v>
      </c>
      <c r="L131" s="22" t="s">
        <v>152</v>
      </c>
      <c r="M131" s="28" t="n">
        <f aca="false">IF(Supuestos!$C$23=1,AVERAGE(I131:J131),MIN(I131:J131))</f>
        <v>3</v>
      </c>
      <c r="N131" s="28" t="n">
        <f aca="false">INDEX(IF(H131=1,Factores!$C$6:$C$9,Factores!$B$6:$B$9),MATCH(M131,Factores!$A$6:$A$9,1))</f>
        <v>0.8</v>
      </c>
      <c r="O131" s="28" t="n">
        <f aca="false">INDEX(Factores!$B$13:$B$16,MATCH(B131,Factores!$A$13:$A$16,1))</f>
        <v>1</v>
      </c>
      <c r="P131" s="28" t="n">
        <f aca="false">M131*N131*O131</f>
        <v>2.4</v>
      </c>
      <c r="Q131" s="15" t="n">
        <f aca="false">LE!B129</f>
        <v>4.55145517172605</v>
      </c>
      <c r="R131" s="27" t="n">
        <f aca="false">D131/$D$3</f>
        <v>0.0052613274874139</v>
      </c>
    </row>
    <row r="132" customFormat="false" ht="15" hidden="false" customHeight="false" outlineLevel="0" collapsed="false">
      <c r="A132" s="11" t="n">
        <v>127</v>
      </c>
      <c r="B132" s="11" t="n">
        <v>72</v>
      </c>
      <c r="C132" s="22" t="s">
        <v>150</v>
      </c>
      <c r="D132" s="10" t="n">
        <v>1.7008</v>
      </c>
      <c r="E132" s="11" t="n">
        <v>7</v>
      </c>
      <c r="F132" s="5" t="str">
        <f aca="false">INDEX(Factores!$C$29:$C$36,MATCH(E132,Factores!$A$29:$A$36,0))</f>
        <v>A+</v>
      </c>
      <c r="G132" s="8" t="n">
        <v>0.0251</v>
      </c>
      <c r="H132" s="11" t="n">
        <v>0</v>
      </c>
      <c r="I132" s="20" t="n">
        <v>4.75</v>
      </c>
      <c r="J132" s="20" t="n">
        <v>6</v>
      </c>
      <c r="K132" s="11" t="n">
        <v>3</v>
      </c>
      <c r="L132" s="22" t="s">
        <v>154</v>
      </c>
      <c r="M132" s="28" t="n">
        <f aca="false">IF(Supuestos!$C$23=1,AVERAGE(I132:J132),MIN(I132:J132))</f>
        <v>5.375</v>
      </c>
      <c r="N132" s="28" t="n">
        <f aca="false">INDEX(IF(H132=1,Factores!$C$6:$C$9,Factores!$B$6:$B$9),MATCH(M132,Factores!$A$6:$A$9,1))</f>
        <v>0.72</v>
      </c>
      <c r="O132" s="28" t="n">
        <f aca="false">INDEX(Factores!$B$13:$B$16,MATCH(B132,Factores!$A$13:$A$16,1))</f>
        <v>0.9</v>
      </c>
      <c r="P132" s="28" t="n">
        <f aca="false">M132*N132*O132</f>
        <v>3.483</v>
      </c>
      <c r="Q132" s="15" t="n">
        <f aca="false">LE!B130</f>
        <v>11.2893142301119</v>
      </c>
      <c r="R132" s="27" t="n">
        <f aca="false">D132/$D$3</f>
        <v>0.00377955135605405</v>
      </c>
    </row>
    <row r="133" customFormat="false" ht="15" hidden="false" customHeight="false" outlineLevel="0" collapsed="false">
      <c r="A133" s="11" t="n">
        <v>128</v>
      </c>
      <c r="B133" s="11" t="n">
        <v>87</v>
      </c>
      <c r="C133" s="22" t="s">
        <v>150</v>
      </c>
      <c r="D133" s="10" t="n">
        <v>0.9136</v>
      </c>
      <c r="E133" s="11" t="n">
        <v>3</v>
      </c>
      <c r="F133" s="5" t="str">
        <f aca="false">INDEX(Factores!$C$29:$C$36,MATCH(E133,Factores!$A$29:$A$36,0))</f>
        <v>A</v>
      </c>
      <c r="G133" s="8" t="n">
        <v>0.0616</v>
      </c>
      <c r="H133" s="11" t="n">
        <v>1</v>
      </c>
      <c r="I133" s="20" t="n">
        <v>2</v>
      </c>
      <c r="J133" s="20" t="n">
        <v>1.5</v>
      </c>
      <c r="K133" s="11" t="n">
        <v>4</v>
      </c>
      <c r="L133" s="22" t="s">
        <v>151</v>
      </c>
      <c r="M133" s="28" t="n">
        <f aca="false">IF(Supuestos!$C$23=1,AVERAGE(I133:J133),MIN(I133:J133))</f>
        <v>1.75</v>
      </c>
      <c r="N133" s="28" t="n">
        <f aca="false">INDEX(IF(H133=1,Factores!$C$6:$C$9,Factores!$B$6:$B$9),MATCH(M133,Factores!$A$6:$A$9,1))</f>
        <v>0.82</v>
      </c>
      <c r="O133" s="28" t="n">
        <f aca="false">INDEX(Factores!$B$13:$B$16,MATCH(B133,Factores!$A$13:$A$16,1))</f>
        <v>1</v>
      </c>
      <c r="P133" s="28" t="n">
        <f aca="false">M133*N133*O133</f>
        <v>1.435</v>
      </c>
      <c r="Q133" s="15" t="n">
        <f aca="false">LE!B131</f>
        <v>5.47844796945948</v>
      </c>
      <c r="R133" s="27" t="n">
        <f aca="false">D133/$D$3</f>
        <v>0.00203021996642226</v>
      </c>
    </row>
    <row r="134" customFormat="false" ht="15" hidden="false" customHeight="false" outlineLevel="0" collapsed="false">
      <c r="A134" s="11" t="n">
        <v>129</v>
      </c>
      <c r="B134" s="11" t="n">
        <v>74</v>
      </c>
      <c r="C134" s="22" t="s">
        <v>147</v>
      </c>
      <c r="D134" s="10" t="n">
        <v>1.1661</v>
      </c>
      <c r="E134" s="11" t="n">
        <v>2</v>
      </c>
      <c r="F134" s="5" t="str">
        <f aca="false">INDEX(Factores!$C$29:$C$36,MATCH(E134,Factores!$A$29:$A$36,0))</f>
        <v>A+</v>
      </c>
      <c r="G134" s="8" t="n">
        <v>0.0235</v>
      </c>
      <c r="H134" s="11" t="n">
        <v>0</v>
      </c>
      <c r="I134" s="20" t="n">
        <v>1</v>
      </c>
      <c r="J134" s="20" t="n">
        <v>1.25</v>
      </c>
      <c r="K134" s="11" t="n">
        <v>9</v>
      </c>
      <c r="L134" s="22" t="s">
        <v>155</v>
      </c>
      <c r="M134" s="28" t="n">
        <f aca="false">IF(Supuestos!$C$23=1,AVERAGE(I134:J134),MIN(I134:J134))</f>
        <v>1.125</v>
      </c>
      <c r="N134" s="28" t="n">
        <f aca="false">INDEX(IF(H134=1,Factores!$C$6:$C$9,Factores!$B$6:$B$9),MATCH(M134,Factores!$A$6:$A$9,1))</f>
        <v>0.95</v>
      </c>
      <c r="O134" s="28" t="n">
        <f aca="false">INDEX(Factores!$B$13:$B$16,MATCH(B134,Factores!$A$13:$A$16,1))</f>
        <v>0.9</v>
      </c>
      <c r="P134" s="28" t="n">
        <f aca="false">M134*N134*O134</f>
        <v>0.961875</v>
      </c>
      <c r="Q134" s="15" t="n">
        <f aca="false">LE!B132</f>
        <v>14.7477692909392</v>
      </c>
      <c r="R134" s="27" t="n">
        <f aca="false">D134/$D$3</f>
        <v>0.00259133045407727</v>
      </c>
    </row>
    <row r="135" customFormat="false" ht="15" hidden="false" customHeight="false" outlineLevel="0" collapsed="false">
      <c r="A135" s="11" t="n">
        <v>130</v>
      </c>
      <c r="B135" s="11" t="n">
        <v>87</v>
      </c>
      <c r="C135" s="22" t="s">
        <v>147</v>
      </c>
      <c r="D135" s="10" t="n">
        <v>1.1886</v>
      </c>
      <c r="E135" s="11" t="n">
        <v>3</v>
      </c>
      <c r="F135" s="5" t="str">
        <f aca="false">INDEX(Factores!$C$29:$C$36,MATCH(E135,Factores!$A$29:$A$36,0))</f>
        <v>A</v>
      </c>
      <c r="G135" s="8" t="n">
        <v>0.066</v>
      </c>
      <c r="H135" s="11" t="n">
        <v>0</v>
      </c>
      <c r="I135" s="20" t="n">
        <v>1.25</v>
      </c>
      <c r="J135" s="20" t="n">
        <v>1</v>
      </c>
      <c r="K135" s="11" t="n">
        <v>9</v>
      </c>
      <c r="L135" s="22" t="s">
        <v>151</v>
      </c>
      <c r="M135" s="28" t="n">
        <f aca="false">IF(Supuestos!$C$23=1,AVERAGE(I135:J135),MIN(I135:J135))</f>
        <v>1.125</v>
      </c>
      <c r="N135" s="28" t="n">
        <f aca="false">INDEX(IF(H135=1,Factores!$C$6:$C$9,Factores!$B$6:$B$9),MATCH(M135,Factores!$A$6:$A$9,1))</f>
        <v>0.95</v>
      </c>
      <c r="O135" s="28" t="n">
        <f aca="false">INDEX(Factores!$B$13:$B$16,MATCH(B135,Factores!$A$13:$A$16,1))</f>
        <v>1</v>
      </c>
      <c r="P135" s="28" t="n">
        <f aca="false">M135*N135*O135</f>
        <v>1.06875</v>
      </c>
      <c r="Q135" s="15" t="n">
        <f aca="false">LE!B133</f>
        <v>6.45744584748888</v>
      </c>
      <c r="R135" s="27" t="n">
        <f aca="false">D135/$D$3</f>
        <v>0.00264133039852178</v>
      </c>
    </row>
    <row r="136" customFormat="false" ht="15" hidden="false" customHeight="false" outlineLevel="0" collapsed="false">
      <c r="A136" s="11" t="n">
        <v>131</v>
      </c>
      <c r="B136" s="11" t="n">
        <v>79</v>
      </c>
      <c r="C136" s="22" t="s">
        <v>150</v>
      </c>
      <c r="D136" s="10" t="n">
        <v>1.4292</v>
      </c>
      <c r="E136" s="11" t="n">
        <v>1</v>
      </c>
      <c r="F136" s="5" t="str">
        <f aca="false">INDEX(Factores!$C$29:$C$36,MATCH(E136,Factores!$A$29:$A$36,0))</f>
        <v>A+</v>
      </c>
      <c r="G136" s="8" t="n">
        <v>0.0533</v>
      </c>
      <c r="H136" s="11" t="n">
        <v>0</v>
      </c>
      <c r="I136" s="20" t="n">
        <v>1.25</v>
      </c>
      <c r="J136" s="20" t="n">
        <v>1.25</v>
      </c>
      <c r="K136" s="11" t="n">
        <v>11</v>
      </c>
      <c r="L136" s="22" t="s">
        <v>155</v>
      </c>
      <c r="M136" s="28" t="n">
        <f aca="false">IF(Supuestos!$C$23=1,AVERAGE(I136:J136),MIN(I136:J136))</f>
        <v>1.25</v>
      </c>
      <c r="N136" s="28" t="n">
        <f aca="false">INDEX(IF(H136=1,Factores!$C$6:$C$9,Factores!$B$6:$B$9),MATCH(M136,Factores!$A$6:$A$9,1))</f>
        <v>0.95</v>
      </c>
      <c r="O136" s="28" t="n">
        <f aca="false">INDEX(Factores!$B$13:$B$16,MATCH(B136,Factores!$A$13:$A$16,1))</f>
        <v>0.95</v>
      </c>
      <c r="P136" s="28" t="n">
        <f aca="false">M136*N136*O136</f>
        <v>1.128125</v>
      </c>
      <c r="Q136" s="15" t="n">
        <f aca="false">LE!B134</f>
        <v>10.7791643973571</v>
      </c>
      <c r="R136" s="27" t="n">
        <f aca="false">D136/$D$3</f>
        <v>0.00317599647111503</v>
      </c>
    </row>
    <row r="137" customFormat="false" ht="15" hidden="false" customHeight="false" outlineLevel="0" collapsed="false">
      <c r="A137" s="11" t="n">
        <v>132</v>
      </c>
      <c r="B137" s="11" t="n">
        <v>87</v>
      </c>
      <c r="C137" s="22" t="s">
        <v>150</v>
      </c>
      <c r="D137" s="10" t="n">
        <v>1.1481</v>
      </c>
      <c r="E137" s="11" t="n">
        <v>3</v>
      </c>
      <c r="F137" s="5" t="str">
        <f aca="false">INDEX(Factores!$C$29:$C$36,MATCH(E137,Factores!$A$29:$A$36,0))</f>
        <v>A</v>
      </c>
      <c r="G137" s="8" t="n">
        <v>0.0654</v>
      </c>
      <c r="H137" s="11" t="n">
        <v>0</v>
      </c>
      <c r="I137" s="20" t="n">
        <v>1.5</v>
      </c>
      <c r="J137" s="20" t="n">
        <v>1.5</v>
      </c>
      <c r="K137" s="11" t="n">
        <v>5</v>
      </c>
      <c r="L137" s="22" t="s">
        <v>151</v>
      </c>
      <c r="M137" s="28" t="n">
        <f aca="false">IF(Supuestos!$C$23=1,AVERAGE(I137:J137),MIN(I137:J137))</f>
        <v>1.5</v>
      </c>
      <c r="N137" s="28" t="n">
        <f aca="false">INDEX(IF(H137=1,Factores!$C$6:$C$9,Factores!$B$6:$B$9),MATCH(M137,Factores!$A$6:$A$9,1))</f>
        <v>0.88</v>
      </c>
      <c r="O137" s="28" t="n">
        <f aca="false">INDEX(Factores!$B$13:$B$16,MATCH(B137,Factores!$A$13:$A$16,1))</f>
        <v>1</v>
      </c>
      <c r="P137" s="28" t="n">
        <f aca="false">M137*N137*O137</f>
        <v>1.32</v>
      </c>
      <c r="Q137" s="15" t="n">
        <f aca="false">LE!B135</f>
        <v>5.76150586061426</v>
      </c>
      <c r="R137" s="27" t="n">
        <f aca="false">D137/$D$3</f>
        <v>0.00255133049852167</v>
      </c>
    </row>
    <row r="138" customFormat="false" ht="15" hidden="false" customHeight="false" outlineLevel="0" collapsed="false">
      <c r="A138" s="11" t="n">
        <v>133</v>
      </c>
      <c r="B138" s="11" t="n">
        <v>84</v>
      </c>
      <c r="C138" s="22" t="s">
        <v>150</v>
      </c>
      <c r="D138" s="10" t="n">
        <v>1.0071</v>
      </c>
      <c r="E138" s="11" t="n">
        <v>2</v>
      </c>
      <c r="F138" s="5" t="str">
        <f aca="false">INDEX(Factores!$C$29:$C$36,MATCH(E138,Factores!$A$29:$A$36,0))</f>
        <v>A+</v>
      </c>
      <c r="G138" s="8" t="n">
        <v>0.0601</v>
      </c>
      <c r="H138" s="11" t="n">
        <v>1</v>
      </c>
      <c r="I138" s="20" t="n">
        <v>2</v>
      </c>
      <c r="J138" s="20" t="n">
        <v>2</v>
      </c>
      <c r="K138" s="11" t="n">
        <v>5</v>
      </c>
      <c r="L138" s="22" t="s">
        <v>148</v>
      </c>
      <c r="M138" s="28" t="n">
        <f aca="false">IF(Supuestos!$C$23=1,AVERAGE(I138:J138),MIN(I138:J138))</f>
        <v>2</v>
      </c>
      <c r="N138" s="28" t="n">
        <f aca="false">INDEX(IF(H138=1,Factores!$C$6:$C$9,Factores!$B$6:$B$9),MATCH(M138,Factores!$A$6:$A$9,1))</f>
        <v>0.82</v>
      </c>
      <c r="O138" s="28" t="n">
        <f aca="false">INDEX(Factores!$B$13:$B$16,MATCH(B138,Factores!$A$13:$A$16,1))</f>
        <v>0.95</v>
      </c>
      <c r="P138" s="28" t="n">
        <f aca="false">M138*N138*O138</f>
        <v>1.558</v>
      </c>
      <c r="Q138" s="15" t="n">
        <f aca="false">LE!B136</f>
        <v>6.64437028036368</v>
      </c>
      <c r="R138" s="27" t="n">
        <f aca="false">D138/$D$3</f>
        <v>0.0022379975133361</v>
      </c>
    </row>
    <row r="139" customFormat="false" ht="15" hidden="false" customHeight="false" outlineLevel="0" collapsed="false">
      <c r="A139" s="11" t="n">
        <v>134</v>
      </c>
      <c r="B139" s="11" t="n">
        <v>75</v>
      </c>
      <c r="C139" s="22" t="s">
        <v>147</v>
      </c>
      <c r="D139" s="10" t="n">
        <v>1.2742</v>
      </c>
      <c r="E139" s="11" t="n">
        <v>1</v>
      </c>
      <c r="F139" s="5" t="str">
        <f aca="false">INDEX(Factores!$C$29:$C$36,MATCH(E139,Factores!$A$29:$A$36,0))</f>
        <v>A+</v>
      </c>
      <c r="G139" s="8" t="n">
        <v>0.0347</v>
      </c>
      <c r="H139" s="11" t="n">
        <v>0</v>
      </c>
      <c r="I139" s="20" t="n">
        <v>1</v>
      </c>
      <c r="J139" s="20" t="n">
        <v>1</v>
      </c>
      <c r="K139" s="11" t="n">
        <v>4</v>
      </c>
      <c r="L139" s="22" t="s">
        <v>151</v>
      </c>
      <c r="M139" s="28" t="n">
        <f aca="false">IF(Supuestos!$C$23=1,AVERAGE(I139:J139),MIN(I139:J139))</f>
        <v>1</v>
      </c>
      <c r="N139" s="28" t="n">
        <f aca="false">INDEX(IF(H139=1,Factores!$C$6:$C$9,Factores!$B$6:$B$9),MATCH(M139,Factores!$A$6:$A$9,1))</f>
        <v>0.95</v>
      </c>
      <c r="O139" s="28" t="n">
        <f aca="false">INDEX(Factores!$B$13:$B$16,MATCH(B139,Factores!$A$13:$A$16,1))</f>
        <v>0.95</v>
      </c>
      <c r="P139" s="28" t="n">
        <f aca="false">M139*N139*O139</f>
        <v>0.9025</v>
      </c>
      <c r="Q139" s="15" t="n">
        <f aca="false">LE!B137</f>
        <v>14.1787323842541</v>
      </c>
      <c r="R139" s="27" t="n">
        <f aca="false">D139/$D$3</f>
        <v>0.00283155240938621</v>
      </c>
    </row>
    <row r="140" customFormat="false" ht="15" hidden="false" customHeight="false" outlineLevel="0" collapsed="false">
      <c r="A140" s="11" t="n">
        <v>135</v>
      </c>
      <c r="B140" s="11" t="n">
        <v>89</v>
      </c>
      <c r="C140" s="22" t="s">
        <v>147</v>
      </c>
      <c r="D140" s="10" t="n">
        <v>0.9206</v>
      </c>
      <c r="E140" s="11" t="n">
        <v>3</v>
      </c>
      <c r="F140" s="5" t="str">
        <f aca="false">INDEX(Factores!$C$29:$C$36,MATCH(E140,Factores!$A$29:$A$36,0))</f>
        <v>A</v>
      </c>
      <c r="G140" s="8" t="n">
        <v>0.0636</v>
      </c>
      <c r="H140" s="11" t="n">
        <v>1</v>
      </c>
      <c r="I140" s="20" t="n">
        <v>2.25</v>
      </c>
      <c r="J140" s="20" t="n">
        <v>3.25</v>
      </c>
      <c r="K140" s="11" t="n">
        <v>9</v>
      </c>
      <c r="L140" s="22" t="s">
        <v>155</v>
      </c>
      <c r="M140" s="28" t="n">
        <f aca="false">IF(Supuestos!$C$23=1,AVERAGE(I140:J140),MIN(I140:J140))</f>
        <v>2.75</v>
      </c>
      <c r="N140" s="28" t="n">
        <f aca="false">INDEX(IF(H140=1,Factores!$C$6:$C$9,Factores!$B$6:$B$9),MATCH(M140,Factores!$A$6:$A$9,1))</f>
        <v>0.82</v>
      </c>
      <c r="O140" s="28" t="n">
        <f aca="false">INDEX(Factores!$B$13:$B$16,MATCH(B140,Factores!$A$13:$A$16,1))</f>
        <v>1</v>
      </c>
      <c r="P140" s="28" t="n">
        <f aca="false">M140*N140*O140</f>
        <v>2.255</v>
      </c>
      <c r="Q140" s="15" t="n">
        <f aca="false">LE!B138</f>
        <v>3.23755148222176</v>
      </c>
      <c r="R140" s="27" t="n">
        <f aca="false">D140/$D$3</f>
        <v>0.00204577550469388</v>
      </c>
    </row>
    <row r="141" customFormat="false" ht="15" hidden="false" customHeight="false" outlineLevel="0" collapsed="false">
      <c r="A141" s="11" t="n">
        <v>136</v>
      </c>
      <c r="B141" s="11" t="n">
        <v>90</v>
      </c>
      <c r="C141" s="22" t="s">
        <v>147</v>
      </c>
      <c r="D141" s="10" t="n">
        <v>0.818</v>
      </c>
      <c r="E141" s="11" t="n">
        <v>1</v>
      </c>
      <c r="F141" s="5" t="str">
        <f aca="false">INDEX(Factores!$C$29:$C$36,MATCH(E141,Factores!$A$29:$A$36,0))</f>
        <v>A+</v>
      </c>
      <c r="G141" s="8" t="n">
        <v>0.0753</v>
      </c>
      <c r="H141" s="11" t="n">
        <v>1</v>
      </c>
      <c r="I141" s="20" t="n">
        <v>1</v>
      </c>
      <c r="J141" s="20" t="n">
        <v>1</v>
      </c>
      <c r="K141" s="11" t="n">
        <v>4</v>
      </c>
      <c r="L141" s="22" t="s">
        <v>153</v>
      </c>
      <c r="M141" s="28" t="n">
        <f aca="false">IF(Supuestos!$C$23=1,AVERAGE(I141:J141),MIN(I141:J141))</f>
        <v>1</v>
      </c>
      <c r="N141" s="28" t="n">
        <f aca="false">INDEX(IF(H141=1,Factores!$C$6:$C$9,Factores!$B$6:$B$9),MATCH(M141,Factores!$A$6:$A$9,1))</f>
        <v>0.9</v>
      </c>
      <c r="O141" s="28" t="n">
        <f aca="false">INDEX(Factores!$B$13:$B$16,MATCH(B141,Factores!$A$13:$A$16,1))</f>
        <v>1</v>
      </c>
      <c r="P141" s="28" t="n">
        <f aca="false">M141*N141*O141</f>
        <v>0.9</v>
      </c>
      <c r="Q141" s="15" t="n">
        <f aca="false">LE!B139</f>
        <v>5.66770783891579</v>
      </c>
      <c r="R141" s="27" t="n">
        <f aca="false">D141/$D$3</f>
        <v>0.00181777575802694</v>
      </c>
    </row>
    <row r="142" customFormat="false" ht="15" hidden="false" customHeight="false" outlineLevel="0" collapsed="false">
      <c r="A142" s="11" t="n">
        <v>137</v>
      </c>
      <c r="B142" s="11" t="n">
        <v>83</v>
      </c>
      <c r="C142" s="22" t="s">
        <v>150</v>
      </c>
      <c r="D142" s="10" t="n">
        <v>1.43</v>
      </c>
      <c r="E142" s="11" t="n">
        <v>3</v>
      </c>
      <c r="F142" s="5" t="str">
        <f aca="false">INDEX(Factores!$C$29:$C$36,MATCH(E142,Factores!$A$29:$A$36,0))</f>
        <v>A</v>
      </c>
      <c r="G142" s="8" t="n">
        <v>0.0476</v>
      </c>
      <c r="H142" s="11" t="n">
        <v>0</v>
      </c>
      <c r="I142" s="20" t="n">
        <v>2.25</v>
      </c>
      <c r="J142" s="20" t="n">
        <v>2.25</v>
      </c>
      <c r="K142" s="11" t="n">
        <v>11</v>
      </c>
      <c r="L142" s="22" t="s">
        <v>154</v>
      </c>
      <c r="M142" s="28" t="n">
        <f aca="false">IF(Supuestos!$C$23=1,AVERAGE(I142:J142),MIN(I142:J142))</f>
        <v>2.25</v>
      </c>
      <c r="N142" s="28" t="n">
        <f aca="false">INDEX(IF(H142=1,Factores!$C$6:$C$9,Factores!$B$6:$B$9),MATCH(M142,Factores!$A$6:$A$9,1))</f>
        <v>0.88</v>
      </c>
      <c r="O142" s="28" t="n">
        <f aca="false">INDEX(Factores!$B$13:$B$16,MATCH(B142,Factores!$A$13:$A$16,1))</f>
        <v>0.95</v>
      </c>
      <c r="P142" s="28" t="n">
        <f aca="false">M142*N142*O142</f>
        <v>1.881</v>
      </c>
      <c r="Q142" s="15" t="n">
        <f aca="false">LE!B140</f>
        <v>6.45610243987062</v>
      </c>
      <c r="R142" s="27" t="n">
        <f aca="false">D142/$D$3</f>
        <v>0.0031777742469175</v>
      </c>
    </row>
    <row r="143" customFormat="false" ht="15" hidden="false" customHeight="false" outlineLevel="0" collapsed="false">
      <c r="A143" s="11" t="n">
        <v>138</v>
      </c>
      <c r="B143" s="11" t="n">
        <v>82</v>
      </c>
      <c r="C143" s="22" t="s">
        <v>150</v>
      </c>
      <c r="D143" s="10" t="n">
        <v>2.1742</v>
      </c>
      <c r="E143" s="11" t="n">
        <v>5</v>
      </c>
      <c r="F143" s="5" t="str">
        <f aca="false">INDEX(Factores!$C$29:$C$36,MATCH(E143,Factores!$A$29:$A$36,0))</f>
        <v>A-</v>
      </c>
      <c r="G143" s="8" t="n">
        <v>0.0492</v>
      </c>
      <c r="H143" s="11" t="n">
        <v>0</v>
      </c>
      <c r="I143" s="20" t="n">
        <v>2</v>
      </c>
      <c r="J143" s="20" t="n">
        <v>1.75</v>
      </c>
      <c r="K143" s="11" t="n">
        <v>8</v>
      </c>
      <c r="L143" s="22" t="s">
        <v>154</v>
      </c>
      <c r="M143" s="28" t="n">
        <f aca="false">IF(Supuestos!$C$23=1,AVERAGE(I143:J143),MIN(I143:J143))</f>
        <v>1.875</v>
      </c>
      <c r="N143" s="28" t="n">
        <f aca="false">INDEX(IF(H143=1,Factores!$C$6:$C$9,Factores!$B$6:$B$9),MATCH(M143,Factores!$A$6:$A$9,1))</f>
        <v>0.88</v>
      </c>
      <c r="O143" s="28" t="n">
        <f aca="false">INDEX(Factores!$B$13:$B$16,MATCH(B143,Factores!$A$13:$A$16,1))</f>
        <v>0.95</v>
      </c>
      <c r="P143" s="28" t="n">
        <f aca="false">M143*N143*O143</f>
        <v>1.5675</v>
      </c>
      <c r="Q143" s="15" t="n">
        <f aca="false">LE!B141</f>
        <v>7.72877194048031</v>
      </c>
      <c r="R143" s="27" t="n">
        <f aca="false">D143/$D$3</f>
        <v>0.00483155018716646</v>
      </c>
    </row>
    <row r="144" customFormat="false" ht="15" hidden="false" customHeight="false" outlineLevel="0" collapsed="false">
      <c r="A144" s="11" t="n">
        <v>139</v>
      </c>
      <c r="B144" s="11" t="n">
        <v>82</v>
      </c>
      <c r="C144" s="22" t="s">
        <v>147</v>
      </c>
      <c r="D144" s="10" t="n">
        <v>0.7343</v>
      </c>
      <c r="E144" s="11" t="n">
        <v>5</v>
      </c>
      <c r="F144" s="5" t="str">
        <f aca="false">INDEX(Factores!$C$29:$C$36,MATCH(E144,Factores!$A$29:$A$36,0))</f>
        <v>A-</v>
      </c>
      <c r="G144" s="8" t="n">
        <v>0.0511</v>
      </c>
      <c r="H144" s="11" t="n">
        <v>0</v>
      </c>
      <c r="I144" s="20" t="n">
        <v>1.75</v>
      </c>
      <c r="J144" s="20" t="n">
        <v>2</v>
      </c>
      <c r="K144" s="11" t="n">
        <v>9</v>
      </c>
      <c r="L144" s="22" t="s">
        <v>155</v>
      </c>
      <c r="M144" s="28" t="n">
        <f aca="false">IF(Supuestos!$C$23=1,AVERAGE(I144:J144),MIN(I144:J144))</f>
        <v>1.875</v>
      </c>
      <c r="N144" s="28" t="n">
        <f aca="false">INDEX(IF(H144=1,Factores!$C$6:$C$9,Factores!$B$6:$B$9),MATCH(M144,Factores!$A$6:$A$9,1))</f>
        <v>0.88</v>
      </c>
      <c r="O144" s="28" t="n">
        <f aca="false">INDEX(Factores!$B$13:$B$16,MATCH(B144,Factores!$A$13:$A$16,1))</f>
        <v>0.95</v>
      </c>
      <c r="P144" s="28" t="n">
        <f aca="false">M144*N144*O144</f>
        <v>1.5675</v>
      </c>
      <c r="Q144" s="15" t="n">
        <f aca="false">LE!B142</f>
        <v>7.72877194048031</v>
      </c>
      <c r="R144" s="27" t="n">
        <f aca="false">D144/$D$3</f>
        <v>0.00163177596469337</v>
      </c>
    </row>
    <row r="145" customFormat="false" ht="15" hidden="false" customHeight="false" outlineLevel="0" collapsed="false">
      <c r="A145" s="11" t="n">
        <v>140</v>
      </c>
      <c r="B145" s="11" t="n">
        <v>78</v>
      </c>
      <c r="C145" s="22" t="s">
        <v>150</v>
      </c>
      <c r="D145" s="10" t="n">
        <v>1.4637</v>
      </c>
      <c r="E145" s="11" t="n">
        <v>8</v>
      </c>
      <c r="F145" s="5" t="str">
        <f aca="false">INDEX(Factores!$C$29:$C$36,MATCH(E145,Factores!$A$29:$A$36,0))</f>
        <v>B++</v>
      </c>
      <c r="G145" s="8" t="n">
        <v>0.0435</v>
      </c>
      <c r="H145" s="11" t="n">
        <v>0</v>
      </c>
      <c r="I145" s="20" t="n">
        <v>2</v>
      </c>
      <c r="J145" s="20" t="n">
        <v>2</v>
      </c>
      <c r="K145" s="11" t="n">
        <v>5</v>
      </c>
      <c r="L145" s="22" t="s">
        <v>149</v>
      </c>
      <c r="M145" s="28" t="n">
        <f aca="false">IF(Supuestos!$C$23=1,AVERAGE(I145:J145),MIN(I145:J145))</f>
        <v>2</v>
      </c>
      <c r="N145" s="28" t="n">
        <f aca="false">INDEX(IF(H145=1,Factores!$C$6:$C$9,Factores!$B$6:$B$9),MATCH(M145,Factores!$A$6:$A$9,1))</f>
        <v>0.88</v>
      </c>
      <c r="O145" s="28" t="n">
        <f aca="false">INDEX(Factores!$B$13:$B$16,MATCH(B145,Factores!$A$13:$A$16,1))</f>
        <v>0.95</v>
      </c>
      <c r="P145" s="28" t="n">
        <f aca="false">M145*N145*O145</f>
        <v>1.672</v>
      </c>
      <c r="Q145" s="15" t="n">
        <f aca="false">LE!B143</f>
        <v>10.0269146479425</v>
      </c>
      <c r="R145" s="27" t="n">
        <f aca="false">D145/$D$3</f>
        <v>0.00325266305259661</v>
      </c>
    </row>
    <row r="146" customFormat="false" ht="15" hidden="false" customHeight="false" outlineLevel="0" collapsed="false">
      <c r="A146" s="11" t="n">
        <v>141</v>
      </c>
      <c r="B146" s="11" t="n">
        <v>88</v>
      </c>
      <c r="C146" s="22" t="s">
        <v>147</v>
      </c>
      <c r="D146" s="10" t="n">
        <v>1.0908</v>
      </c>
      <c r="E146" s="11" t="n">
        <v>7</v>
      </c>
      <c r="F146" s="5" t="str">
        <f aca="false">INDEX(Factores!$C$29:$C$36,MATCH(E146,Factores!$A$29:$A$36,0))</f>
        <v>A+</v>
      </c>
      <c r="G146" s="8" t="n">
        <v>0.0667</v>
      </c>
      <c r="H146" s="11" t="n">
        <v>1</v>
      </c>
      <c r="I146" s="20" t="n">
        <v>1.5</v>
      </c>
      <c r="J146" s="20" t="n">
        <v>1.75</v>
      </c>
      <c r="K146" s="11" t="n">
        <v>9</v>
      </c>
      <c r="L146" s="22" t="s">
        <v>153</v>
      </c>
      <c r="M146" s="28" t="n">
        <f aca="false">IF(Supuestos!$C$23=1,AVERAGE(I146:J146),MIN(I146:J146))</f>
        <v>1.625</v>
      </c>
      <c r="N146" s="28" t="n">
        <f aca="false">INDEX(IF(H146=1,Factores!$C$6:$C$9,Factores!$B$6:$B$9),MATCH(M146,Factores!$A$6:$A$9,1))</f>
        <v>0.82</v>
      </c>
      <c r="O146" s="28" t="n">
        <f aca="false">INDEX(Factores!$B$13:$B$16,MATCH(B146,Factores!$A$13:$A$16,1))</f>
        <v>1</v>
      </c>
      <c r="P146" s="28" t="n">
        <f aca="false">M146*N146*O146</f>
        <v>1.3325</v>
      </c>
      <c r="Q146" s="15" t="n">
        <f aca="false">LE!B144</f>
        <v>5.28724856695317</v>
      </c>
      <c r="R146" s="27" t="n">
        <f aca="false">D146/$D$3</f>
        <v>0.00242399730666966</v>
      </c>
    </row>
    <row r="147" customFormat="false" ht="15" hidden="false" customHeight="false" outlineLevel="0" collapsed="false">
      <c r="A147" s="11" t="n">
        <v>142</v>
      </c>
      <c r="B147" s="11" t="n">
        <v>80</v>
      </c>
      <c r="C147" s="22" t="s">
        <v>147</v>
      </c>
      <c r="D147" s="10" t="n">
        <v>0.9414</v>
      </c>
      <c r="E147" s="11" t="n">
        <v>4</v>
      </c>
      <c r="F147" s="5" t="str">
        <f aca="false">INDEX(Factores!$C$29:$C$36,MATCH(E147,Factores!$A$29:$A$36,0))</f>
        <v>A</v>
      </c>
      <c r="G147" s="8" t="n">
        <v>0.0465</v>
      </c>
      <c r="H147" s="11" t="n">
        <v>0</v>
      </c>
      <c r="I147" s="20" t="n">
        <v>1.5</v>
      </c>
      <c r="J147" s="20" t="n">
        <v>1.5</v>
      </c>
      <c r="K147" s="11" t="n">
        <v>5</v>
      </c>
      <c r="L147" s="22" t="s">
        <v>153</v>
      </c>
      <c r="M147" s="28" t="n">
        <f aca="false">IF(Supuestos!$C$23=1,AVERAGE(I147:J147),MIN(I147:J147))</f>
        <v>1.5</v>
      </c>
      <c r="N147" s="28" t="n">
        <f aca="false">INDEX(IF(H147=1,Factores!$C$6:$C$9,Factores!$B$6:$B$9),MATCH(M147,Factores!$A$6:$A$9,1))</f>
        <v>0.88</v>
      </c>
      <c r="O147" s="28" t="n">
        <f aca="false">INDEX(Factores!$B$13:$B$16,MATCH(B147,Factores!$A$13:$A$16,1))</f>
        <v>0.95</v>
      </c>
      <c r="P147" s="28" t="n">
        <f aca="false">M147*N147*O147</f>
        <v>1.254</v>
      </c>
      <c r="Q147" s="15" t="n">
        <f aca="false">LE!B145</f>
        <v>9.77570802783928</v>
      </c>
      <c r="R147" s="27" t="n">
        <f aca="false">D147/$D$3</f>
        <v>0.00209199767555814</v>
      </c>
    </row>
    <row r="148" customFormat="false" ht="15" hidden="false" customHeight="false" outlineLevel="0" collapsed="false">
      <c r="A148" s="11" t="n">
        <v>143</v>
      </c>
      <c r="B148" s="11" t="n">
        <v>83</v>
      </c>
      <c r="C148" s="22" t="s">
        <v>147</v>
      </c>
      <c r="D148" s="10" t="n">
        <v>2.1456</v>
      </c>
      <c r="E148" s="11" t="n">
        <v>7</v>
      </c>
      <c r="F148" s="5" t="str">
        <f aca="false">INDEX(Factores!$C$29:$C$36,MATCH(E148,Factores!$A$29:$A$36,0))</f>
        <v>A+</v>
      </c>
      <c r="G148" s="8" t="n">
        <v>0.0495</v>
      </c>
      <c r="H148" s="11" t="n">
        <v>0</v>
      </c>
      <c r="I148" s="20" t="n">
        <v>1</v>
      </c>
      <c r="J148" s="20" t="n">
        <v>1.5</v>
      </c>
      <c r="K148" s="11" t="n">
        <v>4</v>
      </c>
      <c r="L148" s="22" t="s">
        <v>155</v>
      </c>
      <c r="M148" s="28" t="n">
        <f aca="false">IF(Supuestos!$C$23=1,AVERAGE(I148:J148),MIN(I148:J148))</f>
        <v>1.25</v>
      </c>
      <c r="N148" s="28" t="n">
        <f aca="false">INDEX(IF(H148=1,Factores!$C$6:$C$9,Factores!$B$6:$B$9),MATCH(M148,Factores!$A$6:$A$9,1))</f>
        <v>0.95</v>
      </c>
      <c r="O148" s="28" t="n">
        <f aca="false">INDEX(Factores!$B$13:$B$16,MATCH(B148,Factores!$A$13:$A$16,1))</f>
        <v>0.95</v>
      </c>
      <c r="P148" s="28" t="n">
        <f aca="false">M148*N148*O148</f>
        <v>1.128125</v>
      </c>
      <c r="Q148" s="15" t="n">
        <f aca="false">LE!B146</f>
        <v>8.34161140696718</v>
      </c>
      <c r="R148" s="27" t="n">
        <f aca="false">D148/$D$3</f>
        <v>0.00476799470222811</v>
      </c>
    </row>
    <row r="149" customFormat="false" ht="15" hidden="false" customHeight="false" outlineLevel="0" collapsed="false">
      <c r="A149" s="11" t="n">
        <v>144</v>
      </c>
      <c r="B149" s="11" t="n">
        <v>79</v>
      </c>
      <c r="C149" s="22" t="s">
        <v>147</v>
      </c>
      <c r="D149" s="10" t="n">
        <v>1.1574</v>
      </c>
      <c r="E149" s="11" t="n">
        <v>3</v>
      </c>
      <c r="F149" s="5" t="str">
        <f aca="false">INDEX(Factores!$C$29:$C$36,MATCH(E149,Factores!$A$29:$A$36,0))</f>
        <v>A</v>
      </c>
      <c r="G149" s="8" t="n">
        <v>0.0373</v>
      </c>
      <c r="H149" s="11" t="n">
        <v>1</v>
      </c>
      <c r="I149" s="20" t="n">
        <v>2</v>
      </c>
      <c r="J149" s="20" t="n">
        <v>1.25</v>
      </c>
      <c r="K149" s="11" t="n">
        <v>3</v>
      </c>
      <c r="L149" s="22" t="s">
        <v>148</v>
      </c>
      <c r="M149" s="28" t="n">
        <f aca="false">IF(Supuestos!$C$23=1,AVERAGE(I149:J149),MIN(I149:J149))</f>
        <v>1.625</v>
      </c>
      <c r="N149" s="28" t="n">
        <f aca="false">INDEX(IF(H149=1,Factores!$C$6:$C$9,Factores!$B$6:$B$9),MATCH(M149,Factores!$A$6:$A$9,1))</f>
        <v>0.82</v>
      </c>
      <c r="O149" s="28" t="n">
        <f aca="false">INDEX(Factores!$B$13:$B$16,MATCH(B149,Factores!$A$13:$A$16,1))</f>
        <v>0.95</v>
      </c>
      <c r="P149" s="28" t="n">
        <f aca="false">M149*N149*O149</f>
        <v>1.265875</v>
      </c>
      <c r="Q149" s="15" t="n">
        <f aca="false">LE!B147</f>
        <v>10.3909250527767</v>
      </c>
      <c r="R149" s="27" t="n">
        <f aca="false">D149/$D$3</f>
        <v>0.0025719971422254</v>
      </c>
    </row>
    <row r="150" customFormat="false" ht="15" hidden="false" customHeight="false" outlineLevel="0" collapsed="false">
      <c r="A150" s="11" t="n">
        <v>145</v>
      </c>
      <c r="B150" s="11" t="n">
        <v>80</v>
      </c>
      <c r="C150" s="22" t="s">
        <v>147</v>
      </c>
      <c r="D150" s="10" t="n">
        <v>2.868</v>
      </c>
      <c r="E150" s="11" t="n">
        <v>6</v>
      </c>
      <c r="F150" s="5" t="str">
        <f aca="false">INDEX(Factores!$C$29:$C$36,MATCH(E150,Factores!$A$29:$A$36,0))</f>
        <v>A</v>
      </c>
      <c r="G150" s="8" t="n">
        <v>0.0452</v>
      </c>
      <c r="H150" s="11" t="n">
        <v>0</v>
      </c>
      <c r="I150" s="20" t="n">
        <v>4.5</v>
      </c>
      <c r="J150" s="20" t="n">
        <v>4.25</v>
      </c>
      <c r="K150" s="11" t="n">
        <v>4</v>
      </c>
      <c r="L150" s="22" t="s">
        <v>149</v>
      </c>
      <c r="M150" s="28" t="n">
        <f aca="false">IF(Supuestos!$C$23=1,AVERAGE(I150:J150),MIN(I150:J150))</f>
        <v>4.375</v>
      </c>
      <c r="N150" s="28" t="n">
        <f aca="false">INDEX(IF(H150=1,Factores!$C$6:$C$9,Factores!$B$6:$B$9),MATCH(M150,Factores!$A$6:$A$9,1))</f>
        <v>0.8</v>
      </c>
      <c r="O150" s="28" t="n">
        <f aca="false">INDEX(Factores!$B$13:$B$16,MATCH(B150,Factores!$A$13:$A$16,1))</f>
        <v>0.95</v>
      </c>
      <c r="P150" s="28" t="n">
        <f aca="false">M150*N150*O150</f>
        <v>3.325</v>
      </c>
      <c r="Q150" s="15" t="n">
        <f aca="false">LE!B148</f>
        <v>5.72188396863742</v>
      </c>
      <c r="R150" s="27" t="n">
        <f aca="false">D150/$D$3</f>
        <v>0.00637332625185972</v>
      </c>
    </row>
    <row r="151" customFormat="false" ht="15" hidden="false" customHeight="false" outlineLevel="0" collapsed="false">
      <c r="A151" s="11" t="n">
        <v>146</v>
      </c>
      <c r="B151" s="11" t="n">
        <v>77</v>
      </c>
      <c r="C151" s="22" t="s">
        <v>147</v>
      </c>
      <c r="D151" s="10" t="n">
        <v>1.0288</v>
      </c>
      <c r="E151" s="11" t="n">
        <v>2</v>
      </c>
      <c r="F151" s="5" t="str">
        <f aca="false">INDEX(Factores!$C$29:$C$36,MATCH(E151,Factores!$A$29:$A$36,0))</f>
        <v>A+</v>
      </c>
      <c r="G151" s="8" t="n">
        <v>0.0347</v>
      </c>
      <c r="H151" s="11" t="n">
        <v>0</v>
      </c>
      <c r="I151" s="20" t="n">
        <v>5</v>
      </c>
      <c r="J151" s="20" t="n">
        <v>6</v>
      </c>
      <c r="K151" s="11" t="n">
        <v>5</v>
      </c>
      <c r="L151" s="22" t="s">
        <v>151</v>
      </c>
      <c r="M151" s="28" t="n">
        <f aca="false">IF(Supuestos!$C$23=1,AVERAGE(I151:J151),MIN(I151:J151))</f>
        <v>5.5</v>
      </c>
      <c r="N151" s="28" t="n">
        <f aca="false">INDEX(IF(H151=1,Factores!$C$6:$C$9,Factores!$B$6:$B$9),MATCH(M151,Factores!$A$6:$A$9,1))</f>
        <v>0.72</v>
      </c>
      <c r="O151" s="28" t="n">
        <f aca="false">INDEX(Factores!$B$13:$B$16,MATCH(B151,Factores!$A$13:$A$16,1))</f>
        <v>0.95</v>
      </c>
      <c r="P151" s="28" t="n">
        <f aca="false">M151*N151*O151</f>
        <v>3.762</v>
      </c>
      <c r="Q151" s="15" t="n">
        <f aca="false">LE!B149</f>
        <v>6.97508702124244</v>
      </c>
      <c r="R151" s="27" t="n">
        <f aca="false">D151/$D$3</f>
        <v>0.00228621968197813</v>
      </c>
    </row>
    <row r="152" customFormat="false" ht="15" hidden="false" customHeight="false" outlineLevel="0" collapsed="false">
      <c r="A152" s="11" t="n">
        <v>147</v>
      </c>
      <c r="B152" s="11" t="n">
        <v>89</v>
      </c>
      <c r="C152" s="22" t="s">
        <v>147</v>
      </c>
      <c r="D152" s="10" t="n">
        <v>1.739</v>
      </c>
      <c r="E152" s="11" t="n">
        <v>3</v>
      </c>
      <c r="F152" s="5" t="str">
        <f aca="false">INDEX(Factores!$C$29:$C$36,MATCH(E152,Factores!$A$29:$A$36,0))</f>
        <v>A</v>
      </c>
      <c r="G152" s="8" t="n">
        <v>0.0623</v>
      </c>
      <c r="H152" s="11" t="n">
        <v>1</v>
      </c>
      <c r="I152" s="20" t="n">
        <v>3.75</v>
      </c>
      <c r="J152" s="20" t="n">
        <v>3.5</v>
      </c>
      <c r="K152" s="11" t="n">
        <v>3</v>
      </c>
      <c r="L152" s="22" t="s">
        <v>148</v>
      </c>
      <c r="M152" s="28" t="n">
        <f aca="false">IF(Supuestos!$C$23=1,AVERAGE(I152:J152),MIN(I152:J152))</f>
        <v>3.625</v>
      </c>
      <c r="N152" s="28" t="n">
        <f aca="false">INDEX(IF(H152=1,Factores!$C$6:$C$9,Factores!$B$6:$B$9),MATCH(M152,Factores!$A$6:$A$9,1))</f>
        <v>0.74</v>
      </c>
      <c r="O152" s="28" t="n">
        <f aca="false">INDEX(Factores!$B$13:$B$16,MATCH(B152,Factores!$A$13:$A$16,1))</f>
        <v>1</v>
      </c>
      <c r="P152" s="28" t="n">
        <f aca="false">M152*N152*O152</f>
        <v>2.6825</v>
      </c>
      <c r="Q152" s="15" t="n">
        <f aca="false">LE!B150</f>
        <v>2.75150371160186</v>
      </c>
      <c r="R152" s="27" t="n">
        <f aca="false">D152/$D$3</f>
        <v>0.00386444015062206</v>
      </c>
    </row>
    <row r="153" customFormat="false" ht="15" hidden="false" customHeight="false" outlineLevel="0" collapsed="false">
      <c r="A153" s="11" t="n">
        <v>148</v>
      </c>
      <c r="B153" s="11" t="n">
        <v>82</v>
      </c>
      <c r="C153" s="22" t="s">
        <v>147</v>
      </c>
      <c r="D153" s="10" t="n">
        <v>1.3193</v>
      </c>
      <c r="E153" s="11" t="n">
        <v>8</v>
      </c>
      <c r="F153" s="5" t="str">
        <f aca="false">INDEX(Factores!$C$29:$C$36,MATCH(E153,Factores!$A$29:$A$36,0))</f>
        <v>B++</v>
      </c>
      <c r="G153" s="8" t="n">
        <v>0.0449</v>
      </c>
      <c r="H153" s="11" t="n">
        <v>0</v>
      </c>
      <c r="I153" s="20" t="n">
        <v>2.75</v>
      </c>
      <c r="J153" s="20" t="n">
        <v>2.25</v>
      </c>
      <c r="K153" s="11" t="n">
        <v>9</v>
      </c>
      <c r="L153" s="22" t="s">
        <v>155</v>
      </c>
      <c r="M153" s="28" t="n">
        <f aca="false">IF(Supuestos!$C$23=1,AVERAGE(I153:J153),MIN(I153:J153))</f>
        <v>2.5</v>
      </c>
      <c r="N153" s="28" t="n">
        <f aca="false">INDEX(IF(H153=1,Factores!$C$6:$C$9,Factores!$B$6:$B$9),MATCH(M153,Factores!$A$6:$A$9,1))</f>
        <v>0.88</v>
      </c>
      <c r="O153" s="28" t="n">
        <f aca="false">INDEX(Factores!$B$13:$B$16,MATCH(B153,Factores!$A$13:$A$16,1))</f>
        <v>0.95</v>
      </c>
      <c r="P153" s="28" t="n">
        <f aca="false">M153*N153*O153</f>
        <v>2.09</v>
      </c>
      <c r="Q153" s="15" t="n">
        <f aca="false">LE!B151</f>
        <v>6.58258632890062</v>
      </c>
      <c r="R153" s="27" t="n">
        <f aca="false">D153/$D$3</f>
        <v>0.00293177452025053</v>
      </c>
    </row>
    <row r="154" customFormat="false" ht="15" hidden="false" customHeight="false" outlineLevel="0" collapsed="false">
      <c r="A154" s="11" t="n">
        <v>149</v>
      </c>
      <c r="B154" s="11" t="n">
        <v>88</v>
      </c>
      <c r="C154" s="22" t="s">
        <v>147</v>
      </c>
      <c r="D154" s="10" t="n">
        <v>1.0409</v>
      </c>
      <c r="E154" s="11" t="n">
        <v>4</v>
      </c>
      <c r="F154" s="5" t="str">
        <f aca="false">INDEX(Factores!$C$29:$C$36,MATCH(E154,Factores!$A$29:$A$36,0))</f>
        <v>A</v>
      </c>
      <c r="G154" s="8" t="n">
        <v>0.063</v>
      </c>
      <c r="H154" s="11" t="n">
        <v>0</v>
      </c>
      <c r="I154" s="20" t="n">
        <v>1.5</v>
      </c>
      <c r="J154" s="20" t="n">
        <v>1.5</v>
      </c>
      <c r="K154" s="11" t="n">
        <v>6</v>
      </c>
      <c r="L154" s="22" t="s">
        <v>153</v>
      </c>
      <c r="M154" s="28" t="n">
        <f aca="false">IF(Supuestos!$C$23=1,AVERAGE(I154:J154),MIN(I154:J154))</f>
        <v>1.5</v>
      </c>
      <c r="N154" s="28" t="n">
        <f aca="false">INDEX(IF(H154=1,Factores!$C$6:$C$9,Factores!$B$6:$B$9),MATCH(M154,Factores!$A$6:$A$9,1))</f>
        <v>0.88</v>
      </c>
      <c r="O154" s="28" t="n">
        <f aca="false">INDEX(Factores!$B$13:$B$16,MATCH(B154,Factores!$A$13:$A$16,1))</f>
        <v>1</v>
      </c>
      <c r="P154" s="28" t="n">
        <f aca="false">M154*N154*O154</f>
        <v>1.32</v>
      </c>
      <c r="Q154" s="15" t="n">
        <f aca="false">LE!B152</f>
        <v>5.3181990028983</v>
      </c>
      <c r="R154" s="27" t="n">
        <f aca="false">D154/$D$3</f>
        <v>0.00231310854099051</v>
      </c>
    </row>
    <row r="155" customFormat="false" ht="15" hidden="false" customHeight="false" outlineLevel="0" collapsed="false">
      <c r="A155" s="11" t="n">
        <v>150</v>
      </c>
      <c r="B155" s="11" t="n">
        <v>83</v>
      </c>
      <c r="C155" s="22" t="s">
        <v>150</v>
      </c>
      <c r="D155" s="10" t="n">
        <v>1.9037</v>
      </c>
      <c r="E155" s="11" t="n">
        <v>3</v>
      </c>
      <c r="F155" s="5" t="str">
        <f aca="false">INDEX(Factores!$C$29:$C$36,MATCH(E155,Factores!$A$29:$A$36,0))</f>
        <v>A</v>
      </c>
      <c r="G155" s="8" t="n">
        <v>0.0451</v>
      </c>
      <c r="H155" s="11" t="n">
        <v>0</v>
      </c>
      <c r="I155" s="20" t="n">
        <v>3.75</v>
      </c>
      <c r="J155" s="20" t="n">
        <v>2.75</v>
      </c>
      <c r="K155" s="11" t="n">
        <v>3</v>
      </c>
      <c r="L155" s="22" t="s">
        <v>152</v>
      </c>
      <c r="M155" s="28" t="n">
        <f aca="false">IF(Supuestos!$C$23=1,AVERAGE(I155:J155),MIN(I155:J155))</f>
        <v>3.25</v>
      </c>
      <c r="N155" s="28" t="n">
        <f aca="false">INDEX(IF(H155=1,Factores!$C$6:$C$9,Factores!$B$6:$B$9),MATCH(M155,Factores!$A$6:$A$9,1))</f>
        <v>0.8</v>
      </c>
      <c r="O155" s="28" t="n">
        <f aca="false">INDEX(Factores!$B$13:$B$16,MATCH(B155,Factores!$A$13:$A$16,1))</f>
        <v>0.95</v>
      </c>
      <c r="P155" s="28" t="n">
        <f aca="false">M155*N155*O155</f>
        <v>2.47</v>
      </c>
      <c r="Q155" s="15" t="n">
        <f aca="false">LE!B153</f>
        <v>5.37727874168597</v>
      </c>
      <c r="R155" s="27" t="n">
        <f aca="false">D155/$D$3</f>
        <v>0.00423043974395584</v>
      </c>
    </row>
    <row r="156" customFormat="false" ht="15" hidden="false" customHeight="false" outlineLevel="0" collapsed="false">
      <c r="A156" s="11" t="n">
        <v>151</v>
      </c>
      <c r="B156" s="11" t="n">
        <v>80</v>
      </c>
      <c r="C156" s="22" t="s">
        <v>147</v>
      </c>
      <c r="D156" s="10" t="n">
        <v>1.3629</v>
      </c>
      <c r="E156" s="11" t="n">
        <v>6</v>
      </c>
      <c r="F156" s="5" t="str">
        <f aca="false">INDEX(Factores!$C$29:$C$36,MATCH(E156,Factores!$A$29:$A$36,0))</f>
        <v>A</v>
      </c>
      <c r="G156" s="8" t="n">
        <v>0.0396</v>
      </c>
      <c r="H156" s="11" t="n">
        <v>0</v>
      </c>
      <c r="I156" s="20" t="n">
        <v>2</v>
      </c>
      <c r="J156" s="20" t="n">
        <v>2</v>
      </c>
      <c r="K156" s="11" t="n">
        <v>11</v>
      </c>
      <c r="L156" s="22" t="s">
        <v>155</v>
      </c>
      <c r="M156" s="28" t="n">
        <f aca="false">IF(Supuestos!$C$23=1,AVERAGE(I156:J156),MIN(I156:J156))</f>
        <v>2</v>
      </c>
      <c r="N156" s="28" t="n">
        <f aca="false">INDEX(IF(H156=1,Factores!$C$6:$C$9,Factores!$B$6:$B$9),MATCH(M156,Factores!$A$6:$A$9,1))</f>
        <v>0.88</v>
      </c>
      <c r="O156" s="28" t="n">
        <f aca="false">INDEX(Factores!$B$13:$B$16,MATCH(B156,Factores!$A$13:$A$16,1))</f>
        <v>0.95</v>
      </c>
      <c r="P156" s="28" t="n">
        <f aca="false">M156*N156*O156</f>
        <v>1.672</v>
      </c>
      <c r="Q156" s="15" t="n">
        <f aca="false">LE!B154</f>
        <v>8.69526338295805</v>
      </c>
      <c r="R156" s="27" t="n">
        <f aca="false">D156/$D$3</f>
        <v>0.00302866330148522</v>
      </c>
    </row>
    <row r="157" customFormat="false" ht="15" hidden="false" customHeight="false" outlineLevel="0" collapsed="false">
      <c r="A157" s="11" t="n">
        <v>152</v>
      </c>
      <c r="B157" s="11" t="n">
        <v>81</v>
      </c>
      <c r="C157" s="22" t="s">
        <v>147</v>
      </c>
      <c r="D157" s="10" t="n">
        <v>1.9171</v>
      </c>
      <c r="E157" s="11" t="n">
        <v>2</v>
      </c>
      <c r="F157" s="5" t="str">
        <f aca="false">INDEX(Factores!$C$29:$C$36,MATCH(E157,Factores!$A$29:$A$36,0))</f>
        <v>A+</v>
      </c>
      <c r="G157" s="8" t="n">
        <v>0.041</v>
      </c>
      <c r="H157" s="11" t="n">
        <v>1</v>
      </c>
      <c r="I157" s="20" t="n">
        <v>2</v>
      </c>
      <c r="J157" s="20" t="n">
        <v>3.25</v>
      </c>
      <c r="K157" s="11" t="n">
        <v>7</v>
      </c>
      <c r="L157" s="22" t="s">
        <v>152</v>
      </c>
      <c r="M157" s="28" t="n">
        <f aca="false">IF(Supuestos!$C$23=1,AVERAGE(I157:J157),MIN(I157:J157))</f>
        <v>2.625</v>
      </c>
      <c r="N157" s="28" t="n">
        <f aca="false">INDEX(IF(H157=1,Factores!$C$6:$C$9,Factores!$B$6:$B$9),MATCH(M157,Factores!$A$6:$A$9,1))</f>
        <v>0.82</v>
      </c>
      <c r="O157" s="28" t="n">
        <f aca="false">INDEX(Factores!$B$13:$B$16,MATCH(B157,Factores!$A$13:$A$16,1))</f>
        <v>0.95</v>
      </c>
      <c r="P157" s="28" t="n">
        <f aca="false">M157*N157*O157</f>
        <v>2.044875</v>
      </c>
      <c r="Q157" s="15" t="n">
        <f aca="false">LE!B155</f>
        <v>7.25050057094844</v>
      </c>
      <c r="R157" s="27" t="n">
        <f aca="false">D157/$D$3</f>
        <v>0.00426021748864724</v>
      </c>
    </row>
    <row r="158" customFormat="false" ht="15" hidden="false" customHeight="false" outlineLevel="0" collapsed="false">
      <c r="A158" s="11" t="n">
        <v>153</v>
      </c>
      <c r="B158" s="11" t="n">
        <v>80</v>
      </c>
      <c r="C158" s="22" t="s">
        <v>150</v>
      </c>
      <c r="D158" s="10" t="n">
        <v>1.4306</v>
      </c>
      <c r="E158" s="11" t="n">
        <v>6</v>
      </c>
      <c r="F158" s="5" t="str">
        <f aca="false">INDEX(Factores!$C$29:$C$36,MATCH(E158,Factores!$A$29:$A$36,0))</f>
        <v>A</v>
      </c>
      <c r="G158" s="8" t="n">
        <v>0.0457</v>
      </c>
      <c r="H158" s="11" t="n">
        <v>1</v>
      </c>
      <c r="I158" s="20" t="n">
        <v>1.75</v>
      </c>
      <c r="J158" s="20" t="n">
        <v>2.25</v>
      </c>
      <c r="K158" s="11" t="n">
        <v>8</v>
      </c>
      <c r="L158" s="22" t="s">
        <v>155</v>
      </c>
      <c r="M158" s="28" t="n">
        <f aca="false">IF(Supuestos!$C$23=1,AVERAGE(I158:J158),MIN(I158:J158))</f>
        <v>2</v>
      </c>
      <c r="N158" s="28" t="n">
        <f aca="false">INDEX(IF(H158=1,Factores!$C$6:$C$9,Factores!$B$6:$B$9),MATCH(M158,Factores!$A$6:$A$9,1))</f>
        <v>0.82</v>
      </c>
      <c r="O158" s="28" t="n">
        <f aca="false">INDEX(Factores!$B$13:$B$16,MATCH(B158,Factores!$A$13:$A$16,1))</f>
        <v>0.95</v>
      </c>
      <c r="P158" s="28" t="n">
        <f aca="false">M158*N158*O158</f>
        <v>1.558</v>
      </c>
      <c r="Q158" s="15" t="n">
        <f aca="false">LE!B156</f>
        <v>8.97351489842766</v>
      </c>
      <c r="R158" s="27" t="n">
        <f aca="false">D158/$D$3</f>
        <v>0.00317910757876936</v>
      </c>
    </row>
    <row r="159" customFormat="false" ht="15" hidden="false" customHeight="false" outlineLevel="0" collapsed="false">
      <c r="A159" s="11" t="n">
        <v>154</v>
      </c>
      <c r="B159" s="11" t="n">
        <v>83</v>
      </c>
      <c r="C159" s="22" t="s">
        <v>147</v>
      </c>
      <c r="D159" s="10" t="n">
        <v>0.8965</v>
      </c>
      <c r="E159" s="11" t="n">
        <v>1</v>
      </c>
      <c r="F159" s="5" t="str">
        <f aca="false">INDEX(Factores!$C$29:$C$36,MATCH(E159,Factores!$A$29:$A$36,0))</f>
        <v>A+</v>
      </c>
      <c r="G159" s="8" t="n">
        <v>0.0541</v>
      </c>
      <c r="H159" s="11" t="n">
        <v>0</v>
      </c>
      <c r="I159" s="20" t="n">
        <v>2</v>
      </c>
      <c r="J159" s="20" t="n">
        <v>1.5</v>
      </c>
      <c r="K159" s="11" t="n">
        <v>8</v>
      </c>
      <c r="L159" s="22" t="s">
        <v>151</v>
      </c>
      <c r="M159" s="28" t="n">
        <f aca="false">IF(Supuestos!$C$23=1,AVERAGE(I159:J159),MIN(I159:J159))</f>
        <v>1.75</v>
      </c>
      <c r="N159" s="28" t="n">
        <f aca="false">INDEX(IF(H159=1,Factores!$C$6:$C$9,Factores!$B$6:$B$9),MATCH(M159,Factores!$A$6:$A$9,1))</f>
        <v>0.88</v>
      </c>
      <c r="O159" s="28" t="n">
        <f aca="false">INDEX(Factores!$B$13:$B$16,MATCH(B159,Factores!$A$13:$A$16,1))</f>
        <v>0.95</v>
      </c>
      <c r="P159" s="28" t="n">
        <f aca="false">M159*N159*O159</f>
        <v>1.463</v>
      </c>
      <c r="Q159" s="15" t="n">
        <f aca="false">LE!B157</f>
        <v>7.41975713786944</v>
      </c>
      <c r="R159" s="27" t="n">
        <f aca="false">D159/$D$3</f>
        <v>0.00199222000864444</v>
      </c>
    </row>
    <row r="160" customFormat="false" ht="15" hidden="false" customHeight="false" outlineLevel="0" collapsed="false">
      <c r="A160" s="11" t="n">
        <v>155</v>
      </c>
      <c r="B160" s="11" t="n">
        <v>81</v>
      </c>
      <c r="C160" s="22" t="s">
        <v>147</v>
      </c>
      <c r="D160" s="10" t="n">
        <v>1.3958</v>
      </c>
      <c r="E160" s="11" t="n">
        <v>2</v>
      </c>
      <c r="F160" s="5" t="str">
        <f aca="false">INDEX(Factores!$C$29:$C$36,MATCH(E160,Factores!$A$29:$A$36,0))</f>
        <v>A+</v>
      </c>
      <c r="G160" s="8" t="n">
        <v>0.0555</v>
      </c>
      <c r="H160" s="11" t="n">
        <v>0</v>
      </c>
      <c r="I160" s="20" t="n">
        <v>1.75</v>
      </c>
      <c r="J160" s="20" t="n">
        <v>1.5</v>
      </c>
      <c r="K160" s="11" t="n">
        <v>10</v>
      </c>
      <c r="L160" s="22" t="s">
        <v>155</v>
      </c>
      <c r="M160" s="28" t="n">
        <f aca="false">IF(Supuestos!$C$23=1,AVERAGE(I160:J160),MIN(I160:J160))</f>
        <v>1.625</v>
      </c>
      <c r="N160" s="28" t="n">
        <f aca="false">INDEX(IF(H160=1,Factores!$C$6:$C$9,Factores!$B$6:$B$9),MATCH(M160,Factores!$A$6:$A$9,1))</f>
        <v>0.88</v>
      </c>
      <c r="O160" s="28" t="n">
        <f aca="false">INDEX(Factores!$B$13:$B$16,MATCH(B160,Factores!$A$13:$A$16,1))</f>
        <v>0.95</v>
      </c>
      <c r="P160" s="28" t="n">
        <f aca="false">M160*N160*O160</f>
        <v>1.3585</v>
      </c>
      <c r="Q160" s="15" t="n">
        <f aca="false">LE!B158</f>
        <v>8.8644950663787</v>
      </c>
      <c r="R160" s="27" t="n">
        <f aca="false">D160/$D$3</f>
        <v>0.00310177433136185</v>
      </c>
    </row>
    <row r="161" customFormat="false" ht="15" hidden="false" customHeight="false" outlineLevel="0" collapsed="false">
      <c r="A161" s="11" t="n">
        <v>156</v>
      </c>
      <c r="B161" s="11" t="n">
        <v>82</v>
      </c>
      <c r="C161" s="22" t="s">
        <v>147</v>
      </c>
      <c r="D161" s="10" t="n">
        <v>1.4959</v>
      </c>
      <c r="E161" s="11" t="n">
        <v>1</v>
      </c>
      <c r="F161" s="5" t="str">
        <f aca="false">INDEX(Factores!$C$29:$C$36,MATCH(E161,Factores!$A$29:$A$36,0))</f>
        <v>A+</v>
      </c>
      <c r="G161" s="8" t="n">
        <v>0.044</v>
      </c>
      <c r="H161" s="11" t="n">
        <v>0</v>
      </c>
      <c r="I161" s="20" t="n">
        <v>2</v>
      </c>
      <c r="J161" s="20" t="n">
        <v>1.75</v>
      </c>
      <c r="K161" s="11" t="n">
        <v>3</v>
      </c>
      <c r="L161" s="22" t="s">
        <v>149</v>
      </c>
      <c r="M161" s="28" t="n">
        <f aca="false">IF(Supuestos!$C$23=1,AVERAGE(I161:J161),MIN(I161:J161))</f>
        <v>1.875</v>
      </c>
      <c r="N161" s="28" t="n">
        <f aca="false">INDEX(IF(H161=1,Factores!$C$6:$C$9,Factores!$B$6:$B$9),MATCH(M161,Factores!$A$6:$A$9,1))</f>
        <v>0.88</v>
      </c>
      <c r="O161" s="28" t="n">
        <f aca="false">INDEX(Factores!$B$13:$B$16,MATCH(B161,Factores!$A$13:$A$16,1))</f>
        <v>0.95</v>
      </c>
      <c r="P161" s="28" t="n">
        <f aca="false">M161*N161*O161</f>
        <v>1.5675</v>
      </c>
      <c r="Q161" s="15" t="n">
        <f aca="false">LE!B159</f>
        <v>7.72877194048031</v>
      </c>
      <c r="R161" s="27" t="n">
        <f aca="false">D161/$D$3</f>
        <v>0.00332421852864608</v>
      </c>
    </row>
    <row r="162" customFormat="false" ht="15" hidden="false" customHeight="false" outlineLevel="0" collapsed="false">
      <c r="A162" s="11" t="n">
        <v>157</v>
      </c>
      <c r="B162" s="11" t="n">
        <v>76</v>
      </c>
      <c r="C162" s="22" t="s">
        <v>147</v>
      </c>
      <c r="D162" s="10" t="n">
        <v>2.2494</v>
      </c>
      <c r="E162" s="11" t="n">
        <v>2</v>
      </c>
      <c r="F162" s="5" t="str">
        <f aca="false">INDEX(Factores!$C$29:$C$36,MATCH(E162,Factores!$A$29:$A$36,0))</f>
        <v>A+</v>
      </c>
      <c r="G162" s="8" t="n">
        <v>0.0323</v>
      </c>
      <c r="H162" s="11" t="n">
        <v>0</v>
      </c>
      <c r="I162" s="20" t="n">
        <v>1.25</v>
      </c>
      <c r="J162" s="20" t="n">
        <v>1.5</v>
      </c>
      <c r="K162" s="11" t="n">
        <v>6</v>
      </c>
      <c r="L162" s="22" t="s">
        <v>149</v>
      </c>
      <c r="M162" s="28" t="n">
        <f aca="false">IF(Supuestos!$C$23=1,AVERAGE(I162:J162),MIN(I162:J162))</f>
        <v>1.375</v>
      </c>
      <c r="N162" s="28" t="n">
        <f aca="false">INDEX(IF(H162=1,Factores!$C$6:$C$9,Factores!$B$6:$B$9),MATCH(M162,Factores!$A$6:$A$9,1))</f>
        <v>0.95</v>
      </c>
      <c r="O162" s="28" t="n">
        <f aca="false">INDEX(Factores!$B$13:$B$16,MATCH(B162,Factores!$A$13:$A$16,1))</f>
        <v>0.95</v>
      </c>
      <c r="P162" s="28" t="n">
        <f aca="false">M162*N162*O162</f>
        <v>1.2409375</v>
      </c>
      <c r="Q162" s="15" t="n">
        <f aca="false">LE!B160</f>
        <v>12.539033928733</v>
      </c>
      <c r="R162" s="27" t="n">
        <f aca="false">D162/$D$3</f>
        <v>0.00499866111259876</v>
      </c>
    </row>
    <row r="163" customFormat="false" ht="15" hidden="false" customHeight="false" outlineLevel="0" collapsed="false">
      <c r="A163" s="11" t="n">
        <v>158</v>
      </c>
      <c r="B163" s="11" t="n">
        <v>79</v>
      </c>
      <c r="C163" s="22" t="s">
        <v>150</v>
      </c>
      <c r="D163" s="10" t="n">
        <v>0.9719</v>
      </c>
      <c r="E163" s="11" t="n">
        <v>7</v>
      </c>
      <c r="F163" s="5" t="str">
        <f aca="false">INDEX(Factores!$C$29:$C$36,MATCH(E163,Factores!$A$29:$A$36,0))</f>
        <v>A+</v>
      </c>
      <c r="G163" s="8" t="n">
        <v>0.0462</v>
      </c>
      <c r="H163" s="11" t="n">
        <v>0</v>
      </c>
      <c r="I163" s="20" t="n">
        <v>1.75</v>
      </c>
      <c r="J163" s="20" t="n">
        <v>1.5</v>
      </c>
      <c r="K163" s="11" t="n">
        <v>5</v>
      </c>
      <c r="L163" s="22" t="s">
        <v>152</v>
      </c>
      <c r="M163" s="28" t="n">
        <f aca="false">IF(Supuestos!$C$23=1,AVERAGE(I163:J163),MIN(I163:J163))</f>
        <v>1.625</v>
      </c>
      <c r="N163" s="28" t="n">
        <f aca="false">INDEX(IF(H163=1,Factores!$C$6:$C$9,Factores!$B$6:$B$9),MATCH(M163,Factores!$A$6:$A$9,1))</f>
        <v>0.88</v>
      </c>
      <c r="O163" s="28" t="n">
        <f aca="false">INDEX(Factores!$B$13:$B$16,MATCH(B163,Factores!$A$13:$A$16,1))</f>
        <v>0.95</v>
      </c>
      <c r="P163" s="28" t="n">
        <f aca="false">M163*N163*O163</f>
        <v>1.3585</v>
      </c>
      <c r="Q163" s="15" t="n">
        <f aca="false">LE!B161</f>
        <v>10.1399772380033</v>
      </c>
      <c r="R163" s="27" t="n">
        <f aca="false">D163/$D$3</f>
        <v>0.00215977537802736</v>
      </c>
    </row>
    <row r="164" customFormat="false" ht="15" hidden="false" customHeight="false" outlineLevel="0" collapsed="false">
      <c r="A164" s="11" t="n">
        <v>159</v>
      </c>
      <c r="B164" s="11" t="n">
        <v>91</v>
      </c>
      <c r="C164" s="22" t="s">
        <v>150</v>
      </c>
      <c r="D164" s="10" t="n">
        <v>1.4357</v>
      </c>
      <c r="E164" s="11" t="n">
        <v>1</v>
      </c>
      <c r="F164" s="5" t="str">
        <f aca="false">INDEX(Factores!$C$29:$C$36,MATCH(E164,Factores!$A$29:$A$36,0))</f>
        <v>A+</v>
      </c>
      <c r="G164" s="8" t="n">
        <v>0.0716</v>
      </c>
      <c r="H164" s="11" t="n">
        <v>1</v>
      </c>
      <c r="I164" s="20" t="n">
        <v>5.5</v>
      </c>
      <c r="J164" s="20" t="n">
        <v>4.75</v>
      </c>
      <c r="K164" s="11" t="n">
        <v>8</v>
      </c>
      <c r="L164" s="22" t="s">
        <v>151</v>
      </c>
      <c r="M164" s="28" t="n">
        <f aca="false">IF(Supuestos!$C$23=1,AVERAGE(I164:J164),MIN(I164:J164))</f>
        <v>5.125</v>
      </c>
      <c r="N164" s="28" t="n">
        <f aca="false">INDEX(IF(H164=1,Factores!$C$6:$C$9,Factores!$B$6:$B$9),MATCH(M164,Factores!$A$6:$A$9,1))</f>
        <v>0.66</v>
      </c>
      <c r="O164" s="28" t="n">
        <f aca="false">INDEX(Factores!$B$13:$B$16,MATCH(B164,Factores!$A$13:$A$16,1))</f>
        <v>1</v>
      </c>
      <c r="P164" s="28" t="n">
        <f aca="false">M164*N164*O164</f>
        <v>3.3825</v>
      </c>
      <c r="Q164" s="15" t="n">
        <f aca="false">LE!B162</f>
        <v>1.71339533450788</v>
      </c>
      <c r="R164" s="27" t="n">
        <f aca="false">D164/$D$3</f>
        <v>0.00319044089951011</v>
      </c>
    </row>
    <row r="165" customFormat="false" ht="15" hidden="false" customHeight="false" outlineLevel="0" collapsed="false">
      <c r="A165" s="11" t="n">
        <v>160</v>
      </c>
      <c r="B165" s="11" t="n">
        <v>80</v>
      </c>
      <c r="C165" s="22" t="s">
        <v>147</v>
      </c>
      <c r="D165" s="10" t="n">
        <v>0.6734</v>
      </c>
      <c r="E165" s="11" t="n">
        <v>2</v>
      </c>
      <c r="F165" s="5" t="str">
        <f aca="false">INDEX(Factores!$C$29:$C$36,MATCH(E165,Factores!$A$29:$A$36,0))</f>
        <v>A+</v>
      </c>
      <c r="G165" s="8" t="n">
        <v>0.0437</v>
      </c>
      <c r="H165" s="11" t="n">
        <v>0</v>
      </c>
      <c r="I165" s="20" t="n">
        <v>2</v>
      </c>
      <c r="J165" s="20" t="n">
        <v>2.5</v>
      </c>
      <c r="K165" s="11" t="n">
        <v>11</v>
      </c>
      <c r="L165" s="22" t="s">
        <v>153</v>
      </c>
      <c r="M165" s="28" t="n">
        <f aca="false">IF(Supuestos!$C$23=1,AVERAGE(I165:J165),MIN(I165:J165))</f>
        <v>2.25</v>
      </c>
      <c r="N165" s="28" t="n">
        <f aca="false">INDEX(IF(H165=1,Factores!$C$6:$C$9,Factores!$B$6:$B$9),MATCH(M165,Factores!$A$6:$A$9,1))</f>
        <v>0.88</v>
      </c>
      <c r="O165" s="28" t="n">
        <f aca="false">INDEX(Factores!$B$13:$B$16,MATCH(B165,Factores!$A$13:$A$16,1))</f>
        <v>0.95</v>
      </c>
      <c r="P165" s="28" t="n">
        <f aca="false">M165*N165*O165</f>
        <v>1.881</v>
      </c>
      <c r="Q165" s="15" t="n">
        <f aca="false">LE!B163</f>
        <v>8.21452861333057</v>
      </c>
      <c r="R165" s="27" t="n">
        <f aca="false">D165/$D$3</f>
        <v>0.00149644278173024</v>
      </c>
    </row>
    <row r="166" customFormat="false" ht="15" hidden="false" customHeight="false" outlineLevel="0" collapsed="false">
      <c r="A166" s="11" t="n">
        <v>161</v>
      </c>
      <c r="B166" s="11" t="n">
        <v>78</v>
      </c>
      <c r="C166" s="22" t="s">
        <v>150</v>
      </c>
      <c r="D166" s="10" t="n">
        <v>1.9592</v>
      </c>
      <c r="E166" s="11" t="n">
        <v>4</v>
      </c>
      <c r="F166" s="5" t="str">
        <f aca="false">INDEX(Factores!$C$29:$C$36,MATCH(E166,Factores!$A$29:$A$36,0))</f>
        <v>A</v>
      </c>
      <c r="G166" s="8" t="n">
        <v>0.0468</v>
      </c>
      <c r="H166" s="11" t="n">
        <v>0</v>
      </c>
      <c r="I166" s="20" t="n">
        <v>1.75</v>
      </c>
      <c r="J166" s="20" t="n">
        <v>2</v>
      </c>
      <c r="K166" s="11" t="n">
        <v>3</v>
      </c>
      <c r="L166" s="22" t="s">
        <v>148</v>
      </c>
      <c r="M166" s="28" t="n">
        <f aca="false">IF(Supuestos!$C$23=1,AVERAGE(I166:J166),MIN(I166:J166))</f>
        <v>1.875</v>
      </c>
      <c r="N166" s="28" t="n">
        <f aca="false">INDEX(IF(H166=1,Factores!$C$6:$C$9,Factores!$B$6:$B$9),MATCH(M166,Factores!$A$6:$A$9,1))</f>
        <v>0.88</v>
      </c>
      <c r="O166" s="28" t="n">
        <f aca="false">INDEX(Factores!$B$13:$B$16,MATCH(B166,Factores!$A$13:$A$16,1))</f>
        <v>0.95</v>
      </c>
      <c r="P166" s="28" t="n">
        <f aca="false">M166*N166*O166</f>
        <v>1.5675</v>
      </c>
      <c r="Q166" s="15" t="n">
        <f aca="false">LE!B164</f>
        <v>10.2810276121255</v>
      </c>
      <c r="R166" s="27" t="n">
        <f aca="false">D166/$D$3</f>
        <v>0.00435377294025229</v>
      </c>
    </row>
    <row r="167" customFormat="false" ht="15" hidden="false" customHeight="false" outlineLevel="0" collapsed="false">
      <c r="A167" s="11" t="n">
        <v>162</v>
      </c>
      <c r="B167" s="11" t="n">
        <v>85</v>
      </c>
      <c r="C167" s="22" t="s">
        <v>147</v>
      </c>
      <c r="D167" s="10" t="n">
        <v>0.8983</v>
      </c>
      <c r="E167" s="11" t="n">
        <v>5</v>
      </c>
      <c r="F167" s="5" t="str">
        <f aca="false">INDEX(Factores!$C$29:$C$36,MATCH(E167,Factores!$A$29:$A$36,0))</f>
        <v>A-</v>
      </c>
      <c r="G167" s="8" t="n">
        <v>0.0561</v>
      </c>
      <c r="H167" s="11" t="n">
        <v>0</v>
      </c>
      <c r="I167" s="20" t="n">
        <v>2.5</v>
      </c>
      <c r="J167" s="20" t="n">
        <v>2.25</v>
      </c>
      <c r="K167" s="11" t="n">
        <v>11</v>
      </c>
      <c r="L167" s="22" t="s">
        <v>153</v>
      </c>
      <c r="M167" s="28" t="n">
        <f aca="false">IF(Supuestos!$C$23=1,AVERAGE(I167:J167),MIN(I167:J167))</f>
        <v>2.375</v>
      </c>
      <c r="N167" s="28" t="n">
        <f aca="false">INDEX(IF(H167=1,Factores!$C$6:$C$9,Factores!$B$6:$B$9),MATCH(M167,Factores!$A$6:$A$9,1))</f>
        <v>0.88</v>
      </c>
      <c r="O167" s="28" t="n">
        <f aca="false">INDEX(Factores!$B$13:$B$16,MATCH(B167,Factores!$A$13:$A$16,1))</f>
        <v>1</v>
      </c>
      <c r="P167" s="28" t="n">
        <f aca="false">M167*N167*O167</f>
        <v>2.09</v>
      </c>
      <c r="Q167" s="15" t="n">
        <f aca="false">LE!B165</f>
        <v>5.05491015893638</v>
      </c>
      <c r="R167" s="27" t="n">
        <f aca="false">D167/$D$3</f>
        <v>0.0019962200042</v>
      </c>
    </row>
    <row r="168" customFormat="false" ht="15" hidden="false" customHeight="false" outlineLevel="0" collapsed="false">
      <c r="A168" s="11" t="n">
        <v>163</v>
      </c>
      <c r="B168" s="11" t="n">
        <v>90</v>
      </c>
      <c r="C168" s="22" t="s">
        <v>150</v>
      </c>
      <c r="D168" s="10" t="n">
        <v>0.6482</v>
      </c>
      <c r="E168" s="11" t="n">
        <v>6</v>
      </c>
      <c r="F168" s="5" t="str">
        <f aca="false">INDEX(Factores!$C$29:$C$36,MATCH(E168,Factores!$A$29:$A$36,0))</f>
        <v>A</v>
      </c>
      <c r="G168" s="8" t="n">
        <v>0.0654</v>
      </c>
      <c r="H168" s="11" t="n">
        <v>1</v>
      </c>
      <c r="I168" s="20" t="n">
        <v>2.75</v>
      </c>
      <c r="J168" s="20" t="n">
        <v>2.25</v>
      </c>
      <c r="K168" s="11" t="n">
        <v>7</v>
      </c>
      <c r="L168" s="22" t="s">
        <v>151</v>
      </c>
      <c r="M168" s="28" t="n">
        <f aca="false">IF(Supuestos!$C$23=1,AVERAGE(I168:J168),MIN(I168:J168))</f>
        <v>2.5</v>
      </c>
      <c r="N168" s="28" t="n">
        <f aca="false">INDEX(IF(H168=1,Factores!$C$6:$C$9,Factores!$B$6:$B$9),MATCH(M168,Factores!$A$6:$A$9,1))</f>
        <v>0.82</v>
      </c>
      <c r="O168" s="28" t="n">
        <f aca="false">INDEX(Factores!$B$13:$B$16,MATCH(B168,Factores!$A$13:$A$16,1))</f>
        <v>1</v>
      </c>
      <c r="P168" s="28" t="n">
        <f aca="false">M168*N168*O168</f>
        <v>2.05</v>
      </c>
      <c r="Q168" s="15" t="n">
        <f aca="false">LE!B166</f>
        <v>3.18906529959011</v>
      </c>
      <c r="R168" s="27" t="n">
        <f aca="false">D168/$D$3</f>
        <v>0.0014404428439524</v>
      </c>
    </row>
    <row r="169" customFormat="false" ht="15" hidden="false" customHeight="false" outlineLevel="0" collapsed="false">
      <c r="A169" s="11" t="n">
        <v>164</v>
      </c>
      <c r="B169" s="11" t="n">
        <v>76</v>
      </c>
      <c r="C169" s="22" t="s">
        <v>147</v>
      </c>
      <c r="D169" s="10" t="n">
        <v>1.4229</v>
      </c>
      <c r="E169" s="11" t="n">
        <v>3</v>
      </c>
      <c r="F169" s="5" t="str">
        <f aca="false">INDEX(Factores!$C$29:$C$36,MATCH(E169,Factores!$A$29:$A$36,0))</f>
        <v>A</v>
      </c>
      <c r="G169" s="8" t="n">
        <v>0.0297</v>
      </c>
      <c r="H169" s="11" t="n">
        <v>1</v>
      </c>
      <c r="I169" s="20" t="n">
        <v>1.25</v>
      </c>
      <c r="J169" s="20" t="n">
        <v>1</v>
      </c>
      <c r="K169" s="11" t="n">
        <v>10</v>
      </c>
      <c r="L169" s="22" t="s">
        <v>149</v>
      </c>
      <c r="M169" s="28" t="n">
        <f aca="false">IF(Supuestos!$C$23=1,AVERAGE(I169:J169),MIN(I169:J169))</f>
        <v>1.125</v>
      </c>
      <c r="N169" s="28" t="n">
        <f aca="false">INDEX(IF(H169=1,Factores!$C$6:$C$9,Factores!$B$6:$B$9),MATCH(M169,Factores!$A$6:$A$9,1))</f>
        <v>0.9</v>
      </c>
      <c r="O169" s="28" t="n">
        <f aca="false">INDEX(Factores!$B$13:$B$16,MATCH(B169,Factores!$A$13:$A$16,1))</f>
        <v>0.95</v>
      </c>
      <c r="P169" s="28" t="n">
        <f aca="false">M169*N169*O169</f>
        <v>0.961875</v>
      </c>
      <c r="Q169" s="15" t="n">
        <f aca="false">LE!B167</f>
        <v>13.3003975595677</v>
      </c>
      <c r="R169" s="27" t="n">
        <f aca="false">D169/$D$3</f>
        <v>0.00316199648667057</v>
      </c>
    </row>
    <row r="170" customFormat="false" ht="15" hidden="false" customHeight="false" outlineLevel="0" collapsed="false">
      <c r="A170" s="11" t="n">
        <v>165</v>
      </c>
      <c r="B170" s="11" t="n">
        <v>82</v>
      </c>
      <c r="C170" s="22" t="s">
        <v>147</v>
      </c>
      <c r="D170" s="10" t="n">
        <v>2.4035</v>
      </c>
      <c r="E170" s="11" t="n">
        <v>2</v>
      </c>
      <c r="F170" s="5" t="str">
        <f aca="false">INDEX(Factores!$C$29:$C$36,MATCH(E170,Factores!$A$29:$A$36,0))</f>
        <v>A+</v>
      </c>
      <c r="G170" s="8" t="n">
        <v>0.0513</v>
      </c>
      <c r="H170" s="11" t="n">
        <v>0</v>
      </c>
      <c r="I170" s="20" t="n">
        <v>1.75</v>
      </c>
      <c r="J170" s="20" t="n">
        <v>1.5</v>
      </c>
      <c r="K170" s="11" t="n">
        <v>11</v>
      </c>
      <c r="L170" s="22" t="s">
        <v>149</v>
      </c>
      <c r="M170" s="28" t="n">
        <f aca="false">IF(Supuestos!$C$23=1,AVERAGE(I170:J170),MIN(I170:J170))</f>
        <v>1.625</v>
      </c>
      <c r="N170" s="28" t="n">
        <f aca="false">INDEX(IF(H170=1,Factores!$C$6:$C$9,Factores!$B$6:$B$9),MATCH(M170,Factores!$A$6:$A$9,1))</f>
        <v>0.88</v>
      </c>
      <c r="O170" s="28" t="n">
        <f aca="false">INDEX(Factores!$B$13:$B$16,MATCH(B170,Factores!$A$13:$A$16,1))</f>
        <v>0.95</v>
      </c>
      <c r="P170" s="28" t="n">
        <f aca="false">M170*N170*O170</f>
        <v>1.3585</v>
      </c>
      <c r="Q170" s="15" t="n">
        <f aca="false">LE!B168</f>
        <v>8.26504945432081</v>
      </c>
      <c r="R170" s="27" t="n">
        <f aca="false">D170/$D$3</f>
        <v>0.00534110517654981</v>
      </c>
    </row>
    <row r="171" customFormat="false" ht="15" hidden="false" customHeight="false" outlineLevel="0" collapsed="false">
      <c r="A171" s="11" t="n">
        <v>166</v>
      </c>
      <c r="B171" s="11" t="n">
        <v>80</v>
      </c>
      <c r="C171" s="22" t="s">
        <v>150</v>
      </c>
      <c r="D171" s="10" t="n">
        <v>0.7359</v>
      </c>
      <c r="E171" s="11" t="n">
        <v>6</v>
      </c>
      <c r="F171" s="5" t="str">
        <f aca="false">INDEX(Factores!$C$29:$C$36,MATCH(E171,Factores!$A$29:$A$36,0))</f>
        <v>A</v>
      </c>
      <c r="G171" s="8" t="n">
        <v>0.0462</v>
      </c>
      <c r="H171" s="11" t="n">
        <v>0</v>
      </c>
      <c r="I171" s="20" t="n">
        <v>3</v>
      </c>
      <c r="J171" s="20" t="n">
        <v>2</v>
      </c>
      <c r="K171" s="11" t="n">
        <v>4</v>
      </c>
      <c r="L171" s="22" t="s">
        <v>152</v>
      </c>
      <c r="M171" s="28" t="n">
        <f aca="false">IF(Supuestos!$C$23=1,AVERAGE(I171:J171),MIN(I171:J171))</f>
        <v>2.5</v>
      </c>
      <c r="N171" s="28" t="n">
        <f aca="false">INDEX(IF(H171=1,Factores!$C$6:$C$9,Factores!$B$6:$B$9),MATCH(M171,Factores!$A$6:$A$9,1))</f>
        <v>0.88</v>
      </c>
      <c r="O171" s="28" t="n">
        <f aca="false">INDEX(Factores!$B$13:$B$16,MATCH(B171,Factores!$A$13:$A$16,1))</f>
        <v>0.95</v>
      </c>
      <c r="P171" s="28" t="n">
        <f aca="false">M171*N171*O171</f>
        <v>2.09</v>
      </c>
      <c r="Q171" s="15" t="n">
        <f aca="false">LE!B169</f>
        <v>7.76922414803749</v>
      </c>
      <c r="R171" s="27" t="n">
        <f aca="false">D171/$D$3</f>
        <v>0.00163533151629832</v>
      </c>
    </row>
    <row r="172" customFormat="false" ht="15" hidden="false" customHeight="false" outlineLevel="0" collapsed="false">
      <c r="A172" s="11" t="n">
        <v>167</v>
      </c>
      <c r="B172" s="11" t="n">
        <v>74</v>
      </c>
      <c r="C172" s="22" t="s">
        <v>150</v>
      </c>
      <c r="D172" s="10" t="n">
        <v>0.8956</v>
      </c>
      <c r="E172" s="11" t="n">
        <v>1</v>
      </c>
      <c r="F172" s="5" t="str">
        <f aca="false">INDEX(Factores!$C$29:$C$36,MATCH(E172,Factores!$A$29:$A$36,0))</f>
        <v>A+</v>
      </c>
      <c r="G172" s="8" t="n">
        <v>0.0245</v>
      </c>
      <c r="H172" s="11" t="n">
        <v>1</v>
      </c>
      <c r="I172" s="20" t="n">
        <v>2.25</v>
      </c>
      <c r="J172" s="20" t="n">
        <v>2.5</v>
      </c>
      <c r="K172" s="11" t="n">
        <v>5</v>
      </c>
      <c r="L172" s="22" t="s">
        <v>149</v>
      </c>
      <c r="M172" s="28" t="n">
        <f aca="false">IF(Supuestos!$C$23=1,AVERAGE(I172:J172),MIN(I172:J172))</f>
        <v>2.375</v>
      </c>
      <c r="N172" s="28" t="n">
        <f aca="false">INDEX(IF(H172=1,Factores!$C$6:$C$9,Factores!$B$6:$B$9),MATCH(M172,Factores!$A$6:$A$9,1))</f>
        <v>0.82</v>
      </c>
      <c r="O172" s="28" t="n">
        <f aca="false">INDEX(Factores!$B$13:$B$16,MATCH(B172,Factores!$A$13:$A$16,1))</f>
        <v>0.9</v>
      </c>
      <c r="P172" s="28" t="n">
        <f aca="false">M172*N172*O172</f>
        <v>1.75275</v>
      </c>
      <c r="Q172" s="15" t="n">
        <f aca="false">LE!B170</f>
        <v>12.8235827919063</v>
      </c>
      <c r="R172" s="27" t="n">
        <f aca="false">D172/$D$3</f>
        <v>0.00199022001086665</v>
      </c>
    </row>
    <row r="173" customFormat="false" ht="15" hidden="false" customHeight="false" outlineLevel="0" collapsed="false">
      <c r="A173" s="11" t="n">
        <v>168</v>
      </c>
      <c r="B173" s="11" t="n">
        <v>87</v>
      </c>
      <c r="C173" s="22" t="s">
        <v>150</v>
      </c>
      <c r="D173" s="10" t="n">
        <v>1.0459</v>
      </c>
      <c r="E173" s="11" t="n">
        <v>1</v>
      </c>
      <c r="F173" s="5" t="str">
        <f aca="false">INDEX(Factores!$C$29:$C$36,MATCH(E173,Factores!$A$29:$A$36,0))</f>
        <v>A+</v>
      </c>
      <c r="G173" s="8" t="n">
        <v>0.0586</v>
      </c>
      <c r="H173" s="11" t="n">
        <v>0</v>
      </c>
      <c r="I173" s="20" t="n">
        <v>2</v>
      </c>
      <c r="J173" s="20" t="n">
        <v>1.75</v>
      </c>
      <c r="K173" s="11" t="n">
        <v>9</v>
      </c>
      <c r="L173" s="22" t="s">
        <v>153</v>
      </c>
      <c r="M173" s="28" t="n">
        <f aca="false">IF(Supuestos!$C$23=1,AVERAGE(I173:J173),MIN(I173:J173))</f>
        <v>1.875</v>
      </c>
      <c r="N173" s="28" t="n">
        <f aca="false">INDEX(IF(H173=1,Factores!$C$6:$C$9,Factores!$B$6:$B$9),MATCH(M173,Factores!$A$6:$A$9,1))</f>
        <v>0.88</v>
      </c>
      <c r="O173" s="28" t="n">
        <f aca="false">INDEX(Factores!$B$13:$B$16,MATCH(B173,Factores!$A$13:$A$16,1))</f>
        <v>1</v>
      </c>
      <c r="P173" s="28" t="n">
        <f aca="false">M173*N173*O173</f>
        <v>1.65</v>
      </c>
      <c r="Q173" s="15" t="n">
        <f aca="false">LE!B171</f>
        <v>5.00099134595479</v>
      </c>
      <c r="R173" s="27" t="n">
        <f aca="false">D173/$D$3</f>
        <v>0.00232421963975596</v>
      </c>
    </row>
    <row r="174" customFormat="false" ht="15" hidden="false" customHeight="false" outlineLevel="0" collapsed="false">
      <c r="A174" s="11" t="n">
        <v>169</v>
      </c>
      <c r="B174" s="11" t="n">
        <v>83</v>
      </c>
      <c r="C174" s="22" t="s">
        <v>147</v>
      </c>
      <c r="D174" s="10" t="n">
        <v>0.8791</v>
      </c>
      <c r="E174" s="11" t="n">
        <v>2</v>
      </c>
      <c r="F174" s="5" t="str">
        <f aca="false">INDEX(Factores!$C$29:$C$36,MATCH(E174,Factores!$A$29:$A$36,0))</f>
        <v>A+</v>
      </c>
      <c r="G174" s="8" t="n">
        <v>0.0546</v>
      </c>
      <c r="H174" s="11" t="n">
        <v>1</v>
      </c>
      <c r="I174" s="20" t="n">
        <v>4</v>
      </c>
      <c r="J174" s="20" t="n">
        <v>4.5</v>
      </c>
      <c r="K174" s="11" t="n">
        <v>6</v>
      </c>
      <c r="L174" s="22" t="s">
        <v>148</v>
      </c>
      <c r="M174" s="28" t="n">
        <f aca="false">IF(Supuestos!$C$23=1,AVERAGE(I174:J174),MIN(I174:J174))</f>
        <v>4.25</v>
      </c>
      <c r="N174" s="28" t="n">
        <f aca="false">INDEX(IF(H174=1,Factores!$C$6:$C$9,Factores!$B$6:$B$9),MATCH(M174,Factores!$A$6:$A$9,1))</f>
        <v>0.74</v>
      </c>
      <c r="O174" s="28" t="n">
        <f aca="false">INDEX(Factores!$B$13:$B$16,MATCH(B174,Factores!$A$13:$A$16,1))</f>
        <v>0.95</v>
      </c>
      <c r="P174" s="28" t="n">
        <f aca="false">M174*N174*O174</f>
        <v>2.98775</v>
      </c>
      <c r="Q174" s="15" t="n">
        <f aca="false">LE!B172</f>
        <v>4.63569804767748</v>
      </c>
      <c r="R174" s="27" t="n">
        <f aca="false">D174/$D$3</f>
        <v>0.00195355338494068</v>
      </c>
    </row>
    <row r="175" customFormat="false" ht="15" hidden="false" customHeight="false" outlineLevel="0" collapsed="false">
      <c r="A175" s="11" t="n">
        <v>170</v>
      </c>
      <c r="B175" s="11" t="n">
        <v>83</v>
      </c>
      <c r="C175" s="22" t="s">
        <v>150</v>
      </c>
      <c r="D175" s="10" t="n">
        <v>1.7334</v>
      </c>
      <c r="E175" s="11" t="n">
        <v>3</v>
      </c>
      <c r="F175" s="5" t="str">
        <f aca="false">INDEX(Factores!$C$29:$C$36,MATCH(E175,Factores!$A$29:$A$36,0))</f>
        <v>A</v>
      </c>
      <c r="G175" s="8" t="n">
        <v>0.0548</v>
      </c>
      <c r="H175" s="11" t="n">
        <v>0</v>
      </c>
      <c r="I175" s="20" t="n">
        <v>1.5</v>
      </c>
      <c r="J175" s="20" t="n">
        <v>2.25</v>
      </c>
      <c r="K175" s="11" t="n">
        <v>7</v>
      </c>
      <c r="L175" s="22" t="s">
        <v>155</v>
      </c>
      <c r="M175" s="28" t="n">
        <f aca="false">IF(Supuestos!$C$23=1,AVERAGE(I175:J175),MIN(I175:J175))</f>
        <v>1.875</v>
      </c>
      <c r="N175" s="28" t="n">
        <f aca="false">INDEX(IF(H175=1,Factores!$C$6:$C$9,Factores!$B$6:$B$9),MATCH(M175,Factores!$A$6:$A$9,1))</f>
        <v>0.88</v>
      </c>
      <c r="O175" s="28" t="n">
        <f aca="false">INDEX(Factores!$B$13:$B$16,MATCH(B175,Factores!$A$13:$A$16,1))</f>
        <v>0.95</v>
      </c>
      <c r="P175" s="28" t="n">
        <f aca="false">M175*N175*O175</f>
        <v>1.5675</v>
      </c>
      <c r="Q175" s="15" t="n">
        <f aca="false">LE!B173</f>
        <v>7.16086583312611</v>
      </c>
      <c r="R175" s="27" t="n">
        <f aca="false">D175/$D$3</f>
        <v>0.00385199572000476</v>
      </c>
    </row>
    <row r="176" customFormat="false" ht="15" hidden="false" customHeight="false" outlineLevel="0" collapsed="false">
      <c r="A176" s="11" t="n">
        <v>171</v>
      </c>
      <c r="B176" s="11" t="n">
        <v>79</v>
      </c>
      <c r="C176" s="22" t="s">
        <v>147</v>
      </c>
      <c r="D176" s="10" t="n">
        <v>1.0162</v>
      </c>
      <c r="E176" s="11" t="n">
        <v>7</v>
      </c>
      <c r="F176" s="5" t="str">
        <f aca="false">INDEX(Factores!$C$29:$C$36,MATCH(E176,Factores!$A$29:$A$36,0))</f>
        <v>A+</v>
      </c>
      <c r="G176" s="8" t="n">
        <v>0.0399</v>
      </c>
      <c r="H176" s="11" t="n">
        <v>1</v>
      </c>
      <c r="I176" s="20" t="n">
        <v>2</v>
      </c>
      <c r="J176" s="20" t="n">
        <v>2.5</v>
      </c>
      <c r="K176" s="11" t="n">
        <v>5</v>
      </c>
      <c r="L176" s="22" t="s">
        <v>148</v>
      </c>
      <c r="M176" s="28" t="n">
        <f aca="false">IF(Supuestos!$C$23=1,AVERAGE(I176:J176),MIN(I176:J176))</f>
        <v>2.25</v>
      </c>
      <c r="N176" s="28" t="n">
        <f aca="false">INDEX(IF(H176=1,Factores!$C$6:$C$9,Factores!$B$6:$B$9),MATCH(M176,Factores!$A$6:$A$9,1))</f>
        <v>0.82</v>
      </c>
      <c r="O176" s="28" t="n">
        <f aca="false">INDEX(Factores!$B$13:$B$16,MATCH(B176,Factores!$A$13:$A$16,1))</f>
        <v>0.95</v>
      </c>
      <c r="P176" s="28" t="n">
        <f aca="false">M176*N176*O176</f>
        <v>1.75275</v>
      </c>
      <c r="Q176" s="15" t="n">
        <f aca="false">LE!B174</f>
        <v>9.15618243156597</v>
      </c>
      <c r="R176" s="27" t="n">
        <f aca="false">D176/$D$3</f>
        <v>0.00225821971308921</v>
      </c>
    </row>
    <row r="177" customFormat="false" ht="15" hidden="false" customHeight="false" outlineLevel="0" collapsed="false">
      <c r="A177" s="11" t="n">
        <v>172</v>
      </c>
      <c r="B177" s="11" t="n">
        <v>85</v>
      </c>
      <c r="C177" s="22" t="s">
        <v>150</v>
      </c>
      <c r="D177" s="10" t="n">
        <v>1.0562</v>
      </c>
      <c r="E177" s="11" t="n">
        <v>5</v>
      </c>
      <c r="F177" s="5" t="str">
        <f aca="false">INDEX(Factores!$C$29:$C$36,MATCH(E177,Factores!$A$29:$A$36,0))</f>
        <v>A-</v>
      </c>
      <c r="G177" s="8" t="n">
        <v>0.06</v>
      </c>
      <c r="H177" s="11" t="n">
        <v>0</v>
      </c>
      <c r="I177" s="20" t="n">
        <v>1.5</v>
      </c>
      <c r="J177" s="20" t="n">
        <v>1.25</v>
      </c>
      <c r="K177" s="11" t="n">
        <v>4</v>
      </c>
      <c r="L177" s="22" t="s">
        <v>148</v>
      </c>
      <c r="M177" s="28" t="n">
        <f aca="false">IF(Supuestos!$C$23=1,AVERAGE(I177:J177),MIN(I177:J177))</f>
        <v>1.375</v>
      </c>
      <c r="N177" s="28" t="n">
        <f aca="false">INDEX(IF(H177=1,Factores!$C$6:$C$9,Factores!$B$6:$B$9),MATCH(M177,Factores!$A$6:$A$9,1))</f>
        <v>0.95</v>
      </c>
      <c r="O177" s="28" t="n">
        <f aca="false">INDEX(Factores!$B$13:$B$16,MATCH(B177,Factores!$A$13:$A$16,1))</f>
        <v>1</v>
      </c>
      <c r="P177" s="28" t="n">
        <f aca="false">M177*N177*O177</f>
        <v>1.30625</v>
      </c>
      <c r="Q177" s="15" t="n">
        <f aca="false">LE!B175</f>
        <v>6.76271153011043</v>
      </c>
      <c r="R177" s="27" t="n">
        <f aca="false">D177/$D$3</f>
        <v>0.00234710850321277</v>
      </c>
    </row>
    <row r="178" customFormat="false" ht="15" hidden="false" customHeight="false" outlineLevel="0" collapsed="false">
      <c r="A178" s="11" t="n">
        <v>173</v>
      </c>
      <c r="B178" s="11" t="n">
        <v>80</v>
      </c>
      <c r="C178" s="22" t="s">
        <v>150</v>
      </c>
      <c r="D178" s="10" t="n">
        <v>1.9</v>
      </c>
      <c r="E178" s="11" t="n">
        <v>4</v>
      </c>
      <c r="F178" s="5" t="str">
        <f aca="false">INDEX(Factores!$C$29:$C$36,MATCH(E178,Factores!$A$29:$A$36,0))</f>
        <v>A</v>
      </c>
      <c r="G178" s="8" t="n">
        <v>0.0473</v>
      </c>
      <c r="H178" s="11" t="n">
        <v>1</v>
      </c>
      <c r="I178" s="20" t="n">
        <v>4</v>
      </c>
      <c r="J178" s="20" t="n">
        <v>4.75</v>
      </c>
      <c r="K178" s="11" t="n">
        <v>10</v>
      </c>
      <c r="L178" s="22" t="s">
        <v>151</v>
      </c>
      <c r="M178" s="28" t="n">
        <f aca="false">IF(Supuestos!$C$23=1,AVERAGE(I178:J178),MIN(I178:J178))</f>
        <v>4.375</v>
      </c>
      <c r="N178" s="28" t="n">
        <f aca="false">INDEX(IF(H178=1,Factores!$C$6:$C$9,Factores!$B$6:$B$9),MATCH(M178,Factores!$A$6:$A$9,1))</f>
        <v>0.74</v>
      </c>
      <c r="O178" s="28" t="n">
        <f aca="false">INDEX(Factores!$B$13:$B$16,MATCH(B178,Factores!$A$13:$A$16,1))</f>
        <v>0.95</v>
      </c>
      <c r="P178" s="28" t="n">
        <f aca="false">M178*N178*O178</f>
        <v>3.075625</v>
      </c>
      <c r="Q178" s="15" t="n">
        <f aca="false">LE!B176</f>
        <v>6.06682698592083</v>
      </c>
      <c r="R178" s="27" t="n">
        <f aca="false">D178/$D$3</f>
        <v>0.00422221753086941</v>
      </c>
    </row>
    <row r="179" customFormat="false" ht="15" hidden="false" customHeight="false" outlineLevel="0" collapsed="false">
      <c r="A179" s="11" t="n">
        <v>174</v>
      </c>
      <c r="B179" s="11" t="n">
        <v>82</v>
      </c>
      <c r="C179" s="22" t="s">
        <v>147</v>
      </c>
      <c r="D179" s="10" t="n">
        <v>1.0402</v>
      </c>
      <c r="E179" s="11" t="n">
        <v>3</v>
      </c>
      <c r="F179" s="5" t="str">
        <f aca="false">INDEX(Factores!$C$29:$C$36,MATCH(E179,Factores!$A$29:$A$36,0))</f>
        <v>A</v>
      </c>
      <c r="G179" s="8" t="n">
        <v>0.0429</v>
      </c>
      <c r="H179" s="11" t="n">
        <v>0</v>
      </c>
      <c r="I179" s="20" t="n">
        <v>1</v>
      </c>
      <c r="J179" s="20" t="n">
        <v>1.25</v>
      </c>
      <c r="K179" s="11" t="n">
        <v>7</v>
      </c>
      <c r="L179" s="22" t="s">
        <v>155</v>
      </c>
      <c r="M179" s="28" t="n">
        <f aca="false">IF(Supuestos!$C$23=1,AVERAGE(I179:J179),MIN(I179:J179))</f>
        <v>1.125</v>
      </c>
      <c r="N179" s="28" t="n">
        <f aca="false">INDEX(IF(H179=1,Factores!$C$6:$C$9,Factores!$B$6:$B$9),MATCH(M179,Factores!$A$6:$A$9,1))</f>
        <v>0.95</v>
      </c>
      <c r="O179" s="28" t="n">
        <f aca="false">INDEX(Factores!$B$13:$B$16,MATCH(B179,Factores!$A$13:$A$16,1))</f>
        <v>0.95</v>
      </c>
      <c r="P179" s="28" t="n">
        <f aca="false">M179*N179*O179</f>
        <v>1.0153125</v>
      </c>
      <c r="Q179" s="15" t="n">
        <f aca="false">LE!B177</f>
        <v>9.26018757892311</v>
      </c>
      <c r="R179" s="27" t="n">
        <f aca="false">D179/$D$3</f>
        <v>0.00231155298716335</v>
      </c>
    </row>
    <row r="180" customFormat="false" ht="15" hidden="false" customHeight="false" outlineLevel="0" collapsed="false">
      <c r="A180" s="11" t="n">
        <v>175</v>
      </c>
      <c r="B180" s="11" t="n">
        <v>77</v>
      </c>
      <c r="C180" s="22" t="s">
        <v>150</v>
      </c>
      <c r="D180" s="10" t="n">
        <v>1.7756</v>
      </c>
      <c r="E180" s="11" t="n">
        <v>5</v>
      </c>
      <c r="F180" s="5" t="str">
        <f aca="false">INDEX(Factores!$C$29:$C$36,MATCH(E180,Factores!$A$29:$A$36,0))</f>
        <v>A-</v>
      </c>
      <c r="G180" s="8" t="n">
        <v>0.0363</v>
      </c>
      <c r="H180" s="11" t="n">
        <v>0</v>
      </c>
      <c r="I180" s="20" t="n">
        <v>1.5</v>
      </c>
      <c r="J180" s="20" t="n">
        <v>1.25</v>
      </c>
      <c r="K180" s="11" t="n">
        <v>3</v>
      </c>
      <c r="L180" s="22" t="s">
        <v>148</v>
      </c>
      <c r="M180" s="28" t="n">
        <f aca="false">IF(Supuestos!$C$23=1,AVERAGE(I180:J180),MIN(I180:J180))</f>
        <v>1.375</v>
      </c>
      <c r="N180" s="28" t="n">
        <f aca="false">INDEX(IF(H180=1,Factores!$C$6:$C$9,Factores!$B$6:$B$9),MATCH(M180,Factores!$A$6:$A$9,1))</f>
        <v>0.95</v>
      </c>
      <c r="O180" s="28" t="n">
        <f aca="false">INDEX(Factores!$B$13:$B$16,MATCH(B180,Factores!$A$13:$A$16,1))</f>
        <v>0.95</v>
      </c>
      <c r="P180" s="28" t="n">
        <f aca="false">M180*N180*O180</f>
        <v>1.2409375</v>
      </c>
      <c r="Q180" s="15" t="n">
        <f aca="false">LE!B178</f>
        <v>11.8239850252805</v>
      </c>
      <c r="R180" s="27" t="n">
        <f aca="false">D180/$D$3</f>
        <v>0.00394577339358512</v>
      </c>
    </row>
    <row r="181" customFormat="false" ht="15" hidden="false" customHeight="false" outlineLevel="0" collapsed="false">
      <c r="A181" s="11" t="n">
        <v>176</v>
      </c>
      <c r="B181" s="11" t="n">
        <v>77</v>
      </c>
      <c r="C181" s="22" t="s">
        <v>150</v>
      </c>
      <c r="D181" s="10" t="n">
        <v>0.9439</v>
      </c>
      <c r="E181" s="11" t="n">
        <v>4</v>
      </c>
      <c r="F181" s="5" t="str">
        <f aca="false">INDEX(Factores!$C$29:$C$36,MATCH(E181,Factores!$A$29:$A$36,0))</f>
        <v>A</v>
      </c>
      <c r="G181" s="8" t="n">
        <v>0.0392</v>
      </c>
      <c r="H181" s="11" t="n">
        <v>0</v>
      </c>
      <c r="I181" s="20" t="n">
        <v>1.5</v>
      </c>
      <c r="J181" s="20" t="n">
        <v>1.25</v>
      </c>
      <c r="K181" s="11" t="n">
        <v>11</v>
      </c>
      <c r="L181" s="22" t="s">
        <v>154</v>
      </c>
      <c r="M181" s="28" t="n">
        <f aca="false">IF(Supuestos!$C$23=1,AVERAGE(I181:J181),MIN(I181:J181))</f>
        <v>1.375</v>
      </c>
      <c r="N181" s="28" t="n">
        <f aca="false">INDEX(IF(H181=1,Factores!$C$6:$C$9,Factores!$B$6:$B$9),MATCH(M181,Factores!$A$6:$A$9,1))</f>
        <v>0.95</v>
      </c>
      <c r="O181" s="28" t="n">
        <f aca="false">INDEX(Factores!$B$13:$B$16,MATCH(B181,Factores!$A$13:$A$16,1))</f>
        <v>0.95</v>
      </c>
      <c r="P181" s="28" t="n">
        <f aca="false">M181*N181*O181</f>
        <v>1.2409375</v>
      </c>
      <c r="Q181" s="15" t="n">
        <f aca="false">LE!B179</f>
        <v>11.8239850252805</v>
      </c>
      <c r="R181" s="27" t="n">
        <f aca="false">D181/$D$3</f>
        <v>0.00209755322494086</v>
      </c>
    </row>
    <row r="182" customFormat="false" ht="15" hidden="false" customHeight="false" outlineLevel="0" collapsed="false">
      <c r="A182" s="11" t="n">
        <v>177</v>
      </c>
      <c r="B182" s="11" t="n">
        <v>90</v>
      </c>
      <c r="C182" s="22" t="s">
        <v>150</v>
      </c>
      <c r="D182" s="10" t="n">
        <v>0.847</v>
      </c>
      <c r="E182" s="11" t="n">
        <v>2</v>
      </c>
      <c r="F182" s="5" t="str">
        <f aca="false">INDEX(Factores!$C$29:$C$36,MATCH(E182,Factores!$A$29:$A$36,0))</f>
        <v>A+</v>
      </c>
      <c r="G182" s="8" t="n">
        <v>0.0677</v>
      </c>
      <c r="H182" s="11" t="n">
        <v>1</v>
      </c>
      <c r="I182" s="20" t="n">
        <v>2.75</v>
      </c>
      <c r="J182" s="20" t="n">
        <v>2.75</v>
      </c>
      <c r="K182" s="11" t="n">
        <v>4</v>
      </c>
      <c r="L182" s="22" t="s">
        <v>155</v>
      </c>
      <c r="M182" s="28" t="n">
        <f aca="false">IF(Supuestos!$C$23=1,AVERAGE(I182:J182),MIN(I182:J182))</f>
        <v>2.75</v>
      </c>
      <c r="N182" s="28" t="n">
        <f aca="false">INDEX(IF(H182=1,Factores!$C$6:$C$9,Factores!$B$6:$B$9),MATCH(M182,Factores!$A$6:$A$9,1))</f>
        <v>0.82</v>
      </c>
      <c r="O182" s="28" t="n">
        <f aca="false">INDEX(Factores!$B$13:$B$16,MATCH(B182,Factores!$A$13:$A$16,1))</f>
        <v>1</v>
      </c>
      <c r="P182" s="28" t="n">
        <f aca="false">M182*N182*O182</f>
        <v>2.255</v>
      </c>
      <c r="Q182" s="15" t="n">
        <f aca="false">LE!B180</f>
        <v>2.92386783498215</v>
      </c>
      <c r="R182" s="27" t="n">
        <f aca="false">D182/$D$3</f>
        <v>0.00188222013086652</v>
      </c>
    </row>
    <row r="183" customFormat="false" ht="15" hidden="false" customHeight="false" outlineLevel="0" collapsed="false">
      <c r="A183" s="11" t="n">
        <v>178</v>
      </c>
      <c r="B183" s="11" t="n">
        <v>80</v>
      </c>
      <c r="C183" s="22" t="s">
        <v>147</v>
      </c>
      <c r="D183" s="10" t="n">
        <v>0.6398</v>
      </c>
      <c r="E183" s="11" t="n">
        <v>1</v>
      </c>
      <c r="F183" s="5" t="str">
        <f aca="false">INDEX(Factores!$C$29:$C$36,MATCH(E183,Factores!$A$29:$A$36,0))</f>
        <v>A+</v>
      </c>
      <c r="G183" s="8" t="n">
        <v>0.0364</v>
      </c>
      <c r="H183" s="11" t="n">
        <v>0</v>
      </c>
      <c r="I183" s="20" t="n">
        <v>2.75</v>
      </c>
      <c r="J183" s="20" t="n">
        <v>2</v>
      </c>
      <c r="K183" s="11" t="n">
        <v>10</v>
      </c>
      <c r="L183" s="22" t="s">
        <v>152</v>
      </c>
      <c r="M183" s="28" t="n">
        <f aca="false">IF(Supuestos!$C$23=1,AVERAGE(I183:J183),MIN(I183:J183))</f>
        <v>2.375</v>
      </c>
      <c r="N183" s="28" t="n">
        <f aca="false">INDEX(IF(H183=1,Factores!$C$6:$C$9,Factores!$B$6:$B$9),MATCH(M183,Factores!$A$6:$A$9,1))</f>
        <v>0.88</v>
      </c>
      <c r="O183" s="28" t="n">
        <f aca="false">INDEX(Factores!$B$13:$B$16,MATCH(B183,Factores!$A$13:$A$16,1))</f>
        <v>0.95</v>
      </c>
      <c r="P183" s="28" t="n">
        <f aca="false">M183*N183*O183</f>
        <v>1.9855</v>
      </c>
      <c r="Q183" s="15" t="n">
        <f aca="false">LE!B181</f>
        <v>7.98763156449242</v>
      </c>
      <c r="R183" s="27" t="n">
        <f aca="false">D183/$D$3</f>
        <v>0.00142177619802645</v>
      </c>
    </row>
    <row r="184" customFormat="false" ht="15" hidden="false" customHeight="false" outlineLevel="0" collapsed="false">
      <c r="A184" s="11" t="n">
        <v>179</v>
      </c>
      <c r="B184" s="11" t="n">
        <v>84</v>
      </c>
      <c r="C184" s="22" t="s">
        <v>147</v>
      </c>
      <c r="D184" s="10" t="n">
        <v>3.3767</v>
      </c>
      <c r="E184" s="11" t="n">
        <v>2</v>
      </c>
      <c r="F184" s="5" t="str">
        <f aca="false">INDEX(Factores!$C$29:$C$36,MATCH(E184,Factores!$A$29:$A$36,0))</f>
        <v>A+</v>
      </c>
      <c r="G184" s="8" t="n">
        <v>0.0539</v>
      </c>
      <c r="H184" s="11" t="n">
        <v>0</v>
      </c>
      <c r="I184" s="20" t="n">
        <v>3.75</v>
      </c>
      <c r="J184" s="20" t="n">
        <v>5</v>
      </c>
      <c r="K184" s="11" t="n">
        <v>9</v>
      </c>
      <c r="L184" s="22" t="s">
        <v>152</v>
      </c>
      <c r="M184" s="28" t="n">
        <f aca="false">IF(Supuestos!$C$23=1,AVERAGE(I184:J184),MIN(I184:J184))</f>
        <v>4.375</v>
      </c>
      <c r="N184" s="28" t="n">
        <f aca="false">INDEX(IF(H184=1,Factores!$C$6:$C$9,Factores!$B$6:$B$9),MATCH(M184,Factores!$A$6:$A$9,1))</f>
        <v>0.8</v>
      </c>
      <c r="O184" s="28" t="n">
        <f aca="false">INDEX(Factores!$B$13:$B$16,MATCH(B184,Factores!$A$13:$A$16,1))</f>
        <v>0.95</v>
      </c>
      <c r="P184" s="28" t="n">
        <f aca="false">M184*N184*O184</f>
        <v>3.325</v>
      </c>
      <c r="Q184" s="15" t="n">
        <f aca="false">LE!B182</f>
        <v>3.81562477404585</v>
      </c>
      <c r="R184" s="27" t="n">
        <f aca="false">D184/$D$3</f>
        <v>0.00750376944025618</v>
      </c>
    </row>
    <row r="185" customFormat="false" ht="15" hidden="false" customHeight="false" outlineLevel="0" collapsed="false">
      <c r="A185" s="11" t="n">
        <v>180</v>
      </c>
      <c r="B185" s="11" t="n">
        <v>83</v>
      </c>
      <c r="C185" s="22" t="s">
        <v>147</v>
      </c>
      <c r="D185" s="10" t="n">
        <v>1.2652</v>
      </c>
      <c r="E185" s="11" t="n">
        <v>6</v>
      </c>
      <c r="F185" s="5" t="str">
        <f aca="false">INDEX(Factores!$C$29:$C$36,MATCH(E185,Factores!$A$29:$A$36,0))</f>
        <v>A</v>
      </c>
      <c r="G185" s="8" t="n">
        <v>0.0555</v>
      </c>
      <c r="H185" s="11" t="n">
        <v>0</v>
      </c>
      <c r="I185" s="20" t="n">
        <v>1</v>
      </c>
      <c r="J185" s="20" t="n">
        <v>1</v>
      </c>
      <c r="K185" s="11" t="n">
        <v>6</v>
      </c>
      <c r="L185" s="22" t="s">
        <v>154</v>
      </c>
      <c r="M185" s="28" t="n">
        <f aca="false">IF(Supuestos!$C$23=1,AVERAGE(I185:J185),MIN(I185:J185))</f>
        <v>1</v>
      </c>
      <c r="N185" s="28" t="n">
        <f aca="false">INDEX(IF(H185=1,Factores!$C$6:$C$9,Factores!$B$6:$B$9),MATCH(M185,Factores!$A$6:$A$9,1))</f>
        <v>0.95</v>
      </c>
      <c r="O185" s="28" t="n">
        <f aca="false">INDEX(Factores!$B$13:$B$16,MATCH(B185,Factores!$A$13:$A$16,1))</f>
        <v>0.95</v>
      </c>
      <c r="P185" s="28" t="n">
        <f aca="false">M185*N185*O185</f>
        <v>0.9025</v>
      </c>
      <c r="Q185" s="15" t="n">
        <f aca="false">LE!B183</f>
        <v>9.05192472491636</v>
      </c>
      <c r="R185" s="27" t="n">
        <f aca="false">D185/$D$3</f>
        <v>0.00281155243160841</v>
      </c>
    </row>
    <row r="186" customFormat="false" ht="15" hidden="false" customHeight="false" outlineLevel="0" collapsed="false">
      <c r="A186" s="11" t="n">
        <v>181</v>
      </c>
      <c r="B186" s="11" t="n">
        <v>81</v>
      </c>
      <c r="C186" s="22" t="s">
        <v>150</v>
      </c>
      <c r="D186" s="10" t="n">
        <v>1.6309</v>
      </c>
      <c r="E186" s="11" t="n">
        <v>4</v>
      </c>
      <c r="F186" s="5" t="str">
        <f aca="false">INDEX(Factores!$C$29:$C$36,MATCH(E186,Factores!$A$29:$A$36,0))</f>
        <v>A</v>
      </c>
      <c r="G186" s="8" t="n">
        <v>0.0538</v>
      </c>
      <c r="H186" s="11" t="n">
        <v>0</v>
      </c>
      <c r="I186" s="20" t="n">
        <v>2.75</v>
      </c>
      <c r="J186" s="20" t="n">
        <v>2.25</v>
      </c>
      <c r="K186" s="11" t="n">
        <v>6</v>
      </c>
      <c r="L186" s="22" t="s">
        <v>151</v>
      </c>
      <c r="M186" s="28" t="n">
        <f aca="false">IF(Supuestos!$C$23=1,AVERAGE(I186:J186),MIN(I186:J186))</f>
        <v>2.5</v>
      </c>
      <c r="N186" s="28" t="n">
        <f aca="false">INDEX(IF(H186=1,Factores!$C$6:$C$9,Factores!$B$6:$B$9),MATCH(M186,Factores!$A$6:$A$9,1))</f>
        <v>0.88</v>
      </c>
      <c r="O186" s="28" t="n">
        <f aca="false">INDEX(Factores!$B$13:$B$16,MATCH(B186,Factores!$A$13:$A$16,1))</f>
        <v>0.95</v>
      </c>
      <c r="P186" s="28" t="n">
        <f aca="false">M186*N186*O186</f>
        <v>2.09</v>
      </c>
      <c r="Q186" s="15" t="n">
        <f aca="false">LE!B184</f>
        <v>7.15904155560467</v>
      </c>
      <c r="R186" s="27" t="n">
        <f aca="false">D186/$D$3</f>
        <v>0.00362421819531312</v>
      </c>
    </row>
    <row r="187" customFormat="false" ht="15" hidden="false" customHeight="false" outlineLevel="0" collapsed="false">
      <c r="A187" s="11" t="n">
        <v>182</v>
      </c>
      <c r="B187" s="11" t="n">
        <v>80</v>
      </c>
      <c r="C187" s="22" t="s">
        <v>150</v>
      </c>
      <c r="D187" s="10" t="n">
        <v>1.4411</v>
      </c>
      <c r="E187" s="11" t="n">
        <v>6</v>
      </c>
      <c r="F187" s="5" t="str">
        <f aca="false">INDEX(Factores!$C$29:$C$36,MATCH(E187,Factores!$A$29:$A$36,0))</f>
        <v>A</v>
      </c>
      <c r="G187" s="8" t="n">
        <v>0.0362</v>
      </c>
      <c r="H187" s="11" t="n">
        <v>0</v>
      </c>
      <c r="I187" s="20" t="n">
        <v>1.75</v>
      </c>
      <c r="J187" s="20" t="n">
        <v>1.75</v>
      </c>
      <c r="K187" s="11" t="n">
        <v>3</v>
      </c>
      <c r="L187" s="22" t="s">
        <v>153</v>
      </c>
      <c r="M187" s="28" t="n">
        <f aca="false">IF(Supuestos!$C$23=1,AVERAGE(I187:J187),MIN(I187:J187))</f>
        <v>1.75</v>
      </c>
      <c r="N187" s="28" t="n">
        <f aca="false">INDEX(IF(H187=1,Factores!$C$6:$C$9,Factores!$B$6:$B$9),MATCH(M187,Factores!$A$6:$A$9,1))</f>
        <v>0.88</v>
      </c>
      <c r="O187" s="28" t="n">
        <f aca="false">INDEX(Factores!$B$13:$B$16,MATCH(B187,Factores!$A$13:$A$16,1))</f>
        <v>0.95</v>
      </c>
      <c r="P187" s="28" t="n">
        <f aca="false">M187*N187*O187</f>
        <v>1.463</v>
      </c>
      <c r="Q187" s="15" t="n">
        <f aca="false">LE!B185</f>
        <v>9.21453185671789</v>
      </c>
      <c r="R187" s="27" t="n">
        <f aca="false">D187/$D$3</f>
        <v>0.00320244088617679</v>
      </c>
    </row>
    <row r="188" customFormat="false" ht="15" hidden="false" customHeight="false" outlineLevel="0" collapsed="false">
      <c r="A188" s="11" t="n">
        <v>183</v>
      </c>
      <c r="B188" s="11" t="n">
        <v>86</v>
      </c>
      <c r="C188" s="22" t="s">
        <v>147</v>
      </c>
      <c r="D188" s="10" t="n">
        <v>1.5704</v>
      </c>
      <c r="E188" s="11" t="n">
        <v>1</v>
      </c>
      <c r="F188" s="5" t="str">
        <f aca="false">INDEX(Factores!$C$29:$C$36,MATCH(E188,Factores!$A$29:$A$36,0))</f>
        <v>A+</v>
      </c>
      <c r="G188" s="8" t="n">
        <v>0.0705</v>
      </c>
      <c r="H188" s="11" t="n">
        <v>0</v>
      </c>
      <c r="I188" s="20" t="n">
        <v>1.5</v>
      </c>
      <c r="J188" s="20" t="n">
        <v>1.5</v>
      </c>
      <c r="K188" s="11" t="n">
        <v>6</v>
      </c>
      <c r="L188" s="22" t="s">
        <v>155</v>
      </c>
      <c r="M188" s="28" t="n">
        <f aca="false">IF(Supuestos!$C$23=1,AVERAGE(I188:J188),MIN(I188:J188))</f>
        <v>1.5</v>
      </c>
      <c r="N188" s="28" t="n">
        <f aca="false">INDEX(IF(H188=1,Factores!$C$6:$C$9,Factores!$B$6:$B$9),MATCH(M188,Factores!$A$6:$A$9,1))</f>
        <v>0.88</v>
      </c>
      <c r="O188" s="28" t="n">
        <f aca="false">INDEX(Factores!$B$13:$B$16,MATCH(B188,Factores!$A$13:$A$16,1))</f>
        <v>1</v>
      </c>
      <c r="P188" s="28" t="n">
        <f aca="false">M188*N188*O188</f>
        <v>1.32</v>
      </c>
      <c r="Q188" s="15" t="n">
        <f aca="false">LE!B186</f>
        <v>6.23070247110097</v>
      </c>
      <c r="R188" s="27" t="n">
        <f aca="false">D188/$D$3</f>
        <v>0.00348977390025122</v>
      </c>
    </row>
    <row r="189" customFormat="false" ht="15" hidden="false" customHeight="false" outlineLevel="0" collapsed="false">
      <c r="A189" s="11" t="n">
        <v>184</v>
      </c>
      <c r="B189" s="11" t="n">
        <v>81</v>
      </c>
      <c r="C189" s="22" t="s">
        <v>150</v>
      </c>
      <c r="D189" s="10" t="n">
        <v>1.4944</v>
      </c>
      <c r="E189" s="11" t="n">
        <v>7</v>
      </c>
      <c r="F189" s="5" t="str">
        <f aca="false">INDEX(Factores!$C$29:$C$36,MATCH(E189,Factores!$A$29:$A$36,0))</f>
        <v>A+</v>
      </c>
      <c r="G189" s="8" t="n">
        <v>0.043</v>
      </c>
      <c r="H189" s="11" t="n">
        <v>0</v>
      </c>
      <c r="I189" s="20" t="n">
        <v>2.5</v>
      </c>
      <c r="J189" s="20" t="n">
        <v>2.5</v>
      </c>
      <c r="K189" s="11" t="n">
        <v>11</v>
      </c>
      <c r="L189" s="22" t="s">
        <v>149</v>
      </c>
      <c r="M189" s="28" t="n">
        <f aca="false">IF(Supuestos!$C$23=1,AVERAGE(I189:J189),MIN(I189:J189))</f>
        <v>2.5</v>
      </c>
      <c r="N189" s="28" t="n">
        <f aca="false">INDEX(IF(H189=1,Factores!$C$6:$C$9,Factores!$B$6:$B$9),MATCH(M189,Factores!$A$6:$A$9,1))</f>
        <v>0.88</v>
      </c>
      <c r="O189" s="28" t="n">
        <f aca="false">INDEX(Factores!$B$13:$B$16,MATCH(B189,Factores!$A$13:$A$16,1))</f>
        <v>0.95</v>
      </c>
      <c r="P189" s="28" t="n">
        <f aca="false">M189*N189*O189</f>
        <v>2.09</v>
      </c>
      <c r="Q189" s="15" t="n">
        <f aca="false">LE!B187</f>
        <v>7.15904155560467</v>
      </c>
      <c r="R189" s="27" t="n">
        <f aca="false">D189/$D$3</f>
        <v>0.00332088519901645</v>
      </c>
    </row>
    <row r="190" customFormat="false" ht="15" hidden="false" customHeight="false" outlineLevel="0" collapsed="false">
      <c r="A190" s="11" t="n">
        <v>185</v>
      </c>
      <c r="B190" s="11" t="n">
        <v>82</v>
      </c>
      <c r="C190" s="22" t="s">
        <v>150</v>
      </c>
      <c r="D190" s="10" t="n">
        <v>3.4489</v>
      </c>
      <c r="E190" s="11" t="n">
        <v>3</v>
      </c>
      <c r="F190" s="5" t="str">
        <f aca="false">INDEX(Factores!$C$29:$C$36,MATCH(E190,Factores!$A$29:$A$36,0))</f>
        <v>A</v>
      </c>
      <c r="G190" s="8" t="n">
        <v>0.0538</v>
      </c>
      <c r="H190" s="11" t="n">
        <v>0</v>
      </c>
      <c r="I190" s="20" t="n">
        <v>1.25</v>
      </c>
      <c r="J190" s="20" t="n">
        <v>1.25</v>
      </c>
      <c r="K190" s="11" t="n">
        <v>10</v>
      </c>
      <c r="L190" s="22" t="s">
        <v>151</v>
      </c>
      <c r="M190" s="28" t="n">
        <f aca="false">IF(Supuestos!$C$23=1,AVERAGE(I190:J190),MIN(I190:J190))</f>
        <v>1.25</v>
      </c>
      <c r="N190" s="28" t="n">
        <f aca="false">INDEX(IF(H190=1,Factores!$C$6:$C$9,Factores!$B$6:$B$9),MATCH(M190,Factores!$A$6:$A$9,1))</f>
        <v>0.95</v>
      </c>
      <c r="O190" s="28" t="n">
        <f aca="false">INDEX(Factores!$B$13:$B$16,MATCH(B190,Factores!$A$13:$A$16,1))</f>
        <v>0.95</v>
      </c>
      <c r="P190" s="28" t="n">
        <f aca="false">M190*N190*O190</f>
        <v>1.128125</v>
      </c>
      <c r="Q190" s="15" t="n">
        <f aca="false">LE!B188</f>
        <v>8.91621854754342</v>
      </c>
      <c r="R190" s="27" t="n">
        <f aca="false">D190/$D$3</f>
        <v>0.00766421370642922</v>
      </c>
    </row>
    <row r="191" customFormat="false" ht="15" hidden="false" customHeight="false" outlineLevel="0" collapsed="false">
      <c r="A191" s="11" t="n">
        <v>186</v>
      </c>
      <c r="B191" s="11" t="n">
        <v>83</v>
      </c>
      <c r="C191" s="22" t="s">
        <v>147</v>
      </c>
      <c r="D191" s="10" t="n">
        <v>0.9156</v>
      </c>
      <c r="E191" s="11" t="n">
        <v>7</v>
      </c>
      <c r="F191" s="5" t="str">
        <f aca="false">INDEX(Factores!$C$29:$C$36,MATCH(E191,Factores!$A$29:$A$36,0))</f>
        <v>A+</v>
      </c>
      <c r="G191" s="8" t="n">
        <v>0.0574</v>
      </c>
      <c r="H191" s="11" t="n">
        <v>0</v>
      </c>
      <c r="I191" s="20" t="n">
        <v>1</v>
      </c>
      <c r="J191" s="20" t="n">
        <v>1</v>
      </c>
      <c r="K191" s="11" t="n">
        <v>11</v>
      </c>
      <c r="L191" s="22" t="s">
        <v>151</v>
      </c>
      <c r="M191" s="28" t="n">
        <f aca="false">IF(Supuestos!$C$23=1,AVERAGE(I191:J191),MIN(I191:J191))</f>
        <v>1</v>
      </c>
      <c r="N191" s="28" t="n">
        <f aca="false">INDEX(IF(H191=1,Factores!$C$6:$C$9,Factores!$B$6:$B$9),MATCH(M191,Factores!$A$6:$A$9,1))</f>
        <v>0.95</v>
      </c>
      <c r="O191" s="28" t="n">
        <f aca="false">INDEX(Factores!$B$13:$B$16,MATCH(B191,Factores!$A$13:$A$16,1))</f>
        <v>0.95</v>
      </c>
      <c r="P191" s="28" t="n">
        <f aca="false">M191*N191*O191</f>
        <v>0.9025</v>
      </c>
      <c r="Q191" s="15" t="n">
        <f aca="false">LE!B189</f>
        <v>9.05192472491636</v>
      </c>
      <c r="R191" s="27" t="n">
        <f aca="false">D191/$D$3</f>
        <v>0.00203466440592844</v>
      </c>
    </row>
    <row r="192" customFormat="false" ht="15" hidden="false" customHeight="false" outlineLevel="0" collapsed="false">
      <c r="A192" s="11" t="n">
        <v>187</v>
      </c>
      <c r="B192" s="11" t="n">
        <v>89</v>
      </c>
      <c r="C192" s="22" t="s">
        <v>150</v>
      </c>
      <c r="D192" s="10" t="n">
        <v>0.7251</v>
      </c>
      <c r="E192" s="11" t="n">
        <v>4</v>
      </c>
      <c r="F192" s="5" t="str">
        <f aca="false">INDEX(Factores!$C$29:$C$36,MATCH(E192,Factores!$A$29:$A$36,0))</f>
        <v>A</v>
      </c>
      <c r="G192" s="8" t="n">
        <v>0.0714</v>
      </c>
      <c r="H192" s="11" t="n">
        <v>1</v>
      </c>
      <c r="I192" s="20" t="n">
        <v>1.75</v>
      </c>
      <c r="J192" s="20" t="n">
        <v>2.25</v>
      </c>
      <c r="K192" s="11" t="n">
        <v>9</v>
      </c>
      <c r="L192" s="22" t="s">
        <v>151</v>
      </c>
      <c r="M192" s="28" t="n">
        <f aca="false">IF(Supuestos!$C$23=1,AVERAGE(I192:J192),MIN(I192:J192))</f>
        <v>2</v>
      </c>
      <c r="N192" s="28" t="n">
        <f aca="false">INDEX(IF(H192=1,Factores!$C$6:$C$9,Factores!$B$6:$B$9),MATCH(M192,Factores!$A$6:$A$9,1))</f>
        <v>0.82</v>
      </c>
      <c r="O192" s="28" t="n">
        <f aca="false">INDEX(Factores!$B$13:$B$16,MATCH(B192,Factores!$A$13:$A$16,1))</f>
        <v>1</v>
      </c>
      <c r="P192" s="28" t="n">
        <f aca="false">M192*N192*O192</f>
        <v>1.64</v>
      </c>
      <c r="Q192" s="15" t="n">
        <f aca="false">LE!B190</f>
        <v>4.20972186893007</v>
      </c>
      <c r="R192" s="27" t="n">
        <f aca="false">D192/$D$3</f>
        <v>0.00161133154296495</v>
      </c>
    </row>
    <row r="193" customFormat="false" ht="15" hidden="false" customHeight="false" outlineLevel="0" collapsed="false">
      <c r="A193" s="11" t="n">
        <v>188</v>
      </c>
      <c r="B193" s="11" t="n">
        <v>86</v>
      </c>
      <c r="C193" s="22" t="s">
        <v>147</v>
      </c>
      <c r="D193" s="10" t="n">
        <v>0.9268</v>
      </c>
      <c r="E193" s="11" t="n">
        <v>4</v>
      </c>
      <c r="F193" s="5" t="str">
        <f aca="false">INDEX(Factores!$C$29:$C$36,MATCH(E193,Factores!$A$29:$A$36,0))</f>
        <v>A</v>
      </c>
      <c r="G193" s="8" t="n">
        <v>0.0606</v>
      </c>
      <c r="H193" s="11" t="n">
        <v>0</v>
      </c>
      <c r="I193" s="20" t="n">
        <v>1</v>
      </c>
      <c r="J193" s="20" t="n">
        <v>1</v>
      </c>
      <c r="K193" s="11" t="n">
        <v>7</v>
      </c>
      <c r="L193" s="22" t="s">
        <v>153</v>
      </c>
      <c r="M193" s="28" t="n">
        <f aca="false">IF(Supuestos!$C$23=1,AVERAGE(I193:J193),MIN(I193:J193))</f>
        <v>1</v>
      </c>
      <c r="N193" s="28" t="n">
        <f aca="false">INDEX(IF(H193=1,Factores!$C$6:$C$9,Factores!$B$6:$B$9),MATCH(M193,Factores!$A$6:$A$9,1))</f>
        <v>0.95</v>
      </c>
      <c r="O193" s="28" t="n">
        <f aca="false">INDEX(Factores!$B$13:$B$16,MATCH(B193,Factores!$A$13:$A$16,1))</f>
        <v>1</v>
      </c>
      <c r="P193" s="28" t="n">
        <f aca="false">M193*N193*O193</f>
        <v>0.95</v>
      </c>
      <c r="Q193" s="15" t="n">
        <f aca="false">LE!B191</f>
        <v>7.31206076947226</v>
      </c>
      <c r="R193" s="27" t="n">
        <f aca="false">D193/$D$3</f>
        <v>0.00205955326716304</v>
      </c>
    </row>
    <row r="194" customFormat="false" ht="15" hidden="false" customHeight="false" outlineLevel="0" collapsed="false">
      <c r="A194" s="11" t="n">
        <v>189</v>
      </c>
      <c r="B194" s="11" t="n">
        <v>85</v>
      </c>
      <c r="C194" s="22" t="s">
        <v>147</v>
      </c>
      <c r="D194" s="10" t="n">
        <v>0.8015</v>
      </c>
      <c r="E194" s="11" t="n">
        <v>6</v>
      </c>
      <c r="F194" s="5" t="str">
        <f aca="false">INDEX(Factores!$C$29:$C$36,MATCH(E194,Factores!$A$29:$A$36,0))</f>
        <v>A</v>
      </c>
      <c r="G194" s="8" t="n">
        <v>0.0529</v>
      </c>
      <c r="H194" s="11" t="n">
        <v>0</v>
      </c>
      <c r="I194" s="20" t="n">
        <v>1.5</v>
      </c>
      <c r="J194" s="20" t="n">
        <v>1.5</v>
      </c>
      <c r="K194" s="11" t="n">
        <v>10</v>
      </c>
      <c r="L194" s="22" t="s">
        <v>151</v>
      </c>
      <c r="M194" s="28" t="n">
        <f aca="false">IF(Supuestos!$C$23=1,AVERAGE(I194:J194),MIN(I194:J194))</f>
        <v>1.5</v>
      </c>
      <c r="N194" s="28" t="n">
        <f aca="false">INDEX(IF(H194=1,Factores!$C$6:$C$9,Factores!$B$6:$B$9),MATCH(M194,Factores!$A$6:$A$9,1))</f>
        <v>0.88</v>
      </c>
      <c r="O194" s="28" t="n">
        <f aca="false">INDEX(Factores!$B$13:$B$16,MATCH(B194,Factores!$A$13:$A$16,1))</f>
        <v>1</v>
      </c>
      <c r="P194" s="28" t="n">
        <f aca="false">M194*N194*O194</f>
        <v>1.32</v>
      </c>
      <c r="Q194" s="15" t="n">
        <f aca="false">LE!B192</f>
        <v>6.72604968716464</v>
      </c>
      <c r="R194" s="27" t="n">
        <f aca="false">D194/$D$3</f>
        <v>0.00178110913210096</v>
      </c>
    </row>
    <row r="195" customFormat="false" ht="15" hidden="false" customHeight="false" outlineLevel="0" collapsed="false">
      <c r="A195" s="11" t="n">
        <v>190</v>
      </c>
      <c r="B195" s="11" t="n">
        <v>80</v>
      </c>
      <c r="C195" s="22" t="s">
        <v>147</v>
      </c>
      <c r="D195" s="10" t="n">
        <v>2.0452</v>
      </c>
      <c r="E195" s="11" t="n">
        <v>4</v>
      </c>
      <c r="F195" s="5" t="str">
        <f aca="false">INDEX(Factores!$C$29:$C$36,MATCH(E195,Factores!$A$29:$A$36,0))</f>
        <v>A</v>
      </c>
      <c r="G195" s="8" t="n">
        <v>0.0475</v>
      </c>
      <c r="H195" s="11" t="n">
        <v>1</v>
      </c>
      <c r="I195" s="20" t="n">
        <v>2.25</v>
      </c>
      <c r="J195" s="20" t="n">
        <v>2</v>
      </c>
      <c r="K195" s="11" t="n">
        <v>5</v>
      </c>
      <c r="L195" s="22" t="s">
        <v>149</v>
      </c>
      <c r="M195" s="28" t="n">
        <f aca="false">IF(Supuestos!$C$23=1,AVERAGE(I195:J195),MIN(I195:J195))</f>
        <v>2.125</v>
      </c>
      <c r="N195" s="28" t="n">
        <f aca="false">INDEX(IF(H195=1,Factores!$C$6:$C$9,Factores!$B$6:$B$9),MATCH(M195,Factores!$A$6:$A$9,1))</f>
        <v>0.82</v>
      </c>
      <c r="O195" s="28" t="n">
        <f aca="false">INDEX(Factores!$B$13:$B$16,MATCH(B195,Factores!$A$13:$A$16,1))</f>
        <v>0.95</v>
      </c>
      <c r="P195" s="28" t="n">
        <f aca="false">M195*N195*O195</f>
        <v>1.655375</v>
      </c>
      <c r="Q195" s="15" t="n">
        <f aca="false">LE!B193</f>
        <v>8.73511547020459</v>
      </c>
      <c r="R195" s="27" t="n">
        <f aca="false">D195/$D$3</f>
        <v>0.00454488383901796</v>
      </c>
    </row>
    <row r="196" customFormat="false" ht="15" hidden="false" customHeight="false" outlineLevel="0" collapsed="false">
      <c r="A196" s="11" t="n">
        <v>191</v>
      </c>
      <c r="B196" s="11" t="n">
        <v>76</v>
      </c>
      <c r="C196" s="22" t="s">
        <v>150</v>
      </c>
      <c r="D196" s="10" t="n">
        <v>2.1139</v>
      </c>
      <c r="E196" s="11" t="n">
        <v>5</v>
      </c>
      <c r="F196" s="5" t="str">
        <f aca="false">INDEX(Factores!$C$29:$C$36,MATCH(E196,Factores!$A$29:$A$36,0))</f>
        <v>A-</v>
      </c>
      <c r="G196" s="8" t="n">
        <v>0.0321</v>
      </c>
      <c r="H196" s="11" t="n">
        <v>0</v>
      </c>
      <c r="I196" s="20" t="n">
        <v>2.25</v>
      </c>
      <c r="J196" s="20" t="n">
        <v>2.25</v>
      </c>
      <c r="K196" s="11" t="n">
        <v>11</v>
      </c>
      <c r="L196" s="22" t="s">
        <v>149</v>
      </c>
      <c r="M196" s="28" t="n">
        <f aca="false">IF(Supuestos!$C$23=1,AVERAGE(I196:J196),MIN(I196:J196))</f>
        <v>2.25</v>
      </c>
      <c r="N196" s="28" t="n">
        <f aca="false">INDEX(IF(H196=1,Factores!$C$6:$C$9,Factores!$B$6:$B$9),MATCH(M196,Factores!$A$6:$A$9,1))</f>
        <v>0.88</v>
      </c>
      <c r="O196" s="28" t="n">
        <f aca="false">INDEX(Factores!$B$13:$B$16,MATCH(B196,Factores!$A$13:$A$16,1))</f>
        <v>0.95</v>
      </c>
      <c r="P196" s="28" t="n">
        <f aca="false">M196*N196*O196</f>
        <v>1.881</v>
      </c>
      <c r="Q196" s="15" t="n">
        <f aca="false">LE!B194</f>
        <v>10.9882868255142</v>
      </c>
      <c r="R196" s="27" t="n">
        <f aca="false">D196/$D$3</f>
        <v>0.00469755033605518</v>
      </c>
    </row>
    <row r="197" customFormat="false" ht="15" hidden="false" customHeight="false" outlineLevel="0" collapsed="false">
      <c r="A197" s="11" t="n">
        <v>192</v>
      </c>
      <c r="B197" s="11" t="n">
        <v>88</v>
      </c>
      <c r="C197" s="22" t="s">
        <v>147</v>
      </c>
      <c r="D197" s="10" t="n">
        <v>0.9482</v>
      </c>
      <c r="E197" s="11" t="n">
        <v>1</v>
      </c>
      <c r="F197" s="5" t="str">
        <f aca="false">INDEX(Factores!$C$29:$C$36,MATCH(E197,Factores!$A$29:$A$36,0))</f>
        <v>A+</v>
      </c>
      <c r="G197" s="8" t="n">
        <v>0.0549</v>
      </c>
      <c r="H197" s="11" t="n">
        <v>1</v>
      </c>
      <c r="I197" s="20" t="n">
        <v>4</v>
      </c>
      <c r="J197" s="20" t="n">
        <v>4.25</v>
      </c>
      <c r="K197" s="11" t="n">
        <v>7</v>
      </c>
      <c r="L197" s="22" t="s">
        <v>149</v>
      </c>
      <c r="M197" s="28" t="n">
        <f aca="false">IF(Supuestos!$C$23=1,AVERAGE(I197:J197),MIN(I197:J197))</f>
        <v>4.125</v>
      </c>
      <c r="N197" s="28" t="n">
        <f aca="false">INDEX(IF(H197=1,Factores!$C$6:$C$9,Factores!$B$6:$B$9),MATCH(M197,Factores!$A$6:$A$9,1))</f>
        <v>0.74</v>
      </c>
      <c r="O197" s="28" t="n">
        <f aca="false">INDEX(Factores!$B$13:$B$16,MATCH(B197,Factores!$A$13:$A$16,1))</f>
        <v>1</v>
      </c>
      <c r="P197" s="28" t="n">
        <f aca="false">M197*N197*O197</f>
        <v>3.0525</v>
      </c>
      <c r="Q197" s="15" t="n">
        <f aca="false">LE!B195</f>
        <v>2.69876503047069</v>
      </c>
      <c r="R197" s="27" t="n">
        <f aca="false">D197/$D$3</f>
        <v>0.00210710876987914</v>
      </c>
    </row>
    <row r="198" customFormat="false" ht="15" hidden="false" customHeight="false" outlineLevel="0" collapsed="false">
      <c r="A198" s="11" t="n">
        <v>193</v>
      </c>
      <c r="B198" s="11" t="n">
        <v>88</v>
      </c>
      <c r="C198" s="22" t="s">
        <v>147</v>
      </c>
      <c r="D198" s="10" t="n">
        <v>0.7817</v>
      </c>
      <c r="E198" s="11" t="n">
        <v>4</v>
      </c>
      <c r="F198" s="5" t="str">
        <f aca="false">INDEX(Factores!$C$29:$C$36,MATCH(E198,Factores!$A$29:$A$36,0))</f>
        <v>A</v>
      </c>
      <c r="G198" s="8" t="n">
        <v>0.0763</v>
      </c>
      <c r="H198" s="11" t="n">
        <v>1</v>
      </c>
      <c r="I198" s="20" t="n">
        <v>1.75</v>
      </c>
      <c r="J198" s="20" t="n">
        <v>1.5</v>
      </c>
      <c r="K198" s="11" t="n">
        <v>7</v>
      </c>
      <c r="L198" s="22" t="s">
        <v>154</v>
      </c>
      <c r="M198" s="28" t="n">
        <f aca="false">IF(Supuestos!$C$23=1,AVERAGE(I198:J198),MIN(I198:J198))</f>
        <v>1.625</v>
      </c>
      <c r="N198" s="28" t="n">
        <f aca="false">INDEX(IF(H198=1,Factores!$C$6:$C$9,Factores!$B$6:$B$9),MATCH(M198,Factores!$A$6:$A$9,1))</f>
        <v>0.82</v>
      </c>
      <c r="O198" s="28" t="n">
        <f aca="false">INDEX(Factores!$B$13:$B$16,MATCH(B198,Factores!$A$13:$A$16,1))</f>
        <v>1</v>
      </c>
      <c r="P198" s="28" t="n">
        <f aca="false">M198*N198*O198</f>
        <v>1.3325</v>
      </c>
      <c r="Q198" s="15" t="n">
        <f aca="false">LE!B196</f>
        <v>5.28724856695317</v>
      </c>
      <c r="R198" s="27" t="n">
        <f aca="false">D198/$D$3</f>
        <v>0.0017371091809898</v>
      </c>
    </row>
    <row r="199" customFormat="false" ht="15" hidden="false" customHeight="false" outlineLevel="0" collapsed="false">
      <c r="A199" s="11" t="n">
        <v>194</v>
      </c>
      <c r="B199" s="11" t="n">
        <v>82</v>
      </c>
      <c r="C199" s="22" t="s">
        <v>147</v>
      </c>
      <c r="D199" s="10" t="n">
        <v>1.2457</v>
      </c>
      <c r="E199" s="11" t="n">
        <v>2</v>
      </c>
      <c r="F199" s="5" t="str">
        <f aca="false">INDEX(Factores!$C$29:$C$36,MATCH(E199,Factores!$A$29:$A$36,0))</f>
        <v>A+</v>
      </c>
      <c r="G199" s="8" t="n">
        <v>0.0528</v>
      </c>
      <c r="H199" s="11" t="n">
        <v>0</v>
      </c>
      <c r="I199" s="20" t="n">
        <v>1</v>
      </c>
      <c r="J199" s="20" t="n">
        <v>1</v>
      </c>
      <c r="K199" s="11" t="n">
        <v>9</v>
      </c>
      <c r="L199" s="22" t="s">
        <v>148</v>
      </c>
      <c r="M199" s="28" t="n">
        <f aca="false">IF(Supuestos!$C$23=1,AVERAGE(I199:J199),MIN(I199:J199))</f>
        <v>1</v>
      </c>
      <c r="N199" s="28" t="n">
        <f aca="false">INDEX(IF(H199=1,Factores!$C$6:$C$9,Factores!$B$6:$B$9),MATCH(M199,Factores!$A$6:$A$9,1))</f>
        <v>0.95</v>
      </c>
      <c r="O199" s="28" t="n">
        <f aca="false">INDEX(Factores!$B$13:$B$16,MATCH(B199,Factores!$A$13:$A$16,1))</f>
        <v>0.95</v>
      </c>
      <c r="P199" s="28" t="n">
        <f aca="false">M199*N199*O199</f>
        <v>0.9025</v>
      </c>
      <c r="Q199" s="15" t="n">
        <f aca="false">LE!B197</f>
        <v>9.62191016629205</v>
      </c>
      <c r="R199" s="27" t="n">
        <f aca="false">D199/$D$3</f>
        <v>0.00276821914642317</v>
      </c>
    </row>
    <row r="200" customFormat="false" ht="15" hidden="false" customHeight="false" outlineLevel="0" collapsed="false">
      <c r="A200" s="11" t="n">
        <v>195</v>
      </c>
      <c r="B200" s="11" t="n">
        <v>86</v>
      </c>
      <c r="C200" s="22" t="s">
        <v>150</v>
      </c>
      <c r="D200" s="10" t="n">
        <v>2.7329</v>
      </c>
      <c r="E200" s="11" t="n">
        <v>1</v>
      </c>
      <c r="F200" s="5" t="str">
        <f aca="false">INDEX(Factores!$C$29:$C$36,MATCH(E200,Factores!$A$29:$A$36,0))</f>
        <v>A+</v>
      </c>
      <c r="G200" s="8" t="n">
        <v>0.0673</v>
      </c>
      <c r="H200" s="11" t="n">
        <v>0</v>
      </c>
      <c r="I200" s="20" t="n">
        <v>1.5</v>
      </c>
      <c r="J200" s="20" t="n">
        <v>1.75</v>
      </c>
      <c r="K200" s="11" t="n">
        <v>8</v>
      </c>
      <c r="L200" s="22" t="s">
        <v>151</v>
      </c>
      <c r="M200" s="28" t="n">
        <f aca="false">IF(Supuestos!$C$23=1,AVERAGE(I200:J200),MIN(I200:J200))</f>
        <v>1.625</v>
      </c>
      <c r="N200" s="28" t="n">
        <f aca="false">INDEX(IF(H200=1,Factores!$C$6:$C$9,Factores!$B$6:$B$9),MATCH(M200,Factores!$A$6:$A$9,1))</f>
        <v>0.88</v>
      </c>
      <c r="O200" s="28" t="n">
        <f aca="false">INDEX(Factores!$B$13:$B$16,MATCH(B200,Factores!$A$13:$A$16,1))</f>
        <v>1</v>
      </c>
      <c r="P200" s="28" t="n">
        <f aca="false">M200*N200*O200</f>
        <v>1.43</v>
      </c>
      <c r="Q200" s="15" t="n">
        <f aca="false">LE!B198</f>
        <v>5.95286665063663</v>
      </c>
      <c r="R200" s="27" t="n">
        <f aca="false">D200/$D$3</f>
        <v>0.00607310436321737</v>
      </c>
    </row>
    <row r="201" customFormat="false" ht="15" hidden="false" customHeight="false" outlineLevel="0" collapsed="false">
      <c r="A201" s="11" t="n">
        <v>196</v>
      </c>
      <c r="B201" s="11" t="n">
        <v>87</v>
      </c>
      <c r="C201" s="22" t="s">
        <v>147</v>
      </c>
      <c r="D201" s="10" t="n">
        <v>0.4109</v>
      </c>
      <c r="E201" s="11" t="n">
        <v>1</v>
      </c>
      <c r="F201" s="5" t="str">
        <f aca="false">INDEX(Factores!$C$29:$C$36,MATCH(E201,Factores!$A$29:$A$36,0))</f>
        <v>A+</v>
      </c>
      <c r="G201" s="8" t="n">
        <v>0.0589</v>
      </c>
      <c r="H201" s="11" t="n">
        <v>1</v>
      </c>
      <c r="I201" s="20" t="n">
        <v>1.25</v>
      </c>
      <c r="J201" s="20" t="n">
        <v>1.25</v>
      </c>
      <c r="K201" s="11" t="n">
        <v>7</v>
      </c>
      <c r="L201" s="22" t="s">
        <v>154</v>
      </c>
      <c r="M201" s="28" t="n">
        <f aca="false">IF(Supuestos!$C$23=1,AVERAGE(I201:J201),MIN(I201:J201))</f>
        <v>1.25</v>
      </c>
      <c r="N201" s="28" t="n">
        <f aca="false">INDEX(IF(H201=1,Factores!$C$6:$C$9,Factores!$B$6:$B$9),MATCH(M201,Factores!$A$6:$A$9,1))</f>
        <v>0.9</v>
      </c>
      <c r="O201" s="28" t="n">
        <f aca="false">INDEX(Factores!$B$13:$B$16,MATCH(B201,Factores!$A$13:$A$16,1))</f>
        <v>1</v>
      </c>
      <c r="P201" s="28" t="n">
        <f aca="false">M201*N201*O201</f>
        <v>1.125</v>
      </c>
      <c r="Q201" s="15" t="n">
        <f aca="false">LE!B199</f>
        <v>6.29166571698914</v>
      </c>
      <c r="R201" s="27" t="n">
        <f aca="false">D201/$D$3</f>
        <v>0.000913110096544337</v>
      </c>
    </row>
    <row r="202" customFormat="false" ht="15" hidden="false" customHeight="false" outlineLevel="0" collapsed="false">
      <c r="A202" s="11" t="n">
        <v>197</v>
      </c>
      <c r="B202" s="11" t="n">
        <v>87</v>
      </c>
      <c r="C202" s="22" t="s">
        <v>150</v>
      </c>
      <c r="D202" s="10" t="n">
        <v>1.8522</v>
      </c>
      <c r="E202" s="11" t="n">
        <v>3</v>
      </c>
      <c r="F202" s="5" t="str">
        <f aca="false">INDEX(Factores!$C$29:$C$36,MATCH(E202,Factores!$A$29:$A$36,0))</f>
        <v>A</v>
      </c>
      <c r="G202" s="8" t="n">
        <v>0.0684</v>
      </c>
      <c r="H202" s="11" t="n">
        <v>0</v>
      </c>
      <c r="I202" s="20" t="n">
        <v>1.25</v>
      </c>
      <c r="J202" s="20" t="n">
        <v>1</v>
      </c>
      <c r="K202" s="11" t="n">
        <v>11</v>
      </c>
      <c r="L202" s="22" t="s">
        <v>148</v>
      </c>
      <c r="M202" s="28" t="n">
        <f aca="false">IF(Supuestos!$C$23=1,AVERAGE(I202:J202),MIN(I202:J202))</f>
        <v>1.125</v>
      </c>
      <c r="N202" s="28" t="n">
        <f aca="false">INDEX(IF(H202=1,Factores!$C$6:$C$9,Factores!$B$6:$B$9),MATCH(M202,Factores!$A$6:$A$9,1))</f>
        <v>0.95</v>
      </c>
      <c r="O202" s="28" t="n">
        <f aca="false">INDEX(Factores!$B$13:$B$16,MATCH(B202,Factores!$A$13:$A$16,1))</f>
        <v>1</v>
      </c>
      <c r="P202" s="28" t="n">
        <f aca="false">M202*N202*O202</f>
        <v>1.06875</v>
      </c>
      <c r="Q202" s="15" t="n">
        <f aca="false">LE!B200</f>
        <v>6.45744584748888</v>
      </c>
      <c r="R202" s="27" t="n">
        <f aca="false">D202/$D$3</f>
        <v>0.00411599542667175</v>
      </c>
    </row>
    <row r="203" customFormat="false" ht="15" hidden="false" customHeight="false" outlineLevel="0" collapsed="false">
      <c r="A203" s="11" t="n">
        <v>198</v>
      </c>
      <c r="B203" s="11" t="n">
        <v>88</v>
      </c>
      <c r="C203" s="22" t="s">
        <v>150</v>
      </c>
      <c r="D203" s="10" t="n">
        <v>0.9006</v>
      </c>
      <c r="E203" s="11" t="n">
        <v>2</v>
      </c>
      <c r="F203" s="5" t="str">
        <f aca="false">INDEX(Factores!$C$29:$C$36,MATCH(E203,Factores!$A$29:$A$36,0))</f>
        <v>A+</v>
      </c>
      <c r="G203" s="8" t="n">
        <v>0.0714</v>
      </c>
      <c r="H203" s="11" t="n">
        <v>0</v>
      </c>
      <c r="I203" s="20" t="n">
        <v>2.5</v>
      </c>
      <c r="J203" s="20" t="n">
        <v>3.75</v>
      </c>
      <c r="K203" s="11" t="n">
        <v>6</v>
      </c>
      <c r="L203" s="22" t="s">
        <v>154</v>
      </c>
      <c r="M203" s="28" t="n">
        <f aca="false">IF(Supuestos!$C$23=1,AVERAGE(I203:J203),MIN(I203:J203))</f>
        <v>3.125</v>
      </c>
      <c r="N203" s="28" t="n">
        <f aca="false">INDEX(IF(H203=1,Factores!$C$6:$C$9,Factores!$B$6:$B$9),MATCH(M203,Factores!$A$6:$A$9,1))</f>
        <v>0.8</v>
      </c>
      <c r="O203" s="28" t="n">
        <f aca="false">INDEX(Factores!$B$13:$B$16,MATCH(B203,Factores!$A$13:$A$16,1))</f>
        <v>1</v>
      </c>
      <c r="P203" s="28" t="n">
        <f aca="false">M203*N203*O203</f>
        <v>2.5</v>
      </c>
      <c r="Q203" s="15" t="n">
        <f aca="false">LE!B201</f>
        <v>3.26517811626522</v>
      </c>
      <c r="R203" s="27" t="n">
        <f aca="false">D203/$D$3</f>
        <v>0.0020013311096321</v>
      </c>
    </row>
    <row r="204" customFormat="false" ht="15" hidden="false" customHeight="false" outlineLevel="0" collapsed="false">
      <c r="A204" s="11" t="n">
        <v>199</v>
      </c>
      <c r="B204" s="11" t="n">
        <v>81</v>
      </c>
      <c r="C204" s="22" t="s">
        <v>150</v>
      </c>
      <c r="D204" s="10" t="n">
        <v>2.3339</v>
      </c>
      <c r="E204" s="11" t="n">
        <v>5</v>
      </c>
      <c r="F204" s="5" t="str">
        <f aca="false">INDEX(Factores!$C$29:$C$36,MATCH(E204,Factores!$A$29:$A$36,0))</f>
        <v>A-</v>
      </c>
      <c r="G204" s="8" t="n">
        <v>0.0537</v>
      </c>
      <c r="H204" s="11" t="n">
        <v>0</v>
      </c>
      <c r="I204" s="20" t="n">
        <v>1.5</v>
      </c>
      <c r="J204" s="20" t="n">
        <v>2.5</v>
      </c>
      <c r="K204" s="11" t="n">
        <v>10</v>
      </c>
      <c r="L204" s="22" t="s">
        <v>151</v>
      </c>
      <c r="M204" s="28" t="n">
        <f aca="false">IF(Supuestos!$C$23=1,AVERAGE(I204:J204),MIN(I204:J204))</f>
        <v>2</v>
      </c>
      <c r="N204" s="28" t="n">
        <f aca="false">INDEX(IF(H204=1,Factores!$C$6:$C$9,Factores!$B$6:$B$9),MATCH(M204,Factores!$A$6:$A$9,1))</f>
        <v>0.88</v>
      </c>
      <c r="O204" s="28" t="n">
        <f aca="false">INDEX(Factores!$B$13:$B$16,MATCH(B204,Factores!$A$13:$A$16,1))</f>
        <v>0.95</v>
      </c>
      <c r="P204" s="28" t="n">
        <f aca="false">M204*N204*O204</f>
        <v>1.672</v>
      </c>
      <c r="Q204" s="15" t="n">
        <f aca="false">LE!B202</f>
        <v>8.07218027340954</v>
      </c>
      <c r="R204" s="27" t="n">
        <f aca="false">D204/$D$3</f>
        <v>0.0051864386817348</v>
      </c>
    </row>
    <row r="205" customFormat="false" ht="15" hidden="false" customHeight="false" outlineLevel="0" collapsed="false">
      <c r="A205" s="11" t="n">
        <v>200</v>
      </c>
      <c r="B205" s="11" t="n">
        <v>91</v>
      </c>
      <c r="C205" s="22" t="s">
        <v>147</v>
      </c>
      <c r="D205" s="10" t="n">
        <v>0.8997</v>
      </c>
      <c r="E205" s="11" t="n">
        <v>1</v>
      </c>
      <c r="F205" s="5" t="str">
        <f aca="false">INDEX(Factores!$C$29:$C$36,MATCH(E205,Factores!$A$29:$A$36,0))</f>
        <v>A+</v>
      </c>
      <c r="G205" s="8" t="n">
        <v>0.0724</v>
      </c>
      <c r="H205" s="11" t="n">
        <v>0</v>
      </c>
      <c r="I205" s="20" t="n">
        <v>1</v>
      </c>
      <c r="J205" s="20" t="n">
        <v>1</v>
      </c>
      <c r="K205" s="11" t="n">
        <v>5</v>
      </c>
      <c r="L205" s="22" t="s">
        <v>151</v>
      </c>
      <c r="M205" s="28" t="n">
        <f aca="false">IF(Supuestos!$C$23=1,AVERAGE(I205:J205),MIN(I205:J205))</f>
        <v>1</v>
      </c>
      <c r="N205" s="28" t="n">
        <f aca="false">INDEX(IF(H205=1,Factores!$C$6:$C$9,Factores!$B$6:$B$9),MATCH(M205,Factores!$A$6:$A$9,1))</f>
        <v>0.95</v>
      </c>
      <c r="O205" s="28" t="n">
        <f aca="false">INDEX(Factores!$B$13:$B$16,MATCH(B205,Factores!$A$13:$A$16,1))</f>
        <v>1</v>
      </c>
      <c r="P205" s="28" t="n">
        <f aca="false">M205*N205*O205</f>
        <v>0.95</v>
      </c>
      <c r="Q205" s="15" t="n">
        <f aca="false">LE!B203</f>
        <v>5.11205908986633</v>
      </c>
      <c r="R205" s="27" t="n">
        <f aca="false">D205/$D$3</f>
        <v>0.00199933111185432</v>
      </c>
    </row>
    <row r="206" customFormat="false" ht="15" hidden="false" customHeight="false" outlineLevel="0" collapsed="false">
      <c r="A206" s="11" t="n">
        <v>201</v>
      </c>
      <c r="B206" s="11" t="n">
        <v>77</v>
      </c>
      <c r="C206" s="22" t="s">
        <v>147</v>
      </c>
      <c r="D206" s="10" t="n">
        <v>1.2852</v>
      </c>
      <c r="E206" s="11" t="n">
        <v>1</v>
      </c>
      <c r="F206" s="5" t="str">
        <f aca="false">INDEX(Factores!$C$29:$C$36,MATCH(E206,Factores!$A$29:$A$36,0))</f>
        <v>A+</v>
      </c>
      <c r="G206" s="8" t="n">
        <v>0.0327</v>
      </c>
      <c r="H206" s="11" t="n">
        <v>0</v>
      </c>
      <c r="I206" s="20" t="n">
        <v>2.75</v>
      </c>
      <c r="J206" s="20" t="n">
        <v>3</v>
      </c>
      <c r="K206" s="11" t="n">
        <v>6</v>
      </c>
      <c r="L206" s="22" t="s">
        <v>151</v>
      </c>
      <c r="M206" s="28" t="n">
        <f aca="false">IF(Supuestos!$C$23=1,AVERAGE(I206:J206),MIN(I206:J206))</f>
        <v>2.875</v>
      </c>
      <c r="N206" s="28" t="n">
        <f aca="false">INDEX(IF(H206=1,Factores!$C$6:$C$9,Factores!$B$6:$B$9),MATCH(M206,Factores!$A$6:$A$9,1))</f>
        <v>0.88</v>
      </c>
      <c r="O206" s="28" t="n">
        <f aca="false">INDEX(Factores!$B$13:$B$16,MATCH(B206,Factores!$A$13:$A$16,1))</f>
        <v>0.95</v>
      </c>
      <c r="P206" s="28" t="n">
        <f aca="false">M206*N206*O206</f>
        <v>2.4035</v>
      </c>
      <c r="Q206" s="15" t="n">
        <f aca="false">LE!B204</f>
        <v>9.16319972601739</v>
      </c>
      <c r="R206" s="27" t="n">
        <f aca="false">D206/$D$3</f>
        <v>0.00285599682667019</v>
      </c>
    </row>
    <row r="207" customFormat="false" ht="15" hidden="false" customHeight="false" outlineLevel="0" collapsed="false">
      <c r="A207" s="11" t="n">
        <v>202</v>
      </c>
      <c r="B207" s="11" t="n">
        <v>87</v>
      </c>
      <c r="C207" s="22" t="s">
        <v>150</v>
      </c>
      <c r="D207" s="10" t="n">
        <v>0.742</v>
      </c>
      <c r="E207" s="11" t="n">
        <v>8</v>
      </c>
      <c r="F207" s="5" t="str">
        <f aca="false">INDEX(Factores!$C$29:$C$36,MATCH(E207,Factores!$A$29:$A$36,0))</f>
        <v>B++</v>
      </c>
      <c r="G207" s="8" t="n">
        <v>0.0618</v>
      </c>
      <c r="H207" s="11" t="n">
        <v>0</v>
      </c>
      <c r="I207" s="20" t="n">
        <v>2</v>
      </c>
      <c r="J207" s="20" t="n">
        <v>3.25</v>
      </c>
      <c r="K207" s="11" t="n">
        <v>5</v>
      </c>
      <c r="L207" s="22" t="s">
        <v>155</v>
      </c>
      <c r="M207" s="28" t="n">
        <f aca="false">IF(Supuestos!$C$23=1,AVERAGE(I207:J207),MIN(I207:J207))</f>
        <v>2.625</v>
      </c>
      <c r="N207" s="28" t="n">
        <f aca="false">INDEX(IF(H207=1,Factores!$C$6:$C$9,Factores!$B$6:$B$9),MATCH(M207,Factores!$A$6:$A$9,1))</f>
        <v>0.88</v>
      </c>
      <c r="O207" s="28" t="n">
        <f aca="false">INDEX(Factores!$B$13:$B$16,MATCH(B207,Factores!$A$13:$A$16,1))</f>
        <v>1</v>
      </c>
      <c r="P207" s="28" t="n">
        <f aca="false">M207*N207*O207</f>
        <v>2.31</v>
      </c>
      <c r="Q207" s="15" t="n">
        <f aca="false">LE!B205</f>
        <v>3.86847060830948</v>
      </c>
      <c r="R207" s="27" t="n">
        <f aca="false">D207/$D$3</f>
        <v>0.00164888705679216</v>
      </c>
    </row>
    <row r="208" customFormat="false" ht="15" hidden="false" customHeight="false" outlineLevel="0" collapsed="false">
      <c r="A208" s="11" t="n">
        <v>203</v>
      </c>
      <c r="B208" s="11" t="n">
        <v>85</v>
      </c>
      <c r="C208" s="22" t="s">
        <v>150</v>
      </c>
      <c r="D208" s="10" t="n">
        <v>0.9414</v>
      </c>
      <c r="E208" s="11" t="n">
        <v>2</v>
      </c>
      <c r="F208" s="5" t="str">
        <f aca="false">INDEX(Factores!$C$29:$C$36,MATCH(E208,Factores!$A$29:$A$36,0))</f>
        <v>A+</v>
      </c>
      <c r="G208" s="8" t="n">
        <v>0.0487</v>
      </c>
      <c r="H208" s="11" t="n">
        <v>0</v>
      </c>
      <c r="I208" s="20" t="n">
        <v>2.25</v>
      </c>
      <c r="J208" s="20" t="n">
        <v>2.75</v>
      </c>
      <c r="K208" s="11" t="n">
        <v>4</v>
      </c>
      <c r="L208" s="22" t="s">
        <v>153</v>
      </c>
      <c r="M208" s="28" t="n">
        <f aca="false">IF(Supuestos!$C$23=1,AVERAGE(I208:J208),MIN(I208:J208))</f>
        <v>2.5</v>
      </c>
      <c r="N208" s="28" t="n">
        <f aca="false">INDEX(IF(H208=1,Factores!$C$6:$C$9,Factores!$B$6:$B$9),MATCH(M208,Factores!$A$6:$A$9,1))</f>
        <v>0.88</v>
      </c>
      <c r="O208" s="28" t="n">
        <f aca="false">INDEX(Factores!$B$13:$B$16,MATCH(B208,Factores!$A$13:$A$16,1))</f>
        <v>1</v>
      </c>
      <c r="P208" s="28" t="n">
        <f aca="false">M208*N208*O208</f>
        <v>2.2</v>
      </c>
      <c r="Q208" s="15" t="n">
        <f aca="false">LE!B206</f>
        <v>4.86707681301698</v>
      </c>
      <c r="R208" s="27" t="n">
        <f aca="false">D208/$D$3</f>
        <v>0.00209199767555814</v>
      </c>
    </row>
    <row r="209" customFormat="false" ht="15" hidden="false" customHeight="false" outlineLevel="0" collapsed="false">
      <c r="A209" s="11" t="n">
        <v>204</v>
      </c>
      <c r="B209" s="11" t="n">
        <v>87</v>
      </c>
      <c r="C209" s="22" t="s">
        <v>150</v>
      </c>
      <c r="D209" s="10" t="n">
        <v>2.7264</v>
      </c>
      <c r="E209" s="11" t="n">
        <v>3</v>
      </c>
      <c r="F209" s="5" t="str">
        <f aca="false">INDEX(Factores!$C$29:$C$36,MATCH(E209,Factores!$A$29:$A$36,0))</f>
        <v>A</v>
      </c>
      <c r="G209" s="8" t="n">
        <v>0.0557</v>
      </c>
      <c r="H209" s="11" t="n">
        <v>0</v>
      </c>
      <c r="I209" s="20" t="n">
        <v>2</v>
      </c>
      <c r="J209" s="20" t="n">
        <v>2</v>
      </c>
      <c r="K209" s="11" t="n">
        <v>3</v>
      </c>
      <c r="L209" s="22" t="s">
        <v>149</v>
      </c>
      <c r="M209" s="28" t="n">
        <f aca="false">IF(Supuestos!$C$23=1,AVERAGE(I209:J209),MIN(I209:J209))</f>
        <v>2</v>
      </c>
      <c r="N209" s="28" t="n">
        <f aca="false">INDEX(IF(H209=1,Factores!$C$6:$C$9,Factores!$B$6:$B$9),MATCH(M209,Factores!$A$6:$A$9,1))</f>
        <v>0.88</v>
      </c>
      <c r="O209" s="28" t="n">
        <f aca="false">INDEX(Factores!$B$13:$B$16,MATCH(B209,Factores!$A$13:$A$16,1))</f>
        <v>1</v>
      </c>
      <c r="P209" s="28" t="n">
        <f aca="false">M209*N209*O209</f>
        <v>1.76</v>
      </c>
      <c r="Q209" s="15" t="n">
        <f aca="false">LE!B207</f>
        <v>4.78010542254414</v>
      </c>
      <c r="R209" s="27" t="n">
        <f aca="false">D209/$D$3</f>
        <v>0.00605865993482229</v>
      </c>
    </row>
    <row r="210" customFormat="false" ht="15" hidden="false" customHeight="false" outlineLevel="0" collapsed="false">
      <c r="A210" s="11" t="n">
        <v>205</v>
      </c>
      <c r="B210" s="11" t="n">
        <v>92</v>
      </c>
      <c r="C210" s="22" t="s">
        <v>150</v>
      </c>
      <c r="D210" s="10" t="n">
        <v>2.1141</v>
      </c>
      <c r="E210" s="11" t="n">
        <v>2</v>
      </c>
      <c r="F210" s="5" t="str">
        <f aca="false">INDEX(Factores!$C$29:$C$36,MATCH(E210,Factores!$A$29:$A$36,0))</f>
        <v>A+</v>
      </c>
      <c r="G210" s="8" t="n">
        <v>0.0754</v>
      </c>
      <c r="H210" s="11" t="n">
        <v>1</v>
      </c>
      <c r="I210" s="20" t="n">
        <v>2.75</v>
      </c>
      <c r="J210" s="20" t="n">
        <v>2.75</v>
      </c>
      <c r="K210" s="11" t="n">
        <v>8</v>
      </c>
      <c r="L210" s="22" t="s">
        <v>154</v>
      </c>
      <c r="M210" s="28" t="n">
        <f aca="false">IF(Supuestos!$C$23=1,AVERAGE(I210:J210),MIN(I210:J210))</f>
        <v>2.75</v>
      </c>
      <c r="N210" s="28" t="n">
        <f aca="false">INDEX(IF(H210=1,Factores!$C$6:$C$9,Factores!$B$6:$B$9),MATCH(M210,Factores!$A$6:$A$9,1))</f>
        <v>0.82</v>
      </c>
      <c r="O210" s="28" t="n">
        <f aca="false">INDEX(Factores!$B$13:$B$16,MATCH(B210,Factores!$A$13:$A$16,1))</f>
        <v>1</v>
      </c>
      <c r="P210" s="28" t="n">
        <f aca="false">M210*N210*O210</f>
        <v>2.255</v>
      </c>
      <c r="Q210" s="15" t="n">
        <f aca="false">LE!B208</f>
        <v>2.37044380966068</v>
      </c>
      <c r="R210" s="27" t="n">
        <f aca="false">D210/$D$3</f>
        <v>0.0046979947800058</v>
      </c>
    </row>
    <row r="211" customFormat="false" ht="15" hidden="false" customHeight="false" outlineLevel="0" collapsed="false">
      <c r="A211" s="11" t="n">
        <v>206</v>
      </c>
      <c r="B211" s="11" t="n">
        <v>90</v>
      </c>
      <c r="C211" s="22" t="s">
        <v>150</v>
      </c>
      <c r="D211" s="10" t="n">
        <v>1.2197</v>
      </c>
      <c r="E211" s="11" t="n">
        <v>2</v>
      </c>
      <c r="F211" s="5" t="str">
        <f aca="false">INDEX(Factores!$C$29:$C$36,MATCH(E211,Factores!$A$29:$A$36,0))</f>
        <v>A+</v>
      </c>
      <c r="G211" s="8" t="n">
        <v>0.066</v>
      </c>
      <c r="H211" s="11" t="n">
        <v>0</v>
      </c>
      <c r="I211" s="20" t="n">
        <v>2</v>
      </c>
      <c r="J211" s="20" t="n">
        <v>1.75</v>
      </c>
      <c r="K211" s="11" t="n">
        <v>5</v>
      </c>
      <c r="L211" s="22" t="s">
        <v>149</v>
      </c>
      <c r="M211" s="28" t="n">
        <f aca="false">IF(Supuestos!$C$23=1,AVERAGE(I211:J211),MIN(I211:J211))</f>
        <v>1.875</v>
      </c>
      <c r="N211" s="28" t="n">
        <f aca="false">INDEX(IF(H211=1,Factores!$C$6:$C$9,Factores!$B$6:$B$9),MATCH(M211,Factores!$A$6:$A$9,1))</f>
        <v>0.88</v>
      </c>
      <c r="O211" s="28" t="n">
        <f aca="false">INDEX(Factores!$B$13:$B$16,MATCH(B211,Factores!$A$13:$A$16,1))</f>
        <v>1</v>
      </c>
      <c r="P211" s="28" t="n">
        <f aca="false">M211*N211*O211</f>
        <v>1.65</v>
      </c>
      <c r="Q211" s="15" t="n">
        <f aca="false">LE!B209</f>
        <v>3.82560934750023</v>
      </c>
      <c r="R211" s="27" t="n">
        <f aca="false">D211/$D$3</f>
        <v>0.00271044143284285</v>
      </c>
    </row>
    <row r="212" customFormat="false" ht="15" hidden="false" customHeight="false" outlineLevel="0" collapsed="false">
      <c r="A212" s="11" t="n">
        <v>207</v>
      </c>
      <c r="B212" s="11" t="n">
        <v>77</v>
      </c>
      <c r="C212" s="22" t="s">
        <v>150</v>
      </c>
      <c r="D212" s="10" t="n">
        <v>0.9879</v>
      </c>
      <c r="E212" s="11" t="n">
        <v>3</v>
      </c>
      <c r="F212" s="5" t="str">
        <f aca="false">INDEX(Factores!$C$29:$C$36,MATCH(E212,Factores!$A$29:$A$36,0))</f>
        <v>A</v>
      </c>
      <c r="G212" s="8" t="n">
        <v>0.0368</v>
      </c>
      <c r="H212" s="11" t="n">
        <v>1</v>
      </c>
      <c r="I212" s="20" t="n">
        <v>3.5</v>
      </c>
      <c r="J212" s="20" t="n">
        <v>3.25</v>
      </c>
      <c r="K212" s="11" t="n">
        <v>11</v>
      </c>
      <c r="L212" s="22" t="s">
        <v>149</v>
      </c>
      <c r="M212" s="28" t="n">
        <f aca="false">IF(Supuestos!$C$23=1,AVERAGE(I212:J212),MIN(I212:J212))</f>
        <v>3.375</v>
      </c>
      <c r="N212" s="28" t="n">
        <f aca="false">INDEX(IF(H212=1,Factores!$C$6:$C$9,Factores!$B$6:$B$9),MATCH(M212,Factores!$A$6:$A$9,1))</f>
        <v>0.74</v>
      </c>
      <c r="O212" s="28" t="n">
        <f aca="false">INDEX(Factores!$B$13:$B$16,MATCH(B212,Factores!$A$13:$A$16,1))</f>
        <v>0.95</v>
      </c>
      <c r="P212" s="28" t="n">
        <f aca="false">M212*N212*O212</f>
        <v>2.372625</v>
      </c>
      <c r="Q212" s="15" t="n">
        <f aca="false">LE!B210</f>
        <v>9.22315159108072</v>
      </c>
      <c r="R212" s="27" t="n">
        <f aca="false">D212/$D$3</f>
        <v>0.00219533089407678</v>
      </c>
    </row>
    <row r="213" customFormat="false" ht="15" hidden="false" customHeight="false" outlineLevel="0" collapsed="false">
      <c r="A213" s="11" t="n">
        <v>208</v>
      </c>
      <c r="B213" s="11" t="n">
        <v>75</v>
      </c>
      <c r="C213" s="22" t="s">
        <v>147</v>
      </c>
      <c r="D213" s="10" t="n">
        <v>0.6232</v>
      </c>
      <c r="E213" s="11" t="n">
        <v>6</v>
      </c>
      <c r="F213" s="5" t="str">
        <f aca="false">INDEX(Factores!$C$29:$C$36,MATCH(E213,Factores!$A$29:$A$36,0))</f>
        <v>A</v>
      </c>
      <c r="G213" s="8" t="n">
        <v>0.0321</v>
      </c>
      <c r="H213" s="11" t="n">
        <v>1</v>
      </c>
      <c r="I213" s="20" t="n">
        <v>2.5</v>
      </c>
      <c r="J213" s="20" t="n">
        <v>2.25</v>
      </c>
      <c r="K213" s="11" t="n">
        <v>11</v>
      </c>
      <c r="L213" s="22" t="s">
        <v>149</v>
      </c>
      <c r="M213" s="28" t="n">
        <f aca="false">IF(Supuestos!$C$23=1,AVERAGE(I213:J213),MIN(I213:J213))</f>
        <v>2.375</v>
      </c>
      <c r="N213" s="28" t="n">
        <f aca="false">INDEX(IF(H213=1,Factores!$C$6:$C$9,Factores!$B$6:$B$9),MATCH(M213,Factores!$A$6:$A$9,1))</f>
        <v>0.82</v>
      </c>
      <c r="O213" s="28" t="n">
        <f aca="false">INDEX(Factores!$B$13:$B$16,MATCH(B213,Factores!$A$13:$A$16,1))</f>
        <v>0.95</v>
      </c>
      <c r="P213" s="28" t="n">
        <f aca="false">M213*N213*O213</f>
        <v>1.850125</v>
      </c>
      <c r="Q213" s="15" t="n">
        <f aca="false">LE!B211</f>
        <v>11.8203301050269</v>
      </c>
      <c r="R213" s="27" t="n">
        <f aca="false">D213/$D$3</f>
        <v>0.00138488735012517</v>
      </c>
    </row>
    <row r="214" customFormat="false" ht="15" hidden="false" customHeight="false" outlineLevel="0" collapsed="false">
      <c r="A214" s="11" t="n">
        <v>209</v>
      </c>
      <c r="B214" s="11" t="n">
        <v>87</v>
      </c>
      <c r="C214" s="22" t="s">
        <v>147</v>
      </c>
      <c r="D214" s="10" t="n">
        <v>1.2241</v>
      </c>
      <c r="E214" s="11" t="n">
        <v>1</v>
      </c>
      <c r="F214" s="5" t="str">
        <f aca="false">INDEX(Factores!$C$29:$C$36,MATCH(E214,Factores!$A$29:$A$36,0))</f>
        <v>A+</v>
      </c>
      <c r="G214" s="8" t="n">
        <v>0.0702</v>
      </c>
      <c r="H214" s="11" t="n">
        <v>0</v>
      </c>
      <c r="I214" s="20" t="n">
        <v>2.5</v>
      </c>
      <c r="J214" s="20" t="n">
        <v>3</v>
      </c>
      <c r="K214" s="11" t="n">
        <v>5</v>
      </c>
      <c r="L214" s="22" t="s">
        <v>152</v>
      </c>
      <c r="M214" s="28" t="n">
        <f aca="false">IF(Supuestos!$C$23=1,AVERAGE(I214:J214),MIN(I214:J214))</f>
        <v>2.75</v>
      </c>
      <c r="N214" s="28" t="n">
        <f aca="false">INDEX(IF(H214=1,Factores!$C$6:$C$9,Factores!$B$6:$B$9),MATCH(M214,Factores!$A$6:$A$9,1))</f>
        <v>0.88</v>
      </c>
      <c r="O214" s="28" t="n">
        <f aca="false">INDEX(Factores!$B$13:$B$16,MATCH(B214,Factores!$A$13:$A$16,1))</f>
        <v>1</v>
      </c>
      <c r="P214" s="28" t="n">
        <f aca="false">M214*N214*O214</f>
        <v>2.42</v>
      </c>
      <c r="Q214" s="15" t="n">
        <f aca="false">LE!B212</f>
        <v>3.71819833310186</v>
      </c>
      <c r="R214" s="27" t="n">
        <f aca="false">D214/$D$3</f>
        <v>0.00272021919975644</v>
      </c>
    </row>
    <row r="215" customFormat="false" ht="15" hidden="false" customHeight="false" outlineLevel="0" collapsed="false">
      <c r="A215" s="11" t="n">
        <v>210</v>
      </c>
      <c r="B215" s="11" t="n">
        <v>78</v>
      </c>
      <c r="C215" s="22" t="s">
        <v>147</v>
      </c>
      <c r="D215" s="10" t="n">
        <v>1.4412</v>
      </c>
      <c r="E215" s="11" t="n">
        <v>6</v>
      </c>
      <c r="F215" s="5" t="str">
        <f aca="false">INDEX(Factores!$C$29:$C$36,MATCH(E215,Factores!$A$29:$A$36,0))</f>
        <v>A</v>
      </c>
      <c r="G215" s="8" t="n">
        <v>0.0452</v>
      </c>
      <c r="H215" s="11" t="n">
        <v>0</v>
      </c>
      <c r="I215" s="20" t="n">
        <v>2.5</v>
      </c>
      <c r="J215" s="20" t="n">
        <v>2.25</v>
      </c>
      <c r="K215" s="11" t="n">
        <v>3</v>
      </c>
      <c r="L215" s="22" t="s">
        <v>152</v>
      </c>
      <c r="M215" s="28" t="n">
        <f aca="false">IF(Supuestos!$C$23=1,AVERAGE(I215:J215),MIN(I215:J215))</f>
        <v>2.375</v>
      </c>
      <c r="N215" s="28" t="n">
        <f aca="false">INDEX(IF(H215=1,Factores!$C$6:$C$9,Factores!$B$6:$B$9),MATCH(M215,Factores!$A$6:$A$9,1))</f>
        <v>0.88</v>
      </c>
      <c r="O215" s="28" t="n">
        <f aca="false">INDEX(Factores!$B$13:$B$16,MATCH(B215,Factores!$A$13:$A$16,1))</f>
        <v>0.95</v>
      </c>
      <c r="P215" s="28" t="n">
        <f aca="false">M215*N215*O215</f>
        <v>1.9855</v>
      </c>
      <c r="Q215" s="15" t="n">
        <f aca="false">LE!B213</f>
        <v>9.31219481953123</v>
      </c>
      <c r="R215" s="27" t="n">
        <f aca="false">D215/$D$3</f>
        <v>0.0032026631081521</v>
      </c>
    </row>
    <row r="216" customFormat="false" ht="15" hidden="false" customHeight="false" outlineLevel="0" collapsed="false">
      <c r="A216" s="11" t="n">
        <v>211</v>
      </c>
      <c r="B216" s="11" t="n">
        <v>83</v>
      </c>
      <c r="C216" s="22" t="s">
        <v>147</v>
      </c>
      <c r="D216" s="10" t="n">
        <v>1.4071</v>
      </c>
      <c r="E216" s="11" t="n">
        <v>8</v>
      </c>
      <c r="F216" s="5" t="str">
        <f aca="false">INDEX(Factores!$C$29:$C$36,MATCH(E216,Factores!$A$29:$A$36,0))</f>
        <v>B++</v>
      </c>
      <c r="G216" s="8" t="n">
        <v>0.0523</v>
      </c>
      <c r="H216" s="11" t="n">
        <v>0</v>
      </c>
      <c r="I216" s="20" t="n">
        <v>1</v>
      </c>
      <c r="J216" s="20" t="n">
        <v>1</v>
      </c>
      <c r="K216" s="11" t="n">
        <v>9</v>
      </c>
      <c r="L216" s="22" t="s">
        <v>148</v>
      </c>
      <c r="M216" s="28" t="n">
        <f aca="false">IF(Supuestos!$C$23=1,AVERAGE(I216:J216),MIN(I216:J216))</f>
        <v>1</v>
      </c>
      <c r="N216" s="28" t="n">
        <f aca="false">INDEX(IF(H216=1,Factores!$C$6:$C$9,Factores!$B$6:$B$9),MATCH(M216,Factores!$A$6:$A$9,1))</f>
        <v>0.95</v>
      </c>
      <c r="O216" s="28" t="n">
        <f aca="false">INDEX(Factores!$B$13:$B$16,MATCH(B216,Factores!$A$13:$A$16,1))</f>
        <v>0.95</v>
      </c>
      <c r="P216" s="28" t="n">
        <f aca="false">M216*N216*O216</f>
        <v>0.9025</v>
      </c>
      <c r="Q216" s="15" t="n">
        <f aca="false">LE!B214</f>
        <v>9.05192472491636</v>
      </c>
      <c r="R216" s="27" t="n">
        <f aca="false">D216/$D$3</f>
        <v>0.00312688541457176</v>
      </c>
    </row>
    <row r="217" customFormat="false" ht="15" hidden="false" customHeight="false" outlineLevel="0" collapsed="false">
      <c r="A217" s="11" t="n">
        <v>212</v>
      </c>
      <c r="B217" s="11" t="n">
        <v>87</v>
      </c>
      <c r="C217" s="22" t="s">
        <v>147</v>
      </c>
      <c r="D217" s="10" t="n">
        <v>1.401</v>
      </c>
      <c r="E217" s="11" t="n">
        <v>4</v>
      </c>
      <c r="F217" s="5" t="str">
        <f aca="false">INDEX(Factores!$C$29:$C$36,MATCH(E217,Factores!$A$29:$A$36,0))</f>
        <v>A</v>
      </c>
      <c r="G217" s="8" t="n">
        <v>0.0673</v>
      </c>
      <c r="H217" s="11" t="n">
        <v>0</v>
      </c>
      <c r="I217" s="20" t="n">
        <v>1.75</v>
      </c>
      <c r="J217" s="20" t="n">
        <v>1.5</v>
      </c>
      <c r="K217" s="11" t="n">
        <v>9</v>
      </c>
      <c r="L217" s="22" t="s">
        <v>155</v>
      </c>
      <c r="M217" s="28" t="n">
        <f aca="false">IF(Supuestos!$C$23=1,AVERAGE(I217:J217),MIN(I217:J217))</f>
        <v>1.625</v>
      </c>
      <c r="N217" s="28" t="n">
        <f aca="false">INDEX(IF(H217=1,Factores!$C$6:$C$9,Factores!$B$6:$B$9),MATCH(M217,Factores!$A$6:$A$9,1))</f>
        <v>0.88</v>
      </c>
      <c r="O217" s="28" t="n">
        <f aca="false">INDEX(Factores!$B$13:$B$16,MATCH(B217,Factores!$A$13:$A$16,1))</f>
        <v>1</v>
      </c>
      <c r="P217" s="28" t="n">
        <f aca="false">M217*N217*O217</f>
        <v>1.43</v>
      </c>
      <c r="Q217" s="15" t="n">
        <f aca="false">LE!B215</f>
        <v>5.49033183384895</v>
      </c>
      <c r="R217" s="27" t="n">
        <f aca="false">D217/$D$3</f>
        <v>0.00311332987407792</v>
      </c>
    </row>
    <row r="218" customFormat="false" ht="15" hidden="false" customHeight="false" outlineLevel="0" collapsed="false">
      <c r="A218" s="11" t="n">
        <v>213</v>
      </c>
      <c r="B218" s="11" t="n">
        <v>75</v>
      </c>
      <c r="C218" s="22" t="s">
        <v>147</v>
      </c>
      <c r="D218" s="10" t="n">
        <v>0.8821</v>
      </c>
      <c r="E218" s="11" t="n">
        <v>2</v>
      </c>
      <c r="F218" s="5" t="str">
        <f aca="false">INDEX(Factores!$C$29:$C$36,MATCH(E218,Factores!$A$29:$A$36,0))</f>
        <v>A+</v>
      </c>
      <c r="G218" s="8" t="n">
        <v>0.0294</v>
      </c>
      <c r="H218" s="11" t="n">
        <v>0</v>
      </c>
      <c r="I218" s="20" t="n">
        <v>1.75</v>
      </c>
      <c r="J218" s="20" t="n">
        <v>1.75</v>
      </c>
      <c r="K218" s="11" t="n">
        <v>6</v>
      </c>
      <c r="L218" s="22" t="s">
        <v>149</v>
      </c>
      <c r="M218" s="28" t="n">
        <f aca="false">IF(Supuestos!$C$23=1,AVERAGE(I218:J218),MIN(I218:J218))</f>
        <v>1.75</v>
      </c>
      <c r="N218" s="28" t="n">
        <f aca="false">INDEX(IF(H218=1,Factores!$C$6:$C$9,Factores!$B$6:$B$9),MATCH(M218,Factores!$A$6:$A$9,1))</f>
        <v>0.88</v>
      </c>
      <c r="O218" s="28" t="n">
        <f aca="false">INDEX(Factores!$B$13:$B$16,MATCH(B218,Factores!$A$13:$A$16,1))</f>
        <v>0.95</v>
      </c>
      <c r="P218" s="28" t="n">
        <f aca="false">M218*N218*O218</f>
        <v>1.463</v>
      </c>
      <c r="Q218" s="15" t="n">
        <f aca="false">LE!B216</f>
        <v>12.720282433304</v>
      </c>
      <c r="R218" s="27" t="n">
        <f aca="false">D218/$D$3</f>
        <v>0.00196022004419995</v>
      </c>
    </row>
    <row r="219" customFormat="false" ht="15" hidden="false" customHeight="false" outlineLevel="0" collapsed="false">
      <c r="A219" s="11" t="n">
        <v>214</v>
      </c>
      <c r="B219" s="11" t="n">
        <v>72</v>
      </c>
      <c r="C219" s="22" t="s">
        <v>147</v>
      </c>
      <c r="D219" s="10" t="n">
        <v>1.4184</v>
      </c>
      <c r="E219" s="11" t="n">
        <v>2</v>
      </c>
      <c r="F219" s="5" t="str">
        <f aca="false">INDEX(Factores!$C$29:$C$36,MATCH(E219,Factores!$A$29:$A$36,0))</f>
        <v>A+</v>
      </c>
      <c r="G219" s="8" t="n">
        <v>0.0237</v>
      </c>
      <c r="H219" s="11" t="n">
        <v>0</v>
      </c>
      <c r="I219" s="20" t="n">
        <v>2.25</v>
      </c>
      <c r="J219" s="20" t="n">
        <v>2</v>
      </c>
      <c r="K219" s="11" t="n">
        <v>10</v>
      </c>
      <c r="L219" s="22" t="s">
        <v>153</v>
      </c>
      <c r="M219" s="28" t="n">
        <f aca="false">IF(Supuestos!$C$23=1,AVERAGE(I219:J219),MIN(I219:J219))</f>
        <v>2.125</v>
      </c>
      <c r="N219" s="28" t="n">
        <f aca="false">INDEX(IF(H219=1,Factores!$C$6:$C$9,Factores!$B$6:$B$9),MATCH(M219,Factores!$A$6:$A$9,1))</f>
        <v>0.88</v>
      </c>
      <c r="O219" s="28" t="n">
        <f aca="false">INDEX(Factores!$B$13:$B$16,MATCH(B219,Factores!$A$13:$A$16,1))</f>
        <v>0.9</v>
      </c>
      <c r="P219" s="28" t="n">
        <f aca="false">M219*N219*O219</f>
        <v>1.683</v>
      </c>
      <c r="Q219" s="15" t="n">
        <f aca="false">LE!B217</f>
        <v>14.6092690987956</v>
      </c>
      <c r="R219" s="27" t="n">
        <f aca="false">D219/$D$3</f>
        <v>0.00315199649778167</v>
      </c>
    </row>
    <row r="220" customFormat="false" ht="15" hidden="false" customHeight="false" outlineLevel="0" collapsed="false">
      <c r="A220" s="11" t="n">
        <v>215</v>
      </c>
      <c r="B220" s="11" t="n">
        <v>84</v>
      </c>
      <c r="C220" s="22" t="s">
        <v>147</v>
      </c>
      <c r="D220" s="10" t="n">
        <v>1.4361</v>
      </c>
      <c r="E220" s="11" t="n">
        <v>1</v>
      </c>
      <c r="F220" s="5" t="str">
        <f aca="false">INDEX(Factores!$C$29:$C$36,MATCH(E220,Factores!$A$29:$A$36,0))</f>
        <v>A+</v>
      </c>
      <c r="G220" s="8" t="n">
        <v>0.0586</v>
      </c>
      <c r="H220" s="11" t="n">
        <v>1</v>
      </c>
      <c r="I220" s="20" t="n">
        <v>1</v>
      </c>
      <c r="J220" s="20" t="n">
        <v>1</v>
      </c>
      <c r="K220" s="11" t="n">
        <v>4</v>
      </c>
      <c r="L220" s="22" t="s">
        <v>155</v>
      </c>
      <c r="M220" s="28" t="n">
        <f aca="false">IF(Supuestos!$C$23=1,AVERAGE(I220:J220),MIN(I220:J220))</f>
        <v>1</v>
      </c>
      <c r="N220" s="28" t="n">
        <f aca="false">INDEX(IF(H220=1,Factores!$C$6:$C$9,Factores!$B$6:$B$9),MATCH(M220,Factores!$A$6:$A$9,1))</f>
        <v>0.9</v>
      </c>
      <c r="O220" s="28" t="n">
        <f aca="false">INDEX(Factores!$B$13:$B$16,MATCH(B220,Factores!$A$13:$A$16,1))</f>
        <v>0.95</v>
      </c>
      <c r="P220" s="28" t="n">
        <f aca="false">M220*N220*O220</f>
        <v>0.855</v>
      </c>
      <c r="Q220" s="15" t="n">
        <f aca="false">LE!B218</f>
        <v>8.66411010150022</v>
      </c>
      <c r="R220" s="27" t="n">
        <f aca="false">D220/$D$3</f>
        <v>0.00319132978741135</v>
      </c>
    </row>
    <row r="221" customFormat="false" ht="15" hidden="false" customHeight="false" outlineLevel="0" collapsed="false">
      <c r="A221" s="11" t="n">
        <v>216</v>
      </c>
      <c r="B221" s="11" t="n">
        <v>83</v>
      </c>
      <c r="C221" s="22" t="s">
        <v>147</v>
      </c>
      <c r="D221" s="10" t="n">
        <v>2.612</v>
      </c>
      <c r="E221" s="11" t="n">
        <v>2</v>
      </c>
      <c r="F221" s="5" t="str">
        <f aca="false">INDEX(Factores!$C$29:$C$36,MATCH(E221,Factores!$A$29:$A$36,0))</f>
        <v>A+</v>
      </c>
      <c r="G221" s="8" t="n">
        <v>0.0475</v>
      </c>
      <c r="H221" s="11" t="n">
        <v>0</v>
      </c>
      <c r="I221" s="20" t="n">
        <v>4.25</v>
      </c>
      <c r="J221" s="20" t="n">
        <v>5.25</v>
      </c>
      <c r="K221" s="11" t="n">
        <v>6</v>
      </c>
      <c r="L221" s="22" t="s">
        <v>151</v>
      </c>
      <c r="M221" s="28" t="n">
        <f aca="false">IF(Supuestos!$C$23=1,AVERAGE(I221:J221),MIN(I221:J221))</f>
        <v>4.75</v>
      </c>
      <c r="N221" s="28" t="n">
        <f aca="false">INDEX(IF(H221=1,Factores!$C$6:$C$9,Factores!$B$6:$B$9),MATCH(M221,Factores!$A$6:$A$9,1))</f>
        <v>0.8</v>
      </c>
      <c r="O221" s="28" t="n">
        <f aca="false">INDEX(Factores!$B$13:$B$16,MATCH(B221,Factores!$A$13:$A$16,1))</f>
        <v>0.95</v>
      </c>
      <c r="P221" s="28" t="n">
        <f aca="false">M221*N221*O221</f>
        <v>3.61</v>
      </c>
      <c r="Q221" s="15" t="n">
        <f aca="false">LE!B219</f>
        <v>3.93434134995689</v>
      </c>
      <c r="R221" s="27" t="n">
        <f aca="false">D221/$D$3</f>
        <v>0.00580443799506889</v>
      </c>
    </row>
    <row r="222" customFormat="false" ht="15" hidden="false" customHeight="false" outlineLevel="0" collapsed="false">
      <c r="A222" s="11" t="n">
        <v>217</v>
      </c>
      <c r="B222" s="11" t="n">
        <v>82</v>
      </c>
      <c r="C222" s="22" t="s">
        <v>150</v>
      </c>
      <c r="D222" s="10" t="n">
        <v>3.3852</v>
      </c>
      <c r="E222" s="11" t="n">
        <v>6</v>
      </c>
      <c r="F222" s="5" t="str">
        <f aca="false">INDEX(Factores!$C$29:$C$36,MATCH(E222,Factores!$A$29:$A$36,0))</f>
        <v>A</v>
      </c>
      <c r="G222" s="8" t="n">
        <v>0.0489</v>
      </c>
      <c r="H222" s="11" t="n">
        <v>1</v>
      </c>
      <c r="I222" s="20" t="n">
        <v>2</v>
      </c>
      <c r="J222" s="20" t="n">
        <v>2.25</v>
      </c>
      <c r="K222" s="11" t="n">
        <v>4</v>
      </c>
      <c r="L222" s="22" t="s">
        <v>149</v>
      </c>
      <c r="M222" s="28" t="n">
        <f aca="false">IF(Supuestos!$C$23=1,AVERAGE(I222:J222),MIN(I222:J222))</f>
        <v>2.125</v>
      </c>
      <c r="N222" s="28" t="n">
        <f aca="false">INDEX(IF(H222=1,Factores!$C$6:$C$9,Factores!$B$6:$B$9),MATCH(M222,Factores!$A$6:$A$9,1))</f>
        <v>0.82</v>
      </c>
      <c r="O222" s="28" t="n">
        <f aca="false">INDEX(Factores!$B$13:$B$16,MATCH(B222,Factores!$A$13:$A$16,1))</f>
        <v>0.95</v>
      </c>
      <c r="P222" s="28" t="n">
        <f aca="false">M222*N222*O222</f>
        <v>1.655375</v>
      </c>
      <c r="Q222" s="15" t="n">
        <f aca="false">LE!B220</f>
        <v>7.51749858914591</v>
      </c>
      <c r="R222" s="27" t="n">
        <f aca="false">D222/$D$3</f>
        <v>0.00752265830815744</v>
      </c>
    </row>
    <row r="223" customFormat="false" ht="15" hidden="false" customHeight="false" outlineLevel="0" collapsed="false">
      <c r="A223" s="11" t="n">
        <v>218</v>
      </c>
      <c r="B223" s="11" t="n">
        <v>83</v>
      </c>
      <c r="C223" s="22" t="s">
        <v>150</v>
      </c>
      <c r="D223" s="10" t="n">
        <v>1.374</v>
      </c>
      <c r="E223" s="11" t="n">
        <v>1</v>
      </c>
      <c r="F223" s="5" t="str">
        <f aca="false">INDEX(Factores!$C$29:$C$36,MATCH(E223,Factores!$A$29:$A$36,0))</f>
        <v>A+</v>
      </c>
      <c r="G223" s="8" t="n">
        <v>0.0472</v>
      </c>
      <c r="H223" s="11" t="n">
        <v>0</v>
      </c>
      <c r="I223" s="20" t="n">
        <v>1.25</v>
      </c>
      <c r="J223" s="20" t="n">
        <v>1.5</v>
      </c>
      <c r="K223" s="11" t="n">
        <v>8</v>
      </c>
      <c r="L223" s="22" t="s">
        <v>153</v>
      </c>
      <c r="M223" s="28" t="n">
        <f aca="false">IF(Supuestos!$C$23=1,AVERAGE(I223:J223),MIN(I223:J223))</f>
        <v>1.375</v>
      </c>
      <c r="N223" s="28" t="n">
        <f aca="false">INDEX(IF(H223=1,Factores!$C$6:$C$9,Factores!$B$6:$B$9),MATCH(M223,Factores!$A$6:$A$9,1))</f>
        <v>0.95</v>
      </c>
      <c r="O223" s="28" t="n">
        <f aca="false">INDEX(Factores!$B$13:$B$16,MATCH(B223,Factores!$A$13:$A$16,1))</f>
        <v>0.95</v>
      </c>
      <c r="P223" s="28" t="n">
        <f aca="false">M223*N223*O223</f>
        <v>1.2409375</v>
      </c>
      <c r="Q223" s="15" t="n">
        <f aca="false">LE!B221</f>
        <v>8.01443233035714</v>
      </c>
      <c r="R223" s="27" t="n">
        <f aca="false">D223/$D$3</f>
        <v>0.00305332994074451</v>
      </c>
    </row>
    <row r="224" customFormat="false" ht="15" hidden="false" customHeight="false" outlineLevel="0" collapsed="false">
      <c r="A224" s="11" t="n">
        <v>219</v>
      </c>
      <c r="B224" s="11" t="n">
        <v>79</v>
      </c>
      <c r="C224" s="22" t="s">
        <v>150</v>
      </c>
      <c r="D224" s="10" t="n">
        <v>1.0351</v>
      </c>
      <c r="E224" s="11" t="n">
        <v>6</v>
      </c>
      <c r="F224" s="5" t="str">
        <f aca="false">INDEX(Factores!$C$29:$C$36,MATCH(E224,Factores!$A$29:$A$36,0))</f>
        <v>A</v>
      </c>
      <c r="G224" s="8" t="n">
        <v>0.043</v>
      </c>
      <c r="H224" s="11" t="n">
        <v>0</v>
      </c>
      <c r="I224" s="20" t="n">
        <v>1</v>
      </c>
      <c r="J224" s="20" t="n">
        <v>1</v>
      </c>
      <c r="K224" s="11" t="n">
        <v>3</v>
      </c>
      <c r="L224" s="22" t="s">
        <v>151</v>
      </c>
      <c r="M224" s="28" t="n">
        <f aca="false">IF(Supuestos!$C$23=1,AVERAGE(I224:J224),MIN(I224:J224))</f>
        <v>1</v>
      </c>
      <c r="N224" s="28" t="n">
        <f aca="false">INDEX(IF(H224=1,Factores!$C$6:$C$9,Factores!$B$6:$B$9),MATCH(M224,Factores!$A$6:$A$9,1))</f>
        <v>0.95</v>
      </c>
      <c r="O224" s="28" t="n">
        <f aca="false">INDEX(Factores!$B$13:$B$16,MATCH(B224,Factores!$A$13:$A$16,1))</f>
        <v>0.95</v>
      </c>
      <c r="P224" s="28" t="n">
        <f aca="false">M224*N224*O224</f>
        <v>0.9025</v>
      </c>
      <c r="Q224" s="15" t="n">
        <f aca="false">LE!B222</f>
        <v>11.4561372123393</v>
      </c>
      <c r="R224" s="27" t="n">
        <f aca="false">D224/$D$3</f>
        <v>0.00230021966642259</v>
      </c>
    </row>
    <row r="225" customFormat="false" ht="15" hidden="false" customHeight="false" outlineLevel="0" collapsed="false">
      <c r="A225" s="11" t="n">
        <v>220</v>
      </c>
      <c r="B225" s="11" t="n">
        <v>75</v>
      </c>
      <c r="C225" s="22" t="s">
        <v>150</v>
      </c>
      <c r="D225" s="10" t="n">
        <v>1.4192</v>
      </c>
      <c r="E225" s="11" t="n">
        <v>5</v>
      </c>
      <c r="F225" s="5" t="str">
        <f aca="false">INDEX(Factores!$C$29:$C$36,MATCH(E225,Factores!$A$29:$A$36,0))</f>
        <v>A-</v>
      </c>
      <c r="G225" s="8" t="n">
        <v>0.039</v>
      </c>
      <c r="H225" s="11" t="n">
        <v>0</v>
      </c>
      <c r="I225" s="20" t="n">
        <v>1.75</v>
      </c>
      <c r="J225" s="20" t="n">
        <v>1.75</v>
      </c>
      <c r="K225" s="11" t="n">
        <v>4</v>
      </c>
      <c r="L225" s="22" t="s">
        <v>153</v>
      </c>
      <c r="M225" s="28" t="n">
        <f aca="false">IF(Supuestos!$C$23=1,AVERAGE(I225:J225),MIN(I225:J225))</f>
        <v>1.75</v>
      </c>
      <c r="N225" s="28" t="n">
        <f aca="false">INDEX(IF(H225=1,Factores!$C$6:$C$9,Factores!$B$6:$B$9),MATCH(M225,Factores!$A$6:$A$9,1))</f>
        <v>0.88</v>
      </c>
      <c r="O225" s="28" t="n">
        <f aca="false">INDEX(Factores!$B$13:$B$16,MATCH(B225,Factores!$A$13:$A$16,1))</f>
        <v>0.95</v>
      </c>
      <c r="P225" s="28" t="n">
        <f aca="false">M225*N225*O225</f>
        <v>1.463</v>
      </c>
      <c r="Q225" s="15" t="n">
        <f aca="false">LE!B223</f>
        <v>12.720282433304</v>
      </c>
      <c r="R225" s="27" t="n">
        <f aca="false">D225/$D$3</f>
        <v>0.00315377427358414</v>
      </c>
    </row>
    <row r="226" customFormat="false" ht="15" hidden="false" customHeight="false" outlineLevel="0" collapsed="false">
      <c r="A226" s="11" t="n">
        <v>221</v>
      </c>
      <c r="B226" s="11" t="n">
        <v>82</v>
      </c>
      <c r="C226" s="22" t="s">
        <v>150</v>
      </c>
      <c r="D226" s="10" t="n">
        <v>1.1118</v>
      </c>
      <c r="E226" s="11" t="n">
        <v>1</v>
      </c>
      <c r="F226" s="5" t="str">
        <f aca="false">INDEX(Factores!$C$29:$C$36,MATCH(E226,Factores!$A$29:$A$36,0))</f>
        <v>A+</v>
      </c>
      <c r="G226" s="8" t="n">
        <v>0.047</v>
      </c>
      <c r="H226" s="11" t="n">
        <v>0</v>
      </c>
      <c r="I226" s="20" t="n">
        <v>2</v>
      </c>
      <c r="J226" s="20" t="n">
        <v>2</v>
      </c>
      <c r="K226" s="11" t="n">
        <v>4</v>
      </c>
      <c r="L226" s="22" t="s">
        <v>148</v>
      </c>
      <c r="M226" s="28" t="n">
        <f aca="false">IF(Supuestos!$C$23=1,AVERAGE(I226:J226),MIN(I226:J226))</f>
        <v>2</v>
      </c>
      <c r="N226" s="28" t="n">
        <f aca="false">INDEX(IF(H226=1,Factores!$C$6:$C$9,Factores!$B$6:$B$9),MATCH(M226,Factores!$A$6:$A$9,1))</f>
        <v>0.88</v>
      </c>
      <c r="O226" s="28" t="n">
        <f aca="false">INDEX(Factores!$B$13:$B$16,MATCH(B226,Factores!$A$13:$A$16,1))</f>
        <v>0.95</v>
      </c>
      <c r="P226" s="28" t="n">
        <f aca="false">M226*N226*O226</f>
        <v>1.672</v>
      </c>
      <c r="Q226" s="15" t="n">
        <f aca="false">LE!B224</f>
        <v>7.4784270766979</v>
      </c>
      <c r="R226" s="27" t="n">
        <f aca="false">D226/$D$3</f>
        <v>0.00247066392148453</v>
      </c>
    </row>
    <row r="227" customFormat="false" ht="15" hidden="false" customHeight="false" outlineLevel="0" collapsed="false">
      <c r="A227" s="11" t="n">
        <v>222</v>
      </c>
      <c r="B227" s="11" t="n">
        <v>78</v>
      </c>
      <c r="C227" s="22" t="s">
        <v>147</v>
      </c>
      <c r="D227" s="10" t="n">
        <v>1.0463</v>
      </c>
      <c r="E227" s="11" t="n">
        <v>1</v>
      </c>
      <c r="F227" s="5" t="str">
        <f aca="false">INDEX(Factores!$C$29:$C$36,MATCH(E227,Factores!$A$29:$A$36,0))</f>
        <v>A+</v>
      </c>
      <c r="G227" s="8" t="n">
        <v>0.0409</v>
      </c>
      <c r="H227" s="11" t="n">
        <v>0</v>
      </c>
      <c r="I227" s="20" t="n">
        <v>1.5</v>
      </c>
      <c r="J227" s="20" t="n">
        <v>1.5</v>
      </c>
      <c r="K227" s="11" t="n">
        <v>9</v>
      </c>
      <c r="L227" s="22" t="s">
        <v>153</v>
      </c>
      <c r="M227" s="28" t="n">
        <f aca="false">IF(Supuestos!$C$23=1,AVERAGE(I227:J227),MIN(I227:J227))</f>
        <v>1.5</v>
      </c>
      <c r="N227" s="28" t="n">
        <f aca="false">INDEX(IF(H227=1,Factores!$C$6:$C$9,Factores!$B$6:$B$9),MATCH(M227,Factores!$A$6:$A$9,1))</f>
        <v>0.88</v>
      </c>
      <c r="O227" s="28" t="n">
        <f aca="false">INDEX(Factores!$B$13:$B$16,MATCH(B227,Factores!$A$13:$A$16,1))</f>
        <v>0.95</v>
      </c>
      <c r="P227" s="28" t="n">
        <f aca="false">M227*N227*O227</f>
        <v>1.254</v>
      </c>
      <c r="Q227" s="15" t="n">
        <f aca="false">LE!B225</f>
        <v>11.0949922106871</v>
      </c>
      <c r="R227" s="27" t="n">
        <f aca="false">D227/$D$3</f>
        <v>0.00232510852765719</v>
      </c>
    </row>
    <row r="228" customFormat="false" ht="15" hidden="false" customHeight="false" outlineLevel="0" collapsed="false">
      <c r="A228" s="11" t="n">
        <v>223</v>
      </c>
      <c r="B228" s="11" t="n">
        <v>75</v>
      </c>
      <c r="C228" s="22" t="s">
        <v>147</v>
      </c>
      <c r="D228" s="10" t="n">
        <v>1.4233</v>
      </c>
      <c r="E228" s="11" t="n">
        <v>5</v>
      </c>
      <c r="F228" s="5" t="str">
        <f aca="false">INDEX(Factores!$C$29:$C$36,MATCH(E228,Factores!$A$29:$A$36,0))</f>
        <v>A-</v>
      </c>
      <c r="G228" s="8" t="n">
        <v>0.0289</v>
      </c>
      <c r="H228" s="11" t="n">
        <v>1</v>
      </c>
      <c r="I228" s="20" t="n">
        <v>2</v>
      </c>
      <c r="J228" s="20" t="n">
        <v>2.25</v>
      </c>
      <c r="K228" s="11" t="n">
        <v>6</v>
      </c>
      <c r="L228" s="22" t="s">
        <v>149</v>
      </c>
      <c r="M228" s="28" t="n">
        <f aca="false">IF(Supuestos!$C$23=1,AVERAGE(I228:J228),MIN(I228:J228))</f>
        <v>2.125</v>
      </c>
      <c r="N228" s="28" t="n">
        <f aca="false">INDEX(IF(H228=1,Factores!$C$6:$C$9,Factores!$B$6:$B$9),MATCH(M228,Factores!$A$6:$A$9,1))</f>
        <v>0.82</v>
      </c>
      <c r="O228" s="28" t="n">
        <f aca="false">INDEX(Factores!$B$13:$B$16,MATCH(B228,Factores!$A$13:$A$16,1))</f>
        <v>0.95</v>
      </c>
      <c r="P228" s="28" t="n">
        <f aca="false">M228*N228*O228</f>
        <v>1.655375</v>
      </c>
      <c r="Q228" s="15" t="n">
        <f aca="false">LE!B226</f>
        <v>12.2627668804306</v>
      </c>
      <c r="R228" s="27" t="n">
        <f aca="false">D228/$D$3</f>
        <v>0.00316288537457181</v>
      </c>
    </row>
    <row r="229" customFormat="false" ht="15" hidden="false" customHeight="false" outlineLevel="0" collapsed="false">
      <c r="A229" s="11" t="n">
        <v>224</v>
      </c>
      <c r="B229" s="11" t="n">
        <v>86</v>
      </c>
      <c r="C229" s="22" t="s">
        <v>150</v>
      </c>
      <c r="D229" s="10" t="n">
        <v>0.9138</v>
      </c>
      <c r="E229" s="11" t="n">
        <v>5</v>
      </c>
      <c r="F229" s="5" t="str">
        <f aca="false">INDEX(Factores!$C$29:$C$36,MATCH(E229,Factores!$A$29:$A$36,0))</f>
        <v>A-</v>
      </c>
      <c r="G229" s="8" t="n">
        <v>0.0554</v>
      </c>
      <c r="H229" s="11" t="n">
        <v>1</v>
      </c>
      <c r="I229" s="20" t="n">
        <v>1.5</v>
      </c>
      <c r="J229" s="20" t="n">
        <v>1.25</v>
      </c>
      <c r="K229" s="11" t="n">
        <v>9</v>
      </c>
      <c r="L229" s="22" t="s">
        <v>152</v>
      </c>
      <c r="M229" s="28" t="n">
        <f aca="false">IF(Supuestos!$C$23=1,AVERAGE(I229:J229),MIN(I229:J229))</f>
        <v>1.375</v>
      </c>
      <c r="N229" s="28" t="n">
        <f aca="false">INDEX(IF(H229=1,Factores!$C$6:$C$9,Factores!$B$6:$B$9),MATCH(M229,Factores!$A$6:$A$9,1))</f>
        <v>0.9</v>
      </c>
      <c r="O229" s="28" t="n">
        <f aca="false">INDEX(Factores!$B$13:$B$16,MATCH(B229,Factores!$A$13:$A$16,1))</f>
        <v>1</v>
      </c>
      <c r="P229" s="28" t="n">
        <f aca="false">M229*N229*O229</f>
        <v>1.2375</v>
      </c>
      <c r="Q229" s="15" t="n">
        <f aca="false">LE!B227</f>
        <v>6.45134428665813</v>
      </c>
      <c r="R229" s="27" t="n">
        <f aca="false">D229/$D$3</f>
        <v>0.00203066441037288</v>
      </c>
    </row>
    <row r="230" customFormat="false" ht="15" hidden="false" customHeight="false" outlineLevel="0" collapsed="false">
      <c r="A230" s="11" t="n">
        <v>225</v>
      </c>
      <c r="B230" s="11" t="n">
        <v>83</v>
      </c>
      <c r="C230" s="22" t="s">
        <v>150</v>
      </c>
      <c r="D230" s="10" t="n">
        <v>1.9196</v>
      </c>
      <c r="E230" s="11" t="n">
        <v>2</v>
      </c>
      <c r="F230" s="5" t="str">
        <f aca="false">INDEX(Factores!$C$29:$C$36,MATCH(E230,Factores!$A$29:$A$36,0))</f>
        <v>A+</v>
      </c>
      <c r="G230" s="8" t="n">
        <v>0.0476</v>
      </c>
      <c r="H230" s="11" t="n">
        <v>0</v>
      </c>
      <c r="I230" s="20" t="n">
        <v>2.5</v>
      </c>
      <c r="J230" s="20" t="n">
        <v>3.25</v>
      </c>
      <c r="K230" s="11" t="n">
        <v>4</v>
      </c>
      <c r="L230" s="22" t="s">
        <v>151</v>
      </c>
      <c r="M230" s="28" t="n">
        <f aca="false">IF(Supuestos!$C$23=1,AVERAGE(I230:J230),MIN(I230:J230))</f>
        <v>2.875</v>
      </c>
      <c r="N230" s="28" t="n">
        <f aca="false">INDEX(IF(H230=1,Factores!$C$6:$C$9,Factores!$B$6:$B$9),MATCH(M230,Factores!$A$6:$A$9,1))</f>
        <v>0.88</v>
      </c>
      <c r="O230" s="28" t="n">
        <f aca="false">INDEX(Factores!$B$13:$B$16,MATCH(B230,Factores!$A$13:$A$16,1))</f>
        <v>0.95</v>
      </c>
      <c r="P230" s="28" t="n">
        <f aca="false">M230*N230*O230</f>
        <v>2.4035</v>
      </c>
      <c r="Q230" s="15" t="n">
        <f aca="false">LE!B228</f>
        <v>5.48526665530951</v>
      </c>
      <c r="R230" s="27" t="n">
        <f aca="false">D230/$D$3</f>
        <v>0.00426577303802996</v>
      </c>
    </row>
    <row r="231" customFormat="false" ht="15" hidden="false" customHeight="false" outlineLevel="0" collapsed="false">
      <c r="A231" s="11" t="n">
        <v>226</v>
      </c>
      <c r="B231" s="11" t="n">
        <v>85</v>
      </c>
      <c r="C231" s="22" t="s">
        <v>147</v>
      </c>
      <c r="D231" s="10" t="n">
        <v>1.3946</v>
      </c>
      <c r="E231" s="11" t="n">
        <v>6</v>
      </c>
      <c r="F231" s="5" t="str">
        <f aca="false">INDEX(Factores!$C$29:$C$36,MATCH(E231,Factores!$A$29:$A$36,0))</f>
        <v>A</v>
      </c>
      <c r="G231" s="8" t="n">
        <v>0.0633</v>
      </c>
      <c r="H231" s="11" t="n">
        <v>1</v>
      </c>
      <c r="I231" s="20" t="n">
        <v>1.5</v>
      </c>
      <c r="J231" s="20" t="n">
        <v>1.5</v>
      </c>
      <c r="K231" s="11" t="n">
        <v>9</v>
      </c>
      <c r="L231" s="22" t="s">
        <v>152</v>
      </c>
      <c r="M231" s="28" t="n">
        <f aca="false">IF(Supuestos!$C$23=1,AVERAGE(I231:J231),MIN(I231:J231))</f>
        <v>1.5</v>
      </c>
      <c r="N231" s="28" t="n">
        <f aca="false">INDEX(IF(H231=1,Factores!$C$6:$C$9,Factores!$B$6:$B$9),MATCH(M231,Factores!$A$6:$A$9,1))</f>
        <v>0.82</v>
      </c>
      <c r="O231" s="28" t="n">
        <f aca="false">INDEX(Factores!$B$13:$B$16,MATCH(B231,Factores!$A$13:$A$16,1))</f>
        <v>1</v>
      </c>
      <c r="P231" s="28" t="n">
        <f aca="false">M231*N231*O231</f>
        <v>1.23</v>
      </c>
      <c r="Q231" s="15" t="n">
        <f aca="false">LE!B229</f>
        <v>6.97118665055771</v>
      </c>
      <c r="R231" s="27" t="n">
        <f aca="false">D231/$D$3</f>
        <v>0.00309910766765815</v>
      </c>
    </row>
    <row r="232" customFormat="false" ht="15" hidden="false" customHeight="false" outlineLevel="0" collapsed="false">
      <c r="A232" s="11" t="n">
        <v>227</v>
      </c>
      <c r="B232" s="11" t="n">
        <v>78</v>
      </c>
      <c r="C232" s="22" t="s">
        <v>147</v>
      </c>
      <c r="D232" s="10" t="n">
        <v>1.6354</v>
      </c>
      <c r="E232" s="11" t="n">
        <v>2</v>
      </c>
      <c r="F232" s="5" t="str">
        <f aca="false">INDEX(Factores!$C$29:$C$36,MATCH(E232,Factores!$A$29:$A$36,0))</f>
        <v>A+</v>
      </c>
      <c r="G232" s="8" t="n">
        <v>0.0494</v>
      </c>
      <c r="H232" s="11" t="n">
        <v>0</v>
      </c>
      <c r="I232" s="20" t="n">
        <v>2</v>
      </c>
      <c r="J232" s="20" t="n">
        <v>1.75</v>
      </c>
      <c r="K232" s="11" t="n">
        <v>8</v>
      </c>
      <c r="L232" s="22" t="s">
        <v>152</v>
      </c>
      <c r="M232" s="28" t="n">
        <f aca="false">IF(Supuestos!$C$23=1,AVERAGE(I232:J232),MIN(I232:J232))</f>
        <v>1.875</v>
      </c>
      <c r="N232" s="28" t="n">
        <f aca="false">INDEX(IF(H232=1,Factores!$C$6:$C$9,Factores!$B$6:$B$9),MATCH(M232,Factores!$A$6:$A$9,1))</f>
        <v>0.88</v>
      </c>
      <c r="O232" s="28" t="n">
        <f aca="false">INDEX(Factores!$B$13:$B$16,MATCH(B232,Factores!$A$13:$A$16,1))</f>
        <v>0.95</v>
      </c>
      <c r="P232" s="28" t="n">
        <f aca="false">M232*N232*O232</f>
        <v>1.5675</v>
      </c>
      <c r="Q232" s="15" t="n">
        <f aca="false">LE!B230</f>
        <v>10.2810276121255</v>
      </c>
      <c r="R232" s="27" t="n">
        <f aca="false">D232/$D$3</f>
        <v>0.00363421818420202</v>
      </c>
    </row>
    <row r="233" customFormat="false" ht="15" hidden="false" customHeight="false" outlineLevel="0" collapsed="false">
      <c r="A233" s="11" t="n">
        <v>228</v>
      </c>
      <c r="B233" s="11" t="n">
        <v>80</v>
      </c>
      <c r="C233" s="22" t="s">
        <v>150</v>
      </c>
      <c r="D233" s="10" t="n">
        <v>1.3459</v>
      </c>
      <c r="E233" s="11" t="n">
        <v>3</v>
      </c>
      <c r="F233" s="5" t="str">
        <f aca="false">INDEX(Factores!$C$29:$C$36,MATCH(E233,Factores!$A$29:$A$36,0))</f>
        <v>A</v>
      </c>
      <c r="G233" s="8" t="n">
        <v>0.0469</v>
      </c>
      <c r="H233" s="11" t="n">
        <v>1</v>
      </c>
      <c r="I233" s="20" t="n">
        <v>3</v>
      </c>
      <c r="J233" s="20" t="n">
        <v>2.75</v>
      </c>
      <c r="K233" s="11" t="n">
        <v>7</v>
      </c>
      <c r="L233" s="22" t="s">
        <v>155</v>
      </c>
      <c r="M233" s="28" t="n">
        <f aca="false">IF(Supuestos!$C$23=1,AVERAGE(I233:J233),MIN(I233:J233))</f>
        <v>2.875</v>
      </c>
      <c r="N233" s="28" t="n">
        <f aca="false">INDEX(IF(H233=1,Factores!$C$6:$C$9,Factores!$B$6:$B$9),MATCH(M233,Factores!$A$6:$A$9,1))</f>
        <v>0.82</v>
      </c>
      <c r="O233" s="28" t="n">
        <f aca="false">INDEX(Factores!$B$13:$B$16,MATCH(B233,Factores!$A$13:$A$16,1))</f>
        <v>0.95</v>
      </c>
      <c r="P233" s="28" t="n">
        <f aca="false">M233*N233*O233</f>
        <v>2.239625</v>
      </c>
      <c r="Q233" s="15" t="n">
        <f aca="false">LE!B231</f>
        <v>7.47059249568001</v>
      </c>
      <c r="R233" s="27" t="n">
        <f aca="false">D233/$D$3</f>
        <v>0.00299088556568271</v>
      </c>
    </row>
    <row r="234" customFormat="false" ht="15" hidden="false" customHeight="false" outlineLevel="0" collapsed="false">
      <c r="A234" s="11" t="n">
        <v>229</v>
      </c>
      <c r="B234" s="11" t="n">
        <v>78</v>
      </c>
      <c r="C234" s="22" t="s">
        <v>150</v>
      </c>
      <c r="D234" s="10" t="n">
        <v>1.0535</v>
      </c>
      <c r="E234" s="11" t="n">
        <v>1</v>
      </c>
      <c r="F234" s="5" t="str">
        <f aca="false">INDEX(Factores!$C$29:$C$36,MATCH(E234,Factores!$A$29:$A$36,0))</f>
        <v>A+</v>
      </c>
      <c r="G234" s="8" t="n">
        <v>0.0371</v>
      </c>
      <c r="H234" s="11" t="n">
        <v>0</v>
      </c>
      <c r="I234" s="20" t="n">
        <v>6</v>
      </c>
      <c r="J234" s="20" t="n">
        <v>5.25</v>
      </c>
      <c r="K234" s="11" t="n">
        <v>6</v>
      </c>
      <c r="L234" s="22" t="s">
        <v>152</v>
      </c>
      <c r="M234" s="28" t="n">
        <f aca="false">IF(Supuestos!$C$23=1,AVERAGE(I234:J234),MIN(I234:J234))</f>
        <v>5.625</v>
      </c>
      <c r="N234" s="28" t="n">
        <f aca="false">INDEX(IF(H234=1,Factores!$C$6:$C$9,Factores!$B$6:$B$9),MATCH(M234,Factores!$A$6:$A$9,1))</f>
        <v>0.72</v>
      </c>
      <c r="O234" s="28" t="n">
        <f aca="false">INDEX(Factores!$B$13:$B$16,MATCH(B234,Factores!$A$13:$A$16,1))</f>
        <v>0.95</v>
      </c>
      <c r="P234" s="28" t="n">
        <f aca="false">M234*N234*O234</f>
        <v>3.8475</v>
      </c>
      <c r="Q234" s="15" t="n">
        <f aca="false">LE!B232</f>
        <v>6.22457144441229</v>
      </c>
      <c r="R234" s="27" t="n">
        <f aca="false">D234/$D$3</f>
        <v>0.00234110850987943</v>
      </c>
    </row>
    <row r="235" customFormat="false" ht="15" hidden="false" customHeight="false" outlineLevel="0" collapsed="false">
      <c r="A235" s="11" t="n">
        <v>230</v>
      </c>
      <c r="B235" s="11" t="n">
        <v>79</v>
      </c>
      <c r="C235" s="22" t="s">
        <v>150</v>
      </c>
      <c r="D235" s="10" t="n">
        <v>0.9539</v>
      </c>
      <c r="E235" s="11" t="n">
        <v>4</v>
      </c>
      <c r="F235" s="5" t="str">
        <f aca="false">INDEX(Factores!$C$29:$C$36,MATCH(E235,Factores!$A$29:$A$36,0))</f>
        <v>A</v>
      </c>
      <c r="G235" s="8" t="n">
        <v>0.0453</v>
      </c>
      <c r="H235" s="11" t="n">
        <v>1</v>
      </c>
      <c r="I235" s="20" t="n">
        <v>1.25</v>
      </c>
      <c r="J235" s="20" t="n">
        <v>1.25</v>
      </c>
      <c r="K235" s="11" t="n">
        <v>11</v>
      </c>
      <c r="L235" s="22" t="s">
        <v>153</v>
      </c>
      <c r="M235" s="28" t="n">
        <f aca="false">IF(Supuestos!$C$23=1,AVERAGE(I235:J235),MIN(I235:J235))</f>
        <v>1.25</v>
      </c>
      <c r="N235" s="28" t="n">
        <f aca="false">INDEX(IF(H235=1,Factores!$C$6:$C$9,Factores!$B$6:$B$9),MATCH(M235,Factores!$A$6:$A$9,1))</f>
        <v>0.9</v>
      </c>
      <c r="O235" s="28" t="n">
        <f aca="false">INDEX(Factores!$B$13:$B$16,MATCH(B235,Factores!$A$13:$A$16,1))</f>
        <v>0.95</v>
      </c>
      <c r="P235" s="28" t="n">
        <f aca="false">M235*N235*O235</f>
        <v>1.06875</v>
      </c>
      <c r="Q235" s="15" t="n">
        <f aca="false">LE!B233</f>
        <v>10.9522525519286</v>
      </c>
      <c r="R235" s="27" t="n">
        <f aca="false">D235/$D$3</f>
        <v>0.00211977542247175</v>
      </c>
    </row>
    <row r="236" customFormat="false" ht="15" hidden="false" customHeight="false" outlineLevel="0" collapsed="false">
      <c r="A236" s="11" t="n">
        <v>231</v>
      </c>
      <c r="B236" s="11" t="n">
        <v>84</v>
      </c>
      <c r="C236" s="22" t="s">
        <v>150</v>
      </c>
      <c r="D236" s="10" t="n">
        <v>1.3134</v>
      </c>
      <c r="E236" s="11" t="n">
        <v>1</v>
      </c>
      <c r="F236" s="5" t="str">
        <f aca="false">INDEX(Factores!$C$29:$C$36,MATCH(E236,Factores!$A$29:$A$36,0))</f>
        <v>A+</v>
      </c>
      <c r="G236" s="8" t="n">
        <v>0.0537</v>
      </c>
      <c r="H236" s="11" t="n">
        <v>1</v>
      </c>
      <c r="I236" s="20" t="n">
        <v>1.5</v>
      </c>
      <c r="J236" s="20" t="n">
        <v>1.25</v>
      </c>
      <c r="K236" s="11" t="n">
        <v>8</v>
      </c>
      <c r="L236" s="22" t="s">
        <v>154</v>
      </c>
      <c r="M236" s="28" t="n">
        <f aca="false">IF(Supuestos!$C$23=1,AVERAGE(I236:J236),MIN(I236:J236))</f>
        <v>1.375</v>
      </c>
      <c r="N236" s="28" t="n">
        <f aca="false">INDEX(IF(H236=1,Factores!$C$6:$C$9,Factores!$B$6:$B$9),MATCH(M236,Factores!$A$6:$A$9,1))</f>
        <v>0.9</v>
      </c>
      <c r="O236" s="28" t="n">
        <f aca="false">INDEX(Factores!$B$13:$B$16,MATCH(B236,Factores!$A$13:$A$16,1))</f>
        <v>0.95</v>
      </c>
      <c r="P236" s="28" t="n">
        <f aca="false">M236*N236*O236</f>
        <v>1.175625</v>
      </c>
      <c r="Q236" s="15" t="n">
        <f aca="false">LE!B234</f>
        <v>7.65125155362145</v>
      </c>
      <c r="R236" s="27" t="n">
        <f aca="false">D236/$D$3</f>
        <v>0.00291866342370731</v>
      </c>
    </row>
    <row r="237" customFormat="false" ht="15" hidden="false" customHeight="false" outlineLevel="0" collapsed="false">
      <c r="A237" s="11" t="n">
        <v>232</v>
      </c>
      <c r="B237" s="11" t="n">
        <v>79</v>
      </c>
      <c r="C237" s="22" t="s">
        <v>147</v>
      </c>
      <c r="D237" s="10" t="n">
        <v>1.1416</v>
      </c>
      <c r="E237" s="11" t="n">
        <v>1</v>
      </c>
      <c r="F237" s="5" t="str">
        <f aca="false">INDEX(Factores!$C$29:$C$36,MATCH(E237,Factores!$A$29:$A$36,0))</f>
        <v>A+</v>
      </c>
      <c r="G237" s="8" t="n">
        <v>0.0457</v>
      </c>
      <c r="H237" s="11" t="n">
        <v>0</v>
      </c>
      <c r="I237" s="20" t="n">
        <v>1.25</v>
      </c>
      <c r="J237" s="20" t="n">
        <v>1.5</v>
      </c>
      <c r="K237" s="11" t="n">
        <v>10</v>
      </c>
      <c r="L237" s="22" t="s">
        <v>153</v>
      </c>
      <c r="M237" s="28" t="n">
        <f aca="false">IF(Supuestos!$C$23=1,AVERAGE(I237:J237),MIN(I237:J237))</f>
        <v>1.375</v>
      </c>
      <c r="N237" s="28" t="n">
        <f aca="false">INDEX(IF(H237=1,Factores!$C$6:$C$9,Factores!$B$6:$B$9),MATCH(M237,Factores!$A$6:$A$9,1))</f>
        <v>0.95</v>
      </c>
      <c r="O237" s="28" t="n">
        <f aca="false">INDEX(Factores!$B$13:$B$16,MATCH(B237,Factores!$A$13:$A$16,1))</f>
        <v>0.95</v>
      </c>
      <c r="P237" s="28" t="n">
        <f aca="false">M237*N237*O237</f>
        <v>1.2409375</v>
      </c>
      <c r="Q237" s="15" t="n">
        <f aca="false">LE!B235</f>
        <v>10.4598578542572</v>
      </c>
      <c r="R237" s="27" t="n">
        <f aca="false">D237/$D$3</f>
        <v>0.00253688607012659</v>
      </c>
    </row>
    <row r="238" customFormat="false" ht="15" hidden="false" customHeight="false" outlineLevel="0" collapsed="false">
      <c r="A238" s="11" t="n">
        <v>233</v>
      </c>
      <c r="B238" s="11" t="n">
        <v>85</v>
      </c>
      <c r="C238" s="22" t="s">
        <v>150</v>
      </c>
      <c r="D238" s="10" t="n">
        <v>1.6236</v>
      </c>
      <c r="E238" s="11" t="n">
        <v>5</v>
      </c>
      <c r="F238" s="5" t="str">
        <f aca="false">INDEX(Factores!$C$29:$C$36,MATCH(E238,Factores!$A$29:$A$36,0))</f>
        <v>A-</v>
      </c>
      <c r="G238" s="8" t="n">
        <v>0.0587</v>
      </c>
      <c r="H238" s="11" t="n">
        <v>1</v>
      </c>
      <c r="I238" s="20" t="n">
        <v>2.75</v>
      </c>
      <c r="J238" s="20" t="n">
        <v>2.25</v>
      </c>
      <c r="K238" s="11" t="n">
        <v>5</v>
      </c>
      <c r="L238" s="22" t="s">
        <v>149</v>
      </c>
      <c r="M238" s="28" t="n">
        <f aca="false">IF(Supuestos!$C$23=1,AVERAGE(I238:J238),MIN(I238:J238))</f>
        <v>2.5</v>
      </c>
      <c r="N238" s="28" t="n">
        <f aca="false">INDEX(IF(H238=1,Factores!$C$6:$C$9,Factores!$B$6:$B$9),MATCH(M238,Factores!$A$6:$A$9,1))</f>
        <v>0.82</v>
      </c>
      <c r="O238" s="28" t="n">
        <f aca="false">INDEX(Factores!$B$13:$B$16,MATCH(B238,Factores!$A$13:$A$16,1))</f>
        <v>1</v>
      </c>
      <c r="P238" s="28" t="n">
        <f aca="false">M238*N238*O238</f>
        <v>2.05</v>
      </c>
      <c r="Q238" s="15" t="n">
        <f aca="false">LE!B236</f>
        <v>5.12590454615036</v>
      </c>
      <c r="R238" s="27" t="n">
        <f aca="false">D238/$D$3</f>
        <v>0.00360799599111557</v>
      </c>
    </row>
    <row r="239" customFormat="false" ht="15" hidden="false" customHeight="false" outlineLevel="0" collapsed="false">
      <c r="A239" s="11" t="n">
        <v>234</v>
      </c>
      <c r="B239" s="11" t="n">
        <v>85</v>
      </c>
      <c r="C239" s="22" t="s">
        <v>147</v>
      </c>
      <c r="D239" s="10" t="n">
        <v>1.4584</v>
      </c>
      <c r="E239" s="11" t="n">
        <v>3</v>
      </c>
      <c r="F239" s="5" t="str">
        <f aca="false">INDEX(Factores!$C$29:$C$36,MATCH(E239,Factores!$A$29:$A$36,0))</f>
        <v>A</v>
      </c>
      <c r="G239" s="8" t="n">
        <v>0.0586</v>
      </c>
      <c r="H239" s="11" t="n">
        <v>0</v>
      </c>
      <c r="I239" s="20" t="n">
        <v>1.25</v>
      </c>
      <c r="J239" s="20" t="n">
        <v>1</v>
      </c>
      <c r="K239" s="11" t="n">
        <v>8</v>
      </c>
      <c r="L239" s="22" t="s">
        <v>155</v>
      </c>
      <c r="M239" s="28" t="n">
        <f aca="false">IF(Supuestos!$C$23=1,AVERAGE(I239:J239),MIN(I239:J239))</f>
        <v>1.125</v>
      </c>
      <c r="N239" s="28" t="n">
        <f aca="false">INDEX(IF(H239=1,Factores!$C$6:$C$9,Factores!$B$6:$B$9),MATCH(M239,Factores!$A$6:$A$9,1))</f>
        <v>0.95</v>
      </c>
      <c r="O239" s="28" t="n">
        <f aca="false">INDEX(Factores!$B$13:$B$16,MATCH(B239,Factores!$A$13:$A$16,1))</f>
        <v>1</v>
      </c>
      <c r="P239" s="28" t="n">
        <f aca="false">M239*N239*O239</f>
        <v>1.06875</v>
      </c>
      <c r="Q239" s="15" t="n">
        <f aca="false">LE!B237</f>
        <v>7.4424847326504</v>
      </c>
      <c r="R239" s="27" t="n">
        <f aca="false">D239/$D$3</f>
        <v>0.00324088528790524</v>
      </c>
    </row>
    <row r="240" customFormat="false" ht="15" hidden="false" customHeight="false" outlineLevel="0" collapsed="false">
      <c r="A240" s="11" t="n">
        <v>235</v>
      </c>
      <c r="B240" s="11" t="n">
        <v>93</v>
      </c>
      <c r="C240" s="22" t="s">
        <v>147</v>
      </c>
      <c r="D240" s="10" t="n">
        <v>0.7916</v>
      </c>
      <c r="E240" s="11" t="n">
        <v>5</v>
      </c>
      <c r="F240" s="5" t="str">
        <f aca="false">INDEX(Factores!$C$29:$C$36,MATCH(E240,Factores!$A$29:$A$36,0))</f>
        <v>A-</v>
      </c>
      <c r="G240" s="8" t="n">
        <v>0.0799</v>
      </c>
      <c r="H240" s="11" t="n">
        <v>0</v>
      </c>
      <c r="I240" s="20" t="n">
        <v>1.5</v>
      </c>
      <c r="J240" s="20" t="n">
        <v>1.25</v>
      </c>
      <c r="K240" s="11" t="n">
        <v>9</v>
      </c>
      <c r="L240" s="22" t="s">
        <v>149</v>
      </c>
      <c r="M240" s="28" t="n">
        <f aca="false">IF(Supuestos!$C$23=1,AVERAGE(I240:J240),MIN(I240:J240))</f>
        <v>1.375</v>
      </c>
      <c r="N240" s="28" t="n">
        <f aca="false">INDEX(IF(H240=1,Factores!$C$6:$C$9,Factores!$B$6:$B$9),MATCH(M240,Factores!$A$6:$A$9,1))</f>
        <v>0.95</v>
      </c>
      <c r="O240" s="28" t="n">
        <f aca="false">INDEX(Factores!$B$13:$B$16,MATCH(B240,Factores!$A$13:$A$16,1))</f>
        <v>1</v>
      </c>
      <c r="P240" s="28" t="n">
        <f aca="false">M240*N240*O240</f>
        <v>1.30625</v>
      </c>
      <c r="Q240" s="15" t="n">
        <f aca="false">LE!B238</f>
        <v>3.50150841264506</v>
      </c>
      <c r="R240" s="27" t="n">
        <f aca="false">D240/$D$3</f>
        <v>0.00175910915654538</v>
      </c>
    </row>
    <row r="241" customFormat="false" ht="15" hidden="false" customHeight="false" outlineLevel="0" collapsed="false">
      <c r="A241" s="11" t="n">
        <v>236</v>
      </c>
      <c r="B241" s="11" t="n">
        <v>76</v>
      </c>
      <c r="C241" s="22" t="s">
        <v>150</v>
      </c>
      <c r="D241" s="10" t="n">
        <v>1.5062</v>
      </c>
      <c r="E241" s="11" t="n">
        <v>5</v>
      </c>
      <c r="F241" s="5" t="str">
        <f aca="false">INDEX(Factores!$C$29:$C$36,MATCH(E241,Factores!$A$29:$A$36,0))</f>
        <v>A-</v>
      </c>
      <c r="G241" s="8" t="n">
        <v>0.0327</v>
      </c>
      <c r="H241" s="11" t="n">
        <v>0</v>
      </c>
      <c r="I241" s="20" t="n">
        <v>2</v>
      </c>
      <c r="J241" s="20" t="n">
        <v>1.25</v>
      </c>
      <c r="K241" s="11" t="n">
        <v>9</v>
      </c>
      <c r="L241" s="22" t="s">
        <v>155</v>
      </c>
      <c r="M241" s="28" t="n">
        <f aca="false">IF(Supuestos!$C$23=1,AVERAGE(I241:J241),MIN(I241:J241))</f>
        <v>1.625</v>
      </c>
      <c r="N241" s="28" t="n">
        <f aca="false">INDEX(IF(H241=1,Factores!$C$6:$C$9,Factores!$B$6:$B$9),MATCH(M241,Factores!$A$6:$A$9,1))</f>
        <v>0.88</v>
      </c>
      <c r="O241" s="28" t="n">
        <f aca="false">INDEX(Factores!$B$13:$B$16,MATCH(B241,Factores!$A$13:$A$16,1))</f>
        <v>0.95</v>
      </c>
      <c r="P241" s="28" t="n">
        <f aca="false">M241*N241*O241</f>
        <v>1.3585</v>
      </c>
      <c r="Q241" s="15" t="n">
        <f aca="false">LE!B239</f>
        <v>12.234518827927</v>
      </c>
      <c r="R241" s="27" t="n">
        <f aca="false">D241/$D$3</f>
        <v>0.0033471073921029</v>
      </c>
    </row>
    <row r="242" customFormat="false" ht="15" hidden="false" customHeight="false" outlineLevel="0" collapsed="false">
      <c r="A242" s="11" t="n">
        <v>237</v>
      </c>
      <c r="B242" s="11" t="n">
        <v>87</v>
      </c>
      <c r="C242" s="22" t="s">
        <v>147</v>
      </c>
      <c r="D242" s="10" t="n">
        <v>0.7986</v>
      </c>
      <c r="E242" s="11" t="n">
        <v>4</v>
      </c>
      <c r="F242" s="5" t="str">
        <f aca="false">INDEX(Factores!$C$29:$C$36,MATCH(E242,Factores!$A$29:$A$36,0))</f>
        <v>A</v>
      </c>
      <c r="G242" s="8" t="n">
        <v>0.0609</v>
      </c>
      <c r="H242" s="11" t="n">
        <v>0</v>
      </c>
      <c r="I242" s="20" t="n">
        <v>1.25</v>
      </c>
      <c r="J242" s="20" t="n">
        <v>1.25</v>
      </c>
      <c r="K242" s="11" t="n">
        <v>6</v>
      </c>
      <c r="L242" s="22" t="s">
        <v>155</v>
      </c>
      <c r="M242" s="28" t="n">
        <f aca="false">IF(Supuestos!$C$23=1,AVERAGE(I242:J242),MIN(I242:J242))</f>
        <v>1.25</v>
      </c>
      <c r="N242" s="28" t="n">
        <f aca="false">INDEX(IF(H242=1,Factores!$C$6:$C$9,Factores!$B$6:$B$9),MATCH(M242,Factores!$A$6:$A$9,1))</f>
        <v>0.95</v>
      </c>
      <c r="O242" s="28" t="n">
        <f aca="false">INDEX(Factores!$B$13:$B$16,MATCH(B242,Factores!$A$13:$A$16,1))</f>
        <v>1</v>
      </c>
      <c r="P242" s="28" t="n">
        <f aca="false">M242*N242*O242</f>
        <v>1.1875</v>
      </c>
      <c r="Q242" s="15" t="n">
        <f aca="false">LE!B240</f>
        <v>6.11443551308267</v>
      </c>
      <c r="R242" s="27" t="n">
        <f aca="false">D242/$D$3</f>
        <v>0.00177466469481701</v>
      </c>
    </row>
    <row r="243" customFormat="false" ht="15" hidden="false" customHeight="false" outlineLevel="0" collapsed="false">
      <c r="A243" s="11" t="n">
        <v>238</v>
      </c>
      <c r="B243" s="11" t="n">
        <v>83</v>
      </c>
      <c r="C243" s="22" t="s">
        <v>150</v>
      </c>
      <c r="D243" s="10" t="n">
        <v>1.1073</v>
      </c>
      <c r="E243" s="11" t="n">
        <v>1</v>
      </c>
      <c r="F243" s="5" t="str">
        <f aca="false">INDEX(Factores!$C$29:$C$36,MATCH(E243,Factores!$A$29:$A$36,0))</f>
        <v>A+</v>
      </c>
      <c r="G243" s="8" t="n">
        <v>0.0456</v>
      </c>
      <c r="H243" s="11" t="n">
        <v>0</v>
      </c>
      <c r="I243" s="20" t="n">
        <v>1.25</v>
      </c>
      <c r="J243" s="20" t="n">
        <v>1.5</v>
      </c>
      <c r="K243" s="11" t="n">
        <v>5</v>
      </c>
      <c r="L243" s="22" t="s">
        <v>155</v>
      </c>
      <c r="M243" s="28" t="n">
        <f aca="false">IF(Supuestos!$C$23=1,AVERAGE(I243:J243),MIN(I243:J243))</f>
        <v>1.375</v>
      </c>
      <c r="N243" s="28" t="n">
        <f aca="false">INDEX(IF(H243=1,Factores!$C$6:$C$9,Factores!$B$6:$B$9),MATCH(M243,Factores!$A$6:$A$9,1))</f>
        <v>0.95</v>
      </c>
      <c r="O243" s="28" t="n">
        <f aca="false">INDEX(Factores!$B$13:$B$16,MATCH(B243,Factores!$A$13:$A$16,1))</f>
        <v>0.95</v>
      </c>
      <c r="P243" s="28" t="n">
        <f aca="false">M243*N243*O243</f>
        <v>1.2409375</v>
      </c>
      <c r="Q243" s="15" t="n">
        <f aca="false">LE!B241</f>
        <v>8.01443233035714</v>
      </c>
      <c r="R243" s="27" t="n">
        <f aca="false">D243/$D$3</f>
        <v>0.00246066393259563</v>
      </c>
    </row>
    <row r="244" customFormat="false" ht="15" hidden="false" customHeight="false" outlineLevel="0" collapsed="false">
      <c r="A244" s="11" t="n">
        <v>239</v>
      </c>
      <c r="B244" s="11" t="n">
        <v>83</v>
      </c>
      <c r="C244" s="22" t="s">
        <v>147</v>
      </c>
      <c r="D244" s="10" t="n">
        <v>1.2801</v>
      </c>
      <c r="E244" s="11" t="n">
        <v>5</v>
      </c>
      <c r="F244" s="5" t="str">
        <f aca="false">INDEX(Factores!$C$29:$C$36,MATCH(E244,Factores!$A$29:$A$36,0))</f>
        <v>A-</v>
      </c>
      <c r="G244" s="8" t="n">
        <v>0.0507</v>
      </c>
      <c r="H244" s="11" t="n">
        <v>0</v>
      </c>
      <c r="I244" s="20" t="n">
        <v>1.5</v>
      </c>
      <c r="J244" s="20" t="n">
        <v>1.75</v>
      </c>
      <c r="K244" s="11" t="n">
        <v>5</v>
      </c>
      <c r="L244" s="22" t="s">
        <v>149</v>
      </c>
      <c r="M244" s="28" t="n">
        <f aca="false">IF(Supuestos!$C$23=1,AVERAGE(I244:J244),MIN(I244:J244))</f>
        <v>1.625</v>
      </c>
      <c r="N244" s="28" t="n">
        <f aca="false">INDEX(IF(H244=1,Factores!$C$6:$C$9,Factores!$B$6:$B$9),MATCH(M244,Factores!$A$6:$A$9,1))</f>
        <v>0.88</v>
      </c>
      <c r="O244" s="28" t="n">
        <f aca="false">INDEX(Factores!$B$13:$B$16,MATCH(B244,Factores!$A$13:$A$16,1))</f>
        <v>0.95</v>
      </c>
      <c r="P244" s="28" t="n">
        <f aca="false">M244*N244*O244</f>
        <v>1.3585</v>
      </c>
      <c r="Q244" s="15" t="n">
        <f aca="false">LE!B242</f>
        <v>7.69177941782636</v>
      </c>
      <c r="R244" s="27" t="n">
        <f aca="false">D244/$D$3</f>
        <v>0.00284466350592944</v>
      </c>
    </row>
    <row r="245" customFormat="false" ht="15" hidden="false" customHeight="false" outlineLevel="0" collapsed="false">
      <c r="A245" s="11" t="n">
        <v>240</v>
      </c>
      <c r="B245" s="11" t="n">
        <v>76</v>
      </c>
      <c r="C245" s="22" t="s">
        <v>150</v>
      </c>
      <c r="D245" s="10" t="n">
        <v>0.5744</v>
      </c>
      <c r="E245" s="11" t="n">
        <v>1</v>
      </c>
      <c r="F245" s="5" t="str">
        <f aca="false">INDEX(Factores!$C$29:$C$36,MATCH(E245,Factores!$A$29:$A$36,0))</f>
        <v>A+</v>
      </c>
      <c r="G245" s="8" t="n">
        <v>0.0293</v>
      </c>
      <c r="H245" s="11" t="n">
        <v>0</v>
      </c>
      <c r="I245" s="20" t="n">
        <v>1</v>
      </c>
      <c r="J245" s="20" t="n">
        <v>1</v>
      </c>
      <c r="K245" s="11" t="n">
        <v>11</v>
      </c>
      <c r="L245" s="22" t="s">
        <v>148</v>
      </c>
      <c r="M245" s="28" t="n">
        <f aca="false">IF(Supuestos!$C$23=1,AVERAGE(I245:J245),MIN(I245:J245))</f>
        <v>1</v>
      </c>
      <c r="N245" s="28" t="n">
        <f aca="false">INDEX(IF(H245=1,Factores!$C$6:$C$9,Factores!$B$6:$B$9),MATCH(M245,Factores!$A$6:$A$9,1))</f>
        <v>0.95</v>
      </c>
      <c r="O245" s="28" t="n">
        <f aca="false">INDEX(Factores!$B$13:$B$16,MATCH(B245,Factores!$A$13:$A$16,1))</f>
        <v>0.95</v>
      </c>
      <c r="P245" s="28" t="n">
        <f aca="false">M245*N245*O245</f>
        <v>0.9025</v>
      </c>
      <c r="Q245" s="15" t="n">
        <f aca="false">LE!B243</f>
        <v>13.4696775328063</v>
      </c>
      <c r="R245" s="27" t="n">
        <f aca="false">D245/$D$3</f>
        <v>0.00127644302617442</v>
      </c>
    </row>
    <row r="246" customFormat="false" ht="15" hidden="false" customHeight="false" outlineLevel="0" collapsed="false">
      <c r="A246" s="11" t="n">
        <v>241</v>
      </c>
      <c r="B246" s="11" t="n">
        <v>81</v>
      </c>
      <c r="C246" s="22" t="s">
        <v>150</v>
      </c>
      <c r="D246" s="10" t="n">
        <v>1.5228</v>
      </c>
      <c r="E246" s="11" t="n">
        <v>2</v>
      </c>
      <c r="F246" s="5" t="str">
        <f aca="false">INDEX(Factores!$C$29:$C$36,MATCH(E246,Factores!$A$29:$A$36,0))</f>
        <v>A+</v>
      </c>
      <c r="G246" s="8" t="n">
        <v>0.0469</v>
      </c>
      <c r="H246" s="11" t="n">
        <v>0</v>
      </c>
      <c r="I246" s="20" t="n">
        <v>1</v>
      </c>
      <c r="J246" s="20" t="n">
        <v>1</v>
      </c>
      <c r="K246" s="11" t="n">
        <v>5</v>
      </c>
      <c r="L246" s="22" t="s">
        <v>151</v>
      </c>
      <c r="M246" s="28" t="n">
        <f aca="false">IF(Supuestos!$C$23=1,AVERAGE(I246:J246),MIN(I246:J246))</f>
        <v>1</v>
      </c>
      <c r="N246" s="28" t="n">
        <f aca="false">INDEX(IF(H246=1,Factores!$C$6:$C$9,Factores!$B$6:$B$9),MATCH(M246,Factores!$A$6:$A$9,1))</f>
        <v>0.95</v>
      </c>
      <c r="O246" s="28" t="n">
        <f aca="false">INDEX(Factores!$B$13:$B$16,MATCH(B246,Factores!$A$13:$A$16,1))</f>
        <v>0.95</v>
      </c>
      <c r="P246" s="28" t="n">
        <f aca="false">M246*N246*O246</f>
        <v>0.9025</v>
      </c>
      <c r="Q246" s="15" t="n">
        <f aca="false">LE!B244</f>
        <v>10.2127984188882</v>
      </c>
      <c r="R246" s="27" t="n">
        <f aca="false">D246/$D$3</f>
        <v>0.00338399624000418</v>
      </c>
    </row>
    <row r="247" customFormat="false" ht="15" hidden="false" customHeight="false" outlineLevel="0" collapsed="false">
      <c r="A247" s="11" t="n">
        <v>242</v>
      </c>
      <c r="B247" s="11" t="n">
        <v>87</v>
      </c>
      <c r="C247" s="22" t="s">
        <v>147</v>
      </c>
      <c r="D247" s="10" t="n">
        <v>1.5641</v>
      </c>
      <c r="E247" s="11" t="n">
        <v>3</v>
      </c>
      <c r="F247" s="5" t="str">
        <f aca="false">INDEX(Factores!$C$29:$C$36,MATCH(E247,Factores!$A$29:$A$36,0))</f>
        <v>A</v>
      </c>
      <c r="G247" s="8" t="n">
        <v>0.0587</v>
      </c>
      <c r="H247" s="11" t="n">
        <v>0</v>
      </c>
      <c r="I247" s="20" t="n">
        <v>1.75</v>
      </c>
      <c r="J247" s="20" t="n">
        <v>2.5</v>
      </c>
      <c r="K247" s="11" t="n">
        <v>8</v>
      </c>
      <c r="L247" s="22" t="s">
        <v>155</v>
      </c>
      <c r="M247" s="28" t="n">
        <f aca="false">IF(Supuestos!$C$23=1,AVERAGE(I247:J247),MIN(I247:J247))</f>
        <v>2.125</v>
      </c>
      <c r="N247" s="28" t="n">
        <f aca="false">INDEX(IF(H247=1,Factores!$C$6:$C$9,Factores!$B$6:$B$9),MATCH(M247,Factores!$A$6:$A$9,1))</f>
        <v>0.88</v>
      </c>
      <c r="O247" s="28" t="n">
        <f aca="false">INDEX(Factores!$B$13:$B$16,MATCH(B247,Factores!$A$13:$A$16,1))</f>
        <v>1</v>
      </c>
      <c r="P247" s="28" t="n">
        <f aca="false">M247*N247*O247</f>
        <v>1.87</v>
      </c>
      <c r="Q247" s="15" t="n">
        <f aca="false">LE!B245</f>
        <v>4.57344726565575</v>
      </c>
      <c r="R247" s="27" t="n">
        <f aca="false">D247/$D$3</f>
        <v>0.00347577391580676</v>
      </c>
    </row>
    <row r="248" customFormat="false" ht="15" hidden="false" customHeight="false" outlineLevel="0" collapsed="false">
      <c r="A248" s="11" t="n">
        <v>243</v>
      </c>
      <c r="B248" s="11" t="n">
        <v>83</v>
      </c>
      <c r="C248" s="22" t="s">
        <v>150</v>
      </c>
      <c r="D248" s="10" t="n">
        <v>1.3611</v>
      </c>
      <c r="E248" s="11" t="n">
        <v>1</v>
      </c>
      <c r="F248" s="5" t="str">
        <f aca="false">INDEX(Factores!$C$29:$C$36,MATCH(E248,Factores!$A$29:$A$36,0))</f>
        <v>A+</v>
      </c>
      <c r="G248" s="8" t="n">
        <v>0.0529</v>
      </c>
      <c r="H248" s="11" t="n">
        <v>0</v>
      </c>
      <c r="I248" s="20" t="n">
        <v>2.25</v>
      </c>
      <c r="J248" s="20" t="n">
        <v>2.5</v>
      </c>
      <c r="K248" s="11" t="n">
        <v>9</v>
      </c>
      <c r="L248" s="22" t="s">
        <v>152</v>
      </c>
      <c r="M248" s="28" t="n">
        <f aca="false">IF(Supuestos!$C$23=1,AVERAGE(I248:J248),MIN(I248:J248))</f>
        <v>2.375</v>
      </c>
      <c r="N248" s="28" t="n">
        <f aca="false">INDEX(IF(H248=1,Factores!$C$6:$C$9,Factores!$B$6:$B$9),MATCH(M248,Factores!$A$6:$A$9,1))</f>
        <v>0.88</v>
      </c>
      <c r="O248" s="28" t="n">
        <f aca="false">INDEX(Factores!$B$13:$B$16,MATCH(B248,Factores!$A$13:$A$16,1))</f>
        <v>0.95</v>
      </c>
      <c r="P248" s="28" t="n">
        <f aca="false">M248*N248*O248</f>
        <v>1.9855</v>
      </c>
      <c r="Q248" s="15" t="n">
        <f aca="false">LE!B246</f>
        <v>6.24304462428534</v>
      </c>
      <c r="R248" s="27" t="n">
        <f aca="false">D248/$D$3</f>
        <v>0.00302466330592966</v>
      </c>
    </row>
    <row r="249" customFormat="false" ht="15" hidden="false" customHeight="false" outlineLevel="0" collapsed="false">
      <c r="A249" s="11" t="n">
        <v>244</v>
      </c>
      <c r="B249" s="11" t="n">
        <v>83</v>
      </c>
      <c r="C249" s="22" t="s">
        <v>150</v>
      </c>
      <c r="D249" s="10" t="n">
        <v>1.2073</v>
      </c>
      <c r="E249" s="11" t="n">
        <v>1</v>
      </c>
      <c r="F249" s="5" t="str">
        <f aca="false">INDEX(Factores!$C$29:$C$36,MATCH(E249,Factores!$A$29:$A$36,0))</f>
        <v>A+</v>
      </c>
      <c r="G249" s="8" t="n">
        <v>0.0543</v>
      </c>
      <c r="H249" s="11" t="n">
        <v>0</v>
      </c>
      <c r="I249" s="20" t="n">
        <v>1.75</v>
      </c>
      <c r="J249" s="20" t="n">
        <v>1.75</v>
      </c>
      <c r="K249" s="11" t="n">
        <v>11</v>
      </c>
      <c r="L249" s="22" t="s">
        <v>151</v>
      </c>
      <c r="M249" s="28" t="n">
        <f aca="false">IF(Supuestos!$C$23=1,AVERAGE(I249:J249),MIN(I249:J249))</f>
        <v>1.75</v>
      </c>
      <c r="N249" s="28" t="n">
        <f aca="false">INDEX(IF(H249=1,Factores!$C$6:$C$9,Factores!$B$6:$B$9),MATCH(M249,Factores!$A$6:$A$9,1))</f>
        <v>0.88</v>
      </c>
      <c r="O249" s="28" t="n">
        <f aca="false">INDEX(Factores!$B$13:$B$16,MATCH(B249,Factores!$A$13:$A$16,1))</f>
        <v>0.95</v>
      </c>
      <c r="P249" s="28" t="n">
        <f aca="false">M249*N249*O249</f>
        <v>1.463</v>
      </c>
      <c r="Q249" s="15" t="n">
        <f aca="false">LE!B247</f>
        <v>7.41975713786944</v>
      </c>
      <c r="R249" s="27" t="n">
        <f aca="false">D249/$D$3</f>
        <v>0.00268288590790455</v>
      </c>
    </row>
    <row r="250" customFormat="false" ht="15" hidden="false" customHeight="false" outlineLevel="0" collapsed="false">
      <c r="A250" s="11" t="n">
        <v>245</v>
      </c>
      <c r="B250" s="11" t="n">
        <v>82</v>
      </c>
      <c r="C250" s="22" t="s">
        <v>150</v>
      </c>
      <c r="D250" s="10" t="n">
        <v>1.2352</v>
      </c>
      <c r="E250" s="11" t="n">
        <v>5</v>
      </c>
      <c r="F250" s="5" t="str">
        <f aca="false">INDEX(Factores!$C$29:$C$36,MATCH(E250,Factores!$A$29:$A$36,0))</f>
        <v>A-</v>
      </c>
      <c r="G250" s="8" t="n">
        <v>0.0443</v>
      </c>
      <c r="H250" s="11" t="n">
        <v>0</v>
      </c>
      <c r="I250" s="20" t="n">
        <v>1</v>
      </c>
      <c r="J250" s="20" t="n">
        <v>1.25</v>
      </c>
      <c r="K250" s="11" t="n">
        <v>6</v>
      </c>
      <c r="L250" s="22" t="s">
        <v>153</v>
      </c>
      <c r="M250" s="28" t="n">
        <f aca="false">IF(Supuestos!$C$23=1,AVERAGE(I250:J250),MIN(I250:J250))</f>
        <v>1.125</v>
      </c>
      <c r="N250" s="28" t="n">
        <f aca="false">INDEX(IF(H250=1,Factores!$C$6:$C$9,Factores!$B$6:$B$9),MATCH(M250,Factores!$A$6:$A$9,1))</f>
        <v>0.95</v>
      </c>
      <c r="O250" s="28" t="n">
        <f aca="false">INDEX(Factores!$B$13:$B$16,MATCH(B250,Factores!$A$13:$A$16,1))</f>
        <v>0.95</v>
      </c>
      <c r="P250" s="28" t="n">
        <f aca="false">M250*N250*O250</f>
        <v>1.0153125</v>
      </c>
      <c r="Q250" s="15" t="n">
        <f aca="false">LE!B248</f>
        <v>9.26018757892311</v>
      </c>
      <c r="R250" s="27" t="n">
        <f aca="false">D250/$D$3</f>
        <v>0.00274488583901574</v>
      </c>
    </row>
    <row r="251" customFormat="false" ht="15" hidden="false" customHeight="false" outlineLevel="0" collapsed="false">
      <c r="A251" s="11" t="n">
        <v>246</v>
      </c>
      <c r="B251" s="11" t="n">
        <v>89</v>
      </c>
      <c r="C251" s="22" t="s">
        <v>147</v>
      </c>
      <c r="D251" s="10" t="n">
        <v>0.9417</v>
      </c>
      <c r="E251" s="11" t="n">
        <v>5</v>
      </c>
      <c r="F251" s="5" t="str">
        <f aca="false">INDEX(Factores!$C$29:$C$36,MATCH(E251,Factores!$A$29:$A$36,0))</f>
        <v>A-</v>
      </c>
      <c r="G251" s="8" t="n">
        <v>0.0642</v>
      </c>
      <c r="H251" s="11" t="n">
        <v>0</v>
      </c>
      <c r="I251" s="20" t="n">
        <v>1.5</v>
      </c>
      <c r="J251" s="20" t="n">
        <v>2.5</v>
      </c>
      <c r="K251" s="11" t="n">
        <v>5</v>
      </c>
      <c r="L251" s="22" t="s">
        <v>148</v>
      </c>
      <c r="M251" s="28" t="n">
        <f aca="false">IF(Supuestos!$C$23=1,AVERAGE(I251:J251),MIN(I251:J251))</f>
        <v>2</v>
      </c>
      <c r="N251" s="28" t="n">
        <f aca="false">INDEX(IF(H251=1,Factores!$C$6:$C$9,Factores!$B$6:$B$9),MATCH(M251,Factores!$A$6:$A$9,1))</f>
        <v>0.88</v>
      </c>
      <c r="O251" s="28" t="n">
        <f aca="false">INDEX(Factores!$B$13:$B$16,MATCH(B251,Factores!$A$13:$A$16,1))</f>
        <v>1</v>
      </c>
      <c r="P251" s="28" t="n">
        <f aca="false">M251*N251*O251</f>
        <v>1.76</v>
      </c>
      <c r="Q251" s="15" t="n">
        <f aca="false">LE!B249</f>
        <v>3.98782124602581</v>
      </c>
      <c r="R251" s="27" t="n">
        <f aca="false">D251/$D$3</f>
        <v>0.00209266434148407</v>
      </c>
    </row>
    <row r="252" customFormat="false" ht="15" hidden="false" customHeight="false" outlineLevel="0" collapsed="false">
      <c r="A252" s="11" t="n">
        <v>247</v>
      </c>
      <c r="B252" s="11" t="n">
        <v>83</v>
      </c>
      <c r="C252" s="22" t="s">
        <v>147</v>
      </c>
      <c r="D252" s="10" t="n">
        <v>1.2943</v>
      </c>
      <c r="E252" s="11" t="n">
        <v>2</v>
      </c>
      <c r="F252" s="5" t="str">
        <f aca="false">INDEX(Factores!$C$29:$C$36,MATCH(E252,Factores!$A$29:$A$36,0))</f>
        <v>A+</v>
      </c>
      <c r="G252" s="8" t="n">
        <v>0.0487</v>
      </c>
      <c r="H252" s="11" t="n">
        <v>1</v>
      </c>
      <c r="I252" s="20" t="n">
        <v>2.75</v>
      </c>
      <c r="J252" s="20" t="n">
        <v>3.5</v>
      </c>
      <c r="K252" s="11" t="n">
        <v>3</v>
      </c>
      <c r="L252" s="22" t="s">
        <v>153</v>
      </c>
      <c r="M252" s="28" t="n">
        <f aca="false">IF(Supuestos!$C$23=1,AVERAGE(I252:J252),MIN(I252:J252))</f>
        <v>3.125</v>
      </c>
      <c r="N252" s="28" t="n">
        <f aca="false">INDEX(IF(H252=1,Factores!$C$6:$C$9,Factores!$B$6:$B$9),MATCH(M252,Factores!$A$6:$A$9,1))</f>
        <v>0.74</v>
      </c>
      <c r="O252" s="28" t="n">
        <f aca="false">INDEX(Factores!$B$13:$B$16,MATCH(B252,Factores!$A$13:$A$16,1))</f>
        <v>0.95</v>
      </c>
      <c r="P252" s="28" t="n">
        <f aca="false">M252*N252*O252</f>
        <v>2.196875</v>
      </c>
      <c r="Q252" s="15" t="n">
        <f aca="false">LE!B250</f>
        <v>5.84199174633384</v>
      </c>
      <c r="R252" s="27" t="n">
        <f aca="false">D252/$D$3</f>
        <v>0.0028762190264233</v>
      </c>
    </row>
    <row r="253" customFormat="false" ht="15" hidden="false" customHeight="false" outlineLevel="0" collapsed="false">
      <c r="A253" s="11" t="n">
        <v>248</v>
      </c>
      <c r="B253" s="11" t="n">
        <v>72</v>
      </c>
      <c r="C253" s="22" t="s">
        <v>150</v>
      </c>
      <c r="D253" s="10" t="n">
        <v>1.1396</v>
      </c>
      <c r="E253" s="11" t="n">
        <v>3</v>
      </c>
      <c r="F253" s="5" t="str">
        <f aca="false">INDEX(Factores!$C$29:$C$36,MATCH(E253,Factores!$A$29:$A$36,0))</f>
        <v>A</v>
      </c>
      <c r="G253" s="8" t="n">
        <v>0.028</v>
      </c>
      <c r="H253" s="11" t="n">
        <v>0</v>
      </c>
      <c r="I253" s="20" t="n">
        <v>2.5</v>
      </c>
      <c r="J253" s="20" t="n">
        <v>2.5</v>
      </c>
      <c r="K253" s="11" t="n">
        <v>11</v>
      </c>
      <c r="L253" s="22" t="s">
        <v>153</v>
      </c>
      <c r="M253" s="28" t="n">
        <f aca="false">IF(Supuestos!$C$23=1,AVERAGE(I253:J253),MIN(I253:J253))</f>
        <v>2.5</v>
      </c>
      <c r="N253" s="28" t="n">
        <f aca="false">INDEX(IF(H253=1,Factores!$C$6:$C$9,Factores!$B$6:$B$9),MATCH(M253,Factores!$A$6:$A$9,1))</f>
        <v>0.88</v>
      </c>
      <c r="O253" s="28" t="n">
        <f aca="false">INDEX(Factores!$B$13:$B$16,MATCH(B253,Factores!$A$13:$A$16,1))</f>
        <v>0.9</v>
      </c>
      <c r="P253" s="28" t="n">
        <f aca="false">M253*N253*O253</f>
        <v>1.98</v>
      </c>
      <c r="Q253" s="15" t="n">
        <f aca="false">LE!B251</f>
        <v>13.9861325295271</v>
      </c>
      <c r="R253" s="27" t="n">
        <f aca="false">D253/$D$3</f>
        <v>0.00253244163062041</v>
      </c>
    </row>
    <row r="254" customFormat="false" ht="15" hidden="false" customHeight="false" outlineLevel="0" collapsed="false">
      <c r="A254" s="11" t="n">
        <v>249</v>
      </c>
      <c r="B254" s="11" t="n">
        <v>80</v>
      </c>
      <c r="C254" s="22" t="s">
        <v>150</v>
      </c>
      <c r="D254" s="10" t="n">
        <v>1.5229</v>
      </c>
      <c r="E254" s="11" t="n">
        <v>2</v>
      </c>
      <c r="F254" s="5" t="str">
        <f aca="false">INDEX(Factores!$C$29:$C$36,MATCH(E254,Factores!$A$29:$A$36,0))</f>
        <v>A+</v>
      </c>
      <c r="G254" s="8" t="n">
        <v>0.0518</v>
      </c>
      <c r="H254" s="11" t="n">
        <v>0</v>
      </c>
      <c r="I254" s="20" t="n">
        <v>2</v>
      </c>
      <c r="J254" s="20" t="n">
        <v>2.25</v>
      </c>
      <c r="K254" s="11" t="n">
        <v>6</v>
      </c>
      <c r="L254" s="22" t="s">
        <v>154</v>
      </c>
      <c r="M254" s="28" t="n">
        <f aca="false">IF(Supuestos!$C$23=1,AVERAGE(I254:J254),MIN(I254:J254))</f>
        <v>2.125</v>
      </c>
      <c r="N254" s="28" t="n">
        <f aca="false">INDEX(IF(H254=1,Factores!$C$6:$C$9,Factores!$B$6:$B$9),MATCH(M254,Factores!$A$6:$A$9,1))</f>
        <v>0.88</v>
      </c>
      <c r="O254" s="28" t="n">
        <f aca="false">INDEX(Factores!$B$13:$B$16,MATCH(B254,Factores!$A$13:$A$16,1))</f>
        <v>0.95</v>
      </c>
      <c r="P254" s="28" t="n">
        <f aca="false">M254*N254*O254</f>
        <v>1.7765</v>
      </c>
      <c r="Q254" s="15" t="n">
        <f aca="false">LE!B252</f>
        <v>8.4502793382588</v>
      </c>
      <c r="R254" s="27" t="n">
        <f aca="false">D254/$D$3</f>
        <v>0.00338421846197949</v>
      </c>
    </row>
    <row r="255" customFormat="false" ht="15" hidden="false" customHeight="false" outlineLevel="0" collapsed="false">
      <c r="A255" s="11" t="n">
        <v>250</v>
      </c>
      <c r="B255" s="11" t="n">
        <v>73</v>
      </c>
      <c r="C255" s="22" t="s">
        <v>150</v>
      </c>
      <c r="D255" s="10" t="n">
        <v>0.85</v>
      </c>
      <c r="E255" s="11" t="n">
        <v>3</v>
      </c>
      <c r="F255" s="5" t="str">
        <f aca="false">INDEX(Factores!$C$29:$C$36,MATCH(E255,Factores!$A$29:$A$36,0))</f>
        <v>A</v>
      </c>
      <c r="G255" s="8" t="n">
        <v>0.0309</v>
      </c>
      <c r="H255" s="11" t="n">
        <v>1</v>
      </c>
      <c r="I255" s="20" t="n">
        <v>1.25</v>
      </c>
      <c r="J255" s="20" t="n">
        <v>1.5</v>
      </c>
      <c r="K255" s="11" t="n">
        <v>3</v>
      </c>
      <c r="L255" s="22" t="s">
        <v>154</v>
      </c>
      <c r="M255" s="28" t="n">
        <f aca="false">IF(Supuestos!$C$23=1,AVERAGE(I255:J255),MIN(I255:J255))</f>
        <v>1.375</v>
      </c>
      <c r="N255" s="28" t="n">
        <f aca="false">INDEX(IF(H255=1,Factores!$C$6:$C$9,Factores!$B$6:$B$9),MATCH(M255,Factores!$A$6:$A$9,1))</f>
        <v>0.9</v>
      </c>
      <c r="O255" s="28" t="n">
        <f aca="false">INDEX(Factores!$B$13:$B$16,MATCH(B255,Factores!$A$13:$A$16,1))</f>
        <v>0.9</v>
      </c>
      <c r="P255" s="28" t="n">
        <f aca="false">M255*N255*O255</f>
        <v>1.11375</v>
      </c>
      <c r="Q255" s="15" t="n">
        <f aca="false">LE!B253</f>
        <v>15.1170489420545</v>
      </c>
      <c r="R255" s="27" t="n">
        <f aca="false">D255/$D$3</f>
        <v>0.00188888679012579</v>
      </c>
    </row>
    <row r="256" customFormat="false" ht="15" hidden="false" customHeight="false" outlineLevel="0" collapsed="false">
      <c r="A256" s="11" t="n">
        <v>251</v>
      </c>
      <c r="B256" s="11" t="n">
        <v>70</v>
      </c>
      <c r="C256" s="22" t="s">
        <v>150</v>
      </c>
      <c r="D256" s="10" t="n">
        <v>1.6248</v>
      </c>
      <c r="E256" s="11" t="n">
        <v>4</v>
      </c>
      <c r="F256" s="5" t="str">
        <f aca="false">INDEX(Factores!$C$29:$C$36,MATCH(E256,Factores!$A$29:$A$36,0))</f>
        <v>A</v>
      </c>
      <c r="G256" s="8" t="n">
        <v>0.0186</v>
      </c>
      <c r="H256" s="11" t="n">
        <v>0</v>
      </c>
      <c r="I256" s="20" t="n">
        <v>2.75</v>
      </c>
      <c r="J256" s="20" t="n">
        <v>2.5</v>
      </c>
      <c r="K256" s="11" t="n">
        <v>3</v>
      </c>
      <c r="L256" s="22" t="s">
        <v>148</v>
      </c>
      <c r="M256" s="28" t="n">
        <f aca="false">IF(Supuestos!$C$23=1,AVERAGE(I256:J256),MIN(I256:J256))</f>
        <v>2.625</v>
      </c>
      <c r="N256" s="28" t="n">
        <f aca="false">INDEX(IF(H256=1,Factores!$C$6:$C$9,Factores!$B$6:$B$9),MATCH(M256,Factores!$A$6:$A$9,1))</f>
        <v>0.88</v>
      </c>
      <c r="O256" s="28" t="n">
        <f aca="false">INDEX(Factores!$B$13:$B$16,MATCH(B256,Factores!$A$13:$A$16,1))</f>
        <v>0.9</v>
      </c>
      <c r="P256" s="28" t="n">
        <f aca="false">M256*N256*O256</f>
        <v>2.079</v>
      </c>
      <c r="Q256" s="15" t="n">
        <f aca="false">LE!B254</f>
        <v>15.5400043372508</v>
      </c>
      <c r="R256" s="27" t="n">
        <f aca="false">D256/$D$3</f>
        <v>0.00361066265481927</v>
      </c>
    </row>
    <row r="257" customFormat="false" ht="15" hidden="false" customHeight="false" outlineLevel="0" collapsed="false">
      <c r="A257" s="11" t="n">
        <v>252</v>
      </c>
      <c r="B257" s="11" t="n">
        <v>80</v>
      </c>
      <c r="C257" s="22" t="s">
        <v>147</v>
      </c>
      <c r="D257" s="10" t="n">
        <v>1.5586</v>
      </c>
      <c r="E257" s="11" t="n">
        <v>7</v>
      </c>
      <c r="F257" s="5" t="str">
        <f aca="false">INDEX(Factores!$C$29:$C$36,MATCH(E257,Factores!$A$29:$A$36,0))</f>
        <v>A+</v>
      </c>
      <c r="G257" s="8" t="n">
        <v>0.0509</v>
      </c>
      <c r="H257" s="11" t="n">
        <v>0</v>
      </c>
      <c r="I257" s="20" t="n">
        <v>1.5</v>
      </c>
      <c r="J257" s="20" t="n">
        <v>1.25</v>
      </c>
      <c r="K257" s="11" t="n">
        <v>7</v>
      </c>
      <c r="L257" s="22" t="s">
        <v>148</v>
      </c>
      <c r="M257" s="28" t="n">
        <f aca="false">IF(Supuestos!$C$23=1,AVERAGE(I257:J257),MIN(I257:J257))</f>
        <v>1.375</v>
      </c>
      <c r="N257" s="28" t="n">
        <f aca="false">INDEX(IF(H257=1,Factores!$C$6:$C$9,Factores!$B$6:$B$9),MATCH(M257,Factores!$A$6:$A$9,1))</f>
        <v>0.95</v>
      </c>
      <c r="O257" s="28" t="n">
        <f aca="false">INDEX(Factores!$B$13:$B$16,MATCH(B257,Factores!$A$13:$A$16,1))</f>
        <v>0.95</v>
      </c>
      <c r="P257" s="28" t="n">
        <f aca="false">M257*N257*O257</f>
        <v>1.2409375</v>
      </c>
      <c r="Q257" s="15" t="n">
        <f aca="false">LE!B255</f>
        <v>9.81225506734239</v>
      </c>
      <c r="R257" s="27" t="n">
        <f aca="false">D257/$D$3</f>
        <v>0.00346355170716477</v>
      </c>
    </row>
    <row r="258" customFormat="false" ht="15" hidden="false" customHeight="false" outlineLevel="0" collapsed="false">
      <c r="A258" s="11" t="n">
        <v>253</v>
      </c>
      <c r="B258" s="11" t="n">
        <v>90</v>
      </c>
      <c r="C258" s="22" t="s">
        <v>150</v>
      </c>
      <c r="D258" s="10" t="n">
        <v>1.3712</v>
      </c>
      <c r="E258" s="11" t="n">
        <v>1</v>
      </c>
      <c r="F258" s="5" t="str">
        <f aca="false">INDEX(Factores!$C$29:$C$36,MATCH(E258,Factores!$A$29:$A$36,0))</f>
        <v>A+</v>
      </c>
      <c r="G258" s="8" t="n">
        <v>0.0639</v>
      </c>
      <c r="H258" s="11" t="n">
        <v>0</v>
      </c>
      <c r="I258" s="20" t="n">
        <v>1.25</v>
      </c>
      <c r="J258" s="20" t="n">
        <v>1.25</v>
      </c>
      <c r="K258" s="11" t="n">
        <v>7</v>
      </c>
      <c r="L258" s="22" t="s">
        <v>154</v>
      </c>
      <c r="M258" s="28" t="n">
        <f aca="false">IF(Supuestos!$C$23=1,AVERAGE(I258:J258),MIN(I258:J258))</f>
        <v>1.25</v>
      </c>
      <c r="N258" s="28" t="n">
        <f aca="false">INDEX(IF(H258=1,Factores!$C$6:$C$9,Factores!$B$6:$B$9),MATCH(M258,Factores!$A$6:$A$9,1))</f>
        <v>0.95</v>
      </c>
      <c r="O258" s="28" t="n">
        <f aca="false">INDEX(Factores!$B$13:$B$16,MATCH(B258,Factores!$A$13:$A$16,1))</f>
        <v>1</v>
      </c>
      <c r="P258" s="28" t="n">
        <f aca="false">M258*N258*O258</f>
        <v>1.1875</v>
      </c>
      <c r="Q258" s="15" t="n">
        <f aca="false">LE!B256</f>
        <v>4.83311854917408</v>
      </c>
      <c r="R258" s="27" t="n">
        <f aca="false">D258/$D$3</f>
        <v>0.00304710772543586</v>
      </c>
    </row>
    <row r="259" customFormat="false" ht="15" hidden="false" customHeight="false" outlineLevel="0" collapsed="false">
      <c r="A259" s="11" t="n">
        <v>254</v>
      </c>
      <c r="B259" s="11" t="n">
        <v>83</v>
      </c>
      <c r="C259" s="22" t="s">
        <v>150</v>
      </c>
      <c r="D259" s="10" t="n">
        <v>1.1993</v>
      </c>
      <c r="E259" s="11" t="n">
        <v>7</v>
      </c>
      <c r="F259" s="5" t="str">
        <f aca="false">INDEX(Factores!$C$29:$C$36,MATCH(E259,Factores!$A$29:$A$36,0))</f>
        <v>A+</v>
      </c>
      <c r="G259" s="8" t="n">
        <v>0.0585</v>
      </c>
      <c r="H259" s="11" t="n">
        <v>0</v>
      </c>
      <c r="I259" s="20" t="n">
        <v>1.5</v>
      </c>
      <c r="J259" s="20" t="n">
        <v>1.25</v>
      </c>
      <c r="K259" s="11" t="n">
        <v>3</v>
      </c>
      <c r="L259" s="22" t="s">
        <v>154</v>
      </c>
      <c r="M259" s="28" t="n">
        <f aca="false">IF(Supuestos!$C$23=1,AVERAGE(I259:J259),MIN(I259:J259))</f>
        <v>1.375</v>
      </c>
      <c r="N259" s="28" t="n">
        <f aca="false">INDEX(IF(H259=1,Factores!$C$6:$C$9,Factores!$B$6:$B$9),MATCH(M259,Factores!$A$6:$A$9,1))</f>
        <v>0.95</v>
      </c>
      <c r="O259" s="28" t="n">
        <f aca="false">INDEX(Factores!$B$13:$B$16,MATCH(B259,Factores!$A$13:$A$16,1))</f>
        <v>0.95</v>
      </c>
      <c r="P259" s="28" t="n">
        <f aca="false">M259*N259*O259</f>
        <v>1.2409375</v>
      </c>
      <c r="Q259" s="15" t="n">
        <f aca="false">LE!B257</f>
        <v>8.01443233035714</v>
      </c>
      <c r="R259" s="27" t="n">
        <f aca="false">D259/$D$3</f>
        <v>0.00266510814987983</v>
      </c>
    </row>
    <row r="260" customFormat="false" ht="15" hidden="false" customHeight="false" outlineLevel="0" collapsed="false">
      <c r="A260" s="11" t="n">
        <v>255</v>
      </c>
      <c r="B260" s="11" t="n">
        <v>77</v>
      </c>
      <c r="C260" s="22" t="s">
        <v>150</v>
      </c>
      <c r="D260" s="10" t="n">
        <v>1.8737</v>
      </c>
      <c r="E260" s="11" t="n">
        <v>8</v>
      </c>
      <c r="F260" s="5" t="str">
        <f aca="false">INDEX(Factores!$C$29:$C$36,MATCH(E260,Factores!$A$29:$A$36,0))</f>
        <v>B++</v>
      </c>
      <c r="G260" s="8" t="n">
        <v>0.0349</v>
      </c>
      <c r="H260" s="11" t="n">
        <v>1</v>
      </c>
      <c r="I260" s="20" t="n">
        <v>3.75</v>
      </c>
      <c r="J260" s="20" t="n">
        <v>3.75</v>
      </c>
      <c r="K260" s="11" t="n">
        <v>10</v>
      </c>
      <c r="L260" s="22" t="s">
        <v>152</v>
      </c>
      <c r="M260" s="28" t="n">
        <f aca="false">IF(Supuestos!$C$23=1,AVERAGE(I260:J260),MIN(I260:J260))</f>
        <v>3.75</v>
      </c>
      <c r="N260" s="28" t="n">
        <f aca="false">INDEX(IF(H260=1,Factores!$C$6:$C$9,Factores!$B$6:$B$9),MATCH(M260,Factores!$A$6:$A$9,1))</f>
        <v>0.74</v>
      </c>
      <c r="O260" s="28" t="n">
        <f aca="false">INDEX(Factores!$B$13:$B$16,MATCH(B260,Factores!$A$13:$A$16,1))</f>
        <v>0.95</v>
      </c>
      <c r="P260" s="28" t="n">
        <f aca="false">M260*N260*O260</f>
        <v>2.63625</v>
      </c>
      <c r="Q260" s="15" t="n">
        <f aca="false">LE!B258</f>
        <v>8.72755578037901</v>
      </c>
      <c r="R260" s="27" t="n">
        <f aca="false">D260/$D$3</f>
        <v>0.00416377315136317</v>
      </c>
    </row>
    <row r="261" customFormat="false" ht="15" hidden="false" customHeight="false" outlineLevel="0" collapsed="false">
      <c r="A261" s="11" t="n">
        <v>256</v>
      </c>
      <c r="B261" s="11" t="n">
        <v>78</v>
      </c>
      <c r="C261" s="22" t="s">
        <v>147</v>
      </c>
      <c r="D261" s="10" t="n">
        <v>0.6909</v>
      </c>
      <c r="E261" s="11" t="n">
        <v>2</v>
      </c>
      <c r="F261" s="5" t="str">
        <f aca="false">INDEX(Factores!$C$29:$C$36,MATCH(E261,Factores!$A$29:$A$36,0))</f>
        <v>A+</v>
      </c>
      <c r="G261" s="8" t="n">
        <v>0.0289</v>
      </c>
      <c r="H261" s="11" t="n">
        <v>1</v>
      </c>
      <c r="I261" s="20" t="n">
        <v>2.25</v>
      </c>
      <c r="J261" s="20" t="n">
        <v>2.25</v>
      </c>
      <c r="K261" s="11" t="n">
        <v>4</v>
      </c>
      <c r="L261" s="22" t="s">
        <v>151</v>
      </c>
      <c r="M261" s="28" t="n">
        <f aca="false">IF(Supuestos!$C$23=1,AVERAGE(I261:J261),MIN(I261:J261))</f>
        <v>2.25</v>
      </c>
      <c r="N261" s="28" t="n">
        <f aca="false">INDEX(IF(H261=1,Factores!$C$6:$C$9,Factores!$B$6:$B$9),MATCH(M261,Factores!$A$6:$A$9,1))</f>
        <v>0.82</v>
      </c>
      <c r="O261" s="28" t="n">
        <f aca="false">INDEX(Factores!$B$13:$B$16,MATCH(B261,Factores!$A$13:$A$16,1))</f>
        <v>0.95</v>
      </c>
      <c r="P261" s="28" t="n">
        <f aca="false">M261*N261*O261</f>
        <v>1.75275</v>
      </c>
      <c r="Q261" s="15" t="n">
        <f aca="false">LE!B259</f>
        <v>9.83613014804338</v>
      </c>
      <c r="R261" s="27" t="n">
        <f aca="false">D261/$D$3</f>
        <v>0.0015353316274093</v>
      </c>
    </row>
    <row r="262" customFormat="false" ht="15" hidden="false" customHeight="false" outlineLevel="0" collapsed="false">
      <c r="A262" s="11" t="n">
        <v>257</v>
      </c>
      <c r="B262" s="11" t="n">
        <v>89</v>
      </c>
      <c r="C262" s="22" t="s">
        <v>150</v>
      </c>
      <c r="D262" s="10" t="n">
        <v>1.7978</v>
      </c>
      <c r="E262" s="11" t="n">
        <v>5</v>
      </c>
      <c r="F262" s="5" t="str">
        <f aca="false">INDEX(Factores!$C$29:$C$36,MATCH(E262,Factores!$A$29:$A$36,0))</f>
        <v>A-</v>
      </c>
      <c r="G262" s="8" t="n">
        <v>0.0781</v>
      </c>
      <c r="H262" s="11" t="n">
        <v>0</v>
      </c>
      <c r="I262" s="20" t="n">
        <v>3.25</v>
      </c>
      <c r="J262" s="20" t="n">
        <v>5.25</v>
      </c>
      <c r="K262" s="11" t="n">
        <v>6</v>
      </c>
      <c r="L262" s="22" t="s">
        <v>155</v>
      </c>
      <c r="M262" s="28" t="n">
        <f aca="false">IF(Supuestos!$C$23=1,AVERAGE(I262:J262),MIN(I262:J262))</f>
        <v>4.25</v>
      </c>
      <c r="N262" s="28" t="n">
        <f aca="false">INDEX(IF(H262=1,Factores!$C$6:$C$9,Factores!$B$6:$B$9),MATCH(M262,Factores!$A$6:$A$9,1))</f>
        <v>0.8</v>
      </c>
      <c r="O262" s="28" t="n">
        <f aca="false">INDEX(Factores!$B$13:$B$16,MATCH(B262,Factores!$A$13:$A$16,1))</f>
        <v>1</v>
      </c>
      <c r="P262" s="28" t="n">
        <f aca="false">M262*N262*O262</f>
        <v>3.4</v>
      </c>
      <c r="Q262" s="15" t="n">
        <f aca="false">LE!B260</f>
        <v>2.15698422520375</v>
      </c>
      <c r="R262" s="27" t="n">
        <f aca="false">D262/$D$3</f>
        <v>0.0039951066721037</v>
      </c>
    </row>
    <row r="263" customFormat="false" ht="15" hidden="false" customHeight="false" outlineLevel="0" collapsed="false">
      <c r="A263" s="11" t="n">
        <v>258</v>
      </c>
      <c r="B263" s="11" t="n">
        <v>84</v>
      </c>
      <c r="C263" s="22" t="s">
        <v>147</v>
      </c>
      <c r="D263" s="10" t="n">
        <v>1.6303</v>
      </c>
      <c r="E263" s="11" t="n">
        <v>6</v>
      </c>
      <c r="F263" s="5" t="str">
        <f aca="false">INDEX(Factores!$C$29:$C$36,MATCH(E263,Factores!$A$29:$A$36,0))</f>
        <v>A</v>
      </c>
      <c r="G263" s="8" t="n">
        <v>0.0613</v>
      </c>
      <c r="H263" s="11" t="n">
        <v>0</v>
      </c>
      <c r="I263" s="20" t="n">
        <v>1.5</v>
      </c>
      <c r="J263" s="20" t="n">
        <v>1.25</v>
      </c>
      <c r="K263" s="11" t="n">
        <v>9</v>
      </c>
      <c r="L263" s="22" t="s">
        <v>154</v>
      </c>
      <c r="M263" s="28" t="n">
        <f aca="false">IF(Supuestos!$C$23=1,AVERAGE(I263:J263),MIN(I263:J263))</f>
        <v>1.375</v>
      </c>
      <c r="N263" s="28" t="n">
        <f aca="false">INDEX(IF(H263=1,Factores!$C$6:$C$9,Factores!$B$6:$B$9),MATCH(M263,Factores!$A$6:$A$9,1))</f>
        <v>0.95</v>
      </c>
      <c r="O263" s="28" t="n">
        <f aca="false">INDEX(Factores!$B$13:$B$16,MATCH(B263,Factores!$A$13:$A$16,1))</f>
        <v>0.95</v>
      </c>
      <c r="P263" s="28" t="n">
        <f aca="false">M263*N263*O263</f>
        <v>1.2409375</v>
      </c>
      <c r="Q263" s="15" t="n">
        <f aca="false">LE!B261</f>
        <v>7.46492685415693</v>
      </c>
      <c r="R263" s="27" t="n">
        <f aca="false">D263/$D$3</f>
        <v>0.00362288486346126</v>
      </c>
    </row>
    <row r="264" customFormat="false" ht="15" hidden="false" customHeight="false" outlineLevel="0" collapsed="false">
      <c r="A264" s="11" t="n">
        <v>259</v>
      </c>
      <c r="B264" s="11" t="n">
        <v>83</v>
      </c>
      <c r="C264" s="22" t="s">
        <v>150</v>
      </c>
      <c r="D264" s="10" t="n">
        <v>1.6601</v>
      </c>
      <c r="E264" s="11" t="n">
        <v>5</v>
      </c>
      <c r="F264" s="5" t="str">
        <f aca="false">INDEX(Factores!$C$29:$C$36,MATCH(E264,Factores!$A$29:$A$36,0))</f>
        <v>A-</v>
      </c>
      <c r="G264" s="8" t="n">
        <v>0.0484</v>
      </c>
      <c r="H264" s="11" t="n">
        <v>1</v>
      </c>
      <c r="I264" s="20" t="n">
        <v>3</v>
      </c>
      <c r="J264" s="20" t="n">
        <v>3</v>
      </c>
      <c r="K264" s="11" t="n">
        <v>6</v>
      </c>
      <c r="L264" s="22" t="s">
        <v>155</v>
      </c>
      <c r="M264" s="28" t="n">
        <f aca="false">IF(Supuestos!$C$23=1,AVERAGE(I264:J264),MIN(I264:J264))</f>
        <v>3</v>
      </c>
      <c r="N264" s="28" t="n">
        <f aca="false">INDEX(IF(H264=1,Factores!$C$6:$C$9,Factores!$B$6:$B$9),MATCH(M264,Factores!$A$6:$A$9,1))</f>
        <v>0.74</v>
      </c>
      <c r="O264" s="28" t="n">
        <f aca="false">INDEX(Factores!$B$13:$B$16,MATCH(B264,Factores!$A$13:$A$16,1))</f>
        <v>0.95</v>
      </c>
      <c r="P264" s="28" t="n">
        <f aca="false">M264*N264*O264</f>
        <v>2.109</v>
      </c>
      <c r="Q264" s="15" t="n">
        <f aca="false">LE!B262</f>
        <v>6.00405289616954</v>
      </c>
      <c r="R264" s="27" t="n">
        <f aca="false">D264/$D$3</f>
        <v>0.00368910701210332</v>
      </c>
    </row>
    <row r="265" customFormat="false" ht="15" hidden="false" customHeight="false" outlineLevel="0" collapsed="false">
      <c r="A265" s="11" t="n">
        <v>260</v>
      </c>
      <c r="B265" s="11" t="n">
        <v>83</v>
      </c>
      <c r="C265" s="22" t="s">
        <v>150</v>
      </c>
      <c r="D265" s="10" t="n">
        <v>1.7365</v>
      </c>
      <c r="E265" s="11" t="n">
        <v>2</v>
      </c>
      <c r="F265" s="5" t="str">
        <f aca="false">INDEX(Factores!$C$29:$C$36,MATCH(E265,Factores!$A$29:$A$36,0))</f>
        <v>A+</v>
      </c>
      <c r="G265" s="8" t="n">
        <v>0.0532</v>
      </c>
      <c r="H265" s="11" t="n">
        <v>0</v>
      </c>
      <c r="I265" s="20" t="n">
        <v>1.5</v>
      </c>
      <c r="J265" s="20" t="n">
        <v>1.5</v>
      </c>
      <c r="K265" s="11" t="n">
        <v>3</v>
      </c>
      <c r="L265" s="22" t="s">
        <v>151</v>
      </c>
      <c r="M265" s="28" t="n">
        <f aca="false">IF(Supuestos!$C$23=1,AVERAGE(I265:J265),MIN(I265:J265))</f>
        <v>1.5</v>
      </c>
      <c r="N265" s="28" t="n">
        <f aca="false">INDEX(IF(H265=1,Factores!$C$6:$C$9,Factores!$B$6:$B$9),MATCH(M265,Factores!$A$6:$A$9,1))</f>
        <v>0.88</v>
      </c>
      <c r="O265" s="28" t="n">
        <f aca="false">INDEX(Factores!$B$13:$B$16,MATCH(B265,Factores!$A$13:$A$16,1))</f>
        <v>0.95</v>
      </c>
      <c r="P265" s="28" t="n">
        <f aca="false">M265*N265*O265</f>
        <v>1.254</v>
      </c>
      <c r="Q265" s="15" t="n">
        <f aca="false">LE!B263</f>
        <v>7.97768004936947</v>
      </c>
      <c r="R265" s="27" t="n">
        <f aca="false">D265/$D$3</f>
        <v>0.00385888460123933</v>
      </c>
    </row>
    <row r="266" customFormat="false" ht="15" hidden="false" customHeight="false" outlineLevel="0" collapsed="false">
      <c r="A266" s="11" t="n">
        <v>261</v>
      </c>
      <c r="B266" s="11" t="n">
        <v>83</v>
      </c>
      <c r="C266" s="22" t="s">
        <v>147</v>
      </c>
      <c r="D266" s="10" t="n">
        <v>1.089</v>
      </c>
      <c r="E266" s="11" t="n">
        <v>4</v>
      </c>
      <c r="F266" s="5" t="str">
        <f aca="false">INDEX(Factores!$C$29:$C$36,MATCH(E266,Factores!$A$29:$A$36,0))</f>
        <v>A</v>
      </c>
      <c r="G266" s="8" t="n">
        <v>0.0516</v>
      </c>
      <c r="H266" s="11" t="n">
        <v>0</v>
      </c>
      <c r="I266" s="20" t="n">
        <v>1.75</v>
      </c>
      <c r="J266" s="20" t="n">
        <v>2</v>
      </c>
      <c r="K266" s="11" t="n">
        <v>9</v>
      </c>
      <c r="L266" s="22" t="s">
        <v>153</v>
      </c>
      <c r="M266" s="28" t="n">
        <f aca="false">IF(Supuestos!$C$23=1,AVERAGE(I266:J266),MIN(I266:J266))</f>
        <v>1.875</v>
      </c>
      <c r="N266" s="28" t="n">
        <f aca="false">INDEX(IF(H266=1,Factores!$C$6:$C$9,Factores!$B$6:$B$9),MATCH(M266,Factores!$A$6:$A$9,1))</f>
        <v>0.88</v>
      </c>
      <c r="O266" s="28" t="n">
        <f aca="false">INDEX(Factores!$B$13:$B$16,MATCH(B266,Factores!$A$13:$A$16,1))</f>
        <v>0.95</v>
      </c>
      <c r="P266" s="28" t="n">
        <f aca="false">M266*N266*O266</f>
        <v>1.5675</v>
      </c>
      <c r="Q266" s="15" t="n">
        <f aca="false">LE!B264</f>
        <v>7.16086583312611</v>
      </c>
      <c r="R266" s="27" t="n">
        <f aca="false">D266/$D$3</f>
        <v>0.0024199973111141</v>
      </c>
    </row>
    <row r="267" customFormat="false" ht="15" hidden="false" customHeight="false" outlineLevel="0" collapsed="false">
      <c r="A267" s="11" t="n">
        <v>262</v>
      </c>
      <c r="B267" s="11" t="n">
        <v>87</v>
      </c>
      <c r="C267" s="22" t="s">
        <v>147</v>
      </c>
      <c r="D267" s="10" t="n">
        <v>1.3003</v>
      </c>
      <c r="E267" s="11" t="n">
        <v>7</v>
      </c>
      <c r="F267" s="5" t="str">
        <f aca="false">INDEX(Factores!$C$29:$C$36,MATCH(E267,Factores!$A$29:$A$36,0))</f>
        <v>A+</v>
      </c>
      <c r="G267" s="8" t="n">
        <v>0.0629</v>
      </c>
      <c r="H267" s="11" t="n">
        <v>1</v>
      </c>
      <c r="I267" s="20" t="n">
        <v>6</v>
      </c>
      <c r="J267" s="20" t="n">
        <v>6</v>
      </c>
      <c r="K267" s="11" t="n">
        <v>6</v>
      </c>
      <c r="L267" s="22" t="s">
        <v>148</v>
      </c>
      <c r="M267" s="28" t="n">
        <f aca="false">IF(Supuestos!$C$23=1,AVERAGE(I267:J267),MIN(I267:J267))</f>
        <v>6</v>
      </c>
      <c r="N267" s="28" t="n">
        <f aca="false">INDEX(IF(H267=1,Factores!$C$6:$C$9,Factores!$B$6:$B$9),MATCH(M267,Factores!$A$6:$A$9,1))</f>
        <v>0.66</v>
      </c>
      <c r="O267" s="28" t="n">
        <f aca="false">INDEX(Factores!$B$13:$B$16,MATCH(B267,Factores!$A$13:$A$16,1))</f>
        <v>1</v>
      </c>
      <c r="P267" s="28" t="n">
        <f aca="false">M267*N267*O267</f>
        <v>3.96</v>
      </c>
      <c r="Q267" s="15" t="n">
        <f aca="false">LE!B265</f>
        <v>2.30747261241557</v>
      </c>
      <c r="R267" s="27" t="n">
        <f aca="false">D267/$D$3</f>
        <v>0.00288955234494184</v>
      </c>
    </row>
    <row r="268" customFormat="false" ht="15" hidden="false" customHeight="false" outlineLevel="0" collapsed="false">
      <c r="A268" s="11" t="n">
        <v>263</v>
      </c>
      <c r="B268" s="11" t="n">
        <v>86</v>
      </c>
      <c r="C268" s="22" t="s">
        <v>147</v>
      </c>
      <c r="D268" s="10" t="n">
        <v>1.9465</v>
      </c>
      <c r="E268" s="11" t="n">
        <v>1</v>
      </c>
      <c r="F268" s="5" t="str">
        <f aca="false">INDEX(Factores!$C$29:$C$36,MATCH(E268,Factores!$A$29:$A$36,0))</f>
        <v>A+</v>
      </c>
      <c r="G268" s="8" t="n">
        <v>0.0541</v>
      </c>
      <c r="H268" s="11" t="n">
        <v>0</v>
      </c>
      <c r="I268" s="20" t="n">
        <v>2.75</v>
      </c>
      <c r="J268" s="20" t="n">
        <v>2.5</v>
      </c>
      <c r="K268" s="11" t="n">
        <v>9</v>
      </c>
      <c r="L268" s="22" t="s">
        <v>152</v>
      </c>
      <c r="M268" s="28" t="n">
        <f aca="false">IF(Supuestos!$C$23=1,AVERAGE(I268:J268),MIN(I268:J268))</f>
        <v>2.625</v>
      </c>
      <c r="N268" s="28" t="n">
        <f aca="false">INDEX(IF(H268=1,Factores!$C$6:$C$9,Factores!$B$6:$B$9),MATCH(M268,Factores!$A$6:$A$9,1))</f>
        <v>0.88</v>
      </c>
      <c r="O268" s="28" t="n">
        <f aca="false">INDEX(Factores!$B$13:$B$16,MATCH(B268,Factores!$A$13:$A$16,1))</f>
        <v>1</v>
      </c>
      <c r="P268" s="28" t="n">
        <f aca="false">M268*N268*O268</f>
        <v>2.31</v>
      </c>
      <c r="Q268" s="15" t="n">
        <f aca="false">LE!B266</f>
        <v>4.2631572786521</v>
      </c>
      <c r="R268" s="27" t="n">
        <f aca="false">D268/$D$3</f>
        <v>0.00432555074938806</v>
      </c>
    </row>
    <row r="269" customFormat="false" ht="15" hidden="false" customHeight="false" outlineLevel="0" collapsed="false">
      <c r="A269" s="11" t="n">
        <v>264</v>
      </c>
      <c r="B269" s="11" t="n">
        <v>84</v>
      </c>
      <c r="C269" s="22" t="s">
        <v>147</v>
      </c>
      <c r="D269" s="10" t="n">
        <v>1.7739</v>
      </c>
      <c r="E269" s="11" t="n">
        <v>3</v>
      </c>
      <c r="F269" s="5" t="str">
        <f aca="false">INDEX(Factores!$C$29:$C$36,MATCH(E269,Factores!$A$29:$A$36,0))</f>
        <v>A</v>
      </c>
      <c r="G269" s="8" t="n">
        <v>0.0523</v>
      </c>
      <c r="H269" s="11" t="n">
        <v>0</v>
      </c>
      <c r="I269" s="20" t="n">
        <v>1.5</v>
      </c>
      <c r="J269" s="20" t="n">
        <v>1.25</v>
      </c>
      <c r="K269" s="11" t="n">
        <v>4</v>
      </c>
      <c r="L269" s="22" t="s">
        <v>155</v>
      </c>
      <c r="M269" s="28" t="n">
        <f aca="false">IF(Supuestos!$C$23=1,AVERAGE(I269:J269),MIN(I269:J269))</f>
        <v>1.375</v>
      </c>
      <c r="N269" s="28" t="n">
        <f aca="false">INDEX(IF(H269=1,Factores!$C$6:$C$9,Factores!$B$6:$B$9),MATCH(M269,Factores!$A$6:$A$9,1))</f>
        <v>0.95</v>
      </c>
      <c r="O269" s="28" t="n">
        <f aca="false">INDEX(Factores!$B$13:$B$16,MATCH(B269,Factores!$A$13:$A$16,1))</f>
        <v>0.95</v>
      </c>
      <c r="P269" s="28" t="n">
        <f aca="false">M269*N269*O269</f>
        <v>1.2409375</v>
      </c>
      <c r="Q269" s="15" t="n">
        <f aca="false">LE!B267</f>
        <v>7.46492685415693</v>
      </c>
      <c r="R269" s="27" t="n">
        <f aca="false">D269/$D$3</f>
        <v>0.00394199562000487</v>
      </c>
    </row>
    <row r="270" customFormat="false" ht="15" hidden="false" customHeight="false" outlineLevel="0" collapsed="false">
      <c r="A270" s="11" t="n">
        <v>265</v>
      </c>
      <c r="B270" s="11" t="n">
        <v>78</v>
      </c>
      <c r="C270" s="22" t="s">
        <v>150</v>
      </c>
      <c r="D270" s="10" t="n">
        <v>1.6038</v>
      </c>
      <c r="E270" s="11" t="n">
        <v>1</v>
      </c>
      <c r="F270" s="5" t="str">
        <f aca="false">INDEX(Factores!$C$29:$C$36,MATCH(E270,Factores!$A$29:$A$36,0))</f>
        <v>A+</v>
      </c>
      <c r="G270" s="8" t="n">
        <v>0.0419</v>
      </c>
      <c r="H270" s="11" t="n">
        <v>1</v>
      </c>
      <c r="I270" s="20" t="n">
        <v>2</v>
      </c>
      <c r="J270" s="20" t="n">
        <v>1.5</v>
      </c>
      <c r="K270" s="11" t="n">
        <v>8</v>
      </c>
      <c r="L270" s="22" t="s">
        <v>154</v>
      </c>
      <c r="M270" s="28" t="n">
        <f aca="false">IF(Supuestos!$C$23=1,AVERAGE(I270:J270),MIN(I270:J270))</f>
        <v>1.75</v>
      </c>
      <c r="N270" s="28" t="n">
        <f aca="false">INDEX(IF(H270=1,Factores!$C$6:$C$9,Factores!$B$6:$B$9),MATCH(M270,Factores!$A$6:$A$9,1))</f>
        <v>0.82</v>
      </c>
      <c r="O270" s="28" t="n">
        <f aca="false">INDEX(Factores!$B$13:$B$16,MATCH(B270,Factores!$A$13:$A$16,1))</f>
        <v>0.95</v>
      </c>
      <c r="P270" s="28" t="n">
        <f aca="false">M270*N270*O270</f>
        <v>1.36325</v>
      </c>
      <c r="Q270" s="15" t="n">
        <f aca="false">LE!B268</f>
        <v>10.8022441394457</v>
      </c>
      <c r="R270" s="27" t="n">
        <f aca="false">D270/$D$3</f>
        <v>0.0035639960400044</v>
      </c>
    </row>
    <row r="271" customFormat="false" ht="15" hidden="false" customHeight="false" outlineLevel="0" collapsed="false">
      <c r="A271" s="11" t="n">
        <v>266</v>
      </c>
      <c r="B271" s="11" t="n">
        <v>86</v>
      </c>
      <c r="C271" s="22" t="s">
        <v>147</v>
      </c>
      <c r="D271" s="10" t="n">
        <v>0.7393</v>
      </c>
      <c r="E271" s="11" t="n">
        <v>6</v>
      </c>
      <c r="F271" s="5" t="str">
        <f aca="false">INDEX(Factores!$C$29:$C$36,MATCH(E271,Factores!$A$29:$A$36,0))</f>
        <v>A</v>
      </c>
      <c r="G271" s="8" t="n">
        <v>0.0609</v>
      </c>
      <c r="H271" s="11" t="n">
        <v>0</v>
      </c>
      <c r="I271" s="20" t="n">
        <v>2.25</v>
      </c>
      <c r="J271" s="20" t="n">
        <v>1.75</v>
      </c>
      <c r="K271" s="11" t="n">
        <v>10</v>
      </c>
      <c r="L271" s="22" t="s">
        <v>151</v>
      </c>
      <c r="M271" s="28" t="n">
        <f aca="false">IF(Supuestos!$C$23=1,AVERAGE(I271:J271),MIN(I271:J271))</f>
        <v>2</v>
      </c>
      <c r="N271" s="28" t="n">
        <f aca="false">INDEX(IF(H271=1,Factores!$C$6:$C$9,Factores!$B$6:$B$9),MATCH(M271,Factores!$A$6:$A$9,1))</f>
        <v>0.88</v>
      </c>
      <c r="O271" s="28" t="n">
        <f aca="false">INDEX(Factores!$B$13:$B$16,MATCH(B271,Factores!$A$13:$A$16,1))</f>
        <v>1</v>
      </c>
      <c r="P271" s="28" t="n">
        <f aca="false">M271*N271*O271</f>
        <v>1.76</v>
      </c>
      <c r="Q271" s="15" t="n">
        <f aca="false">LE!B269</f>
        <v>5.21906051005044</v>
      </c>
      <c r="R271" s="27" t="n">
        <f aca="false">D271/$D$3</f>
        <v>0.00164288706345882</v>
      </c>
    </row>
    <row r="272" customFormat="false" ht="15" hidden="false" customHeight="false" outlineLevel="0" collapsed="false">
      <c r="A272" s="11" t="n">
        <v>267</v>
      </c>
      <c r="B272" s="11" t="n">
        <v>80</v>
      </c>
      <c r="C272" s="22" t="s">
        <v>147</v>
      </c>
      <c r="D272" s="10" t="n">
        <v>1.8616</v>
      </c>
      <c r="E272" s="11" t="n">
        <v>6</v>
      </c>
      <c r="F272" s="5" t="str">
        <f aca="false">INDEX(Factores!$C$29:$C$36,MATCH(E272,Factores!$A$29:$A$36,0))</f>
        <v>A</v>
      </c>
      <c r="G272" s="8" t="n">
        <v>0.0498</v>
      </c>
      <c r="H272" s="11" t="n">
        <v>0</v>
      </c>
      <c r="I272" s="20" t="n">
        <v>3.5</v>
      </c>
      <c r="J272" s="20" t="n">
        <v>4</v>
      </c>
      <c r="K272" s="11" t="n">
        <v>5</v>
      </c>
      <c r="L272" s="22" t="s">
        <v>155</v>
      </c>
      <c r="M272" s="28" t="n">
        <f aca="false">IF(Supuestos!$C$23=1,AVERAGE(I272:J272),MIN(I272:J272))</f>
        <v>3.75</v>
      </c>
      <c r="N272" s="28" t="n">
        <f aca="false">INDEX(IF(H272=1,Factores!$C$6:$C$9,Factores!$B$6:$B$9),MATCH(M272,Factores!$A$6:$A$9,1))</f>
        <v>0.8</v>
      </c>
      <c r="O272" s="28" t="n">
        <f aca="false">INDEX(Factores!$B$13:$B$16,MATCH(B272,Factores!$A$13:$A$16,1))</f>
        <v>0.95</v>
      </c>
      <c r="P272" s="28" t="n">
        <f aca="false">M272*N272*O272</f>
        <v>2.85</v>
      </c>
      <c r="Q272" s="15" t="n">
        <f aca="false">LE!B270</f>
        <v>6.40575426590413</v>
      </c>
      <c r="R272" s="27" t="n">
        <f aca="false">D272/$D$3</f>
        <v>0.00413688429235079</v>
      </c>
    </row>
    <row r="273" customFormat="false" ht="15" hidden="false" customHeight="false" outlineLevel="0" collapsed="false">
      <c r="A273" s="11" t="n">
        <v>268</v>
      </c>
      <c r="B273" s="11" t="n">
        <v>88</v>
      </c>
      <c r="C273" s="22" t="s">
        <v>147</v>
      </c>
      <c r="D273" s="10" t="n">
        <v>2.4735</v>
      </c>
      <c r="E273" s="11" t="n">
        <v>1</v>
      </c>
      <c r="F273" s="5" t="str">
        <f aca="false">INDEX(Factores!$C$29:$C$36,MATCH(E273,Factores!$A$29:$A$36,0))</f>
        <v>A+</v>
      </c>
      <c r="G273" s="8" t="n">
        <v>0.0653</v>
      </c>
      <c r="H273" s="11" t="n">
        <v>1</v>
      </c>
      <c r="I273" s="20" t="n">
        <v>1.5</v>
      </c>
      <c r="J273" s="20" t="n">
        <v>1.5</v>
      </c>
      <c r="K273" s="11" t="n">
        <v>3</v>
      </c>
      <c r="L273" s="22" t="s">
        <v>154</v>
      </c>
      <c r="M273" s="28" t="n">
        <f aca="false">IF(Supuestos!$C$23=1,AVERAGE(I273:J273),MIN(I273:J273))</f>
        <v>1.5</v>
      </c>
      <c r="N273" s="28" t="n">
        <f aca="false">INDEX(IF(H273=1,Factores!$C$6:$C$9,Factores!$B$6:$B$9),MATCH(M273,Factores!$A$6:$A$9,1))</f>
        <v>0.82</v>
      </c>
      <c r="O273" s="28" t="n">
        <f aca="false">INDEX(Factores!$B$13:$B$16,MATCH(B273,Factores!$A$13:$A$16,1))</f>
        <v>1</v>
      </c>
      <c r="P273" s="28" t="n">
        <f aca="false">M273*N273*O273</f>
        <v>1.23</v>
      </c>
      <c r="Q273" s="15" t="n">
        <f aca="false">LE!B271</f>
        <v>5.54899815902513</v>
      </c>
      <c r="R273" s="27" t="n">
        <f aca="false">D273/$D$3</f>
        <v>0.00549666055926605</v>
      </c>
    </row>
    <row r="274" customFormat="false" ht="15" hidden="false" customHeight="false" outlineLevel="0" collapsed="false">
      <c r="A274" s="11" t="n">
        <v>269</v>
      </c>
      <c r="B274" s="11" t="n">
        <v>77</v>
      </c>
      <c r="C274" s="22" t="s">
        <v>147</v>
      </c>
      <c r="D274" s="10" t="n">
        <v>2.3019</v>
      </c>
      <c r="E274" s="11" t="n">
        <v>5</v>
      </c>
      <c r="F274" s="5" t="str">
        <f aca="false">INDEX(Factores!$C$29:$C$36,MATCH(E274,Factores!$A$29:$A$36,0))</f>
        <v>A-</v>
      </c>
      <c r="G274" s="8" t="n">
        <v>0.0469</v>
      </c>
      <c r="H274" s="11" t="n">
        <v>0</v>
      </c>
      <c r="I274" s="20" t="n">
        <v>1</v>
      </c>
      <c r="J274" s="20" t="n">
        <v>1</v>
      </c>
      <c r="K274" s="11" t="n">
        <v>7</v>
      </c>
      <c r="L274" s="22" t="s">
        <v>153</v>
      </c>
      <c r="M274" s="28" t="n">
        <f aca="false">IF(Supuestos!$C$23=1,AVERAGE(I274:J274),MIN(I274:J274))</f>
        <v>1</v>
      </c>
      <c r="N274" s="28" t="n">
        <f aca="false">INDEX(IF(H274=1,Factores!$C$6:$C$9,Factores!$B$6:$B$9),MATCH(M274,Factores!$A$6:$A$9,1))</f>
        <v>0.95</v>
      </c>
      <c r="O274" s="28" t="n">
        <f aca="false">INDEX(Factores!$B$13:$B$16,MATCH(B274,Factores!$A$13:$A$16,1))</f>
        <v>0.95</v>
      </c>
      <c r="P274" s="28" t="n">
        <f aca="false">M274*N274*O274</f>
        <v>0.9025</v>
      </c>
      <c r="Q274" s="15" t="n">
        <f aca="false">LE!B272</f>
        <v>12.7792466590661</v>
      </c>
      <c r="R274" s="27" t="n">
        <f aca="false">D274/$D$3</f>
        <v>0.00511532764963594</v>
      </c>
    </row>
    <row r="275" customFormat="false" ht="15" hidden="false" customHeight="false" outlineLevel="0" collapsed="false">
      <c r="A275" s="11" t="n">
        <v>270</v>
      </c>
      <c r="B275" s="11" t="n">
        <v>82</v>
      </c>
      <c r="C275" s="22" t="s">
        <v>147</v>
      </c>
      <c r="D275" s="10" t="n">
        <v>1.6235</v>
      </c>
      <c r="E275" s="11" t="n">
        <v>5</v>
      </c>
      <c r="F275" s="5" t="str">
        <f aca="false">INDEX(Factores!$C$29:$C$36,MATCH(E275,Factores!$A$29:$A$36,0))</f>
        <v>A-</v>
      </c>
      <c r="G275" s="8" t="n">
        <v>0.0471</v>
      </c>
      <c r="H275" s="11" t="n">
        <v>0</v>
      </c>
      <c r="I275" s="20" t="n">
        <v>1.75</v>
      </c>
      <c r="J275" s="20" t="n">
        <v>1.5</v>
      </c>
      <c r="K275" s="11" t="n">
        <v>6</v>
      </c>
      <c r="L275" s="22" t="s">
        <v>148</v>
      </c>
      <c r="M275" s="28" t="n">
        <f aca="false">IF(Supuestos!$C$23=1,AVERAGE(I275:J275),MIN(I275:J275))</f>
        <v>1.625</v>
      </c>
      <c r="N275" s="28" t="n">
        <f aca="false">INDEX(IF(H275=1,Factores!$C$6:$C$9,Factores!$B$6:$B$9),MATCH(M275,Factores!$A$6:$A$9,1))</f>
        <v>0.88</v>
      </c>
      <c r="O275" s="28" t="n">
        <f aca="false">INDEX(Factores!$B$13:$B$16,MATCH(B275,Factores!$A$13:$A$16,1))</f>
        <v>0.95</v>
      </c>
      <c r="P275" s="28" t="n">
        <f aca="false">M275*N275*O275</f>
        <v>1.3585</v>
      </c>
      <c r="Q275" s="15" t="n">
        <f aca="false">LE!B273</f>
        <v>8.26504945432081</v>
      </c>
      <c r="R275" s="27" t="n">
        <f aca="false">D275/$D$3</f>
        <v>0.00360777376914026</v>
      </c>
    </row>
    <row r="276" customFormat="false" ht="15" hidden="false" customHeight="false" outlineLevel="0" collapsed="false">
      <c r="A276" s="11" t="n">
        <v>271</v>
      </c>
      <c r="B276" s="11" t="n">
        <v>83</v>
      </c>
      <c r="C276" s="22" t="s">
        <v>150</v>
      </c>
      <c r="D276" s="10" t="n">
        <v>0.725</v>
      </c>
      <c r="E276" s="11" t="n">
        <v>1</v>
      </c>
      <c r="F276" s="5" t="str">
        <f aca="false">INDEX(Factores!$C$29:$C$36,MATCH(E276,Factores!$A$29:$A$36,0))</f>
        <v>A+</v>
      </c>
      <c r="G276" s="8" t="n">
        <v>0.0535</v>
      </c>
      <c r="H276" s="11" t="n">
        <v>0</v>
      </c>
      <c r="I276" s="20" t="n">
        <v>2</v>
      </c>
      <c r="J276" s="20" t="n">
        <v>2</v>
      </c>
      <c r="K276" s="11" t="n">
        <v>8</v>
      </c>
      <c r="L276" s="22" t="s">
        <v>153</v>
      </c>
      <c r="M276" s="28" t="n">
        <f aca="false">IF(Supuestos!$C$23=1,AVERAGE(I276:J276),MIN(I276:J276))</f>
        <v>2</v>
      </c>
      <c r="N276" s="28" t="n">
        <f aca="false">INDEX(IF(H276=1,Factores!$C$6:$C$9,Factores!$B$6:$B$9),MATCH(M276,Factores!$A$6:$A$9,1))</f>
        <v>0.88</v>
      </c>
      <c r="O276" s="28" t="n">
        <f aca="false">INDEX(Factores!$B$13:$B$16,MATCH(B276,Factores!$A$13:$A$16,1))</f>
        <v>0.95</v>
      </c>
      <c r="P276" s="28" t="n">
        <f aca="false">M276*N276*O276</f>
        <v>1.672</v>
      </c>
      <c r="Q276" s="15" t="n">
        <f aca="false">LE!B274</f>
        <v>6.91439887581658</v>
      </c>
      <c r="R276" s="27" t="n">
        <f aca="false">D276/$D$3</f>
        <v>0.00161110932098964</v>
      </c>
    </row>
    <row r="277" customFormat="false" ht="15" hidden="false" customHeight="false" outlineLevel="0" collapsed="false">
      <c r="A277" s="11" t="n">
        <v>272</v>
      </c>
      <c r="B277" s="11" t="n">
        <v>76</v>
      </c>
      <c r="C277" s="22" t="s">
        <v>150</v>
      </c>
      <c r="D277" s="10" t="n">
        <v>2.2334</v>
      </c>
      <c r="E277" s="11" t="n">
        <v>3</v>
      </c>
      <c r="F277" s="5" t="str">
        <f aca="false">INDEX(Factores!$C$29:$C$36,MATCH(E277,Factores!$A$29:$A$36,0))</f>
        <v>A</v>
      </c>
      <c r="G277" s="8" t="n">
        <v>0.0273</v>
      </c>
      <c r="H277" s="11" t="n">
        <v>0</v>
      </c>
      <c r="I277" s="20" t="n">
        <v>2</v>
      </c>
      <c r="J277" s="20" t="n">
        <v>2.25</v>
      </c>
      <c r="K277" s="11" t="n">
        <v>10</v>
      </c>
      <c r="L277" s="22" t="s">
        <v>155</v>
      </c>
      <c r="M277" s="28" t="n">
        <f aca="false">IF(Supuestos!$C$23=1,AVERAGE(I277:J277),MIN(I277:J277))</f>
        <v>2.125</v>
      </c>
      <c r="N277" s="28" t="n">
        <f aca="false">INDEX(IF(H277=1,Factores!$C$6:$C$9,Factores!$B$6:$B$9),MATCH(M277,Factores!$A$6:$A$9,1))</f>
        <v>0.88</v>
      </c>
      <c r="O277" s="28" t="n">
        <f aca="false">INDEX(Factores!$B$13:$B$16,MATCH(B277,Factores!$A$13:$A$16,1))</f>
        <v>0.95</v>
      </c>
      <c r="P277" s="28" t="n">
        <f aca="false">M277*N277*O277</f>
        <v>1.7765</v>
      </c>
      <c r="Q277" s="15" t="n">
        <f aca="false">LE!B275</f>
        <v>11.2242016042441</v>
      </c>
      <c r="R277" s="27" t="n">
        <f aca="false">D277/$D$3</f>
        <v>0.00496310559654934</v>
      </c>
    </row>
    <row r="278" customFormat="false" ht="15" hidden="false" customHeight="false" outlineLevel="0" collapsed="false">
      <c r="A278" s="11" t="n">
        <v>273</v>
      </c>
      <c r="B278" s="11" t="n">
        <v>92</v>
      </c>
      <c r="C278" s="22" t="s">
        <v>150</v>
      </c>
      <c r="D278" s="10" t="n">
        <v>1.3677</v>
      </c>
      <c r="E278" s="11" t="n">
        <v>5</v>
      </c>
      <c r="F278" s="5" t="str">
        <f aca="false">INDEX(Factores!$C$29:$C$36,MATCH(E278,Factores!$A$29:$A$36,0))</f>
        <v>A-</v>
      </c>
      <c r="G278" s="8" t="n">
        <v>0.07</v>
      </c>
      <c r="H278" s="11" t="n">
        <v>0</v>
      </c>
      <c r="I278" s="20" t="n">
        <v>3.5</v>
      </c>
      <c r="J278" s="20" t="n">
        <v>3</v>
      </c>
      <c r="K278" s="11" t="n">
        <v>11</v>
      </c>
      <c r="L278" s="22" t="s">
        <v>155</v>
      </c>
      <c r="M278" s="28" t="n">
        <f aca="false">IF(Supuestos!$C$23=1,AVERAGE(I278:J278),MIN(I278:J278))</f>
        <v>3.25</v>
      </c>
      <c r="N278" s="28" t="n">
        <f aca="false">INDEX(IF(H278=1,Factores!$C$6:$C$9,Factores!$B$6:$B$9),MATCH(M278,Factores!$A$6:$A$9,1))</f>
        <v>0.8</v>
      </c>
      <c r="O278" s="28" t="n">
        <f aca="false">INDEX(Factores!$B$13:$B$16,MATCH(B278,Factores!$A$13:$A$16,1))</f>
        <v>1</v>
      </c>
      <c r="P278" s="28" t="n">
        <f aca="false">M278*N278*O278</f>
        <v>2.6</v>
      </c>
      <c r="Q278" s="15" t="n">
        <f aca="false">LE!B276</f>
        <v>2.04450905854247</v>
      </c>
      <c r="R278" s="27" t="n">
        <f aca="false">D278/$D$3</f>
        <v>0.00303932995630005</v>
      </c>
    </row>
    <row r="279" customFormat="false" ht="15" hidden="false" customHeight="false" outlineLevel="0" collapsed="false">
      <c r="A279" s="11" t="n">
        <v>274</v>
      </c>
      <c r="B279" s="11" t="n">
        <v>90</v>
      </c>
      <c r="C279" s="22" t="s">
        <v>150</v>
      </c>
      <c r="D279" s="10" t="n">
        <v>0.4675</v>
      </c>
      <c r="E279" s="11" t="n">
        <v>2</v>
      </c>
      <c r="F279" s="5" t="str">
        <f aca="false">INDEX(Factores!$C$29:$C$36,MATCH(E279,Factores!$A$29:$A$36,0))</f>
        <v>A+</v>
      </c>
      <c r="G279" s="8" t="n">
        <v>0.0753</v>
      </c>
      <c r="H279" s="11" t="n">
        <v>1</v>
      </c>
      <c r="I279" s="20" t="n">
        <v>2.25</v>
      </c>
      <c r="J279" s="20" t="n">
        <v>2.25</v>
      </c>
      <c r="K279" s="11" t="n">
        <v>9</v>
      </c>
      <c r="L279" s="22" t="s">
        <v>151</v>
      </c>
      <c r="M279" s="28" t="n">
        <f aca="false">IF(Supuestos!$C$23=1,AVERAGE(I279:J279),MIN(I279:J279))</f>
        <v>2.25</v>
      </c>
      <c r="N279" s="28" t="n">
        <f aca="false">INDEX(IF(H279=1,Factores!$C$6:$C$9,Factores!$B$6:$B$9),MATCH(M279,Factores!$A$6:$A$9,1))</f>
        <v>0.82</v>
      </c>
      <c r="O279" s="28" t="n">
        <f aca="false">INDEX(Factores!$B$13:$B$16,MATCH(B279,Factores!$A$13:$A$16,1))</f>
        <v>1</v>
      </c>
      <c r="P279" s="28" t="n">
        <f aca="false">M279*N279*O279</f>
        <v>1.845</v>
      </c>
      <c r="Q279" s="15" t="n">
        <f aca="false">LE!B277</f>
        <v>3.49319250589212</v>
      </c>
      <c r="R279" s="27" t="n">
        <f aca="false">D279/$D$3</f>
        <v>0.00103888773456918</v>
      </c>
    </row>
    <row r="280" customFormat="false" ht="15" hidden="false" customHeight="false" outlineLevel="0" collapsed="false">
      <c r="A280" s="11" t="n">
        <v>275</v>
      </c>
      <c r="B280" s="11" t="n">
        <v>81</v>
      </c>
      <c r="C280" s="22" t="s">
        <v>147</v>
      </c>
      <c r="D280" s="10" t="n">
        <v>1.7317</v>
      </c>
      <c r="E280" s="11" t="n">
        <v>3</v>
      </c>
      <c r="F280" s="5" t="str">
        <f aca="false">INDEX(Factores!$C$29:$C$36,MATCH(E280,Factores!$A$29:$A$36,0))</f>
        <v>A</v>
      </c>
      <c r="G280" s="8" t="n">
        <v>0.0437</v>
      </c>
      <c r="H280" s="11" t="n">
        <v>0</v>
      </c>
      <c r="I280" s="20" t="n">
        <v>3</v>
      </c>
      <c r="J280" s="20" t="n">
        <v>2</v>
      </c>
      <c r="K280" s="11" t="n">
        <v>11</v>
      </c>
      <c r="L280" s="22" t="s">
        <v>154</v>
      </c>
      <c r="M280" s="28" t="n">
        <f aca="false">IF(Supuestos!$C$23=1,AVERAGE(I280:J280),MIN(I280:J280))</f>
        <v>2.5</v>
      </c>
      <c r="N280" s="28" t="n">
        <f aca="false">INDEX(IF(H280=1,Factores!$C$6:$C$9,Factores!$B$6:$B$9),MATCH(M280,Factores!$A$6:$A$9,1))</f>
        <v>0.88</v>
      </c>
      <c r="O280" s="28" t="n">
        <f aca="false">INDEX(Factores!$B$13:$B$16,MATCH(B280,Factores!$A$13:$A$16,1))</f>
        <v>0.95</v>
      </c>
      <c r="P280" s="28" t="n">
        <f aca="false">M280*N280*O280</f>
        <v>2.09</v>
      </c>
      <c r="Q280" s="15" t="n">
        <f aca="false">LE!B278</f>
        <v>7.15904155560467</v>
      </c>
      <c r="R280" s="27" t="n">
        <f aca="false">D280/$D$3</f>
        <v>0.0038482179464245</v>
      </c>
    </row>
    <row r="281" customFormat="false" ht="15" hidden="false" customHeight="false" outlineLevel="0" collapsed="false">
      <c r="A281" s="11" t="n">
        <v>276</v>
      </c>
      <c r="B281" s="11" t="n">
        <v>87</v>
      </c>
      <c r="C281" s="22" t="s">
        <v>147</v>
      </c>
      <c r="D281" s="10" t="n">
        <v>0.7467</v>
      </c>
      <c r="E281" s="11" t="n">
        <v>8</v>
      </c>
      <c r="F281" s="5" t="str">
        <f aca="false">INDEX(Factores!$C$29:$C$36,MATCH(E281,Factores!$A$29:$A$36,0))</f>
        <v>B++</v>
      </c>
      <c r="G281" s="8" t="n">
        <v>0.0646</v>
      </c>
      <c r="H281" s="11" t="n">
        <v>1</v>
      </c>
      <c r="I281" s="20" t="n">
        <v>1.25</v>
      </c>
      <c r="J281" s="20" t="n">
        <v>1</v>
      </c>
      <c r="K281" s="11" t="n">
        <v>9</v>
      </c>
      <c r="L281" s="22" t="s">
        <v>149</v>
      </c>
      <c r="M281" s="28" t="n">
        <f aca="false">IF(Supuestos!$C$23=1,AVERAGE(I281:J281),MIN(I281:J281))</f>
        <v>1.125</v>
      </c>
      <c r="N281" s="28" t="n">
        <f aca="false">INDEX(IF(H281=1,Factores!$C$6:$C$9,Factores!$B$6:$B$9),MATCH(M281,Factores!$A$6:$A$9,1))</f>
        <v>0.9</v>
      </c>
      <c r="O281" s="28" t="n">
        <f aca="false">INDEX(Factores!$B$13:$B$16,MATCH(B281,Factores!$A$13:$A$16,1))</f>
        <v>1</v>
      </c>
      <c r="P281" s="28" t="n">
        <f aca="false">M281*N281*O281</f>
        <v>1.0125</v>
      </c>
      <c r="Q281" s="15" t="n">
        <f aca="false">LE!B279</f>
        <v>6.62943411924699</v>
      </c>
      <c r="R281" s="27" t="n">
        <f aca="false">D281/$D$3</f>
        <v>0.00165933148963168</v>
      </c>
    </row>
    <row r="282" customFormat="false" ht="15" hidden="false" customHeight="false" outlineLevel="0" collapsed="false">
      <c r="A282" s="11" t="n">
        <v>277</v>
      </c>
      <c r="B282" s="11" t="n">
        <v>85</v>
      </c>
      <c r="C282" s="22" t="s">
        <v>150</v>
      </c>
      <c r="D282" s="10" t="n">
        <v>0.8154</v>
      </c>
      <c r="E282" s="11" t="n">
        <v>4</v>
      </c>
      <c r="F282" s="5" t="str">
        <f aca="false">INDEX(Factores!$C$29:$C$36,MATCH(E282,Factores!$A$29:$A$36,0))</f>
        <v>A</v>
      </c>
      <c r="G282" s="8" t="n">
        <v>0.0573</v>
      </c>
      <c r="H282" s="11" t="n">
        <v>0</v>
      </c>
      <c r="I282" s="20" t="n">
        <v>3</v>
      </c>
      <c r="J282" s="20" t="n">
        <v>4.25</v>
      </c>
      <c r="K282" s="11" t="n">
        <v>11</v>
      </c>
      <c r="L282" s="22" t="s">
        <v>152</v>
      </c>
      <c r="M282" s="28" t="n">
        <f aca="false">IF(Supuestos!$C$23=1,AVERAGE(I282:J282),MIN(I282:J282))</f>
        <v>3.625</v>
      </c>
      <c r="N282" s="28" t="n">
        <f aca="false">INDEX(IF(H282=1,Factores!$C$6:$C$9,Factores!$B$6:$B$9),MATCH(M282,Factores!$A$6:$A$9,1))</f>
        <v>0.8</v>
      </c>
      <c r="O282" s="28" t="n">
        <f aca="false">INDEX(Factores!$B$13:$B$16,MATCH(B282,Factores!$A$13:$A$16,1))</f>
        <v>1</v>
      </c>
      <c r="P282" s="28" t="n">
        <f aca="false">M282*N282*O282</f>
        <v>2.9</v>
      </c>
      <c r="Q282" s="15" t="n">
        <f aca="false">LE!B280</f>
        <v>3.88670725142025</v>
      </c>
      <c r="R282" s="27" t="n">
        <f aca="false">D282/$D$3</f>
        <v>0.0018119979866689</v>
      </c>
    </row>
    <row r="283" customFormat="false" ht="15" hidden="false" customHeight="false" outlineLevel="0" collapsed="false">
      <c r="A283" s="11" t="n">
        <v>278</v>
      </c>
      <c r="B283" s="11" t="n">
        <v>70</v>
      </c>
      <c r="C283" s="22" t="s">
        <v>147</v>
      </c>
      <c r="D283" s="10" t="n">
        <v>1.0982</v>
      </c>
      <c r="E283" s="11" t="n">
        <v>3</v>
      </c>
      <c r="F283" s="5" t="str">
        <f aca="false">INDEX(Factores!$C$29:$C$36,MATCH(E283,Factores!$A$29:$A$36,0))</f>
        <v>A</v>
      </c>
      <c r="G283" s="8" t="n">
        <v>0.0158</v>
      </c>
      <c r="H283" s="11" t="n">
        <v>0</v>
      </c>
      <c r="I283" s="20" t="n">
        <v>5.25</v>
      </c>
      <c r="J283" s="20" t="n">
        <v>3.5</v>
      </c>
      <c r="K283" s="11" t="n">
        <v>11</v>
      </c>
      <c r="L283" s="22" t="s">
        <v>155</v>
      </c>
      <c r="M283" s="28" t="n">
        <f aca="false">IF(Supuestos!$C$23=1,AVERAGE(I283:J283),MIN(I283:J283))</f>
        <v>4.375</v>
      </c>
      <c r="N283" s="28" t="n">
        <f aca="false">INDEX(IF(H283=1,Factores!$C$6:$C$9,Factores!$B$6:$B$9),MATCH(M283,Factores!$A$6:$A$9,1))</f>
        <v>0.8</v>
      </c>
      <c r="O283" s="28" t="n">
        <f aca="false">INDEX(Factores!$B$13:$B$16,MATCH(B283,Factores!$A$13:$A$16,1))</f>
        <v>0.9</v>
      </c>
      <c r="P283" s="28" t="n">
        <f aca="false">M283*N283*O283</f>
        <v>3.15</v>
      </c>
      <c r="Q283" s="15" t="n">
        <f aca="false">LE!B281</f>
        <v>13.6508369934587</v>
      </c>
      <c r="R283" s="27" t="n">
        <f aca="false">D283/$D$3</f>
        <v>0.00244044173284252</v>
      </c>
    </row>
    <row r="284" customFormat="false" ht="15" hidden="false" customHeight="false" outlineLevel="0" collapsed="false">
      <c r="A284" s="11" t="n">
        <v>279</v>
      </c>
      <c r="B284" s="11" t="n">
        <v>84</v>
      </c>
      <c r="C284" s="22" t="s">
        <v>150</v>
      </c>
      <c r="D284" s="10" t="n">
        <v>2.591</v>
      </c>
      <c r="E284" s="11" t="n">
        <v>1</v>
      </c>
      <c r="F284" s="5" t="str">
        <f aca="false">INDEX(Factores!$C$29:$C$36,MATCH(E284,Factores!$A$29:$A$36,0))</f>
        <v>A+</v>
      </c>
      <c r="G284" s="8" t="n">
        <v>0.0536</v>
      </c>
      <c r="H284" s="11" t="n">
        <v>0</v>
      </c>
      <c r="I284" s="20" t="n">
        <v>2.75</v>
      </c>
      <c r="J284" s="20" t="n">
        <v>2.5</v>
      </c>
      <c r="K284" s="11" t="n">
        <v>4</v>
      </c>
      <c r="L284" s="22" t="s">
        <v>148</v>
      </c>
      <c r="M284" s="28" t="n">
        <f aca="false">IF(Supuestos!$C$23=1,AVERAGE(I284:J284),MIN(I284:J284))</f>
        <v>2.625</v>
      </c>
      <c r="N284" s="28" t="n">
        <f aca="false">INDEX(IF(H284=1,Factores!$C$6:$C$9,Factores!$B$6:$B$9),MATCH(M284,Factores!$A$6:$A$9,1))</f>
        <v>0.88</v>
      </c>
      <c r="O284" s="28" t="n">
        <f aca="false">INDEX(Factores!$B$13:$B$16,MATCH(B284,Factores!$A$13:$A$16,1))</f>
        <v>0.95</v>
      </c>
      <c r="P284" s="28" t="n">
        <f aca="false">M284*N284*O284</f>
        <v>2.1945</v>
      </c>
      <c r="Q284" s="15" t="n">
        <f aca="false">LE!B282</f>
        <v>5.34443352858272</v>
      </c>
      <c r="R284" s="27" t="n">
        <f aca="false">D284/$D$3</f>
        <v>0.00575777138025402</v>
      </c>
    </row>
    <row r="285" customFormat="false" ht="15" hidden="false" customHeight="false" outlineLevel="0" collapsed="false">
      <c r="A285" s="11" t="n">
        <v>280</v>
      </c>
      <c r="B285" s="11" t="n">
        <v>83</v>
      </c>
      <c r="C285" s="22" t="s">
        <v>147</v>
      </c>
      <c r="D285" s="10" t="n">
        <v>1.2368</v>
      </c>
      <c r="E285" s="11" t="n">
        <v>1</v>
      </c>
      <c r="F285" s="5" t="str">
        <f aca="false">INDEX(Factores!$C$29:$C$36,MATCH(E285,Factores!$A$29:$A$36,0))</f>
        <v>A+</v>
      </c>
      <c r="G285" s="8" t="n">
        <v>0.0504</v>
      </c>
      <c r="H285" s="11" t="n">
        <v>0</v>
      </c>
      <c r="I285" s="20" t="n">
        <v>2.25</v>
      </c>
      <c r="J285" s="20" t="n">
        <v>2.25</v>
      </c>
      <c r="K285" s="11" t="n">
        <v>3</v>
      </c>
      <c r="L285" s="22" t="s">
        <v>149</v>
      </c>
      <c r="M285" s="28" t="n">
        <f aca="false">IF(Supuestos!$C$23=1,AVERAGE(I285:J285),MIN(I285:J285))</f>
        <v>2.25</v>
      </c>
      <c r="N285" s="28" t="n">
        <f aca="false">INDEX(IF(H285=1,Factores!$C$6:$C$9,Factores!$B$6:$B$9),MATCH(M285,Factores!$A$6:$A$9,1))</f>
        <v>0.88</v>
      </c>
      <c r="O285" s="28" t="n">
        <f aca="false">INDEX(Factores!$B$13:$B$16,MATCH(B285,Factores!$A$13:$A$16,1))</f>
        <v>0.95</v>
      </c>
      <c r="P285" s="28" t="n">
        <f aca="false">M285*N285*O285</f>
        <v>1.881</v>
      </c>
      <c r="Q285" s="15" t="n">
        <f aca="false">LE!B283</f>
        <v>6.45610243987062</v>
      </c>
      <c r="R285" s="27" t="n">
        <f aca="false">D285/$D$3</f>
        <v>0.00274844139062068</v>
      </c>
    </row>
    <row r="286" customFormat="false" ht="15" hidden="false" customHeight="false" outlineLevel="0" collapsed="false">
      <c r="A286" s="11" t="n">
        <v>281</v>
      </c>
      <c r="B286" s="11" t="n">
        <v>83</v>
      </c>
      <c r="C286" s="22" t="s">
        <v>150</v>
      </c>
      <c r="D286" s="10" t="n">
        <v>1.6509</v>
      </c>
      <c r="E286" s="11" t="n">
        <v>6</v>
      </c>
      <c r="F286" s="5" t="str">
        <f aca="false">INDEX(Factores!$C$29:$C$36,MATCH(E286,Factores!$A$29:$A$36,0))</f>
        <v>A</v>
      </c>
      <c r="G286" s="8" t="n">
        <v>0.0506</v>
      </c>
      <c r="H286" s="11" t="n">
        <v>0</v>
      </c>
      <c r="I286" s="20" t="n">
        <v>2.25</v>
      </c>
      <c r="J286" s="20" t="n">
        <v>2</v>
      </c>
      <c r="K286" s="11" t="n">
        <v>3</v>
      </c>
      <c r="L286" s="22" t="s">
        <v>148</v>
      </c>
      <c r="M286" s="28" t="n">
        <f aca="false">IF(Supuestos!$C$23=1,AVERAGE(I286:J286),MIN(I286:J286))</f>
        <v>2.125</v>
      </c>
      <c r="N286" s="28" t="n">
        <f aca="false">INDEX(IF(H286=1,Factores!$C$6:$C$9,Factores!$B$6:$B$9),MATCH(M286,Factores!$A$6:$A$9,1))</f>
        <v>0.88</v>
      </c>
      <c r="O286" s="28" t="n">
        <f aca="false">INDEX(Factores!$B$13:$B$16,MATCH(B286,Factores!$A$13:$A$16,1))</f>
        <v>0.95</v>
      </c>
      <c r="P286" s="28" t="n">
        <f aca="false">M286*N286*O286</f>
        <v>1.7765</v>
      </c>
      <c r="Q286" s="15" t="n">
        <f aca="false">LE!B284</f>
        <v>6.67968823637793</v>
      </c>
      <c r="R286" s="27" t="n">
        <f aca="false">D286/$D$3</f>
        <v>0.0036686625903749</v>
      </c>
    </row>
    <row r="287" customFormat="false" ht="15" hidden="false" customHeight="false" outlineLevel="0" collapsed="false">
      <c r="A287" s="11" t="n">
        <v>282</v>
      </c>
      <c r="B287" s="11" t="n">
        <v>78</v>
      </c>
      <c r="C287" s="22" t="s">
        <v>147</v>
      </c>
      <c r="D287" s="10" t="n">
        <v>3.209</v>
      </c>
      <c r="E287" s="11" t="n">
        <v>5</v>
      </c>
      <c r="F287" s="5" t="str">
        <f aca="false">INDEX(Factores!$C$29:$C$36,MATCH(E287,Factores!$A$29:$A$36,0))</f>
        <v>A-</v>
      </c>
      <c r="G287" s="8" t="n">
        <v>0.043</v>
      </c>
      <c r="H287" s="11" t="n">
        <v>0</v>
      </c>
      <c r="I287" s="20" t="n">
        <v>4.5</v>
      </c>
      <c r="J287" s="20" t="n">
        <v>3.75</v>
      </c>
      <c r="K287" s="11" t="n">
        <v>8</v>
      </c>
      <c r="L287" s="22" t="s">
        <v>155</v>
      </c>
      <c r="M287" s="28" t="n">
        <f aca="false">IF(Supuestos!$C$23=1,AVERAGE(I287:J287),MIN(I287:J287))</f>
        <v>4.125</v>
      </c>
      <c r="N287" s="28" t="n">
        <f aca="false">INDEX(IF(H287=1,Factores!$C$6:$C$9,Factores!$B$6:$B$9),MATCH(M287,Factores!$A$6:$A$9,1))</f>
        <v>0.8</v>
      </c>
      <c r="O287" s="28" t="n">
        <f aca="false">INDEX(Factores!$B$13:$B$16,MATCH(B287,Factores!$A$13:$A$16,1))</f>
        <v>0.95</v>
      </c>
      <c r="P287" s="28" t="n">
        <f aca="false">M287*N287*O287</f>
        <v>3.135</v>
      </c>
      <c r="Q287" s="15" t="n">
        <f aca="false">LE!B285</f>
        <v>7.20789182521812</v>
      </c>
      <c r="R287" s="27" t="n">
        <f aca="false">D287/$D$3</f>
        <v>0.00713110318766313</v>
      </c>
    </row>
    <row r="288" customFormat="false" ht="15" hidden="false" customHeight="false" outlineLevel="0" collapsed="false">
      <c r="A288" s="11" t="n">
        <v>283</v>
      </c>
      <c r="B288" s="11" t="n">
        <v>82</v>
      </c>
      <c r="C288" s="22" t="s">
        <v>147</v>
      </c>
      <c r="D288" s="10" t="n">
        <v>2.9942</v>
      </c>
      <c r="E288" s="11" t="n">
        <v>6</v>
      </c>
      <c r="F288" s="5" t="str">
        <f aca="false">INDEX(Factores!$C$29:$C$36,MATCH(E288,Factores!$A$29:$A$36,0))</f>
        <v>A</v>
      </c>
      <c r="G288" s="8" t="n">
        <v>0.0526</v>
      </c>
      <c r="H288" s="11" t="n">
        <v>0</v>
      </c>
      <c r="I288" s="20" t="n">
        <v>1.25</v>
      </c>
      <c r="J288" s="20" t="n">
        <v>1.25</v>
      </c>
      <c r="K288" s="11" t="n">
        <v>6</v>
      </c>
      <c r="L288" s="22" t="s">
        <v>149</v>
      </c>
      <c r="M288" s="28" t="n">
        <f aca="false">IF(Supuestos!$C$23=1,AVERAGE(I288:J288),MIN(I288:J288))</f>
        <v>1.25</v>
      </c>
      <c r="N288" s="28" t="n">
        <f aca="false">INDEX(IF(H288=1,Factores!$C$6:$C$9,Factores!$B$6:$B$9),MATCH(M288,Factores!$A$6:$A$9,1))</f>
        <v>0.95</v>
      </c>
      <c r="O288" s="28" t="n">
        <f aca="false">INDEX(Factores!$B$13:$B$16,MATCH(B288,Factores!$A$13:$A$16,1))</f>
        <v>0.95</v>
      </c>
      <c r="P288" s="28" t="n">
        <f aca="false">M288*N288*O288</f>
        <v>1.128125</v>
      </c>
      <c r="Q288" s="15" t="n">
        <f aca="false">LE!B286</f>
        <v>8.91621854754342</v>
      </c>
      <c r="R288" s="27" t="n">
        <f aca="false">D288/$D$3</f>
        <v>0.00665377038469957</v>
      </c>
    </row>
    <row r="289" customFormat="false" ht="15" hidden="false" customHeight="false" outlineLevel="0" collapsed="false">
      <c r="A289" s="11" t="n">
        <v>284</v>
      </c>
      <c r="B289" s="11" t="n">
        <v>82</v>
      </c>
      <c r="C289" s="22" t="s">
        <v>147</v>
      </c>
      <c r="D289" s="10" t="n">
        <v>1.395</v>
      </c>
      <c r="E289" s="11" t="n">
        <v>4</v>
      </c>
      <c r="F289" s="5" t="str">
        <f aca="false">INDEX(Factores!$C$29:$C$36,MATCH(E289,Factores!$A$29:$A$36,0))</f>
        <v>A</v>
      </c>
      <c r="G289" s="8" t="n">
        <v>0.0477</v>
      </c>
      <c r="H289" s="11" t="n">
        <v>0</v>
      </c>
      <c r="I289" s="20" t="n">
        <v>2</v>
      </c>
      <c r="J289" s="20" t="n">
        <v>2</v>
      </c>
      <c r="K289" s="11" t="n">
        <v>9</v>
      </c>
      <c r="L289" s="22" t="s">
        <v>149</v>
      </c>
      <c r="M289" s="28" t="n">
        <f aca="false">IF(Supuestos!$C$23=1,AVERAGE(I289:J289),MIN(I289:J289))</f>
        <v>2</v>
      </c>
      <c r="N289" s="28" t="n">
        <f aca="false">INDEX(IF(H289=1,Factores!$C$6:$C$9,Factores!$B$6:$B$9),MATCH(M289,Factores!$A$6:$A$9,1))</f>
        <v>0.88</v>
      </c>
      <c r="O289" s="28" t="n">
        <f aca="false">INDEX(Factores!$B$13:$B$16,MATCH(B289,Factores!$A$13:$A$16,1))</f>
        <v>0.95</v>
      </c>
      <c r="P289" s="28" t="n">
        <f aca="false">M289*N289*O289</f>
        <v>1.672</v>
      </c>
      <c r="Q289" s="15" t="n">
        <f aca="false">LE!B287</f>
        <v>7.4784270766979</v>
      </c>
      <c r="R289" s="27" t="n">
        <f aca="false">D289/$D$3</f>
        <v>0.00309999655555938</v>
      </c>
    </row>
    <row r="290" customFormat="false" ht="15" hidden="false" customHeight="false" outlineLevel="0" collapsed="false">
      <c r="A290" s="11" t="n">
        <v>285</v>
      </c>
      <c r="B290" s="11" t="n">
        <v>89</v>
      </c>
      <c r="C290" s="22" t="s">
        <v>150</v>
      </c>
      <c r="D290" s="10" t="n">
        <v>1.3109</v>
      </c>
      <c r="E290" s="11" t="n">
        <v>4</v>
      </c>
      <c r="F290" s="5" t="str">
        <f aca="false">INDEX(Factores!$C$29:$C$36,MATCH(E290,Factores!$A$29:$A$36,0))</f>
        <v>A</v>
      </c>
      <c r="G290" s="8" t="n">
        <v>0.0639</v>
      </c>
      <c r="H290" s="11" t="n">
        <v>0</v>
      </c>
      <c r="I290" s="20" t="n">
        <v>2.5</v>
      </c>
      <c r="J290" s="20" t="n">
        <v>2.5</v>
      </c>
      <c r="K290" s="11" t="n">
        <v>10</v>
      </c>
      <c r="L290" s="22" t="s">
        <v>153</v>
      </c>
      <c r="M290" s="28" t="n">
        <f aca="false">IF(Supuestos!$C$23=1,AVERAGE(I290:J290),MIN(I290:J290))</f>
        <v>2.5</v>
      </c>
      <c r="N290" s="28" t="n">
        <f aca="false">INDEX(IF(H290=1,Factores!$C$6:$C$9,Factores!$B$6:$B$9),MATCH(M290,Factores!$A$6:$A$9,1))</f>
        <v>0.88</v>
      </c>
      <c r="O290" s="28" t="n">
        <f aca="false">INDEX(Factores!$B$13:$B$16,MATCH(B290,Factores!$A$13:$A$16,1))</f>
        <v>1</v>
      </c>
      <c r="P290" s="28" t="n">
        <f aca="false">M290*N290*O290</f>
        <v>2.2</v>
      </c>
      <c r="Q290" s="15" t="n">
        <f aca="false">LE!B288</f>
        <v>3.309688029755</v>
      </c>
      <c r="R290" s="27" t="n">
        <f aca="false">D290/$D$3</f>
        <v>0.00291310787432458</v>
      </c>
    </row>
    <row r="291" customFormat="false" ht="15" hidden="false" customHeight="false" outlineLevel="0" collapsed="false">
      <c r="A291" s="11" t="n">
        <v>286</v>
      </c>
      <c r="B291" s="11" t="n">
        <v>85</v>
      </c>
      <c r="C291" s="22" t="s">
        <v>150</v>
      </c>
      <c r="D291" s="10" t="n">
        <v>0.8286</v>
      </c>
      <c r="E291" s="11" t="n">
        <v>4</v>
      </c>
      <c r="F291" s="5" t="str">
        <f aca="false">INDEX(Factores!$C$29:$C$36,MATCH(E291,Factores!$A$29:$A$36,0))</f>
        <v>A</v>
      </c>
      <c r="G291" s="8" t="n">
        <v>0.0586</v>
      </c>
      <c r="H291" s="11" t="n">
        <v>0</v>
      </c>
      <c r="I291" s="20" t="n">
        <v>2.75</v>
      </c>
      <c r="J291" s="20" t="n">
        <v>2</v>
      </c>
      <c r="K291" s="11" t="n">
        <v>9</v>
      </c>
      <c r="L291" s="22" t="s">
        <v>151</v>
      </c>
      <c r="M291" s="28" t="n">
        <f aca="false">IF(Supuestos!$C$23=1,AVERAGE(I291:J291),MIN(I291:J291))</f>
        <v>2.375</v>
      </c>
      <c r="N291" s="28" t="n">
        <f aca="false">INDEX(IF(H291=1,Factores!$C$6:$C$9,Factores!$B$6:$B$9),MATCH(M291,Factores!$A$6:$A$9,1))</f>
        <v>0.88</v>
      </c>
      <c r="O291" s="28" t="n">
        <f aca="false">INDEX(Factores!$B$13:$B$16,MATCH(B291,Factores!$A$13:$A$16,1))</f>
        <v>1</v>
      </c>
      <c r="P291" s="28" t="n">
        <f aca="false">M291*N291*O291</f>
        <v>2.09</v>
      </c>
      <c r="Q291" s="15" t="n">
        <f aca="false">LE!B289</f>
        <v>5.05491015893638</v>
      </c>
      <c r="R291" s="27" t="n">
        <f aca="false">D291/$D$3</f>
        <v>0.00184133128740968</v>
      </c>
    </row>
    <row r="292" customFormat="false" ht="15" hidden="false" customHeight="false" outlineLevel="0" collapsed="false">
      <c r="A292" s="11" t="n">
        <v>287</v>
      </c>
      <c r="B292" s="11" t="n">
        <v>83</v>
      </c>
      <c r="C292" s="22" t="s">
        <v>150</v>
      </c>
      <c r="D292" s="10" t="n">
        <v>1.0691</v>
      </c>
      <c r="E292" s="11" t="n">
        <v>5</v>
      </c>
      <c r="F292" s="5" t="str">
        <f aca="false">INDEX(Factores!$C$29:$C$36,MATCH(E292,Factores!$A$29:$A$36,0))</f>
        <v>A-</v>
      </c>
      <c r="G292" s="8" t="n">
        <v>0.0521</v>
      </c>
      <c r="H292" s="11" t="n">
        <v>0</v>
      </c>
      <c r="I292" s="20" t="n">
        <v>1.75</v>
      </c>
      <c r="J292" s="20" t="n">
        <v>1.75</v>
      </c>
      <c r="K292" s="11" t="n">
        <v>6</v>
      </c>
      <c r="L292" s="22" t="s">
        <v>152</v>
      </c>
      <c r="M292" s="28" t="n">
        <f aca="false">IF(Supuestos!$C$23=1,AVERAGE(I292:J292),MIN(I292:J292))</f>
        <v>1.75</v>
      </c>
      <c r="N292" s="28" t="n">
        <f aca="false">INDEX(IF(H292=1,Factores!$C$6:$C$9,Factores!$B$6:$B$9),MATCH(M292,Factores!$A$6:$A$9,1))</f>
        <v>0.88</v>
      </c>
      <c r="O292" s="28" t="n">
        <f aca="false">INDEX(Factores!$B$13:$B$16,MATCH(B292,Factores!$A$13:$A$16,1))</f>
        <v>0.95</v>
      </c>
      <c r="P292" s="28" t="n">
        <f aca="false">M292*N292*O292</f>
        <v>1.463</v>
      </c>
      <c r="Q292" s="15" t="n">
        <f aca="false">LE!B290</f>
        <v>7.41975713786944</v>
      </c>
      <c r="R292" s="27" t="n">
        <f aca="false">D292/$D$3</f>
        <v>0.00237577513802762</v>
      </c>
    </row>
    <row r="293" customFormat="false" ht="15" hidden="false" customHeight="false" outlineLevel="0" collapsed="false">
      <c r="A293" s="11" t="n">
        <v>288</v>
      </c>
      <c r="B293" s="11" t="n">
        <v>91</v>
      </c>
      <c r="C293" s="22" t="s">
        <v>147</v>
      </c>
      <c r="D293" s="10" t="n">
        <v>1.7696</v>
      </c>
      <c r="E293" s="11" t="n">
        <v>2</v>
      </c>
      <c r="F293" s="5" t="str">
        <f aca="false">INDEX(Factores!$C$29:$C$36,MATCH(E293,Factores!$A$29:$A$36,0))</f>
        <v>A+</v>
      </c>
      <c r="G293" s="8" t="n">
        <v>0.0766</v>
      </c>
      <c r="H293" s="11" t="n">
        <v>0</v>
      </c>
      <c r="I293" s="20" t="n">
        <v>2.25</v>
      </c>
      <c r="J293" s="20" t="n">
        <v>2</v>
      </c>
      <c r="K293" s="11" t="n">
        <v>9</v>
      </c>
      <c r="L293" s="22" t="s">
        <v>155</v>
      </c>
      <c r="M293" s="28" t="n">
        <f aca="false">IF(Supuestos!$C$23=1,AVERAGE(I293:J293),MIN(I293:J293))</f>
        <v>2.125</v>
      </c>
      <c r="N293" s="28" t="n">
        <f aca="false">INDEX(IF(H293=1,Factores!$C$6:$C$9,Factores!$B$6:$B$9),MATCH(M293,Factores!$A$6:$A$9,1))</f>
        <v>0.88</v>
      </c>
      <c r="O293" s="28" t="n">
        <f aca="false">INDEX(Factores!$B$13:$B$16,MATCH(B293,Factores!$A$13:$A$16,1))</f>
        <v>1</v>
      </c>
      <c r="P293" s="28" t="n">
        <f aca="false">M293*N293*O293</f>
        <v>1.87</v>
      </c>
      <c r="Q293" s="15" t="n">
        <f aca="false">LE!B291</f>
        <v>3.13365126350184</v>
      </c>
      <c r="R293" s="27" t="n">
        <f aca="false">D293/$D$3</f>
        <v>0.00393244007506658</v>
      </c>
    </row>
    <row r="294" customFormat="false" ht="15" hidden="false" customHeight="false" outlineLevel="0" collapsed="false">
      <c r="A294" s="11" t="n">
        <v>289</v>
      </c>
      <c r="B294" s="11" t="n">
        <v>80</v>
      </c>
      <c r="C294" s="22" t="s">
        <v>147</v>
      </c>
      <c r="D294" s="10" t="n">
        <v>1.7462</v>
      </c>
      <c r="E294" s="11" t="n">
        <v>3</v>
      </c>
      <c r="F294" s="5" t="str">
        <f aca="false">INDEX(Factores!$C$29:$C$36,MATCH(E294,Factores!$A$29:$A$36,0))</f>
        <v>A</v>
      </c>
      <c r="G294" s="8" t="n">
        <v>0.0556</v>
      </c>
      <c r="H294" s="11" t="n">
        <v>0</v>
      </c>
      <c r="I294" s="20" t="n">
        <v>1.75</v>
      </c>
      <c r="J294" s="20" t="n">
        <v>1.5</v>
      </c>
      <c r="K294" s="11" t="n">
        <v>9</v>
      </c>
      <c r="L294" s="22" t="s">
        <v>153</v>
      </c>
      <c r="M294" s="28" t="n">
        <f aca="false">IF(Supuestos!$C$23=1,AVERAGE(I294:J294),MIN(I294:J294))</f>
        <v>1.625</v>
      </c>
      <c r="N294" s="28" t="n">
        <f aca="false">INDEX(IF(H294=1,Factores!$C$6:$C$9,Factores!$B$6:$B$9),MATCH(M294,Factores!$A$6:$A$9,1))</f>
        <v>0.88</v>
      </c>
      <c r="O294" s="28" t="n">
        <f aca="false">INDEX(Factores!$B$13:$B$16,MATCH(B294,Factores!$A$13:$A$16,1))</f>
        <v>0.95</v>
      </c>
      <c r="P294" s="28" t="n">
        <f aca="false">M294*N294*O294</f>
        <v>1.3585</v>
      </c>
      <c r="Q294" s="15" t="n">
        <f aca="false">LE!B292</f>
        <v>9.48965943416273</v>
      </c>
      <c r="R294" s="27" t="n">
        <f aca="false">D294/$D$3</f>
        <v>0.0038804401328443</v>
      </c>
    </row>
    <row r="295" customFormat="false" ht="15" hidden="false" customHeight="false" outlineLevel="0" collapsed="false">
      <c r="A295" s="11" t="n">
        <v>290</v>
      </c>
      <c r="B295" s="11" t="n">
        <v>81</v>
      </c>
      <c r="C295" s="22" t="s">
        <v>150</v>
      </c>
      <c r="D295" s="10" t="n">
        <v>1.5357</v>
      </c>
      <c r="E295" s="11" t="n">
        <v>3</v>
      </c>
      <c r="F295" s="5" t="str">
        <f aca="false">INDEX(Factores!$C$29:$C$36,MATCH(E295,Factores!$A$29:$A$36,0))</f>
        <v>A</v>
      </c>
      <c r="G295" s="8" t="n">
        <v>0.0509</v>
      </c>
      <c r="H295" s="11" t="n">
        <v>1</v>
      </c>
      <c r="I295" s="20" t="n">
        <v>2</v>
      </c>
      <c r="J295" s="20" t="n">
        <v>2</v>
      </c>
      <c r="K295" s="11" t="n">
        <v>3</v>
      </c>
      <c r="L295" s="22" t="s">
        <v>148</v>
      </c>
      <c r="M295" s="28" t="n">
        <f aca="false">IF(Supuestos!$C$23=1,AVERAGE(I295:J295),MIN(I295:J295))</f>
        <v>2</v>
      </c>
      <c r="N295" s="28" t="n">
        <f aca="false">INDEX(IF(H295=1,Factores!$C$6:$C$9,Factores!$B$6:$B$9),MATCH(M295,Factores!$A$6:$A$9,1))</f>
        <v>0.82</v>
      </c>
      <c r="O295" s="28" t="n">
        <f aca="false">INDEX(Factores!$B$13:$B$16,MATCH(B295,Factores!$A$13:$A$16,1))</f>
        <v>0.95</v>
      </c>
      <c r="P295" s="28" t="n">
        <f aca="false">M295*N295*O295</f>
        <v>1.558</v>
      </c>
      <c r="Q295" s="15" t="n">
        <f aca="false">LE!B293</f>
        <v>8.34879070313288</v>
      </c>
      <c r="R295" s="27" t="n">
        <f aca="false">D295/$D$3</f>
        <v>0.00341266287481903</v>
      </c>
    </row>
    <row r="296" customFormat="false" ht="15" hidden="false" customHeight="false" outlineLevel="0" collapsed="false">
      <c r="A296" s="11" t="n">
        <v>291</v>
      </c>
      <c r="B296" s="11" t="n">
        <v>74</v>
      </c>
      <c r="C296" s="22" t="s">
        <v>150</v>
      </c>
      <c r="D296" s="10" t="n">
        <v>2.2865</v>
      </c>
      <c r="E296" s="11" t="n">
        <v>5</v>
      </c>
      <c r="F296" s="5" t="str">
        <f aca="false">INDEX(Factores!$C$29:$C$36,MATCH(E296,Factores!$A$29:$A$36,0))</f>
        <v>A-</v>
      </c>
      <c r="G296" s="8" t="n">
        <v>0.0299</v>
      </c>
      <c r="H296" s="11" t="n">
        <v>0</v>
      </c>
      <c r="I296" s="20" t="n">
        <v>2</v>
      </c>
      <c r="J296" s="20" t="n">
        <v>2.25</v>
      </c>
      <c r="K296" s="11" t="n">
        <v>3</v>
      </c>
      <c r="L296" s="22" t="s">
        <v>149</v>
      </c>
      <c r="M296" s="28" t="n">
        <f aca="false">IF(Supuestos!$C$23=1,AVERAGE(I296:J296),MIN(I296:J296))</f>
        <v>2.125</v>
      </c>
      <c r="N296" s="28" t="n">
        <f aca="false">INDEX(IF(H296=1,Factores!$C$6:$C$9,Factores!$B$6:$B$9),MATCH(M296,Factores!$A$6:$A$9,1))</f>
        <v>0.88</v>
      </c>
      <c r="O296" s="28" t="n">
        <f aca="false">INDEX(Factores!$B$13:$B$16,MATCH(B296,Factores!$A$13:$A$16,1))</f>
        <v>0.9</v>
      </c>
      <c r="P296" s="28" t="n">
        <f aca="false">M296*N296*O296</f>
        <v>1.683</v>
      </c>
      <c r="Q296" s="15" t="n">
        <f aca="false">LE!B294</f>
        <v>12.980408353554</v>
      </c>
      <c r="R296" s="27" t="n">
        <f aca="false">D296/$D$3</f>
        <v>0.00508110546543837</v>
      </c>
    </row>
    <row r="297" customFormat="false" ht="15" hidden="false" customHeight="false" outlineLevel="0" collapsed="false">
      <c r="A297" s="11" t="n">
        <v>292</v>
      </c>
      <c r="B297" s="11" t="n">
        <v>91</v>
      </c>
      <c r="C297" s="22" t="s">
        <v>150</v>
      </c>
      <c r="D297" s="10" t="n">
        <v>1.0323</v>
      </c>
      <c r="E297" s="11" t="n">
        <v>2</v>
      </c>
      <c r="F297" s="5" t="str">
        <f aca="false">INDEX(Factores!$C$29:$C$36,MATCH(E297,Factores!$A$29:$A$36,0))</f>
        <v>A+</v>
      </c>
      <c r="G297" s="8" t="n">
        <v>0.0718</v>
      </c>
      <c r="H297" s="11" t="n">
        <v>0</v>
      </c>
      <c r="I297" s="20" t="n">
        <v>1.25</v>
      </c>
      <c r="J297" s="20" t="n">
        <v>1.5</v>
      </c>
      <c r="K297" s="11" t="n">
        <v>3</v>
      </c>
      <c r="L297" s="22" t="s">
        <v>153</v>
      </c>
      <c r="M297" s="28" t="n">
        <f aca="false">IF(Supuestos!$C$23=1,AVERAGE(I297:J297),MIN(I297:J297))</f>
        <v>1.375</v>
      </c>
      <c r="N297" s="28" t="n">
        <f aca="false">INDEX(IF(H297=1,Factores!$C$6:$C$9,Factores!$B$6:$B$9),MATCH(M297,Factores!$A$6:$A$9,1))</f>
        <v>0.95</v>
      </c>
      <c r="O297" s="28" t="n">
        <f aca="false">INDEX(Factores!$B$13:$B$16,MATCH(B297,Factores!$A$13:$A$16,1))</f>
        <v>1</v>
      </c>
      <c r="P297" s="28" t="n">
        <f aca="false">M297*N297*O297</f>
        <v>1.30625</v>
      </c>
      <c r="Q297" s="15" t="n">
        <f aca="false">LE!B295</f>
        <v>4.17036989104622</v>
      </c>
      <c r="R297" s="27" t="n">
        <f aca="false">D297/$D$3</f>
        <v>0.00229399745111394</v>
      </c>
    </row>
    <row r="298" customFormat="false" ht="15" hidden="false" customHeight="false" outlineLevel="0" collapsed="false">
      <c r="A298" s="11" t="n">
        <v>293</v>
      </c>
      <c r="B298" s="11" t="n">
        <v>88</v>
      </c>
      <c r="C298" s="22" t="s">
        <v>150</v>
      </c>
      <c r="D298" s="10" t="n">
        <v>1.4249</v>
      </c>
      <c r="E298" s="11" t="n">
        <v>1</v>
      </c>
      <c r="F298" s="5" t="str">
        <f aca="false">INDEX(Factores!$C$29:$C$36,MATCH(E298,Factores!$A$29:$A$36,0))</f>
        <v>A+</v>
      </c>
      <c r="G298" s="8" t="n">
        <v>0.0616</v>
      </c>
      <c r="H298" s="11" t="n">
        <v>0</v>
      </c>
      <c r="I298" s="20" t="n">
        <v>2</v>
      </c>
      <c r="J298" s="20" t="n">
        <v>1.75</v>
      </c>
      <c r="K298" s="11" t="n">
        <v>7</v>
      </c>
      <c r="L298" s="22" t="s">
        <v>148</v>
      </c>
      <c r="M298" s="28" t="n">
        <f aca="false">IF(Supuestos!$C$23=1,AVERAGE(I298:J298),MIN(I298:J298))</f>
        <v>1.875</v>
      </c>
      <c r="N298" s="28" t="n">
        <f aca="false">INDEX(IF(H298=1,Factores!$C$6:$C$9,Factores!$B$6:$B$9),MATCH(M298,Factores!$A$6:$A$9,1))</f>
        <v>0.88</v>
      </c>
      <c r="O298" s="28" t="n">
        <f aca="false">INDEX(Factores!$B$13:$B$16,MATCH(B298,Factores!$A$13:$A$16,1))</f>
        <v>1</v>
      </c>
      <c r="P298" s="28" t="n">
        <f aca="false">M298*N298*O298</f>
        <v>1.65</v>
      </c>
      <c r="Q298" s="15" t="n">
        <f aca="false">LE!B296</f>
        <v>4.58200819160414</v>
      </c>
      <c r="R298" s="27" t="n">
        <f aca="false">D298/$D$3</f>
        <v>0.00316644092617675</v>
      </c>
    </row>
    <row r="299" customFormat="false" ht="15" hidden="false" customHeight="false" outlineLevel="0" collapsed="false">
      <c r="A299" s="11" t="n">
        <v>294</v>
      </c>
      <c r="B299" s="11" t="n">
        <v>88</v>
      </c>
      <c r="C299" s="22" t="s">
        <v>147</v>
      </c>
      <c r="D299" s="10" t="n">
        <v>2.0308</v>
      </c>
      <c r="E299" s="11" t="n">
        <v>1</v>
      </c>
      <c r="F299" s="5" t="str">
        <f aca="false">INDEX(Factores!$C$29:$C$36,MATCH(E299,Factores!$A$29:$A$36,0))</f>
        <v>A+</v>
      </c>
      <c r="G299" s="8" t="n">
        <v>0.0614</v>
      </c>
      <c r="H299" s="11" t="n">
        <v>0</v>
      </c>
      <c r="I299" s="20" t="n">
        <v>3</v>
      </c>
      <c r="J299" s="20" t="n">
        <v>3.5</v>
      </c>
      <c r="K299" s="11" t="n">
        <v>9</v>
      </c>
      <c r="L299" s="22" t="s">
        <v>151</v>
      </c>
      <c r="M299" s="28" t="n">
        <f aca="false">IF(Supuestos!$C$23=1,AVERAGE(I299:J299),MIN(I299:J299))</f>
        <v>3.25</v>
      </c>
      <c r="N299" s="28" t="n">
        <f aca="false">INDEX(IF(H299=1,Factores!$C$6:$C$9,Factores!$B$6:$B$9),MATCH(M299,Factores!$A$6:$A$9,1))</f>
        <v>0.8</v>
      </c>
      <c r="O299" s="28" t="n">
        <f aca="false">INDEX(Factores!$B$13:$B$16,MATCH(B299,Factores!$A$13:$A$16,1))</f>
        <v>1</v>
      </c>
      <c r="P299" s="28" t="n">
        <f aca="false">M299*N299*O299</f>
        <v>2.6</v>
      </c>
      <c r="Q299" s="15" t="n">
        <f aca="false">LE!B297</f>
        <v>3.14956491436503</v>
      </c>
      <c r="R299" s="27" t="n">
        <f aca="false">D299/$D$3</f>
        <v>0.00451288387457347</v>
      </c>
    </row>
    <row r="300" customFormat="false" ht="15" hidden="false" customHeight="false" outlineLevel="0" collapsed="false">
      <c r="A300" s="11" t="n">
        <v>295</v>
      </c>
      <c r="B300" s="11" t="n">
        <v>86</v>
      </c>
      <c r="C300" s="22" t="s">
        <v>147</v>
      </c>
      <c r="D300" s="10" t="n">
        <v>1.9007</v>
      </c>
      <c r="E300" s="11" t="n">
        <v>1</v>
      </c>
      <c r="F300" s="5" t="str">
        <f aca="false">INDEX(Factores!$C$29:$C$36,MATCH(E300,Factores!$A$29:$A$36,0))</f>
        <v>A+</v>
      </c>
      <c r="G300" s="8" t="n">
        <v>0.056</v>
      </c>
      <c r="H300" s="11" t="n">
        <v>0</v>
      </c>
      <c r="I300" s="20" t="n">
        <v>1.25</v>
      </c>
      <c r="J300" s="20" t="n">
        <v>1.5</v>
      </c>
      <c r="K300" s="11" t="n">
        <v>10</v>
      </c>
      <c r="L300" s="22" t="s">
        <v>149</v>
      </c>
      <c r="M300" s="28" t="n">
        <f aca="false">IF(Supuestos!$C$23=1,AVERAGE(I300:J300),MIN(I300:J300))</f>
        <v>1.375</v>
      </c>
      <c r="N300" s="28" t="n">
        <f aca="false">INDEX(IF(H300=1,Factores!$C$6:$C$9,Factores!$B$6:$B$9),MATCH(M300,Factores!$A$6:$A$9,1))</f>
        <v>0.95</v>
      </c>
      <c r="O300" s="28" t="n">
        <f aca="false">INDEX(Factores!$B$13:$B$16,MATCH(B300,Factores!$A$13:$A$16,1))</f>
        <v>1</v>
      </c>
      <c r="P300" s="28" t="n">
        <f aca="false">M300*N300*O300</f>
        <v>1.30625</v>
      </c>
      <c r="Q300" s="15" t="n">
        <f aca="false">LE!B298</f>
        <v>6.26672530084111</v>
      </c>
      <c r="R300" s="27" t="n">
        <f aca="false">D300/$D$3</f>
        <v>0.00422377308469657</v>
      </c>
    </row>
    <row r="301" customFormat="false" ht="15" hidden="false" customHeight="false" outlineLevel="0" collapsed="false">
      <c r="A301" s="11" t="n">
        <v>296</v>
      </c>
      <c r="B301" s="11" t="n">
        <v>84</v>
      </c>
      <c r="C301" s="22" t="s">
        <v>150</v>
      </c>
      <c r="D301" s="10" t="n">
        <v>2.3662</v>
      </c>
      <c r="E301" s="11" t="n">
        <v>6</v>
      </c>
      <c r="F301" s="5" t="str">
        <f aca="false">INDEX(Factores!$C$29:$C$36,MATCH(E301,Factores!$A$29:$A$36,0))</f>
        <v>A</v>
      </c>
      <c r="G301" s="8" t="n">
        <v>0.0534</v>
      </c>
      <c r="H301" s="11" t="n">
        <v>0</v>
      </c>
      <c r="I301" s="20" t="n">
        <v>1.75</v>
      </c>
      <c r="J301" s="20" t="n">
        <v>2.25</v>
      </c>
      <c r="K301" s="11" t="n">
        <v>8</v>
      </c>
      <c r="L301" s="22" t="s">
        <v>155</v>
      </c>
      <c r="M301" s="28" t="n">
        <f aca="false">IF(Supuestos!$C$23=1,AVERAGE(I301:J301),MIN(I301:J301))</f>
        <v>2</v>
      </c>
      <c r="N301" s="28" t="n">
        <f aca="false">INDEX(IF(H301=1,Factores!$C$6:$C$9,Factores!$B$6:$B$9),MATCH(M301,Factores!$A$6:$A$9,1))</f>
        <v>0.88</v>
      </c>
      <c r="O301" s="28" t="n">
        <f aca="false">INDEX(Factores!$B$13:$B$16,MATCH(B301,Factores!$A$13:$A$16,1))</f>
        <v>0.95</v>
      </c>
      <c r="P301" s="28" t="n">
        <f aca="false">M301*N301*O301</f>
        <v>1.672</v>
      </c>
      <c r="Q301" s="15" t="n">
        <f aca="false">LE!B299</f>
        <v>6.38027307035612</v>
      </c>
      <c r="R301" s="27" t="n">
        <f aca="false">D301/$D$3</f>
        <v>0.00525821637975958</v>
      </c>
    </row>
    <row r="302" customFormat="false" ht="15" hidden="false" customHeight="false" outlineLevel="0" collapsed="false">
      <c r="A302" s="11" t="n">
        <v>297</v>
      </c>
      <c r="B302" s="11" t="n">
        <v>84</v>
      </c>
      <c r="C302" s="22" t="s">
        <v>147</v>
      </c>
      <c r="D302" s="10" t="n">
        <v>1.7472</v>
      </c>
      <c r="E302" s="11" t="n">
        <v>5</v>
      </c>
      <c r="F302" s="5" t="str">
        <f aca="false">INDEX(Factores!$C$29:$C$36,MATCH(E302,Factores!$A$29:$A$36,0))</f>
        <v>A-</v>
      </c>
      <c r="G302" s="8" t="n">
        <v>0.0533</v>
      </c>
      <c r="H302" s="11" t="n">
        <v>0</v>
      </c>
      <c r="I302" s="20" t="n">
        <v>2.75</v>
      </c>
      <c r="J302" s="20" t="n">
        <v>3.75</v>
      </c>
      <c r="K302" s="11" t="n">
        <v>11</v>
      </c>
      <c r="L302" s="22" t="s">
        <v>149</v>
      </c>
      <c r="M302" s="28" t="n">
        <f aca="false">IF(Supuestos!$C$23=1,AVERAGE(I302:J302),MIN(I302:J302))</f>
        <v>3.25</v>
      </c>
      <c r="N302" s="28" t="n">
        <f aca="false">INDEX(IF(H302=1,Factores!$C$6:$C$9,Factores!$B$6:$B$9),MATCH(M302,Factores!$A$6:$A$9,1))</f>
        <v>0.8</v>
      </c>
      <c r="O302" s="28" t="n">
        <f aca="false">INDEX(Factores!$B$13:$B$16,MATCH(B302,Factores!$A$13:$A$16,1))</f>
        <v>0.95</v>
      </c>
      <c r="P302" s="28" t="n">
        <f aca="false">M302*N302*O302</f>
        <v>2.47</v>
      </c>
      <c r="Q302" s="15" t="n">
        <f aca="false">LE!B300</f>
        <v>4.89536883599581</v>
      </c>
      <c r="R302" s="27" t="n">
        <f aca="false">D302/$D$3</f>
        <v>0.00388266235259739</v>
      </c>
    </row>
    <row r="303" customFormat="false" ht="15" hidden="false" customHeight="false" outlineLevel="0" collapsed="false">
      <c r="A303" s="11" t="n">
        <v>298</v>
      </c>
      <c r="B303" s="11" t="n">
        <v>82</v>
      </c>
      <c r="C303" s="22" t="s">
        <v>147</v>
      </c>
      <c r="D303" s="10" t="n">
        <v>1.2714</v>
      </c>
      <c r="E303" s="11" t="n">
        <v>5</v>
      </c>
      <c r="F303" s="5" t="str">
        <f aca="false">INDEX(Factores!$C$29:$C$36,MATCH(E303,Factores!$A$29:$A$36,0))</f>
        <v>A-</v>
      </c>
      <c r="G303" s="8" t="n">
        <v>0.053</v>
      </c>
      <c r="H303" s="11" t="n">
        <v>0</v>
      </c>
      <c r="I303" s="20" t="n">
        <v>1.25</v>
      </c>
      <c r="J303" s="20" t="n">
        <v>1.25</v>
      </c>
      <c r="K303" s="11" t="n">
        <v>5</v>
      </c>
      <c r="L303" s="22" t="s">
        <v>153</v>
      </c>
      <c r="M303" s="28" t="n">
        <f aca="false">IF(Supuestos!$C$23=1,AVERAGE(I303:J303),MIN(I303:J303))</f>
        <v>1.25</v>
      </c>
      <c r="N303" s="28" t="n">
        <f aca="false">INDEX(IF(H303=1,Factores!$C$6:$C$9,Factores!$B$6:$B$9),MATCH(M303,Factores!$A$6:$A$9,1))</f>
        <v>0.95</v>
      </c>
      <c r="O303" s="28" t="n">
        <f aca="false">INDEX(Factores!$B$13:$B$16,MATCH(B303,Factores!$A$13:$A$16,1))</f>
        <v>0.95</v>
      </c>
      <c r="P303" s="28" t="n">
        <f aca="false">M303*N303*O303</f>
        <v>1.128125</v>
      </c>
      <c r="Q303" s="15" t="n">
        <f aca="false">LE!B301</f>
        <v>8.91621854754342</v>
      </c>
      <c r="R303" s="27" t="n">
        <f aca="false">D303/$D$3</f>
        <v>0.00282533019407756</v>
      </c>
    </row>
    <row r="304" customFormat="false" ht="15" hidden="false" customHeight="false" outlineLevel="0" collapsed="false">
      <c r="A304" s="11" t="n">
        <v>299</v>
      </c>
      <c r="B304" s="11" t="n">
        <v>82</v>
      </c>
      <c r="C304" s="22" t="s">
        <v>147</v>
      </c>
      <c r="D304" s="10" t="n">
        <v>1.7201</v>
      </c>
      <c r="E304" s="11" t="n">
        <v>3</v>
      </c>
      <c r="F304" s="5" t="str">
        <f aca="false">INDEX(Factores!$C$29:$C$36,MATCH(E304,Factores!$A$29:$A$36,0))</f>
        <v>A</v>
      </c>
      <c r="G304" s="8" t="n">
        <v>0.0484</v>
      </c>
      <c r="H304" s="11" t="n">
        <v>1</v>
      </c>
      <c r="I304" s="20" t="n">
        <v>2.25</v>
      </c>
      <c r="J304" s="20" t="n">
        <v>2.25</v>
      </c>
      <c r="K304" s="11" t="n">
        <v>5</v>
      </c>
      <c r="L304" s="22" t="s">
        <v>155</v>
      </c>
      <c r="M304" s="28" t="n">
        <f aca="false">IF(Supuestos!$C$23=1,AVERAGE(I304:J304),MIN(I304:J304))</f>
        <v>2.25</v>
      </c>
      <c r="N304" s="28" t="n">
        <f aca="false">INDEX(IF(H304=1,Factores!$C$6:$C$9,Factores!$B$6:$B$9),MATCH(M304,Factores!$A$6:$A$9,1))</f>
        <v>0.82</v>
      </c>
      <c r="O304" s="28" t="n">
        <f aca="false">INDEX(Factores!$B$13:$B$16,MATCH(B304,Factores!$A$13:$A$16,1))</f>
        <v>0.95</v>
      </c>
      <c r="P304" s="28" t="n">
        <f aca="false">M304*N304*O304</f>
        <v>1.75275</v>
      </c>
      <c r="Q304" s="15" t="n">
        <f aca="false">LE!B302</f>
        <v>7.29260083071677</v>
      </c>
      <c r="R304" s="27" t="n">
        <f aca="false">D304/$D$3</f>
        <v>0.00382244019728867</v>
      </c>
    </row>
    <row r="305" customFormat="false" ht="15" hidden="false" customHeight="false" outlineLevel="0" collapsed="false">
      <c r="A305" s="11" t="n">
        <v>300</v>
      </c>
      <c r="B305" s="11" t="n">
        <v>83</v>
      </c>
      <c r="C305" s="22" t="s">
        <v>147</v>
      </c>
      <c r="D305" s="10" t="n">
        <v>0.9307</v>
      </c>
      <c r="E305" s="11" t="n">
        <v>1</v>
      </c>
      <c r="F305" s="5" t="str">
        <f aca="false">INDEX(Factores!$C$29:$C$36,MATCH(E305,Factores!$A$29:$A$36,0))</f>
        <v>A+</v>
      </c>
      <c r="G305" s="8" t="n">
        <v>0.0517</v>
      </c>
      <c r="H305" s="11" t="n">
        <v>1</v>
      </c>
      <c r="I305" s="20" t="n">
        <v>1.25</v>
      </c>
      <c r="J305" s="20" t="n">
        <v>1.5</v>
      </c>
      <c r="K305" s="11" t="n">
        <v>3</v>
      </c>
      <c r="L305" s="22" t="s">
        <v>148</v>
      </c>
      <c r="M305" s="28" t="n">
        <f aca="false">IF(Supuestos!$C$23=1,AVERAGE(I305:J305),MIN(I305:J305))</f>
        <v>1.375</v>
      </c>
      <c r="N305" s="28" t="n">
        <f aca="false">INDEX(IF(H305=1,Factores!$C$6:$C$9,Factores!$B$6:$B$9),MATCH(M305,Factores!$A$6:$A$9,1))</f>
        <v>0.9</v>
      </c>
      <c r="O305" s="28" t="n">
        <f aca="false">INDEX(Factores!$B$13:$B$16,MATCH(B305,Factores!$A$13:$A$16,1))</f>
        <v>0.95</v>
      </c>
      <c r="P305" s="28" t="n">
        <f aca="false">M305*N305*O305</f>
        <v>1.175625</v>
      </c>
      <c r="Q305" s="15" t="n">
        <f aca="false">LE!B303</f>
        <v>8.20168697507202</v>
      </c>
      <c r="R305" s="27" t="n">
        <f aca="false">D305/$D$3</f>
        <v>0.00206821992420008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3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" t="s">
        <v>156</v>
      </c>
    </row>
    <row r="3" customFormat="false" ht="23.85" hidden="false" customHeight="false" outlineLevel="0" collapsed="false">
      <c r="A3" s="4" t="s">
        <v>111</v>
      </c>
      <c r="B3" s="4" t="s">
        <v>157</v>
      </c>
      <c r="C3" s="4" t="s">
        <v>158</v>
      </c>
      <c r="D3" s="4" t="s">
        <v>159</v>
      </c>
      <c r="E3" s="4" t="s">
        <v>160</v>
      </c>
      <c r="F3" s="4" t="s">
        <v>161</v>
      </c>
      <c r="G3" s="4" t="s">
        <v>162</v>
      </c>
      <c r="H3" s="4" t="s">
        <v>163</v>
      </c>
      <c r="I3" s="4" t="s">
        <v>164</v>
      </c>
      <c r="J3" s="4" t="s">
        <v>165</v>
      </c>
      <c r="K3" s="4" t="s">
        <v>166</v>
      </c>
      <c r="L3" s="4" t="s">
        <v>167</v>
      </c>
      <c r="M3" s="4" t="s">
        <v>168</v>
      </c>
      <c r="N3" s="4" t="s">
        <v>169</v>
      </c>
      <c r="O3" s="4" t="s">
        <v>170</v>
      </c>
      <c r="P3" s="4" t="s">
        <v>171</v>
      </c>
      <c r="Q3" s="4" t="s">
        <v>172</v>
      </c>
      <c r="R3" s="4" t="s">
        <v>173</v>
      </c>
      <c r="S3" s="4" t="s">
        <v>174</v>
      </c>
      <c r="T3" s="4" t="s">
        <v>175</v>
      </c>
      <c r="U3" s="4" t="s">
        <v>176</v>
      </c>
      <c r="V3" s="4" t="s">
        <v>177</v>
      </c>
      <c r="W3" s="4" t="s">
        <v>178</v>
      </c>
      <c r="X3" s="4" t="s">
        <v>179</v>
      </c>
      <c r="Y3" s="4" t="s">
        <v>180</v>
      </c>
      <c r="Z3" s="4" t="s">
        <v>181</v>
      </c>
      <c r="AA3" s="4" t="s">
        <v>182</v>
      </c>
      <c r="AB3" s="4" t="s">
        <v>183</v>
      </c>
      <c r="AC3" s="4" t="s">
        <v>184</v>
      </c>
      <c r="AD3" s="4" t="s">
        <v>185</v>
      </c>
      <c r="AE3" s="4" t="s">
        <v>186</v>
      </c>
      <c r="AF3" s="4" t="s">
        <v>187</v>
      </c>
      <c r="AG3" s="4" t="s">
        <v>188</v>
      </c>
      <c r="AH3" s="4" t="s">
        <v>189</v>
      </c>
      <c r="AI3" s="4" t="s">
        <v>190</v>
      </c>
      <c r="AJ3" s="4" t="s">
        <v>191</v>
      </c>
      <c r="AK3" s="4" t="s">
        <v>192</v>
      </c>
      <c r="AL3" s="4" t="s">
        <v>193</v>
      </c>
      <c r="AM3" s="4" t="s">
        <v>194</v>
      </c>
      <c r="AN3" s="4" t="s">
        <v>195</v>
      </c>
      <c r="AO3" s="4" t="s">
        <v>196</v>
      </c>
      <c r="AP3" s="4" t="s">
        <v>197</v>
      </c>
      <c r="AQ3" s="4" t="s">
        <v>198</v>
      </c>
      <c r="AR3" s="4" t="s">
        <v>199</v>
      </c>
      <c r="AS3" s="4" t="s">
        <v>200</v>
      </c>
      <c r="AT3" s="4" t="s">
        <v>201</v>
      </c>
      <c r="AU3" s="4" t="s">
        <v>202</v>
      </c>
    </row>
    <row r="4" customFormat="false" ht="15" hidden="false" customHeight="false" outlineLevel="0" collapsed="false">
      <c r="A4" s="14" t="n">
        <f aca="false">Cartera_Polizas!A6</f>
        <v>1</v>
      </c>
      <c r="B4" s="26" t="n">
        <f aca="false">SUM(C4:AU4)+0.5</f>
        <v>8.68706652117553</v>
      </c>
      <c r="C4" s="29" t="n">
        <f aca="false">1-MIN(1,INDEX(Tabla_Mortalidad!$B$5:$B$75,MIN(71,Cartera_Polizas!$B$6+0-49))*(1+(Cartera_Polizas!$P$6-1)*MAX(0,1-0/Supuestos!$C$20))*(1-Supuestos!$C$18)^0)</f>
        <v>0.94453550875</v>
      </c>
      <c r="D4" s="29" t="n">
        <f aca="false">C4*(1-MIN(1,INDEX(Tabla_Mortalidad!$B$5:$B$75,MIN(71,Cartera_Polizas!$B$6+1-49))*(1+(Cartera_Polizas!$P$6-1)*MAX(0,1-1/Supuestos!$C$20))*(1-Supuestos!$C$18)^1))</f>
        <v>0.88659445907002</v>
      </c>
      <c r="E4" s="29" t="n">
        <f aca="false">D4*(1-MIN(1,INDEX(Tabla_Mortalidad!$B$5:$B$75,MIN(71,Cartera_Polizas!$B$6+2-49))*(1+(Cartera_Polizas!$P$6-1)*MAX(0,1-2/Supuestos!$C$20))*(1-Supuestos!$C$18)^2))</f>
        <v>0.826465739302583</v>
      </c>
      <c r="F4" s="29" t="n">
        <f aca="false">E4*(1-MIN(1,INDEX(Tabla_Mortalidad!$B$5:$B$75,MIN(71,Cartera_Polizas!$B$6+3-49))*(1+(Cartera_Polizas!$P$6-1)*MAX(0,1-3/Supuestos!$C$20))*(1-Supuestos!$C$18)^3))</f>
        <v>0.764521982052889</v>
      </c>
      <c r="G4" s="29" t="n">
        <f aca="false">F4*(1-MIN(1,INDEX(Tabla_Mortalidad!$B$5:$B$75,MIN(71,Cartera_Polizas!$B$6+4-49))*(1+(Cartera_Polizas!$P$6-1)*MAX(0,1-4/Supuestos!$C$20))*(1-Supuestos!$C$18)^4))</f>
        <v>0.701227016253982</v>
      </c>
      <c r="H4" s="29" t="n">
        <f aca="false">G4*(1-MIN(1,INDEX(Tabla_Mortalidad!$B$5:$B$75,MIN(71,Cartera_Polizas!$B$6+5-49))*(1+(Cartera_Polizas!$P$6-1)*MAX(0,1-5/Supuestos!$C$20))*(1-Supuestos!$C$18)^5))</f>
        <v>0.637131153659517</v>
      </c>
      <c r="I4" s="29" t="n">
        <f aca="false">H4*(1-MIN(1,INDEX(Tabla_Mortalidad!$B$5:$B$75,MIN(71,Cartera_Polizas!$B$6+6-49))*(1+(Cartera_Polizas!$P$6-1)*MAX(0,1-6/Supuestos!$C$20))*(1-Supuestos!$C$18)^6))</f>
        <v>0.572871487751916</v>
      </c>
      <c r="J4" s="29" t="n">
        <f aca="false">I4*(1-MIN(1,INDEX(Tabla_Mortalidad!$B$5:$B$75,MIN(71,Cartera_Polizas!$B$6+7-49))*(1+(Cartera_Polizas!$P$6-1)*MAX(0,1-7/Supuestos!$C$20))*(1-Supuestos!$C$18)^7))</f>
        <v>0.509158184384114</v>
      </c>
      <c r="K4" s="29" t="n">
        <f aca="false">J4*(1-MIN(1,INDEX(Tabla_Mortalidad!$B$5:$B$75,MIN(71,Cartera_Polizas!$B$6+8-49))*(1+(Cartera_Polizas!$P$6-1)*MAX(0,1-8/Supuestos!$C$20))*(1-Supuestos!$C$18)^8))</f>
        <v>0.446758422240482</v>
      </c>
      <c r="L4" s="29" t="n">
        <f aca="false">K4*(1-MIN(1,INDEX(Tabla_Mortalidad!$B$5:$B$75,MIN(71,Cartera_Polizas!$B$6+9-49))*(1+(Cartera_Polizas!$P$6-1)*MAX(0,1-9/Supuestos!$C$20))*(1-Supuestos!$C$18)^9))</f>
        <v>0.386471787712249</v>
      </c>
      <c r="M4" s="29" t="n">
        <f aca="false">L4*(1-MIN(1,INDEX(Tabla_Mortalidad!$B$5:$B$75,MIN(71,Cartera_Polizas!$B$6+10-49))*(1+(Cartera_Polizas!$P$6-1)*MAX(0,1-10/Supuestos!$C$20))*(1-Supuestos!$C$18)^10))</f>
        <v>0.329098998547673</v>
      </c>
      <c r="N4" s="29" t="n">
        <f aca="false">M4*(1-MIN(1,INDEX(Tabla_Mortalidad!$B$5:$B$75,MIN(71,Cartera_Polizas!$B$6+11-49))*(1+(Cartera_Polizas!$P$6-1)*MAX(0,1-11/Supuestos!$C$20))*(1-Supuestos!$C$18)^11))</f>
        <v>0.275404084793484</v>
      </c>
      <c r="O4" s="29" t="n">
        <f aca="false">N4*(1-MIN(1,INDEX(Tabla_Mortalidad!$B$5:$B$75,MIN(71,Cartera_Polizas!$B$6+12-49))*(1+(Cartera_Polizas!$P$6-1)*MAX(0,1-12/Supuestos!$C$20))*(1-Supuestos!$C$18)^12))</f>
        <v>0.226071625325074</v>
      </c>
      <c r="P4" s="29" t="n">
        <f aca="false">O4*(1-MIN(1,INDEX(Tabla_Mortalidad!$B$5:$B$75,MIN(71,Cartera_Polizas!$B$6+13-49))*(1+(Cartera_Polizas!$P$6-1)*MAX(0,1-13/Supuestos!$C$20))*(1-Supuestos!$C$18)^13))</f>
        <v>0.181664811382036</v>
      </c>
      <c r="Q4" s="29" t="n">
        <f aca="false">P4*(1-MIN(1,INDEX(Tabla_Mortalidad!$B$5:$B$75,MIN(71,Cartera_Polizas!$B$6+14-49))*(1+(Cartera_Polizas!$P$6-1)*MAX(0,1-14/Supuestos!$C$20))*(1-Supuestos!$C$18)^14))</f>
        <v>0.142585780442304</v>
      </c>
      <c r="R4" s="29" t="n">
        <f aca="false">Q4*(1-MIN(1,INDEX(Tabla_Mortalidad!$B$5:$B$75,MIN(71,Cartera_Polizas!$B$6+15-49))*(1+(Cartera_Polizas!$P$6-1)*MAX(0,1-15/Supuestos!$C$20))*(1-Supuestos!$C$18)^15))</f>
        <v>0.10904365994625</v>
      </c>
      <c r="S4" s="29" t="n">
        <f aca="false">R4*(1-MIN(1,INDEX(Tabla_Mortalidad!$B$5:$B$75,MIN(71,Cartera_Polizas!$B$6+16-49))*(1+(Cartera_Polizas!$P$6-1)*MAX(0,1-16/Supuestos!$C$20))*(1-Supuestos!$C$18)^16))</f>
        <v>0.0810083336645747</v>
      </c>
      <c r="T4" s="29" t="n">
        <f aca="false">S4*(1-MIN(1,INDEX(Tabla_Mortalidad!$B$5:$B$75,MIN(71,Cartera_Polizas!$B$6+17-49))*(1+(Cartera_Polizas!$P$6-1)*MAX(0,1-17/Supuestos!$C$20))*(1-Supuestos!$C$18)^17))</f>
        <v>0.0582856638702254</v>
      </c>
      <c r="U4" s="29" t="n">
        <f aca="false">T4*(1-MIN(1,INDEX(Tabla_Mortalidad!$B$5:$B$75,MIN(71,Cartera_Polizas!$B$6+18-49))*(1+(Cartera_Polizas!$P$6-1)*MAX(0,1-18/Supuestos!$C$20))*(1-Supuestos!$C$18)^18))</f>
        <v>0.0404834258972192</v>
      </c>
      <c r="V4" s="29" t="n">
        <f aca="false">U4*(1-MIN(1,INDEX(Tabla_Mortalidad!$B$5:$B$75,MIN(71,Cartera_Polizas!$B$6+19-49))*(1+(Cartera_Polizas!$P$6-1)*MAX(0,1-19/Supuestos!$C$20))*(1-Supuestos!$C$18)^19))</f>
        <v>0.0270481456600538</v>
      </c>
      <c r="W4" s="29" t="n">
        <f aca="false">V4*(1-MIN(1,INDEX(Tabla_Mortalidad!$B$5:$B$75,MIN(71,Cartera_Polizas!$B$6+20-49))*(1+(Cartera_Polizas!$P$6-1)*MAX(0,1-20/Supuestos!$C$20))*(1-Supuestos!$C$18)^20))</f>
        <v>0.0173173300686853</v>
      </c>
      <c r="X4" s="29" t="n">
        <f aca="false">W4*(1-MIN(1,INDEX(Tabla_Mortalidad!$B$5:$B$75,MIN(71,Cartera_Polizas!$B$6+21-49))*(1+(Cartera_Polizas!$P$6-1)*MAX(0,1-21/Supuestos!$C$20))*(1-Supuestos!$C$18)^21))</f>
        <v>0.0105809547509405</v>
      </c>
      <c r="Y4" s="29" t="n">
        <f aca="false">X4*(1-MIN(1,INDEX(Tabla_Mortalidad!$B$5:$B$75,MIN(71,Cartera_Polizas!$B$6+22-49))*(1+(Cartera_Polizas!$P$6-1)*MAX(0,1-22/Supuestos!$C$20))*(1-Supuestos!$C$18)^22))</f>
        <v>0.00614288743603664</v>
      </c>
      <c r="Z4" s="29" t="n">
        <f aca="false">Y4*(1-MIN(1,INDEX(Tabla_Mortalidad!$B$5:$B$75,MIN(71,Cartera_Polizas!$B$6+23-49))*(1+(Cartera_Polizas!$P$6-1)*MAX(0,1-23/Supuestos!$C$20))*(1-Supuestos!$C$18)^23))</f>
        <v>0.00337307959876705</v>
      </c>
      <c r="AA4" s="29" t="n">
        <f aca="false">Z4*(1-MIN(1,INDEX(Tabla_Mortalidad!$B$5:$B$75,MIN(71,Cartera_Polizas!$B$6+24-49))*(1+(Cartera_Polizas!$P$6-1)*MAX(0,1-24/Supuestos!$C$20))*(1-Supuestos!$C$18)^24))</f>
        <v>0.00174345724108238</v>
      </c>
      <c r="AB4" s="29" t="n">
        <f aca="false">AA4*(1-MIN(1,INDEX(Tabla_Mortalidad!$B$5:$B$75,MIN(71,Cartera_Polizas!$B$6+25-49))*(1+(Cartera_Polizas!$P$6-1)*MAX(0,1-25/Supuestos!$C$20))*(1-Supuestos!$C$18)^25))</f>
        <v>0.000844128564099553</v>
      </c>
      <c r="AC4" s="29" t="n">
        <f aca="false">AB4*(1-MIN(1,INDEX(Tabla_Mortalidad!$B$5:$B$75,MIN(71,Cartera_Polizas!$B$6+26-49))*(1+(Cartera_Polizas!$P$6-1)*MAX(0,1-26/Supuestos!$C$20))*(1-Supuestos!$C$18)^26))</f>
        <v>0.000380987032205426</v>
      </c>
      <c r="AD4" s="29" t="n">
        <f aca="false">AC4*(1-MIN(1,INDEX(Tabla_Mortalidad!$B$5:$B$75,MIN(71,Cartera_Polizas!$B$6+27-49))*(1+(Cartera_Polizas!$P$6-1)*MAX(0,1-27/Supuestos!$C$20))*(1-Supuestos!$C$18)^27))</f>
        <v>0.000159549074999723</v>
      </c>
      <c r="AE4" s="29" t="n">
        <f aca="false">AD4*(1-MIN(1,INDEX(Tabla_Mortalidad!$B$5:$B$75,MIN(71,Cartera_Polizas!$B$6+28-49))*(1+(Cartera_Polizas!$P$6-1)*MAX(0,1-28/Supuestos!$C$20))*(1-Supuestos!$C$18)^28))</f>
        <v>6.17337754257044E-005</v>
      </c>
      <c r="AF4" s="29" t="n">
        <f aca="false">AE4*(1-MIN(1,INDEX(Tabla_Mortalidad!$B$5:$B$75,MIN(71,Cartera_Polizas!$B$6+29-49))*(1+(Cartera_Polizas!$P$6-1)*MAX(0,1-29/Supuestos!$C$20))*(1-Supuestos!$C$18)^29))</f>
        <v>2.19924545323931E-005</v>
      </c>
      <c r="AG4" s="29" t="n">
        <f aca="false">AF4*(1-MIN(1,INDEX(Tabla_Mortalidad!$B$5:$B$75,MIN(71,Cartera_Polizas!$B$6+30-49))*(1+(Cartera_Polizas!$P$6-1)*MAX(0,1-30/Supuestos!$C$20))*(1-Supuestos!$C$18)^30))</f>
        <v>7.19620067400185E-006</v>
      </c>
      <c r="AH4" s="29" t="n">
        <f aca="false">AG4*(1-MIN(1,INDEX(Tabla_Mortalidad!$B$5:$B$75,MIN(71,Cartera_Polizas!$B$6+31-49))*(1+(Cartera_Polizas!$P$6-1)*MAX(0,1-31/Supuestos!$C$20))*(1-Supuestos!$C$18)^31))</f>
        <v>2.16087729546885E-006</v>
      </c>
      <c r="AI4" s="29" t="n">
        <f aca="false">AH4*(1-MIN(1,INDEX(Tabla_Mortalidad!$B$5:$B$75,MIN(71,Cartera_Polizas!$B$6+32-49))*(1+(Cartera_Polizas!$P$6-1)*MAX(0,1-32/Supuestos!$C$20))*(1-Supuestos!$C$18)^32))</f>
        <v>5.9612221809825E-007</v>
      </c>
      <c r="AJ4" s="29" t="n">
        <f aca="false">AI4*(1-MIN(1,INDEX(Tabla_Mortalidad!$B$5:$B$75,MIN(71,Cartera_Polizas!$B$6+33-49))*(1+(Cartera_Polizas!$P$6-1)*MAX(0,1-33/Supuestos!$C$20))*(1-Supuestos!$C$18)^33))</f>
        <v>1.51614857886635E-007</v>
      </c>
      <c r="AK4" s="29" t="n">
        <f aca="false">AJ4*(1-MIN(1,INDEX(Tabla_Mortalidad!$B$5:$B$75,MIN(71,Cartera_Polizas!$B$6+34-49))*(1+(Cartera_Polizas!$P$6-1)*MAX(0,1-34/Supuestos!$C$20))*(1-Supuestos!$C$18)^34))</f>
        <v>3.57705128161046E-008</v>
      </c>
      <c r="AL4" s="29" t="n">
        <f aca="false">AK4*(1-MIN(1,INDEX(Tabla_Mortalidad!$B$5:$B$75,MIN(71,Cartera_Polizas!$B$6+35-49))*(1+(Cartera_Polizas!$P$6-1)*MAX(0,1-35/Supuestos!$C$20))*(1-Supuestos!$C$18)^35))</f>
        <v>7.8979970456949E-009</v>
      </c>
      <c r="AM4" s="29" t="n">
        <f aca="false">AL4*(1-MIN(1,INDEX(Tabla_Mortalidad!$B$5:$B$75,MIN(71,Cartera_Polizas!$B$6+36-49))*(1+(Cartera_Polizas!$P$6-1)*MAX(0,1-36/Supuestos!$C$20))*(1-Supuestos!$C$18)^36))</f>
        <v>1.65022380054591E-009</v>
      </c>
      <c r="AN4" s="29" t="n">
        <f aca="false">AM4*(1-MIN(1,INDEX(Tabla_Mortalidad!$B$5:$B$75,MIN(71,Cartera_Polizas!$B$6+37-49))*(1+(Cartera_Polizas!$P$6-1)*MAX(0,1-37/Supuestos!$C$20))*(1-Supuestos!$C$18)^37))</f>
        <v>2.79352027801502E-010</v>
      </c>
      <c r="AO4" s="29" t="n">
        <f aca="false">AN4*(1-MIN(1,INDEX(Tabla_Mortalidad!$B$5:$B$75,MIN(71,Cartera_Polizas!$B$6+38-49))*(1+(Cartera_Polizas!$P$6-1)*MAX(0,1-38/Supuestos!$C$20))*(1-Supuestos!$C$18)^38))</f>
        <v>4.84493887787959E-011</v>
      </c>
      <c r="AP4" s="29" t="n">
        <f aca="false">AO4*(1-MIN(1,INDEX(Tabla_Mortalidad!$B$5:$B$75,MIN(71,Cartera_Polizas!$B$6+39-49))*(1+(Cartera_Polizas!$P$6-1)*MAX(0,1-39/Supuestos!$C$20))*(1-Supuestos!$C$18)^39))</f>
        <v>8.60304738287746E-012</v>
      </c>
      <c r="AQ4" s="29" t="n">
        <f aca="false">AP4*(1-MIN(1,INDEX(Tabla_Mortalidad!$B$5:$B$75,MIN(71,Cartera_Polizas!$B$6+40-49))*(1+(Cartera_Polizas!$P$6-1)*MAX(0,1-40/Supuestos!$C$20))*(1-Supuestos!$C$18)^40))</f>
        <v>1.56300060735737E-012</v>
      </c>
      <c r="AR4" s="29" t="n">
        <f aca="false">AQ4*(1-MIN(1,INDEX(Tabla_Mortalidad!$B$5:$B$75,MIN(71,Cartera_Polizas!$B$6+41-49))*(1+(Cartera_Polizas!$P$6-1)*MAX(0,1-41/Supuestos!$C$20))*(1-Supuestos!$C$18)^41))</f>
        <v>2.90360935417031E-013</v>
      </c>
      <c r="AS4" s="29" t="n">
        <f aca="false">AR4*(1-MIN(1,INDEX(Tabla_Mortalidad!$B$5:$B$75,MIN(71,Cartera_Polizas!$B$6+42-49))*(1+(Cartera_Polizas!$P$6-1)*MAX(0,1-42/Supuestos!$C$20))*(1-Supuestos!$C$18)^42))</f>
        <v>5.51228813595212E-014</v>
      </c>
      <c r="AT4" s="29" t="n">
        <f aca="false">AS4*(1-MIN(1,INDEX(Tabla_Mortalidad!$B$5:$B$75,MIN(71,Cartera_Polizas!$B$6+43-49))*(1+(Cartera_Polizas!$P$6-1)*MAX(0,1-43/Supuestos!$C$20))*(1-Supuestos!$C$18)^43))</f>
        <v>1.06879633847574E-014</v>
      </c>
      <c r="AU4" s="29" t="n">
        <f aca="false">AT4*(1-MIN(1,INDEX(Tabla_Mortalidad!$B$5:$B$75,MIN(71,Cartera_Polizas!$B$6+44-49))*(1+(Cartera_Polizas!$P$6-1)*MAX(0,1-44/Supuestos!$C$20))*(1-Supuestos!$C$18)^44))</f>
        <v>2.11540384536463E-015</v>
      </c>
    </row>
    <row r="5" customFormat="false" ht="15" hidden="false" customHeight="false" outlineLevel="0" collapsed="false">
      <c r="A5" s="14" t="n">
        <f aca="false">Cartera_Polizas!A7</f>
        <v>2</v>
      </c>
      <c r="B5" s="26" t="n">
        <f aca="false">SUM(C5:AU5)+0.5</f>
        <v>4.89536883599581</v>
      </c>
      <c r="C5" s="29" t="n">
        <f aca="false">1-MIN(1,INDEX(Tabla_Mortalidad!$B$5:$B$75,MIN(71,Cartera_Polizas!$B$7+0-49))*(1+(Cartera_Polizas!$P$7-1)*MAX(0,1-0/Supuestos!$C$20))*(1-Supuestos!$C$18)^0)</f>
        <v>0.84986599</v>
      </c>
      <c r="D5" s="29" t="n">
        <f aca="false">C5*(1-MIN(1,INDEX(Tabla_Mortalidad!$B$5:$B$75,MIN(71,Cartera_Polizas!$B$7+1-49))*(1+(Cartera_Polizas!$P$7-1)*MAX(0,1-1/Supuestos!$C$20))*(1-Supuestos!$C$18)^1))</f>
        <v>0.714261691471325</v>
      </c>
      <c r="E5" s="29" t="n">
        <f aca="false">D5*(1-MIN(1,INDEX(Tabla_Mortalidad!$B$5:$B$75,MIN(71,Cartera_Polizas!$B$7+2-49))*(1+(Cartera_Polizas!$P$7-1)*MAX(0,1-2/Supuestos!$C$20))*(1-Supuestos!$C$18)^2))</f>
        <v>0.59339416302449</v>
      </c>
      <c r="F5" s="29" t="n">
        <f aca="false">E5*(1-MIN(1,INDEX(Tabla_Mortalidad!$B$5:$B$75,MIN(71,Cartera_Polizas!$B$7+3-49))*(1+(Cartera_Polizas!$P$7-1)*MAX(0,1-3/Supuestos!$C$20))*(1-Supuestos!$C$18)^3))</f>
        <v>0.487149117877676</v>
      </c>
      <c r="G5" s="29" t="n">
        <f aca="false">F5*(1-MIN(1,INDEX(Tabla_Mortalidad!$B$5:$B$75,MIN(71,Cartera_Polizas!$B$7+4-49))*(1+(Cartera_Polizas!$P$7-1)*MAX(0,1-4/Supuestos!$C$20))*(1-Supuestos!$C$18)^4))</f>
        <v>0.395094666735486</v>
      </c>
      <c r="H5" s="29" t="n">
        <f aca="false">G5*(1-MIN(1,INDEX(Tabla_Mortalidad!$B$5:$B$75,MIN(71,Cartera_Polizas!$B$7+5-49))*(1+(Cartera_Polizas!$P$7-1)*MAX(0,1-5/Supuestos!$C$20))*(1-Supuestos!$C$18)^5))</f>
        <v>0.316520273449834</v>
      </c>
      <c r="I5" s="29" t="n">
        <f aca="false">H5*(1-MIN(1,INDEX(Tabla_Mortalidad!$B$5:$B$75,MIN(71,Cartera_Polizas!$B$7+6-49))*(1+(Cartera_Polizas!$P$7-1)*MAX(0,1-6/Supuestos!$C$20))*(1-Supuestos!$C$18)^6))</f>
        <v>0.250475470076255</v>
      </c>
      <c r="J5" s="29" t="n">
        <f aca="false">I5*(1-MIN(1,INDEX(Tabla_Mortalidad!$B$5:$B$75,MIN(71,Cartera_Polizas!$B$7+7-49))*(1+(Cartera_Polizas!$P$7-1)*MAX(0,1-7/Supuestos!$C$20))*(1-Supuestos!$C$18)^7))</f>
        <v>0.195827401872053</v>
      </c>
      <c r="K5" s="29" t="n">
        <f aca="false">J5*(1-MIN(1,INDEX(Tabla_Mortalidad!$B$5:$B$75,MIN(71,Cartera_Polizas!$B$7+8-49))*(1+(Cartera_Polizas!$P$7-1)*MAX(0,1-8/Supuestos!$C$20))*(1-Supuestos!$C$18)^8))</f>
        <v>0.151322863271565</v>
      </c>
      <c r="L5" s="29" t="n">
        <f aca="false">K5*(1-MIN(1,INDEX(Tabla_Mortalidad!$B$5:$B$75,MIN(71,Cartera_Polizas!$B$7+9-49))*(1+(Cartera_Polizas!$P$7-1)*MAX(0,1-9/Supuestos!$C$20))*(1-Supuestos!$C$18)^9))</f>
        <v>0.115652374384655</v>
      </c>
      <c r="M5" s="29" t="n">
        <f aca="false">L5*(1-MIN(1,INDEX(Tabla_Mortalidad!$B$5:$B$75,MIN(71,Cartera_Polizas!$B$7+10-49))*(1+(Cartera_Polizas!$P$7-1)*MAX(0,1-10/Supuestos!$C$20))*(1-Supuestos!$C$18)^10))</f>
        <v>0.0875103994969177</v>
      </c>
      <c r="N5" s="29" t="n">
        <f aca="false">M5*(1-MIN(1,INDEX(Tabla_Mortalidad!$B$5:$B$75,MIN(71,Cartera_Polizas!$B$7+11-49))*(1+(Cartera_Polizas!$P$7-1)*MAX(0,1-11/Supuestos!$C$20))*(1-Supuestos!$C$18)^11))</f>
        <v>0.0656473762326519</v>
      </c>
      <c r="O5" s="29" t="n">
        <f aca="false">N5*(1-MIN(1,INDEX(Tabla_Mortalidad!$B$5:$B$75,MIN(71,Cartera_Polizas!$B$7+12-49))*(1+(Cartera_Polizas!$P$7-1)*MAX(0,1-12/Supuestos!$C$20))*(1-Supuestos!$C$18)^12))</f>
        <v>0.0489115812766766</v>
      </c>
      <c r="P5" s="29" t="n">
        <f aca="false">O5*(1-MIN(1,INDEX(Tabla_Mortalidad!$B$5:$B$75,MIN(71,Cartera_Polizas!$B$7+13-49))*(1+(Cartera_Polizas!$P$7-1)*MAX(0,1-13/Supuestos!$C$20))*(1-Supuestos!$C$18)^13))</f>
        <v>0.0362773256469843</v>
      </c>
      <c r="Q5" s="29" t="n">
        <f aca="false">P5*(1-MIN(1,INDEX(Tabla_Mortalidad!$B$5:$B$75,MIN(71,Cartera_Polizas!$B$7+14-49))*(1+(Cartera_Polizas!$P$7-1)*MAX(0,1-14/Supuestos!$C$20))*(1-Supuestos!$C$18)^14))</f>
        <v>0.0268599732812677</v>
      </c>
      <c r="R5" s="29" t="n">
        <f aca="false">Q5*(1-MIN(1,INDEX(Tabla_Mortalidad!$B$5:$B$75,MIN(71,Cartera_Polizas!$B$7+15-49))*(1+(Cartera_Polizas!$P$7-1)*MAX(0,1-15/Supuestos!$C$20))*(1-Supuestos!$C$18)^15))</f>
        <v>0.01991952230861</v>
      </c>
      <c r="S5" s="29" t="n">
        <f aca="false">R5*(1-MIN(1,INDEX(Tabla_Mortalidad!$B$5:$B$75,MIN(71,Cartera_Polizas!$B$7+16-49))*(1+(Cartera_Polizas!$P$7-1)*MAX(0,1-16/Supuestos!$C$20))*(1-Supuestos!$C$18)^16))</f>
        <v>0.0143040602515421</v>
      </c>
      <c r="T5" s="29" t="n">
        <f aca="false">S5*(1-MIN(1,INDEX(Tabla_Mortalidad!$B$5:$B$75,MIN(71,Cartera_Polizas!$B$7+17-49))*(1+(Cartera_Polizas!$P$7-1)*MAX(0,1-17/Supuestos!$C$20))*(1-Supuestos!$C$18)^17))</f>
        <v>0.00991320515776661</v>
      </c>
      <c r="U5" s="29" t="n">
        <f aca="false">T5*(1-MIN(1,INDEX(Tabla_Mortalidad!$B$5:$B$75,MIN(71,Cartera_Polizas!$B$7+18-49))*(1+(Cartera_Polizas!$P$7-1)*MAX(0,1-18/Supuestos!$C$20))*(1-Supuestos!$C$18)^18))</f>
        <v>0.00660676638134261</v>
      </c>
      <c r="V5" s="29" t="n">
        <f aca="false">U5*(1-MIN(1,INDEX(Tabla_Mortalidad!$B$5:$B$75,MIN(71,Cartera_Polizas!$B$7+19-49))*(1+(Cartera_Polizas!$P$7-1)*MAX(0,1-19/Supuestos!$C$20))*(1-Supuestos!$C$18)^19))</f>
        <v>0.00421797834544964</v>
      </c>
      <c r="W5" s="29" t="n">
        <f aca="false">V5*(1-MIN(1,INDEX(Tabla_Mortalidad!$B$5:$B$75,MIN(71,Cartera_Polizas!$B$7+20-49))*(1+(Cartera_Polizas!$P$7-1)*MAX(0,1-20/Supuestos!$C$20))*(1-Supuestos!$C$18)^20))</f>
        <v>0.00256895575093853</v>
      </c>
      <c r="X5" s="29" t="n">
        <f aca="false">W5*(1-MIN(1,INDEX(Tabla_Mortalidad!$B$5:$B$75,MIN(71,Cartera_Polizas!$B$7+21-49))*(1+(Cartera_Polizas!$P$7-1)*MAX(0,1-21/Supuestos!$C$20))*(1-Supuestos!$C$18)^21))</f>
        <v>0.00148602029979793</v>
      </c>
      <c r="Y5" s="29" t="n">
        <f aca="false">X5*(1-MIN(1,INDEX(Tabla_Mortalidad!$B$5:$B$75,MIN(71,Cartera_Polizas!$B$7+22-49))*(1+(Cartera_Polizas!$P$7-1)*MAX(0,1-22/Supuestos!$C$20))*(1-Supuestos!$C$18)^22))</f>
        <v>0.000812611567176636</v>
      </c>
      <c r="Z5" s="29" t="n">
        <f aca="false">Y5*(1-MIN(1,INDEX(Tabla_Mortalidad!$B$5:$B$75,MIN(71,Cartera_Polizas!$B$7+23-49))*(1+(Cartera_Polizas!$P$7-1)*MAX(0,1-23/Supuestos!$C$20))*(1-Supuestos!$C$18)^23))</f>
        <v>0.000418044981504261</v>
      </c>
      <c r="AA5" s="29" t="n">
        <f aca="false">Z5*(1-MIN(1,INDEX(Tabla_Mortalidad!$B$5:$B$75,MIN(71,Cartera_Polizas!$B$7+24-49))*(1+(Cartera_Polizas!$P$7-1)*MAX(0,1-24/Supuestos!$C$20))*(1-Supuestos!$C$18)^24))</f>
        <v>0.000201320947980631</v>
      </c>
      <c r="AB5" s="29" t="n">
        <f aca="false">AA5*(1-MIN(1,INDEX(Tabla_Mortalidad!$B$5:$B$75,MIN(71,Cartera_Polizas!$B$7+25-49))*(1+(Cartera_Polizas!$P$7-1)*MAX(0,1-25/Supuestos!$C$20))*(1-Supuestos!$C$18)^25))</f>
        <v>9.03086692678209E-005</v>
      </c>
      <c r="AC5" s="29" t="n">
        <f aca="false">AB5*(1-MIN(1,INDEX(Tabla_Mortalidad!$B$5:$B$75,MIN(71,Cartera_Polizas!$B$7+26-49))*(1+(Cartera_Polizas!$P$7-1)*MAX(0,1-26/Supuestos!$C$20))*(1-Supuestos!$C$18)^26))</f>
        <v>3.75555390183342E-005</v>
      </c>
      <c r="AD5" s="29" t="n">
        <f aca="false">AC5*(1-MIN(1,INDEX(Tabla_Mortalidad!$B$5:$B$75,MIN(71,Cartera_Polizas!$B$7+27-49))*(1+(Cartera_Polizas!$P$7-1)*MAX(0,1-27/Supuestos!$C$20))*(1-Supuestos!$C$18)^27))</f>
        <v>1.44155356657577E-005</v>
      </c>
      <c r="AE5" s="29" t="n">
        <f aca="false">AD5*(1-MIN(1,INDEX(Tabla_Mortalidad!$B$5:$B$75,MIN(71,Cartera_Polizas!$B$7+28-49))*(1+(Cartera_Polizas!$P$7-1)*MAX(0,1-28/Supuestos!$C$20))*(1-Supuestos!$C$18)^28))</f>
        <v>5.08885377732176E-006</v>
      </c>
      <c r="AF5" s="29" t="n">
        <f aca="false">AE5*(1-MIN(1,INDEX(Tabla_Mortalidad!$B$5:$B$75,MIN(71,Cartera_Polizas!$B$7+29-49))*(1+(Cartera_Polizas!$P$7-1)*MAX(0,1-29/Supuestos!$C$20))*(1-Supuestos!$C$18)^29))</f>
        <v>1.64793071226266E-006</v>
      </c>
      <c r="AG5" s="29" t="n">
        <f aca="false">AF5*(1-MIN(1,INDEX(Tabla_Mortalidad!$B$5:$B$75,MIN(71,Cartera_Polizas!$B$7+30-49))*(1+(Cartera_Polizas!$P$7-1)*MAX(0,1-30/Supuestos!$C$20))*(1-Supuestos!$C$18)^30))</f>
        <v>4.89046708229516E-007</v>
      </c>
      <c r="AH5" s="29" t="n">
        <f aca="false">AG5*(1-MIN(1,INDEX(Tabla_Mortalidad!$B$5:$B$75,MIN(71,Cartera_Polizas!$B$7+31-49))*(1+(Cartera_Polizas!$P$7-1)*MAX(0,1-31/Supuestos!$C$20))*(1-Supuestos!$C$18)^31))</f>
        <v>1.33133977747995E-007</v>
      </c>
      <c r="AI5" s="29" t="n">
        <f aca="false">AH5*(1-MIN(1,INDEX(Tabla_Mortalidad!$B$5:$B$75,MIN(71,Cartera_Polizas!$B$7+32-49))*(1+(Cartera_Polizas!$P$7-1)*MAX(0,1-32/Supuestos!$C$20))*(1-Supuestos!$C$18)^32))</f>
        <v>3.33617946739133E-008</v>
      </c>
      <c r="AJ5" s="29" t="n">
        <f aca="false">AI5*(1-MIN(1,INDEX(Tabla_Mortalidad!$B$5:$B$75,MIN(71,Cartera_Polizas!$B$7+33-49))*(1+(Cartera_Polizas!$P$7-1)*MAX(0,1-33/Supuestos!$C$20))*(1-Supuestos!$C$18)^33))</f>
        <v>7.74295830327839E-009</v>
      </c>
      <c r="AK5" s="29" t="n">
        <f aca="false">AJ5*(1-MIN(1,INDEX(Tabla_Mortalidad!$B$5:$B$75,MIN(71,Cartera_Polizas!$B$7+34-49))*(1+(Cartera_Polizas!$P$7-1)*MAX(0,1-34/Supuestos!$C$20))*(1-Supuestos!$C$18)^34))</f>
        <v>1.67929828040889E-009</v>
      </c>
      <c r="AL5" s="29" t="n">
        <f aca="false">AK5*(1-MIN(1,INDEX(Tabla_Mortalidad!$B$5:$B$75,MIN(71,Cartera_Polizas!$B$7+35-49))*(1+(Cartera_Polizas!$P$7-1)*MAX(0,1-35/Supuestos!$C$20))*(1-Supuestos!$C$18)^35))</f>
        <v>3.44200559399699E-010</v>
      </c>
      <c r="AM5" s="29" t="n">
        <f aca="false">AL5*(1-MIN(1,INDEX(Tabla_Mortalidad!$B$5:$B$75,MIN(71,Cartera_Polizas!$B$7+36-49))*(1+(Cartera_Polizas!$P$7-1)*MAX(0,1-36/Supuestos!$C$20))*(1-Supuestos!$C$18)^36))</f>
        <v>5.68298641696068E-011</v>
      </c>
      <c r="AN5" s="29" t="n">
        <f aca="false">AM5*(1-MIN(1,INDEX(Tabla_Mortalidad!$B$5:$B$75,MIN(71,Cartera_Polizas!$B$7+37-49))*(1+(Cartera_Polizas!$P$7-1)*MAX(0,1-37/Supuestos!$C$20))*(1-Supuestos!$C$18)^37))</f>
        <v>9.62023320122506E-012</v>
      </c>
      <c r="AO5" s="29" t="n">
        <f aca="false">AN5*(1-MIN(1,INDEX(Tabla_Mortalidad!$B$5:$B$75,MIN(71,Cartera_Polizas!$B$7+38-49))*(1+(Cartera_Polizas!$P$7-1)*MAX(0,1-38/Supuestos!$C$20))*(1-Supuestos!$C$18)^38))</f>
        <v>1.66848410651246E-012</v>
      </c>
      <c r="AP5" s="29" t="n">
        <f aca="false">AO5*(1-MIN(1,INDEX(Tabla_Mortalidad!$B$5:$B$75,MIN(71,Cartera_Polizas!$B$7+39-49))*(1+(Cartera_Polizas!$P$7-1)*MAX(0,1-39/Supuestos!$C$20))*(1-Supuestos!$C$18)^39))</f>
        <v>2.96268914587149E-013</v>
      </c>
      <c r="AQ5" s="29" t="n">
        <f aca="false">AP5*(1-MIN(1,INDEX(Tabla_Mortalidad!$B$5:$B$75,MIN(71,Cartera_Polizas!$B$7+40-49))*(1+(Cartera_Polizas!$P$7-1)*MAX(0,1-40/Supuestos!$C$20))*(1-Supuestos!$C$18)^40))</f>
        <v>5.38261005469369E-014</v>
      </c>
      <c r="AR5" s="29" t="n">
        <f aca="false">AQ5*(1-MIN(1,INDEX(Tabla_Mortalidad!$B$5:$B$75,MIN(71,Cartera_Polizas!$B$7+41-49))*(1+(Cartera_Polizas!$P$7-1)*MAX(0,1-41/Supuestos!$C$20))*(1-Supuestos!$C$18)^41))</f>
        <v>9.9993543387576E-015</v>
      </c>
      <c r="AS5" s="29" t="n">
        <f aca="false">AR5*(1-MIN(1,INDEX(Tabla_Mortalidad!$B$5:$B$75,MIN(71,Cartera_Polizas!$B$7+42-49))*(1+(Cartera_Polizas!$P$7-1)*MAX(0,1-42/Supuestos!$C$20))*(1-Supuestos!$C$18)^42))</f>
        <v>1.89830364782197E-015</v>
      </c>
      <c r="AT5" s="29" t="n">
        <f aca="false">AS5*(1-MIN(1,INDEX(Tabla_Mortalidad!$B$5:$B$75,MIN(71,Cartera_Polizas!$B$7+43-49))*(1+(Cartera_Polizas!$P$7-1)*MAX(0,1-43/Supuestos!$C$20))*(1-Supuestos!$C$18)^43))</f>
        <v>3.6806856573306E-016</v>
      </c>
      <c r="AU5" s="29" t="n">
        <f aca="false">AT5*(1-MIN(1,INDEX(Tabla_Mortalidad!$B$5:$B$75,MIN(71,Cartera_Polizas!$B$7+44-49))*(1+(Cartera_Polizas!$P$7-1)*MAX(0,1-44/Supuestos!$C$20))*(1-Supuestos!$C$18)^44))</f>
        <v>7.28495814665663E-017</v>
      </c>
    </row>
    <row r="6" customFormat="false" ht="15" hidden="false" customHeight="false" outlineLevel="0" collapsed="false">
      <c r="A6" s="14" t="n">
        <f aca="false">Cartera_Polizas!A8</f>
        <v>3</v>
      </c>
      <c r="B6" s="26" t="n">
        <f aca="false">SUM(C6:AU6)+0.5</f>
        <v>6.87015223431178</v>
      </c>
      <c r="C6" s="29" t="n">
        <f aca="false">1-MIN(1,INDEX(Tabla_Mortalidad!$B$5:$B$75,MIN(71,Cartera_Polizas!$B$8+0-49))*(1+(Cartera_Polizas!$P$8-1)*MAX(0,1-0/Supuestos!$C$20))*(1-Supuestos!$C$18)^0)</f>
        <v>0.9044186475</v>
      </c>
      <c r="D6" s="29" t="n">
        <f aca="false">C6*(1-MIN(1,INDEX(Tabla_Mortalidad!$B$5:$B$75,MIN(71,Cartera_Polizas!$B$8+1-49))*(1+(Cartera_Polizas!$P$8-1)*MAX(0,1-1/Supuestos!$C$20))*(1-Supuestos!$C$18)^1))</f>
        <v>0.811785670731259</v>
      </c>
      <c r="E6" s="29" t="n">
        <f aca="false">D6*(1-MIN(1,INDEX(Tabla_Mortalidad!$B$5:$B$75,MIN(71,Cartera_Polizas!$B$8+2-49))*(1+(Cartera_Polizas!$P$8-1)*MAX(0,1-2/Supuestos!$C$20))*(1-Supuestos!$C$18)^2))</f>
        <v>0.722820633152134</v>
      </c>
      <c r="F6" s="29" t="n">
        <f aca="false">E6*(1-MIN(1,INDEX(Tabla_Mortalidad!$B$5:$B$75,MIN(71,Cartera_Polizas!$B$8+3-49))*(1+(Cartera_Polizas!$P$8-1)*MAX(0,1-3/Supuestos!$C$20))*(1-Supuestos!$C$18)^3))</f>
        <v>0.638194617262005</v>
      </c>
      <c r="G6" s="29" t="n">
        <f aca="false">F6*(1-MIN(1,INDEX(Tabla_Mortalidad!$B$5:$B$75,MIN(71,Cartera_Polizas!$B$8+4-49))*(1+(Cartera_Polizas!$P$8-1)*MAX(0,1-4/Supuestos!$C$20))*(1-Supuestos!$C$18)^4))</f>
        <v>0.558507499554632</v>
      </c>
      <c r="H6" s="29" t="n">
        <f aca="false">G6*(1-MIN(1,INDEX(Tabla_Mortalidad!$B$5:$B$75,MIN(71,Cartera_Polizas!$B$8+5-49))*(1+(Cartera_Polizas!$P$8-1)*MAX(0,1-5/Supuestos!$C$20))*(1-Supuestos!$C$18)^5))</f>
        <v>0.484271743427153</v>
      </c>
      <c r="I6" s="29" t="n">
        <f aca="false">H6*(1-MIN(1,INDEX(Tabla_Mortalidad!$B$5:$B$75,MIN(71,Cartera_Polizas!$B$8+6-49))*(1+(Cartera_Polizas!$P$8-1)*MAX(0,1-6/Supuestos!$C$20))*(1-Supuestos!$C$18)^6))</f>
        <v>0.415887327320711</v>
      </c>
      <c r="J6" s="29" t="n">
        <f aca="false">I6*(1-MIN(1,INDEX(Tabla_Mortalidad!$B$5:$B$75,MIN(71,Cartera_Polizas!$B$8+7-49))*(1+(Cartera_Polizas!$P$8-1)*MAX(0,1-7/Supuestos!$C$20))*(1-Supuestos!$C$18)^7))</f>
        <v>0.353633048601236</v>
      </c>
      <c r="K6" s="29" t="n">
        <f aca="false">J6*(1-MIN(1,INDEX(Tabla_Mortalidad!$B$5:$B$75,MIN(71,Cartera_Polizas!$B$8+8-49))*(1+(Cartera_Polizas!$P$8-1)*MAX(0,1-8/Supuestos!$C$20))*(1-Supuestos!$C$18)^8))</f>
        <v>0.29765316900399</v>
      </c>
      <c r="L6" s="29" t="n">
        <f aca="false">K6*(1-MIN(1,INDEX(Tabla_Mortalidad!$B$5:$B$75,MIN(71,Cartera_Polizas!$B$8+9-49))*(1+(Cartera_Polizas!$P$8-1)*MAX(0,1-9/Supuestos!$C$20))*(1-Supuestos!$C$18)^9))</f>
        <v>0.247955536267824</v>
      </c>
      <c r="M6" s="29" t="n">
        <f aca="false">L6*(1-MIN(1,INDEX(Tabla_Mortalidad!$B$5:$B$75,MIN(71,Cartera_Polizas!$B$8+10-49))*(1+(Cartera_Polizas!$P$8-1)*MAX(0,1-10/Supuestos!$C$20))*(1-Supuestos!$C$18)^10))</f>
        <v>0.204414964727138</v>
      </c>
      <c r="N6" s="29" t="n">
        <f aca="false">M6*(1-MIN(1,INDEX(Tabla_Mortalidad!$B$5:$B$75,MIN(71,Cartera_Polizas!$B$8+11-49))*(1+(Cartera_Polizas!$P$8-1)*MAX(0,1-11/Supuestos!$C$20))*(1-Supuestos!$C$18)^11))</f>
        <v>0.166783737464803</v>
      </c>
      <c r="O6" s="29" t="n">
        <f aca="false">N6*(1-MIN(1,INDEX(Tabla_Mortalidad!$B$5:$B$75,MIN(71,Cartera_Polizas!$B$8+12-49))*(1+(Cartera_Polizas!$P$8-1)*MAX(0,1-12/Supuestos!$C$20))*(1-Supuestos!$C$18)^12))</f>
        <v>0.134707895953594</v>
      </c>
      <c r="P6" s="29" t="n">
        <f aca="false">O6*(1-MIN(1,INDEX(Tabla_Mortalidad!$B$5:$B$75,MIN(71,Cartera_Polizas!$B$8+13-49))*(1+(Cartera_Polizas!$P$8-1)*MAX(0,1-13/Supuestos!$C$20))*(1-Supuestos!$C$18)^13))</f>
        <v>0.107748046264324</v>
      </c>
      <c r="Q6" s="29" t="n">
        <f aca="false">P6*(1-MIN(1,INDEX(Tabla_Mortalidad!$B$5:$B$75,MIN(71,Cartera_Polizas!$B$8+14-49))*(1+(Cartera_Polizas!$P$8-1)*MAX(0,1-14/Supuestos!$C$20))*(1-Supuestos!$C$18)^14))</f>
        <v>0.0854045251684374</v>
      </c>
      <c r="R6" s="29" t="n">
        <f aca="false">Q6*(1-MIN(1,INDEX(Tabla_Mortalidad!$B$5:$B$75,MIN(71,Cartera_Polizas!$B$8+15-49))*(1+(Cartera_Polizas!$P$8-1)*MAX(0,1-15/Supuestos!$C$20))*(1-Supuestos!$C$18)^15))</f>
        <v>0.0671431356327379</v>
      </c>
      <c r="S6" s="29" t="n">
        <f aca="false">R6*(1-MIN(1,INDEX(Tabla_Mortalidad!$B$5:$B$75,MIN(71,Cartera_Polizas!$B$8+16-49))*(1+(Cartera_Polizas!$P$8-1)*MAX(0,1-16/Supuestos!$C$20))*(1-Supuestos!$C$18)^16))</f>
        <v>0.0514272450074905</v>
      </c>
      <c r="T6" s="29" t="n">
        <f aca="false">S6*(1-MIN(1,INDEX(Tabla_Mortalidad!$B$5:$B$75,MIN(71,Cartera_Polizas!$B$8+17-49))*(1+(Cartera_Polizas!$P$8-1)*MAX(0,1-17/Supuestos!$C$20))*(1-Supuestos!$C$18)^17))</f>
        <v>0.0382713155725098</v>
      </c>
      <c r="U6" s="29" t="n">
        <f aca="false">T6*(1-MIN(1,INDEX(Tabla_Mortalidad!$B$5:$B$75,MIN(71,Cartera_Polizas!$B$8+18-49))*(1+(Cartera_Polizas!$P$8-1)*MAX(0,1-18/Supuestos!$C$20))*(1-Supuestos!$C$18)^18))</f>
        <v>0.0275899659523519</v>
      </c>
      <c r="V6" s="29" t="n">
        <f aca="false">U6*(1-MIN(1,INDEX(Tabla_Mortalidad!$B$5:$B$75,MIN(71,Cartera_Polizas!$B$8+19-49))*(1+(Cartera_Polizas!$P$8-1)*MAX(0,1-19/Supuestos!$C$20))*(1-Supuestos!$C$18)^19))</f>
        <v>0.0192052742219588</v>
      </c>
      <c r="W6" s="29" t="n">
        <f aca="false">V6*(1-MIN(1,INDEX(Tabla_Mortalidad!$B$5:$B$75,MIN(71,Cartera_Polizas!$B$8+20-49))*(1+(Cartera_Polizas!$P$8-1)*MAX(0,1-20/Supuestos!$C$20))*(1-Supuestos!$C$18)^20))</f>
        <v>0.0128634665733318</v>
      </c>
      <c r="X6" s="29" t="n">
        <f aca="false">W6*(1-MIN(1,INDEX(Tabla_Mortalidad!$B$5:$B$75,MIN(71,Cartera_Polizas!$B$8+21-49))*(1+(Cartera_Polizas!$P$8-1)*MAX(0,1-21/Supuestos!$C$20))*(1-Supuestos!$C$18)^21))</f>
        <v>0.00825885661039057</v>
      </c>
      <c r="Y6" s="29" t="n">
        <f aca="false">X6*(1-MIN(1,INDEX(Tabla_Mortalidad!$B$5:$B$75,MIN(71,Cartera_Polizas!$B$8+22-49))*(1+(Cartera_Polizas!$P$8-1)*MAX(0,1-22/Supuestos!$C$20))*(1-Supuestos!$C$18)^22))</f>
        <v>0.00506225622139559</v>
      </c>
      <c r="Z6" s="29" t="n">
        <f aca="false">Y6*(1-MIN(1,INDEX(Tabla_Mortalidad!$B$5:$B$75,MIN(71,Cartera_Polizas!$B$8+23-49))*(1+(Cartera_Polizas!$P$8-1)*MAX(0,1-23/Supuestos!$C$20))*(1-Supuestos!$C$18)^23))</f>
        <v>0.00294956400858009</v>
      </c>
      <c r="AA6" s="29" t="n">
        <f aca="false">Z6*(1-MIN(1,INDEX(Tabla_Mortalidad!$B$5:$B$75,MIN(71,Cartera_Polizas!$B$8+24-49))*(1+(Cartera_Polizas!$P$8-1)*MAX(0,1-24/Supuestos!$C$20))*(1-Supuestos!$C$18)^24))</f>
        <v>0.00162626499576265</v>
      </c>
      <c r="AB6" s="29" t="n">
        <f aca="false">AA6*(1-MIN(1,INDEX(Tabla_Mortalidad!$B$5:$B$75,MIN(71,Cartera_Polizas!$B$8+25-49))*(1+(Cartera_Polizas!$P$8-1)*MAX(0,1-25/Supuestos!$C$20))*(1-Supuestos!$C$18)^25))</f>
        <v>0.000844502594248143</v>
      </c>
      <c r="AC6" s="29" t="n">
        <f aca="false">AB6*(1-MIN(1,INDEX(Tabla_Mortalidad!$B$5:$B$75,MIN(71,Cartera_Polizas!$B$8+26-49))*(1+(Cartera_Polizas!$P$8-1)*MAX(0,1-26/Supuestos!$C$20))*(1-Supuestos!$C$18)^26))</f>
        <v>0.000411060376118016</v>
      </c>
      <c r="AD6" s="29" t="n">
        <f aca="false">AC6*(1-MIN(1,INDEX(Tabla_Mortalidad!$B$5:$B$75,MIN(71,Cartera_Polizas!$B$8+27-49))*(1+(Cartera_Polizas!$P$8-1)*MAX(0,1-27/Supuestos!$C$20))*(1-Supuestos!$C$18)^27))</f>
        <v>0.000186654705357593</v>
      </c>
      <c r="AE6" s="29" t="n">
        <f aca="false">AD6*(1-MIN(1,INDEX(Tabla_Mortalidad!$B$5:$B$75,MIN(71,Cartera_Polizas!$B$8+28-49))*(1+(Cartera_Polizas!$P$8-1)*MAX(0,1-28/Supuestos!$C$20))*(1-Supuestos!$C$18)^28))</f>
        <v>7.87093660218517E-005</v>
      </c>
      <c r="AF6" s="29" t="n">
        <f aca="false">AE6*(1-MIN(1,INDEX(Tabla_Mortalidad!$B$5:$B$75,MIN(71,Cartera_Polizas!$B$8+29-49))*(1+(Cartera_Polizas!$P$8-1)*MAX(0,1-29/Supuestos!$C$20))*(1-Supuestos!$C$18)^29))</f>
        <v>3.06960176797303E-005</v>
      </c>
      <c r="AG6" s="29" t="n">
        <f aca="false">AF6*(1-MIN(1,INDEX(Tabla_Mortalidad!$B$5:$B$75,MIN(71,Cartera_Polizas!$B$8+30-49))*(1+(Cartera_Polizas!$P$8-1)*MAX(0,1-30/Supuestos!$C$20))*(1-Supuestos!$C$18)^30))</f>
        <v>1.1034158690174E-005</v>
      </c>
      <c r="AH6" s="29" t="n">
        <f aca="false">AG6*(1-MIN(1,INDEX(Tabla_Mortalidad!$B$5:$B$75,MIN(71,Cartera_Polizas!$B$8+31-49))*(1+(Cartera_Polizas!$P$8-1)*MAX(0,1-31/Supuestos!$C$20))*(1-Supuestos!$C$18)^31))</f>
        <v>3.64763019746539E-006</v>
      </c>
      <c r="AI6" s="29" t="n">
        <f aca="false">AH6*(1-MIN(1,INDEX(Tabla_Mortalidad!$B$5:$B$75,MIN(71,Cartera_Polizas!$B$8+32-49))*(1+(Cartera_Polizas!$P$8-1)*MAX(0,1-32/Supuestos!$C$20))*(1-Supuestos!$C$18)^32))</f>
        <v>1.10807308262332E-006</v>
      </c>
      <c r="AJ6" s="29" t="n">
        <f aca="false">AI6*(1-MIN(1,INDEX(Tabla_Mortalidad!$B$5:$B$75,MIN(71,Cartera_Polizas!$B$8+33-49))*(1+(Cartera_Polizas!$P$8-1)*MAX(0,1-33/Supuestos!$C$20))*(1-Supuestos!$C$18)^33))</f>
        <v>3.09696575618765E-007</v>
      </c>
      <c r="AK6" s="29" t="n">
        <f aca="false">AJ6*(1-MIN(1,INDEX(Tabla_Mortalidad!$B$5:$B$75,MIN(71,Cartera_Polizas!$B$8+34-49))*(1+(Cartera_Polizas!$P$8-1)*MAX(0,1-34/Supuestos!$C$20))*(1-Supuestos!$C$18)^34))</f>
        <v>7.99213867399229E-008</v>
      </c>
      <c r="AL6" s="29" t="n">
        <f aca="false">AK6*(1-MIN(1,INDEX(Tabla_Mortalidad!$B$5:$B$75,MIN(71,Cartera_Polizas!$B$8+35-49))*(1+(Cartera_Polizas!$P$8-1)*MAX(0,1-35/Supuestos!$C$20))*(1-Supuestos!$C$18)^35))</f>
        <v>1.91611906159853E-008</v>
      </c>
      <c r="AM6" s="29" t="n">
        <f aca="false">AL6*(1-MIN(1,INDEX(Tabla_Mortalidad!$B$5:$B$75,MIN(71,Cartera_Polizas!$B$8+36-49))*(1+(Cartera_Polizas!$P$8-1)*MAX(0,1-36/Supuestos!$C$20))*(1-Supuestos!$C$18)^36))</f>
        <v>4.30537243362729E-009</v>
      </c>
      <c r="AN6" s="29" t="n">
        <f aca="false">AM6*(1-MIN(1,INDEX(Tabla_Mortalidad!$B$5:$B$75,MIN(71,Cartera_Polizas!$B$8+37-49))*(1+(Cartera_Polizas!$P$8-1)*MAX(0,1-37/Supuestos!$C$20))*(1-Supuestos!$C$18)^37))</f>
        <v>9.16602395747688E-010</v>
      </c>
      <c r="AO6" s="29" t="n">
        <f aca="false">AN6*(1-MIN(1,INDEX(Tabla_Mortalidad!$B$5:$B$75,MIN(71,Cartera_Polizas!$B$8+38-49))*(1+(Cartera_Polizas!$P$8-1)*MAX(0,1-38/Supuestos!$C$20))*(1-Supuestos!$C$18)^38))</f>
        <v>1.58970837536611E-010</v>
      </c>
      <c r="AP6" s="29" t="n">
        <f aca="false">AO6*(1-MIN(1,INDEX(Tabla_Mortalidad!$B$5:$B$75,MIN(71,Cartera_Polizas!$B$8+39-49))*(1+(Cartera_Polizas!$P$8-1)*MAX(0,1-39/Supuestos!$C$20))*(1-Supuestos!$C$18)^39))</f>
        <v>2.82280887807966E-011</v>
      </c>
      <c r="AQ6" s="29" t="n">
        <f aca="false">AP6*(1-MIN(1,INDEX(Tabla_Mortalidad!$B$5:$B$75,MIN(71,Cartera_Polizas!$B$8+40-49))*(1+(Cartera_Polizas!$P$8-1)*MAX(0,1-40/Supuestos!$C$20))*(1-Supuestos!$C$18)^40))</f>
        <v>5.12847575345633E-012</v>
      </c>
      <c r="AR6" s="29" t="n">
        <f aca="false">AQ6*(1-MIN(1,INDEX(Tabla_Mortalidad!$B$5:$B$75,MIN(71,Cartera_Polizas!$B$8+41-49))*(1+(Cartera_Polizas!$P$8-1)*MAX(0,1-41/Supuestos!$C$20))*(1-Supuestos!$C$18)^41))</f>
        <v>9.52724528722248E-013</v>
      </c>
      <c r="AS6" s="29" t="n">
        <f aca="false">AR6*(1-MIN(1,INDEX(Tabla_Mortalidad!$B$5:$B$75,MIN(71,Cartera_Polizas!$B$8+42-49))*(1+(Cartera_Polizas!$P$8-1)*MAX(0,1-42/Supuestos!$C$20))*(1-Supuestos!$C$18)^42))</f>
        <v>1.80867722752149E-013</v>
      </c>
      <c r="AT6" s="29" t="n">
        <f aca="false">AS6*(1-MIN(1,INDEX(Tabla_Mortalidad!$B$5:$B$75,MIN(71,Cartera_Polizas!$B$8+43-49))*(1+(Cartera_Polizas!$P$8-1)*MAX(0,1-43/Supuestos!$C$20))*(1-Supuestos!$C$18)^43))</f>
        <v>3.50690593557937E-014</v>
      </c>
      <c r="AU6" s="29" t="n">
        <f aca="false">AT6*(1-MIN(1,INDEX(Tabla_Mortalidad!$B$5:$B$75,MIN(71,Cartera_Polizas!$B$8+44-49))*(1+(Cartera_Polizas!$P$8-1)*MAX(0,1-44/Supuestos!$C$20))*(1-Supuestos!$C$18)^44))</f>
        <v>6.94100647092089E-015</v>
      </c>
    </row>
    <row r="7" customFormat="false" ht="15" hidden="false" customHeight="false" outlineLevel="0" collapsed="false">
      <c r="A7" s="14" t="n">
        <f aca="false">Cartera_Polizas!A9</f>
        <v>4</v>
      </c>
      <c r="B7" s="26" t="n">
        <f aca="false">SUM(C7:AU7)+0.5</f>
        <v>8.8634763313502</v>
      </c>
      <c r="C7" s="29" t="n">
        <f aca="false">1-MIN(1,INDEX(Tabla_Mortalidad!$B$5:$B$75,MIN(71,Cartera_Polizas!$B$9+0-49))*(1+(Cartera_Polizas!$P$9-1)*MAX(0,1-0/Supuestos!$C$20))*(1-Supuestos!$C$18)^0)</f>
        <v>0.933162427</v>
      </c>
      <c r="D7" s="29" t="n">
        <f aca="false">C7*(1-MIN(1,INDEX(Tabla_Mortalidad!$B$5:$B$75,MIN(71,Cartera_Polizas!$B$9+1-49))*(1+(Cartera_Polizas!$P$9-1)*MAX(0,1-1/Supuestos!$C$20))*(1-Supuestos!$C$18)^1))</f>
        <v>0.866190932549064</v>
      </c>
      <c r="E7" s="29" t="n">
        <f aca="false">D7*(1-MIN(1,INDEX(Tabla_Mortalidad!$B$5:$B$75,MIN(71,Cartera_Polizas!$B$9+2-49))*(1+(Cartera_Polizas!$P$9-1)*MAX(0,1-2/Supuestos!$C$20))*(1-Supuestos!$C$18)^2))</f>
        <v>0.79952638964392</v>
      </c>
      <c r="F7" s="29" t="n">
        <f aca="false">E7*(1-MIN(1,INDEX(Tabla_Mortalidad!$B$5:$B$75,MIN(71,Cartera_Polizas!$B$9+3-49))*(1+(Cartera_Polizas!$P$9-1)*MAX(0,1-3/Supuestos!$C$20))*(1-Supuestos!$C$18)^3))</f>
        <v>0.733628548493084</v>
      </c>
      <c r="G7" s="29" t="n">
        <f aca="false">F7*(1-MIN(1,INDEX(Tabla_Mortalidad!$B$5:$B$75,MIN(71,Cartera_Polizas!$B$9+4-49))*(1+(Cartera_Polizas!$P$9-1)*MAX(0,1-4/Supuestos!$C$20))*(1-Supuestos!$C$18)^4))</f>
        <v>0.668969208493597</v>
      </c>
      <c r="H7" s="29" t="n">
        <f aca="false">G7*(1-MIN(1,INDEX(Tabla_Mortalidad!$B$5:$B$75,MIN(71,Cartera_Polizas!$B$9+5-49))*(1+(Cartera_Polizas!$P$9-1)*MAX(0,1-5/Supuestos!$C$20))*(1-Supuestos!$C$18)^5))</f>
        <v>0.606022677678291</v>
      </c>
      <c r="I7" s="29" t="n">
        <f aca="false">H7*(1-MIN(1,INDEX(Tabla_Mortalidad!$B$5:$B$75,MIN(71,Cartera_Polizas!$B$9+6-49))*(1+(Cartera_Polizas!$P$9-1)*MAX(0,1-6/Supuestos!$C$20))*(1-Supuestos!$C$18)^6))</f>
        <v>0.54525026800624</v>
      </c>
      <c r="J7" s="29" t="n">
        <f aca="false">I7*(1-MIN(1,INDEX(Tabla_Mortalidad!$B$5:$B$75,MIN(71,Cartera_Polizas!$B$9+7-49))*(1+(Cartera_Polizas!$P$9-1)*MAX(0,1-7/Supuestos!$C$20))*(1-Supuestos!$C$18)^7))</f>
        <v>0.487086697893533</v>
      </c>
      <c r="K7" s="29" t="n">
        <f aca="false">J7*(1-MIN(1,INDEX(Tabla_Mortalidad!$B$5:$B$75,MIN(71,Cartera_Polizas!$B$9+8-49))*(1+(Cartera_Polizas!$P$9-1)*MAX(0,1-8/Supuestos!$C$20))*(1-Supuestos!$C$18)^8))</f>
        <v>0.431930255259591</v>
      </c>
      <c r="L7" s="29" t="n">
        <f aca="false">K7*(1-MIN(1,INDEX(Tabla_Mortalidad!$B$5:$B$75,MIN(71,Cartera_Polizas!$B$9+9-49))*(1+(Cartera_Polizas!$P$9-1)*MAX(0,1-9/Supuestos!$C$20))*(1-Supuestos!$C$18)^9))</f>
        <v>0.38012527398569</v>
      </c>
      <c r="M7" s="29" t="n">
        <f aca="false">L7*(1-MIN(1,INDEX(Tabla_Mortalidad!$B$5:$B$75,MIN(71,Cartera_Polizas!$B$9+10-49))*(1+(Cartera_Polizas!$P$9-1)*MAX(0,1-10/Supuestos!$C$20))*(1-Supuestos!$C$18)^10))</f>
        <v>0.331954988895267</v>
      </c>
      <c r="N7" s="29" t="n">
        <f aca="false">M7*(1-MIN(1,INDEX(Tabla_Mortalidad!$B$5:$B$75,MIN(71,Cartera_Polizas!$B$9+11-49))*(1+(Cartera_Polizas!$P$9-1)*MAX(0,1-11/Supuestos!$C$20))*(1-Supuestos!$C$18)^11))</f>
        <v>0.28762928742752</v>
      </c>
      <c r="O7" s="29" t="n">
        <f aca="false">N7*(1-MIN(1,INDEX(Tabla_Mortalidad!$B$5:$B$75,MIN(71,Cartera_Polizas!$B$9+12-49))*(1+(Cartera_Polizas!$P$9-1)*MAX(0,1-12/Supuestos!$C$20))*(1-Supuestos!$C$18)^12))</f>
        <v>0.247279202966125</v>
      </c>
      <c r="P7" s="29" t="n">
        <f aca="false">O7*(1-MIN(1,INDEX(Tabla_Mortalidad!$B$5:$B$75,MIN(71,Cartera_Polizas!$B$9+13-49))*(1+(Cartera_Polizas!$P$9-1)*MAX(0,1-13/Supuestos!$C$20))*(1-Supuestos!$C$18)^13))</f>
        <v>0.210953766284308</v>
      </c>
      <c r="Q7" s="29" t="n">
        <f aca="false">P7*(1-MIN(1,INDEX(Tabla_Mortalidad!$B$5:$B$75,MIN(71,Cartera_Polizas!$B$9+14-49))*(1+(Cartera_Polizas!$P$9-1)*MAX(0,1-14/Supuestos!$C$20))*(1-Supuestos!$C$18)^14))</f>
        <v>0.178620968414518</v>
      </c>
      <c r="R7" s="29" t="n">
        <f aca="false">Q7*(1-MIN(1,INDEX(Tabla_Mortalidad!$B$5:$B$75,MIN(71,Cartera_Polizas!$B$9+15-49))*(1+(Cartera_Polizas!$P$9-1)*MAX(0,1-15/Supuestos!$C$20))*(1-Supuestos!$C$18)^15))</f>
        <v>0.150172322971592</v>
      </c>
      <c r="S7" s="29" t="n">
        <f aca="false">R7*(1-MIN(1,INDEX(Tabla_Mortalidad!$B$5:$B$75,MIN(71,Cartera_Polizas!$B$9+16-49))*(1+(Cartera_Polizas!$P$9-1)*MAX(0,1-16/Supuestos!$C$20))*(1-Supuestos!$C$18)^16))</f>
        <v>0.123886800265262</v>
      </c>
      <c r="T7" s="29" t="n">
        <f aca="false">S7*(1-MIN(1,INDEX(Tabla_Mortalidad!$B$5:$B$75,MIN(71,Cartera_Polizas!$B$9+17-49))*(1+(Cartera_Polizas!$P$9-1)*MAX(0,1-17/Supuestos!$C$20))*(1-Supuestos!$C$18)^17))</f>
        <v>0.100083611711562</v>
      </c>
      <c r="U7" s="29" t="n">
        <f aca="false">T7*(1-MIN(1,INDEX(Tabla_Mortalidad!$B$5:$B$75,MIN(71,Cartera_Polizas!$B$9+18-49))*(1+(Cartera_Polizas!$P$9-1)*MAX(0,1-18/Supuestos!$C$20))*(1-Supuestos!$C$18)^18))</f>
        <v>0.0790029057977015</v>
      </c>
      <c r="V7" s="29" t="n">
        <f aca="false">U7*(1-MIN(1,INDEX(Tabla_Mortalidad!$B$5:$B$75,MIN(71,Cartera_Polizas!$B$9+19-49))*(1+(Cartera_Polizas!$P$9-1)*MAX(0,1-19/Supuestos!$C$20))*(1-Supuestos!$C$18)^19))</f>
        <v>0.0607870455381902</v>
      </c>
      <c r="W7" s="29" t="n">
        <f aca="false">V7*(1-MIN(1,INDEX(Tabla_Mortalidad!$B$5:$B$75,MIN(71,Cartera_Polizas!$B$9+20-49))*(1+(Cartera_Polizas!$P$9-1)*MAX(0,1-20/Supuestos!$C$20))*(1-Supuestos!$C$18)^20))</f>
        <v>0.0454688166769302</v>
      </c>
      <c r="X7" s="29" t="n">
        <f aca="false">W7*(1-MIN(1,INDEX(Tabla_Mortalidad!$B$5:$B$75,MIN(71,Cartera_Polizas!$B$9+21-49))*(1+(Cartera_Polizas!$P$9-1)*MAX(0,1-21/Supuestos!$C$20))*(1-Supuestos!$C$18)^21))</f>
        <v>0.0329680792425283</v>
      </c>
      <c r="Y7" s="29" t="n">
        <f aca="false">X7*(1-MIN(1,INDEX(Tabla_Mortalidad!$B$5:$B$75,MIN(71,Cartera_Polizas!$B$9+22-49))*(1+(Cartera_Polizas!$P$9-1)*MAX(0,1-22/Supuestos!$C$20))*(1-Supuestos!$C$18)^22))</f>
        <v>0.0230984957995342</v>
      </c>
      <c r="Z7" s="29" t="n">
        <f aca="false">Y7*(1-MIN(1,INDEX(Tabla_Mortalidad!$B$5:$B$75,MIN(71,Cartera_Polizas!$B$9+23-49))*(1+(Cartera_Polizas!$P$9-1)*MAX(0,1-23/Supuestos!$C$20))*(1-Supuestos!$C$18)^23))</f>
        <v>0.0155849403792321</v>
      </c>
      <c r="AA7" s="29" t="n">
        <f aca="false">Z7*(1-MIN(1,INDEX(Tabla_Mortalidad!$B$5:$B$75,MIN(71,Cartera_Polizas!$B$9+24-49))*(1+(Cartera_Polizas!$P$9-1)*MAX(0,1-24/Supuestos!$C$20))*(1-Supuestos!$C$18)^24))</f>
        <v>0.0100894150489886</v>
      </c>
      <c r="AB7" s="29" t="n">
        <f aca="false">AA7*(1-MIN(1,INDEX(Tabla_Mortalidad!$B$5:$B$75,MIN(71,Cartera_Polizas!$B$9+25-49))*(1+(Cartera_Polizas!$P$9-1)*MAX(0,1-25/Supuestos!$C$20))*(1-Supuestos!$C$18)^25))</f>
        <v>0.00624257922126276</v>
      </c>
      <c r="AC7" s="29" t="n">
        <f aca="false">AB7*(1-MIN(1,INDEX(Tabla_Mortalidad!$B$5:$B$75,MIN(71,Cartera_Polizas!$B$9+26-49))*(1+(Cartera_Polizas!$P$9-1)*MAX(0,1-26/Supuestos!$C$20))*(1-Supuestos!$C$18)^26))</f>
        <v>0.00367617291686369</v>
      </c>
      <c r="AD7" s="29" t="n">
        <f aca="false">AC7*(1-MIN(1,INDEX(Tabla_Mortalidad!$B$5:$B$75,MIN(71,Cartera_Polizas!$B$9+27-49))*(1+(Cartera_Polizas!$P$9-1)*MAX(0,1-27/Supuestos!$C$20))*(1-Supuestos!$C$18)^27))</f>
        <v>0.00205150226024138</v>
      </c>
      <c r="AE7" s="29" t="n">
        <f aca="false">AD7*(1-MIN(1,INDEX(Tabla_Mortalidad!$B$5:$B$75,MIN(71,Cartera_Polizas!$B$9+28-49))*(1+(Cartera_Polizas!$P$9-1)*MAX(0,1-28/Supuestos!$C$20))*(1-Supuestos!$C$18)^28))</f>
        <v>0.00108004274327054</v>
      </c>
      <c r="AF7" s="29" t="n">
        <f aca="false">AE7*(1-MIN(1,INDEX(Tabla_Mortalidad!$B$5:$B$75,MIN(71,Cartera_Polizas!$B$9+29-49))*(1+(Cartera_Polizas!$P$9-1)*MAX(0,1-29/Supuestos!$C$20))*(1-Supuestos!$C$18)^29))</f>
        <v>0.000533982689320713</v>
      </c>
      <c r="AG7" s="29" t="n">
        <f aca="false">AF7*(1-MIN(1,INDEX(Tabla_Mortalidad!$B$5:$B$75,MIN(71,Cartera_Polizas!$B$9+30-49))*(1+(Cartera_Polizas!$P$9-1)*MAX(0,1-30/Supuestos!$C$20))*(1-Supuestos!$C$18)^30))</f>
        <v>0.000246822234426412</v>
      </c>
      <c r="AH7" s="29" t="n">
        <f aca="false">AG7*(1-MIN(1,INDEX(Tabla_Mortalidad!$B$5:$B$75,MIN(71,Cartera_Polizas!$B$9+31-49))*(1+(Cartera_Polizas!$P$9-1)*MAX(0,1-31/Supuestos!$C$20))*(1-Supuestos!$C$18)^31))</f>
        <v>0.000106211500448144</v>
      </c>
      <c r="AI7" s="29" t="n">
        <f aca="false">AH7*(1-MIN(1,INDEX(Tabla_Mortalidad!$B$5:$B$75,MIN(71,Cartera_Polizas!$B$9+32-49))*(1+(Cartera_Polizas!$P$9-1)*MAX(0,1-32/Supuestos!$C$20))*(1-Supuestos!$C$18)^32))</f>
        <v>4.23886251461933E-005</v>
      </c>
      <c r="AJ7" s="29" t="n">
        <f aca="false">AI7*(1-MIN(1,INDEX(Tabla_Mortalidad!$B$5:$B$75,MIN(71,Cartera_Polizas!$B$9+33-49))*(1+(Cartera_Polizas!$P$9-1)*MAX(0,1-33/Supuestos!$C$20))*(1-Supuestos!$C$18)^33))</f>
        <v>1.56424851369684E-005</v>
      </c>
      <c r="AK7" s="29" t="n">
        <f aca="false">AJ7*(1-MIN(1,INDEX(Tabla_Mortalidad!$B$5:$B$75,MIN(71,Cartera_Polizas!$B$9+34-49))*(1+(Cartera_Polizas!$P$9-1)*MAX(0,1-34/Supuestos!$C$20))*(1-Supuestos!$C$18)^34))</f>
        <v>5.32732094945E-006</v>
      </c>
      <c r="AL7" s="29" t="n">
        <f aca="false">AK7*(1-MIN(1,INDEX(Tabla_Mortalidad!$B$5:$B$75,MIN(71,Cartera_Polizas!$B$9+35-49))*(1+(Cartera_Polizas!$P$9-1)*MAX(0,1-35/Supuestos!$C$20))*(1-Supuestos!$C$18)^35))</f>
        <v>1.67368487670962E-006</v>
      </c>
      <c r="AM7" s="29" t="n">
        <f aca="false">AL7*(1-MIN(1,INDEX(Tabla_Mortalidad!$B$5:$B$75,MIN(71,Cartera_Polizas!$B$9+36-49))*(1+(Cartera_Polizas!$P$9-1)*MAX(0,1-36/Supuestos!$C$20))*(1-Supuestos!$C$18)^36))</f>
        <v>4.85778324043706E-007</v>
      </c>
      <c r="AN7" s="29" t="n">
        <f aca="false">AM7*(1-MIN(1,INDEX(Tabla_Mortalidad!$B$5:$B$75,MIN(71,Cartera_Polizas!$B$9+37-49))*(1+(Cartera_Polizas!$P$9-1)*MAX(0,1-37/Supuestos!$C$20))*(1-Supuestos!$C$18)^37))</f>
        <v>1.30740925321148E-007</v>
      </c>
      <c r="AO7" s="29" t="n">
        <f aca="false">AN7*(1-MIN(1,INDEX(Tabla_Mortalidad!$B$5:$B$75,MIN(71,Cartera_Polizas!$B$9+38-49))*(1+(Cartera_Polizas!$P$9-1)*MAX(0,1-38/Supuestos!$C$20))*(1-Supuestos!$C$18)^38))</f>
        <v>3.28286928822522E-008</v>
      </c>
      <c r="AP7" s="29" t="n">
        <f aca="false">AO7*(1-MIN(1,INDEX(Tabla_Mortalidad!$B$5:$B$75,MIN(71,Cartera_Polizas!$B$9+39-49))*(1+(Cartera_Polizas!$P$9-1)*MAX(0,1-39/Supuestos!$C$20))*(1-Supuestos!$C$18)^39))</f>
        <v>7.75623458976589E-009</v>
      </c>
      <c r="AQ7" s="29" t="n">
        <f aca="false">AP7*(1-MIN(1,INDEX(Tabla_Mortalidad!$B$5:$B$75,MIN(71,Cartera_Polizas!$B$9+40-49))*(1+(Cartera_Polizas!$P$9-1)*MAX(0,1-40/Supuestos!$C$20))*(1-Supuestos!$C$18)^40))</f>
        <v>1.74239899839904E-009</v>
      </c>
      <c r="AR7" s="29" t="n">
        <f aca="false">AQ7*(1-MIN(1,INDEX(Tabla_Mortalidad!$B$5:$B$75,MIN(71,Cartera_Polizas!$B$9+41-49))*(1+(Cartera_Polizas!$P$9-1)*MAX(0,1-41/Supuestos!$C$20))*(1-Supuestos!$C$18)^41))</f>
        <v>3.2368803995555E-010</v>
      </c>
      <c r="AS7" s="29" t="n">
        <f aca="false">AR7*(1-MIN(1,INDEX(Tabla_Mortalidad!$B$5:$B$75,MIN(71,Cartera_Polizas!$B$9+42-49))*(1+(Cartera_Polizas!$P$9-1)*MAX(0,1-42/Supuestos!$C$20))*(1-Supuestos!$C$18)^42))</f>
        <v>6.14497862749316E-011</v>
      </c>
      <c r="AT7" s="29" t="n">
        <f aca="false">AS7*(1-MIN(1,INDEX(Tabla_Mortalidad!$B$5:$B$75,MIN(71,Cartera_Polizas!$B$9+43-49))*(1+(Cartera_Polizas!$P$9-1)*MAX(0,1-43/Supuestos!$C$20))*(1-Supuestos!$C$18)^43))</f>
        <v>1.19147085476909E-011</v>
      </c>
      <c r="AU7" s="29" t="n">
        <f aca="false">AT7*(1-MIN(1,INDEX(Tabla_Mortalidad!$B$5:$B$75,MIN(71,Cartera_Polizas!$B$9+44-49))*(1+(Cartera_Polizas!$P$9-1)*MAX(0,1-44/Supuestos!$C$20))*(1-Supuestos!$C$18)^44))</f>
        <v>2.3582060838765E-012</v>
      </c>
    </row>
    <row r="8" customFormat="false" ht="15" hidden="false" customHeight="false" outlineLevel="0" collapsed="false">
      <c r="A8" s="14" t="n">
        <f aca="false">Cartera_Polizas!A10</f>
        <v>5</v>
      </c>
      <c r="B8" s="26" t="n">
        <f aca="false">SUM(C8:AU8)+0.5</f>
        <v>9.85547154874584</v>
      </c>
      <c r="C8" s="29" t="n">
        <f aca="false">1-MIN(1,INDEX(Tabla_Mortalidad!$B$5:$B$75,MIN(71,Cartera_Polizas!$B$10+0-49))*(1+(Cartera_Polizas!$P$10-1)*MAX(0,1-0/Supuestos!$C$20))*(1-Supuestos!$C$18)^0)</f>
        <v>0.9552440096875</v>
      </c>
      <c r="D8" s="29" t="n">
        <f aca="false">C8*(1-MIN(1,INDEX(Tabla_Mortalidad!$B$5:$B$75,MIN(71,Cartera_Polizas!$B$10+1-49))*(1+(Cartera_Polizas!$P$10-1)*MAX(0,1-1/Supuestos!$C$20))*(1-Supuestos!$C$18)^1))</f>
        <v>0.907929323249548</v>
      </c>
      <c r="E8" s="29" t="n">
        <f aca="false">D8*(1-MIN(1,INDEX(Tabla_Mortalidad!$B$5:$B$75,MIN(71,Cartera_Polizas!$B$10+2-49))*(1+(Cartera_Polizas!$P$10-1)*MAX(0,1-2/Supuestos!$C$20))*(1-Supuestos!$C$18)^2))</f>
        <v>0.858174057901594</v>
      </c>
      <c r="F8" s="29" t="n">
        <f aca="false">E8*(1-MIN(1,INDEX(Tabla_Mortalidad!$B$5:$B$75,MIN(71,Cartera_Polizas!$B$10+3-49))*(1+(Cartera_Polizas!$P$10-1)*MAX(0,1-3/Supuestos!$C$20))*(1-Supuestos!$C$18)^3))</f>
        <v>0.8061607420593</v>
      </c>
      <c r="G8" s="29" t="n">
        <f aca="false">F8*(1-MIN(1,INDEX(Tabla_Mortalidad!$B$5:$B$75,MIN(71,Cartera_Polizas!$B$10+4-49))*(1+(Cartera_Polizas!$P$10-1)*MAX(0,1-4/Supuestos!$C$20))*(1-Supuestos!$C$18)^4))</f>
        <v>0.752141461388255</v>
      </c>
      <c r="H8" s="29" t="n">
        <f aca="false">G8*(1-MIN(1,INDEX(Tabla_Mortalidad!$B$5:$B$75,MIN(71,Cartera_Polizas!$B$10+5-49))*(1+(Cartera_Polizas!$P$10-1)*MAX(0,1-5/Supuestos!$C$20))*(1-Supuestos!$C$18)^5))</f>
        <v>0.696443212453822</v>
      </c>
      <c r="I8" s="29" t="n">
        <f aca="false">H8*(1-MIN(1,INDEX(Tabla_Mortalidad!$B$5:$B$75,MIN(71,Cartera_Polizas!$B$10+6-49))*(1+(Cartera_Polizas!$P$10-1)*MAX(0,1-6/Supuestos!$C$20))*(1-Supuestos!$C$18)^6))</f>
        <v>0.639474902024533</v>
      </c>
      <c r="J8" s="29" t="n">
        <f aca="false">I8*(1-MIN(1,INDEX(Tabla_Mortalidad!$B$5:$B$75,MIN(71,Cartera_Polizas!$B$10+7-49))*(1+(Cartera_Polizas!$P$10-1)*MAX(0,1-7/Supuestos!$C$20))*(1-Supuestos!$C$18)^7))</f>
        <v>0.581723516269505</v>
      </c>
      <c r="K8" s="29" t="n">
        <f aca="false">J8*(1-MIN(1,INDEX(Tabla_Mortalidad!$B$5:$B$75,MIN(71,Cartera_Polizas!$B$10+8-49))*(1+(Cartera_Polizas!$P$10-1)*MAX(0,1-8/Supuestos!$C$20))*(1-Supuestos!$C$18)^8))</f>
        <v>0.523754904252035</v>
      </c>
      <c r="L8" s="29" t="n">
        <f aca="false">K8*(1-MIN(1,INDEX(Tabla_Mortalidad!$B$5:$B$75,MIN(71,Cartera_Polizas!$B$10+9-49))*(1+(Cartera_Polizas!$P$10-1)*MAX(0,1-9/Supuestos!$C$20))*(1-Supuestos!$C$18)^9))</f>
        <v>0.466202060774633</v>
      </c>
      <c r="M8" s="29" t="n">
        <f aca="false">L8*(1-MIN(1,INDEX(Tabla_Mortalidad!$B$5:$B$75,MIN(71,Cartera_Polizas!$B$10+10-49))*(1+(Cartera_Polizas!$P$10-1)*MAX(0,1-10/Supuestos!$C$20))*(1-Supuestos!$C$18)^10))</f>
        <v>0.409751368980825</v>
      </c>
      <c r="N8" s="29" t="n">
        <f aca="false">M8*(1-MIN(1,INDEX(Tabla_Mortalidad!$B$5:$B$75,MIN(71,Cartera_Polizas!$B$10+11-49))*(1+(Cartera_Polizas!$P$10-1)*MAX(0,1-11/Supuestos!$C$20))*(1-Supuestos!$C$18)^11))</f>
        <v>0.35512118232381</v>
      </c>
      <c r="O8" s="29" t="n">
        <f aca="false">N8*(1-MIN(1,INDEX(Tabla_Mortalidad!$B$5:$B$75,MIN(71,Cartera_Polizas!$B$10+12-49))*(1+(Cartera_Polizas!$P$10-1)*MAX(0,1-12/Supuestos!$C$20))*(1-Supuestos!$C$18)^12))</f>
        <v>0.303034364223088</v>
      </c>
      <c r="P8" s="29" t="n">
        <f aca="false">O8*(1-MIN(1,INDEX(Tabla_Mortalidad!$B$5:$B$75,MIN(71,Cartera_Polizas!$B$10+13-49))*(1+(Cartera_Polizas!$P$10-1)*MAX(0,1-13/Supuestos!$C$20))*(1-Supuestos!$C$18)^13))</f>
        <v>0.254184804627526</v>
      </c>
      <c r="Q8" s="29" t="n">
        <f aca="false">P8*(1-MIN(1,INDEX(Tabla_Mortalidad!$B$5:$B$75,MIN(71,Cartera_Polizas!$B$10+14-49))*(1+(Cartera_Polizas!$P$10-1)*MAX(0,1-14/Supuestos!$C$20))*(1-Supuestos!$C$18)^14))</f>
        <v>0.209199231478349</v>
      </c>
      <c r="R8" s="29" t="n">
        <f aca="false">Q8*(1-MIN(1,INDEX(Tabla_Mortalidad!$B$5:$B$75,MIN(71,Cartera_Polizas!$B$10+15-49))*(1+(Cartera_Polizas!$P$10-1)*MAX(0,1-15/Supuestos!$C$20))*(1-Supuestos!$C$18)^15))</f>
        <v>0.168599419351177</v>
      </c>
      <c r="S8" s="29" t="n">
        <f aca="false">R8*(1-MIN(1,INDEX(Tabla_Mortalidad!$B$5:$B$75,MIN(71,Cartera_Polizas!$B$10+16-49))*(1+(Cartera_Polizas!$P$10-1)*MAX(0,1-16/Supuestos!$C$20))*(1-Supuestos!$C$18)^16))</f>
        <v>0.132729360149263</v>
      </c>
      <c r="T8" s="29" t="n">
        <f aca="false">S8*(1-MIN(1,INDEX(Tabla_Mortalidad!$B$5:$B$75,MIN(71,Cartera_Polizas!$B$10+17-49))*(1+(Cartera_Polizas!$P$10-1)*MAX(0,1-17/Supuestos!$C$20))*(1-Supuestos!$C$18)^17))</f>
        <v>0.101817334865198</v>
      </c>
      <c r="U8" s="29" t="n">
        <f aca="false">T8*(1-MIN(1,INDEX(Tabla_Mortalidad!$B$5:$B$75,MIN(71,Cartera_Polizas!$B$10+18-49))*(1+(Cartera_Polizas!$P$10-1)*MAX(0,1-18/Supuestos!$C$20))*(1-Supuestos!$C$18)^18))</f>
        <v>0.0759010299146511</v>
      </c>
      <c r="V8" s="29" t="n">
        <f aca="false">U8*(1-MIN(1,INDEX(Tabla_Mortalidad!$B$5:$B$75,MIN(71,Cartera_Polizas!$B$10+19-49))*(1+(Cartera_Polizas!$P$10-1)*MAX(0,1-19/Supuestos!$C$20))*(1-Supuestos!$C$18)^19))</f>
        <v>0.0548233168076932</v>
      </c>
      <c r="W8" s="29" t="n">
        <f aca="false">V8*(1-MIN(1,INDEX(Tabla_Mortalidad!$B$5:$B$75,MIN(71,Cartera_Polizas!$B$10+20-49))*(1+(Cartera_Polizas!$P$10-1)*MAX(0,1-20/Supuestos!$C$20))*(1-Supuestos!$C$18)^20))</f>
        <v>0.0382456150155006</v>
      </c>
      <c r="X8" s="29" t="n">
        <f aca="false">W8*(1-MIN(1,INDEX(Tabla_Mortalidad!$B$5:$B$75,MIN(71,Cartera_Polizas!$B$10+21-49))*(1+(Cartera_Polizas!$P$10-1)*MAX(0,1-21/Supuestos!$C$20))*(1-Supuestos!$C$18)^21))</f>
        <v>0.0256796084397314</v>
      </c>
      <c r="Y8" s="29" t="n">
        <f aca="false">X8*(1-MIN(1,INDEX(Tabla_Mortalidad!$B$5:$B$75,MIN(71,Cartera_Polizas!$B$10+22-49))*(1+(Cartera_Polizas!$P$10-1)*MAX(0,1-22/Supuestos!$C$20))*(1-Supuestos!$C$18)^22))</f>
        <v>0.0165332902765076</v>
      </c>
      <c r="Z8" s="29" t="n">
        <f aca="false">Y8*(1-MIN(1,INDEX(Tabla_Mortalidad!$B$5:$B$75,MIN(71,Cartera_Polizas!$B$10+23-49))*(1+(Cartera_Polizas!$P$10-1)*MAX(0,1-23/Supuestos!$C$20))*(1-Supuestos!$C$18)^23))</f>
        <v>0.0101660565298355</v>
      </c>
      <c r="AA8" s="29" t="n">
        <f aca="false">Z8*(1-MIN(1,INDEX(Tabla_Mortalidad!$B$5:$B$75,MIN(71,Cartera_Polizas!$B$10+24-49))*(1+(Cartera_Polizas!$P$10-1)*MAX(0,1-24/Supuestos!$C$20))*(1-Supuestos!$C$18)^24))</f>
        <v>0.00594454762379161</v>
      </c>
      <c r="AB8" s="29" t="n">
        <f aca="false">AA8*(1-MIN(1,INDEX(Tabla_Mortalidad!$B$5:$B$75,MIN(71,Cartera_Polizas!$B$10+25-49))*(1+(Cartera_Polizas!$P$10-1)*MAX(0,1-25/Supuestos!$C$20))*(1-Supuestos!$C$18)^25))</f>
        <v>0.00329090731985849</v>
      </c>
      <c r="AC8" s="29" t="n">
        <f aca="false">AB8*(1-MIN(1,INDEX(Tabla_Mortalidad!$B$5:$B$75,MIN(71,Cartera_Polizas!$B$10+26-49))*(1+(Cartera_Polizas!$P$10-1)*MAX(0,1-26/Supuestos!$C$20))*(1-Supuestos!$C$18)^26))</f>
        <v>0.00171684400412801</v>
      </c>
      <c r="AD8" s="29" t="n">
        <f aca="false">AC8*(1-MIN(1,INDEX(Tabla_Mortalidad!$B$5:$B$75,MIN(71,Cartera_Polizas!$B$10+27-49))*(1+(Cartera_Polizas!$P$10-1)*MAX(0,1-27/Supuestos!$C$20))*(1-Supuestos!$C$18)^27))</f>
        <v>0.000840077117905248</v>
      </c>
      <c r="AE8" s="29" t="n">
        <f aca="false">AD8*(1-MIN(1,INDEX(Tabla_Mortalidad!$B$5:$B$75,MIN(71,Cartera_Polizas!$B$10+28-49))*(1+(Cartera_Polizas!$P$10-1)*MAX(0,1-28/Supuestos!$C$20))*(1-Supuestos!$C$18)^28))</f>
        <v>0.000383756125452094</v>
      </c>
      <c r="AF8" s="29" t="n">
        <f aca="false">AE8*(1-MIN(1,INDEX(Tabla_Mortalidad!$B$5:$B$75,MIN(71,Cartera_Polizas!$B$10+29-49))*(1+(Cartera_Polizas!$P$10-1)*MAX(0,1-29/Supuestos!$C$20))*(1-Supuestos!$C$18)^29))</f>
        <v>0.000162933608927742</v>
      </c>
      <c r="AG8" s="29" t="n">
        <f aca="false">AF8*(1-MIN(1,INDEX(Tabla_Mortalidad!$B$5:$B$75,MIN(71,Cartera_Polizas!$B$10+30-49))*(1+(Cartera_Polizas!$P$10-1)*MAX(0,1-30/Supuestos!$C$20))*(1-Supuestos!$C$18)^30))</f>
        <v>6.40397469276946E-005</v>
      </c>
      <c r="AH8" s="29" t="n">
        <f aca="false">AG8*(1-MIN(1,INDEX(Tabla_Mortalidad!$B$5:$B$75,MIN(71,Cartera_Polizas!$B$10+31-49))*(1+(Cartera_Polizas!$P$10-1)*MAX(0,1-31/Supuestos!$C$20))*(1-Supuestos!$C$18)^31))</f>
        <v>2.32251766299519E-005</v>
      </c>
      <c r="AI8" s="29" t="n">
        <f aca="false">AH8*(1-MIN(1,INDEX(Tabla_Mortalidad!$B$5:$B$75,MIN(71,Cartera_Polizas!$B$10+32-49))*(1+(Cartera_Polizas!$P$10-1)*MAX(0,1-32/Supuestos!$C$20))*(1-Supuestos!$C$18)^32))</f>
        <v>7.75542795462161E-006</v>
      </c>
      <c r="AJ8" s="29" t="n">
        <f aca="false">AI8*(1-MIN(1,INDEX(Tabla_Mortalidad!$B$5:$B$75,MIN(71,Cartera_Polizas!$B$10+33-49))*(1+(Cartera_Polizas!$P$10-1)*MAX(0,1-33/Supuestos!$C$20))*(1-Supuestos!$C$18)^33))</f>
        <v>2.38293282251705E-006</v>
      </c>
      <c r="AK8" s="29" t="n">
        <f aca="false">AJ8*(1-MIN(1,INDEX(Tabla_Mortalidad!$B$5:$B$75,MIN(71,Cartera_Polizas!$B$10+34-49))*(1+(Cartera_Polizas!$P$10-1)*MAX(0,1-34/Supuestos!$C$20))*(1-Supuestos!$C$18)^34))</f>
        <v>6.74593160597092E-007</v>
      </c>
      <c r="AL8" s="29" t="n">
        <f aca="false">AK8*(1-MIN(1,INDEX(Tabla_Mortalidad!$B$5:$B$75,MIN(71,Cartera_Polizas!$B$10+35-49))*(1+(Cartera_Polizas!$P$10-1)*MAX(0,1-35/Supuestos!$C$20))*(1-Supuestos!$C$18)^35))</f>
        <v>1.76590408290379E-007</v>
      </c>
      <c r="AM8" s="29" t="n">
        <f aca="false">AL8*(1-MIN(1,INDEX(Tabla_Mortalidad!$B$5:$B$75,MIN(71,Cartera_Polizas!$B$10+36-49))*(1+(Cartera_Polizas!$P$10-1)*MAX(0,1-36/Supuestos!$C$20))*(1-Supuestos!$C$18)^36))</f>
        <v>4.30088985392473E-008</v>
      </c>
      <c r="AN8" s="29" t="n">
        <f aca="false">AM8*(1-MIN(1,INDEX(Tabla_Mortalidad!$B$5:$B$75,MIN(71,Cartera_Polizas!$B$10+37-49))*(1+(Cartera_Polizas!$P$10-1)*MAX(0,1-37/Supuestos!$C$20))*(1-Supuestos!$C$18)^37))</f>
        <v>9.83049497451463E-009</v>
      </c>
      <c r="AO8" s="29" t="n">
        <f aca="false">AN8*(1-MIN(1,INDEX(Tabla_Mortalidad!$B$5:$B$75,MIN(71,Cartera_Polizas!$B$10+38-49))*(1+(Cartera_Polizas!$P$10-1)*MAX(0,1-38/Supuestos!$C$20))*(1-Supuestos!$C$18)^38))</f>
        <v>2.13157440398941E-009</v>
      </c>
      <c r="AP8" s="29" t="n">
        <f aca="false">AO8*(1-MIN(1,INDEX(Tabla_Mortalidad!$B$5:$B$75,MIN(71,Cartera_Polizas!$B$10+39-49))*(1+(Cartera_Polizas!$P$10-1)*MAX(0,1-39/Supuestos!$C$20))*(1-Supuestos!$C$18)^39))</f>
        <v>3.78498801736698E-010</v>
      </c>
      <c r="AQ8" s="29" t="n">
        <f aca="false">AP8*(1-MIN(1,INDEX(Tabla_Mortalidad!$B$5:$B$75,MIN(71,Cartera_Polizas!$B$10+40-49))*(1+(Cartera_Polizas!$P$10-1)*MAX(0,1-40/Supuestos!$C$20))*(1-Supuestos!$C$18)^40))</f>
        <v>6.87656164925861E-011</v>
      </c>
      <c r="AR8" s="29" t="n">
        <f aca="false">AQ8*(1-MIN(1,INDEX(Tabla_Mortalidad!$B$5:$B$75,MIN(71,Cartera_Polizas!$B$10+41-49))*(1+(Cartera_Polizas!$P$10-1)*MAX(0,1-41/Supuestos!$C$20))*(1-Supuestos!$C$18)^41))</f>
        <v>1.27746903202263E-011</v>
      </c>
      <c r="AS8" s="29" t="n">
        <f aca="false">AR8*(1-MIN(1,INDEX(Tabla_Mortalidad!$B$5:$B$75,MIN(71,Cartera_Polizas!$B$10+42-49))*(1+(Cartera_Polizas!$P$10-1)*MAX(0,1-42/Supuestos!$C$20))*(1-Supuestos!$C$18)^42))</f>
        <v>2.42518070798705E-012</v>
      </c>
      <c r="AT8" s="29" t="n">
        <f aca="false">AS8*(1-MIN(1,INDEX(Tabla_Mortalidad!$B$5:$B$75,MIN(71,Cartera_Polizas!$B$10+43-49))*(1+(Cartera_Polizas!$P$10-1)*MAX(0,1-43/Supuestos!$C$20))*(1-Supuestos!$C$18)^43))</f>
        <v>4.70226555091147E-013</v>
      </c>
      <c r="AU8" s="29" t="n">
        <f aca="false">AT8*(1-MIN(1,INDEX(Tabla_Mortalidad!$B$5:$B$75,MIN(71,Cartera_Polizas!$B$10+44-49))*(1+(Cartera_Polizas!$P$10-1)*MAX(0,1-44/Supuestos!$C$20))*(1-Supuestos!$C$18)^44))</f>
        <v>9.30690934299975E-014</v>
      </c>
    </row>
    <row r="9" customFormat="false" ht="15" hidden="false" customHeight="false" outlineLevel="0" collapsed="false">
      <c r="A9" s="14" t="n">
        <f aca="false">Cartera_Polizas!A11</f>
        <v>6</v>
      </c>
      <c r="B9" s="26" t="n">
        <f aca="false">SUM(C9:AU9)+0.5</f>
        <v>10.5435458704076</v>
      </c>
      <c r="C9" s="29" t="n">
        <f aca="false">1-MIN(1,INDEX(Tabla_Mortalidad!$B$5:$B$75,MIN(71,Cartera_Polizas!$B$11+0-49))*(1+(Cartera_Polizas!$P$11-1)*MAX(0,1-0/Supuestos!$C$20))*(1-Supuestos!$C$18)^0)</f>
        <v>0.953343467</v>
      </c>
      <c r="D9" s="29" t="n">
        <f aca="false">C9*(1-MIN(1,INDEX(Tabla_Mortalidad!$B$5:$B$75,MIN(71,Cartera_Polizas!$B$11+1-49))*(1+(Cartera_Polizas!$P$11-1)*MAX(0,1-1/Supuestos!$C$20))*(1-Supuestos!$C$18)^1))</f>
        <v>0.905072299307462</v>
      </c>
      <c r="E9" s="29" t="n">
        <f aca="false">D9*(1-MIN(1,INDEX(Tabla_Mortalidad!$B$5:$B$75,MIN(71,Cartera_Polizas!$B$11+2-49))*(1+(Cartera_Polizas!$P$11-1)*MAX(0,1-2/Supuestos!$C$20))*(1-Supuestos!$C$18)^2))</f>
        <v>0.855373263852883</v>
      </c>
      <c r="F9" s="29" t="n">
        <f aca="false">E9*(1-MIN(1,INDEX(Tabla_Mortalidad!$B$5:$B$75,MIN(71,Cartera_Polizas!$B$11+3-49))*(1+(Cartera_Polizas!$P$11-1)*MAX(0,1-3/Supuestos!$C$20))*(1-Supuestos!$C$18)^3))</f>
        <v>0.804472570070432</v>
      </c>
      <c r="G9" s="29" t="n">
        <f aca="false">F9*(1-MIN(1,INDEX(Tabla_Mortalidad!$B$5:$B$75,MIN(71,Cartera_Polizas!$B$11+4-49))*(1+(Cartera_Polizas!$P$11-1)*MAX(0,1-4/Supuestos!$C$20))*(1-Supuestos!$C$18)^4))</f>
        <v>0.752634026171094</v>
      </c>
      <c r="H9" s="29" t="n">
        <f aca="false">G9*(1-MIN(1,INDEX(Tabla_Mortalidad!$B$5:$B$75,MIN(71,Cartera_Polizas!$B$11+5-49))*(1+(Cartera_Polizas!$P$11-1)*MAX(0,1-5/Supuestos!$C$20))*(1-Supuestos!$C$18)^5))</f>
        <v>0.700160095924563</v>
      </c>
      <c r="I9" s="29" t="n">
        <f aca="false">H9*(1-MIN(1,INDEX(Tabla_Mortalidad!$B$5:$B$75,MIN(71,Cartera_Polizas!$B$11+6-49))*(1+(Cartera_Polizas!$P$11-1)*MAX(0,1-6/Supuestos!$C$20))*(1-Supuestos!$C$18)^6))</f>
        <v>0.647390854022725</v>
      </c>
      <c r="J9" s="29" t="n">
        <f aca="false">I9*(1-MIN(1,INDEX(Tabla_Mortalidad!$B$5:$B$75,MIN(71,Cartera_Polizas!$B$11+7-49))*(1+(Cartera_Polizas!$P$11-1)*MAX(0,1-7/Supuestos!$C$20))*(1-Supuestos!$C$18)^7))</f>
        <v>0.594697408072822</v>
      </c>
      <c r="K9" s="29" t="n">
        <f aca="false">J9*(1-MIN(1,INDEX(Tabla_Mortalidad!$B$5:$B$75,MIN(71,Cartera_Polizas!$B$11+8-49))*(1+(Cartera_Polizas!$P$11-1)*MAX(0,1-8/Supuestos!$C$20))*(1-Supuestos!$C$18)^8))</f>
        <v>0.542475379538838</v>
      </c>
      <c r="L9" s="29" t="n">
        <f aca="false">K9*(1-MIN(1,INDEX(Tabla_Mortalidad!$B$5:$B$75,MIN(71,Cartera_Polizas!$B$11+9-49))*(1+(Cartera_Polizas!$P$11-1)*MAX(0,1-9/Supuestos!$C$20))*(1-Supuestos!$C$18)^9))</f>
        <v>0.491140011025727</v>
      </c>
      <c r="M9" s="29" t="n">
        <f aca="false">L9*(1-MIN(1,INDEX(Tabla_Mortalidad!$B$5:$B$75,MIN(71,Cartera_Polizas!$B$11+10-49))*(1+(Cartera_Polizas!$P$11-1)*MAX(0,1-10/Supuestos!$C$20))*(1-Supuestos!$C$18)^10))</f>
        <v>0.44111210029794</v>
      </c>
      <c r="N9" s="29" t="n">
        <f aca="false">M9*(1-MIN(1,INDEX(Tabla_Mortalidad!$B$5:$B$75,MIN(71,Cartera_Polizas!$B$11+11-49))*(1+(Cartera_Polizas!$P$11-1)*MAX(0,1-11/Supuestos!$C$20))*(1-Supuestos!$C$18)^11))</f>
        <v>0.392810410351958</v>
      </c>
      <c r="O9" s="29" t="n">
        <f aca="false">N9*(1-MIN(1,INDEX(Tabla_Mortalidad!$B$5:$B$75,MIN(71,Cartera_Polizas!$B$11+12-49))*(1+(Cartera_Polizas!$P$11-1)*MAX(0,1-12/Supuestos!$C$20))*(1-Supuestos!$C$18)^12))</f>
        <v>0.346636126340664</v>
      </c>
      <c r="P9" s="29" t="n">
        <f aca="false">O9*(1-MIN(1,INDEX(Tabla_Mortalidad!$B$5:$B$75,MIN(71,Cartera_Polizas!$B$11+13-49))*(1+(Cartera_Polizas!$P$11-1)*MAX(0,1-13/Supuestos!$C$20))*(1-Supuestos!$C$18)^13))</f>
        <v>0.302960159901969</v>
      </c>
      <c r="Q9" s="29" t="n">
        <f aca="false">P9*(1-MIN(1,INDEX(Tabla_Mortalidad!$B$5:$B$75,MIN(71,Cartera_Polizas!$B$11+14-49))*(1+(Cartera_Polizas!$P$11-1)*MAX(0,1-14/Supuestos!$C$20))*(1-Supuestos!$C$18)^14))</f>
        <v>0.26210943446605</v>
      </c>
      <c r="R9" s="29" t="n">
        <f aca="false">Q9*(1-MIN(1,INDEX(Tabla_Mortalidad!$B$5:$B$75,MIN(71,Cartera_Polizas!$B$11+15-49))*(1+(Cartera_Polizas!$P$11-1)*MAX(0,1-15/Supuestos!$C$20))*(1-Supuestos!$C$18)^15))</f>
        <v>0.224354375647886</v>
      </c>
      <c r="S9" s="29" t="n">
        <f aca="false">R9*(1-MIN(1,INDEX(Tabla_Mortalidad!$B$5:$B$75,MIN(71,Cartera_Polizas!$B$11+16-49))*(1+(Cartera_Polizas!$P$11-1)*MAX(0,1-16/Supuestos!$C$20))*(1-Supuestos!$C$18)^16))</f>
        <v>0.18880051401387</v>
      </c>
      <c r="T9" s="29" t="n">
        <f aca="false">S9*(1-MIN(1,INDEX(Tabla_Mortalidad!$B$5:$B$75,MIN(71,Cartera_Polizas!$B$11+17-49))*(1+(Cartera_Polizas!$P$11-1)*MAX(0,1-17/Supuestos!$C$20))*(1-Supuestos!$C$18)^17))</f>
        <v>0.155918911736052</v>
      </c>
      <c r="U9" s="29" t="n">
        <f aca="false">T9*(1-MIN(1,INDEX(Tabla_Mortalidad!$B$5:$B$75,MIN(71,Cartera_Polizas!$B$11+18-49))*(1+(Cartera_Polizas!$P$11-1)*MAX(0,1-18/Supuestos!$C$20))*(1-Supuestos!$C$18)^18))</f>
        <v>0.12611097085003</v>
      </c>
      <c r="V9" s="29" t="n">
        <f aca="false">U9*(1-MIN(1,INDEX(Tabla_Mortalidad!$B$5:$B$75,MIN(71,Cartera_Polizas!$B$11+19-49))*(1+(Cartera_Polizas!$P$11-1)*MAX(0,1-19/Supuestos!$C$20))*(1-Supuestos!$C$18)^19))</f>
        <v>0.0996809119990431</v>
      </c>
      <c r="W9" s="29" t="n">
        <f aca="false">V9*(1-MIN(1,INDEX(Tabla_Mortalidad!$B$5:$B$75,MIN(71,Cartera_Polizas!$B$11+20-49))*(1+(Cartera_Polizas!$P$11-1)*MAX(0,1-20/Supuestos!$C$20))*(1-Supuestos!$C$18)^20))</f>
        <v>0.0768122000516125</v>
      </c>
      <c r="X9" s="29" t="n">
        <f aca="false">W9*(1-MIN(1,INDEX(Tabla_Mortalidad!$B$5:$B$75,MIN(71,Cartera_Polizas!$B$11+21-49))*(1+(Cartera_Polizas!$P$11-1)*MAX(0,1-21/Supuestos!$C$20))*(1-Supuestos!$C$18)^21))</f>
        <v>0.0575524430579399</v>
      </c>
      <c r="Y9" s="29" t="n">
        <f aca="false">X9*(1-MIN(1,INDEX(Tabla_Mortalidad!$B$5:$B$75,MIN(71,Cartera_Polizas!$B$11+22-49))*(1+(Cartera_Polizas!$P$11-1)*MAX(0,1-22/Supuestos!$C$20))*(1-Supuestos!$C$18)^22))</f>
        <v>0.0418086698129678</v>
      </c>
      <c r="Z9" s="29" t="n">
        <f aca="false">Y9*(1-MIN(1,INDEX(Tabla_Mortalidad!$B$5:$B$75,MIN(71,Cartera_Polizas!$B$11+23-49))*(1+(Cartera_Polizas!$P$11-1)*MAX(0,1-23/Supuestos!$C$20))*(1-Supuestos!$C$18)^23))</f>
        <v>0.0293550785205384</v>
      </c>
      <c r="AA9" s="29" t="n">
        <f aca="false">Z9*(1-MIN(1,INDEX(Tabla_Mortalidad!$B$5:$B$75,MIN(71,Cartera_Polizas!$B$11+24-49))*(1+(Cartera_Polizas!$P$11-1)*MAX(0,1-24/Supuestos!$C$20))*(1-Supuestos!$C$18)^24))</f>
        <v>0.0198541046827028</v>
      </c>
      <c r="AB9" s="29" t="n">
        <f aca="false">AA9*(1-MIN(1,INDEX(Tabla_Mortalidad!$B$5:$B$75,MIN(71,Cartera_Polizas!$B$11+25-49))*(1+(Cartera_Polizas!$P$11-1)*MAX(0,1-25/Supuestos!$C$20))*(1-Supuestos!$C$18)^25))</f>
        <v>0.0128882011325165</v>
      </c>
      <c r="AC9" s="29" t="n">
        <f aca="false">AB9*(1-MIN(1,INDEX(Tabla_Mortalidad!$B$5:$B$75,MIN(71,Cartera_Polizas!$B$11+26-49))*(1+(Cartera_Polizas!$P$11-1)*MAX(0,1-26/Supuestos!$C$20))*(1-Supuestos!$C$18)^26))</f>
        <v>0.00799882948285993</v>
      </c>
      <c r="AD9" s="29" t="n">
        <f aca="false">AC9*(1-MIN(1,INDEX(Tabla_Mortalidad!$B$5:$B$75,MIN(71,Cartera_Polizas!$B$11+27-49))*(1+(Cartera_Polizas!$P$11-1)*MAX(0,1-27/Supuestos!$C$20))*(1-Supuestos!$C$18)^27))</f>
        <v>0.00472684774957404</v>
      </c>
      <c r="AE9" s="29" t="n">
        <f aca="false">AD9*(1-MIN(1,INDEX(Tabla_Mortalidad!$B$5:$B$75,MIN(71,Cartera_Polizas!$B$11+28-49))*(1+(Cartera_Polizas!$P$11-1)*MAX(0,1-28/Supuestos!$C$20))*(1-Supuestos!$C$18)^28))</f>
        <v>0.00264828040367566</v>
      </c>
      <c r="AF9" s="29" t="n">
        <f aca="false">AE9*(1-MIN(1,INDEX(Tabla_Mortalidad!$B$5:$B$75,MIN(71,Cartera_Polizas!$B$11+29-49))*(1+(Cartera_Polizas!$P$11-1)*MAX(0,1-29/Supuestos!$C$20))*(1-Supuestos!$C$18)^29))</f>
        <v>0.0014004954192964</v>
      </c>
      <c r="AG9" s="29" t="n">
        <f aca="false">AF9*(1-MIN(1,INDEX(Tabla_Mortalidad!$B$5:$B$75,MIN(71,Cartera_Polizas!$B$11+30-49))*(1+(Cartera_Polizas!$P$11-1)*MAX(0,1-30/Supuestos!$C$20))*(1-Supuestos!$C$18)^30))</f>
        <v>0.000695957718415996</v>
      </c>
      <c r="AH9" s="29" t="n">
        <f aca="false">AG9*(1-MIN(1,INDEX(Tabla_Mortalidad!$B$5:$B$75,MIN(71,Cartera_Polizas!$B$11+31-49))*(1+(Cartera_Polizas!$P$11-1)*MAX(0,1-31/Supuestos!$C$20))*(1-Supuestos!$C$18)^31))</f>
        <v>0.000323563104677745</v>
      </c>
      <c r="AI9" s="29" t="n">
        <f aca="false">AH9*(1-MIN(1,INDEX(Tabla_Mortalidad!$B$5:$B$75,MIN(71,Cartera_Polizas!$B$11+32-49))*(1+(Cartera_Polizas!$P$11-1)*MAX(0,1-32/Supuestos!$C$20))*(1-Supuestos!$C$18)^32))</f>
        <v>0.00014015595129045</v>
      </c>
      <c r="AJ9" s="29" t="n">
        <f aca="false">AI9*(1-MIN(1,INDEX(Tabla_Mortalidad!$B$5:$B$75,MIN(71,Cartera_Polizas!$B$11+33-49))*(1+(Cartera_Polizas!$P$11-1)*MAX(0,1-33/Supuestos!$C$20))*(1-Supuestos!$C$18)^33))</f>
        <v>5.63568336292513E-005</v>
      </c>
      <c r="AK9" s="29" t="n">
        <f aca="false">AJ9*(1-MIN(1,INDEX(Tabla_Mortalidad!$B$5:$B$75,MIN(71,Cartera_Polizas!$B$11+34-49))*(1+(Cartera_Polizas!$P$11-1)*MAX(0,1-34/Supuestos!$C$20))*(1-Supuestos!$C$18)^34))</f>
        <v>2.09749093809812E-005</v>
      </c>
      <c r="AL9" s="29" t="n">
        <f aca="false">AK9*(1-MIN(1,INDEX(Tabla_Mortalidad!$B$5:$B$75,MIN(71,Cartera_Polizas!$B$11+35-49))*(1+(Cartera_Polizas!$P$11-1)*MAX(0,1-35/Supuestos!$C$20))*(1-Supuestos!$C$18)^35))</f>
        <v>7.21252865773206E-006</v>
      </c>
      <c r="AM9" s="29" t="n">
        <f aca="false">AL9*(1-MIN(1,INDEX(Tabla_Mortalidad!$B$5:$B$75,MIN(71,Cartera_Polizas!$B$11+36-49))*(1+(Cartera_Polizas!$P$11-1)*MAX(0,1-36/Supuestos!$C$20))*(1-Supuestos!$C$18)^36))</f>
        <v>2.29069358266064E-006</v>
      </c>
      <c r="AN9" s="29" t="n">
        <f aca="false">AM9*(1-MIN(1,INDEX(Tabla_Mortalidad!$B$5:$B$75,MIN(71,Cartera_Polizas!$B$11+37-49))*(1+(Cartera_Polizas!$P$11-1)*MAX(0,1-37/Supuestos!$C$20))*(1-Supuestos!$C$18)^37))</f>
        <v>6.72991047921707E-007</v>
      </c>
      <c r="AO9" s="29" t="n">
        <f aca="false">AN9*(1-MIN(1,INDEX(Tabla_Mortalidad!$B$5:$B$75,MIN(71,Cartera_Polizas!$B$11+38-49))*(1+(Cartera_Polizas!$P$11-1)*MAX(0,1-38/Supuestos!$C$20))*(1-Supuestos!$C$18)^38))</f>
        <v>1.83586119180562E-007</v>
      </c>
      <c r="AP9" s="29" t="n">
        <f aca="false">AO9*(1-MIN(1,INDEX(Tabla_Mortalidad!$B$5:$B$75,MIN(71,Cartera_Polizas!$B$11+39-49))*(1+(Cartera_Polizas!$P$11-1)*MAX(0,1-39/Supuestos!$C$20))*(1-Supuestos!$C$18)^39))</f>
        <v>4.67854188951699E-008</v>
      </c>
      <c r="AQ9" s="29" t="n">
        <f aca="false">AP9*(1-MIN(1,INDEX(Tabla_Mortalidad!$B$5:$B$75,MIN(71,Cartera_Polizas!$B$11+40-49))*(1+(Cartera_Polizas!$P$11-1)*MAX(0,1-40/Supuestos!$C$20))*(1-Supuestos!$C$18)^40))</f>
        <v>1.12323634990195E-008</v>
      </c>
      <c r="AR9" s="29" t="n">
        <f aca="false">AQ9*(1-MIN(1,INDEX(Tabla_Mortalidad!$B$5:$B$75,MIN(71,Cartera_Polizas!$B$11+41-49))*(1+(Cartera_Polizas!$P$11-1)*MAX(0,1-41/Supuestos!$C$20))*(1-Supuestos!$C$18)^41))</f>
        <v>2.56683918167493E-009</v>
      </c>
      <c r="AS9" s="29" t="n">
        <f aca="false">AR9*(1-MIN(1,INDEX(Tabla_Mortalidad!$B$5:$B$75,MIN(71,Cartera_Polizas!$B$11+42-49))*(1+(Cartera_Polizas!$P$11-1)*MAX(0,1-42/Supuestos!$C$20))*(1-Supuestos!$C$18)^42))</f>
        <v>4.87295480975154E-010</v>
      </c>
      <c r="AT9" s="29" t="n">
        <f aca="false">AS9*(1-MIN(1,INDEX(Tabla_Mortalidad!$B$5:$B$75,MIN(71,Cartera_Polizas!$B$11+43-49))*(1+(Cartera_Polizas!$P$11-1)*MAX(0,1-43/Supuestos!$C$20))*(1-Supuestos!$C$18)^43))</f>
        <v>9.44833820324344E-011</v>
      </c>
      <c r="AU9" s="29" t="n">
        <f aca="false">AT9*(1-MIN(1,INDEX(Tabla_Mortalidad!$B$5:$B$75,MIN(71,Cartera_Polizas!$B$11+44-49))*(1+(Cartera_Polizas!$P$11-1)*MAX(0,1-44/Supuestos!$C$20))*(1-Supuestos!$C$18)^44))</f>
        <v>1.87005234280192E-011</v>
      </c>
    </row>
    <row r="10" customFormat="false" ht="15" hidden="false" customHeight="false" outlineLevel="0" collapsed="false">
      <c r="A10" s="14" t="n">
        <f aca="false">Cartera_Polizas!A12</f>
        <v>7</v>
      </c>
      <c r="B10" s="26" t="n">
        <f aca="false">SUM(C10:AU10)+0.5</f>
        <v>7.97768004936947</v>
      </c>
      <c r="C10" s="29" t="n">
        <f aca="false">1-MIN(1,INDEX(Tabla_Mortalidad!$B$5:$B$75,MIN(71,Cartera_Polizas!$B$12+0-49))*(1+(Cartera_Polizas!$P$12-1)*MAX(0,1-0/Supuestos!$C$20))*(1-Supuestos!$C$18)^0)</f>
        <v>0.931496488</v>
      </c>
      <c r="D10" s="29" t="n">
        <f aca="false">C10*(1-MIN(1,INDEX(Tabla_Mortalidad!$B$5:$B$75,MIN(71,Cartera_Polizas!$B$12+1-49))*(1+(Cartera_Polizas!$P$12-1)*MAX(0,1-1/Supuestos!$C$20))*(1-Supuestos!$C$18)^1))</f>
        <v>0.861805031887864</v>
      </c>
      <c r="E10" s="29" t="n">
        <f aca="false">D10*(1-MIN(1,INDEX(Tabla_Mortalidad!$B$5:$B$75,MIN(71,Cartera_Polizas!$B$12+2-49))*(1+(Cartera_Polizas!$P$12-1)*MAX(0,1-2/Supuestos!$C$20))*(1-Supuestos!$C$18)^2))</f>
        <v>0.791425281852456</v>
      </c>
      <c r="F10" s="29" t="n">
        <f aca="false">E10*(1-MIN(1,INDEX(Tabla_Mortalidad!$B$5:$B$75,MIN(71,Cartera_Polizas!$B$12+3-49))*(1+(Cartera_Polizas!$P$12-1)*MAX(0,1-3/Supuestos!$C$20))*(1-Supuestos!$C$18)^3))</f>
        <v>0.720918215199029</v>
      </c>
      <c r="G10" s="29" t="n">
        <f aca="false">F10*(1-MIN(1,INDEX(Tabla_Mortalidad!$B$5:$B$75,MIN(71,Cartera_Polizas!$B$12+4-49))*(1+(Cartera_Polizas!$P$12-1)*MAX(0,1-4/Supuestos!$C$20))*(1-Supuestos!$C$18)^4))</f>
        <v>0.65090211280554</v>
      </c>
      <c r="H10" s="29" t="n">
        <f aca="false">G10*(1-MIN(1,INDEX(Tabla_Mortalidad!$B$5:$B$75,MIN(71,Cartera_Polizas!$B$12+5-49))*(1+(Cartera_Polizas!$P$12-1)*MAX(0,1-5/Supuestos!$C$20))*(1-Supuestos!$C$18)^5))</f>
        <v>0.582034596388203</v>
      </c>
      <c r="I10" s="29" t="n">
        <f aca="false">H10*(1-MIN(1,INDEX(Tabla_Mortalidad!$B$5:$B$75,MIN(71,Cartera_Polizas!$B$12+6-49))*(1+(Cartera_Polizas!$P$12-1)*MAX(0,1-6/Supuestos!$C$20))*(1-Supuestos!$C$18)^6))</f>
        <v>0.515001418444917</v>
      </c>
      <c r="J10" s="29" t="n">
        <f aca="false">I10*(1-MIN(1,INDEX(Tabla_Mortalidad!$B$5:$B$75,MIN(71,Cartera_Polizas!$B$12+7-49))*(1+(Cartera_Polizas!$P$12-1)*MAX(0,1-7/Supuestos!$C$20))*(1-Supuestos!$C$18)^7))</f>
        <v>0.450491960073342</v>
      </c>
      <c r="K10" s="29" t="n">
        <f aca="false">J10*(1-MIN(1,INDEX(Tabla_Mortalidad!$B$5:$B$75,MIN(71,Cartera_Polizas!$B$12+8-49))*(1+(Cartera_Polizas!$P$12-1)*MAX(0,1-8/Supuestos!$C$20))*(1-Supuestos!$C$18)^8))</f>
        <v>0.389175959407342</v>
      </c>
      <c r="L10" s="29" t="n">
        <f aca="false">K10*(1-MIN(1,INDEX(Tabla_Mortalidad!$B$5:$B$75,MIN(71,Cartera_Polizas!$B$12+9-49))*(1+(Cartera_Polizas!$P$12-1)*MAX(0,1-9/Supuestos!$C$20))*(1-Supuestos!$C$18)^9))</f>
        <v>0.331676166131344</v>
      </c>
      <c r="M10" s="29" t="n">
        <f aca="false">L10*(1-MIN(1,INDEX(Tabla_Mortalidad!$B$5:$B$75,MIN(71,Cartera_Polizas!$B$12+10-49))*(1+(Cartera_Polizas!$P$12-1)*MAX(0,1-10/Supuestos!$C$20))*(1-Supuestos!$C$18)^10))</f>
        <v>0.278540313632203</v>
      </c>
      <c r="N10" s="29" t="n">
        <f aca="false">M10*(1-MIN(1,INDEX(Tabla_Mortalidad!$B$5:$B$75,MIN(71,Cartera_Polizas!$B$12+11-49))*(1+(Cartera_Polizas!$P$12-1)*MAX(0,1-11/Supuestos!$C$20))*(1-Supuestos!$C$18)^11))</f>
        <v>0.230213552299593</v>
      </c>
      <c r="O10" s="29" t="n">
        <f aca="false">N10*(1-MIN(1,INDEX(Tabla_Mortalidad!$B$5:$B$75,MIN(71,Cartera_Polizas!$B$12+12-49))*(1+(Cartera_Polizas!$P$12-1)*MAX(0,1-12/Supuestos!$C$20))*(1-Supuestos!$C$18)^12))</f>
        <v>0.187013393196306</v>
      </c>
      <c r="P10" s="29" t="n">
        <f aca="false">O10*(1-MIN(1,INDEX(Tabla_Mortalidad!$B$5:$B$75,MIN(71,Cartera_Polizas!$B$12+13-49))*(1+(Cartera_Polizas!$P$12-1)*MAX(0,1-13/Supuestos!$C$20))*(1-Supuestos!$C$18)^13))</f>
        <v>0.149112013362915</v>
      </c>
      <c r="Q10" s="29" t="n">
        <f aca="false">P10*(1-MIN(1,INDEX(Tabla_Mortalidad!$B$5:$B$75,MIN(71,Cartera_Polizas!$B$12+14-49))*(1+(Cartera_Polizas!$P$12-1)*MAX(0,1-14/Supuestos!$C$20))*(1-Supuestos!$C$18)^14))</f>
        <v>0.116525719128447</v>
      </c>
      <c r="R10" s="29" t="n">
        <f aca="false">Q10*(1-MIN(1,INDEX(Tabla_Mortalidad!$B$5:$B$75,MIN(71,Cartera_Polizas!$B$12+15-49))*(1+(Cartera_Polizas!$P$12-1)*MAX(0,1-15/Supuestos!$C$20))*(1-Supuestos!$C$18)^15))</f>
        <v>0.0891140115951194</v>
      </c>
      <c r="S10" s="29" t="n">
        <f aca="false">R10*(1-MIN(1,INDEX(Tabla_Mortalidad!$B$5:$B$75,MIN(71,Cartera_Polizas!$B$12+16-49))*(1+(Cartera_Polizas!$P$12-1)*MAX(0,1-16/Supuestos!$C$20))*(1-Supuestos!$C$18)^16))</f>
        <v>0.0662026346973735</v>
      </c>
      <c r="T10" s="29" t="n">
        <f aca="false">S10*(1-MIN(1,INDEX(Tabla_Mortalidad!$B$5:$B$75,MIN(71,Cartera_Polizas!$B$12+17-49))*(1+(Cartera_Polizas!$P$12-1)*MAX(0,1-17/Supuestos!$C$20))*(1-Supuestos!$C$18)^17))</f>
        <v>0.0476329327951828</v>
      </c>
      <c r="U10" s="29" t="n">
        <f aca="false">T10*(1-MIN(1,INDEX(Tabla_Mortalidad!$B$5:$B$75,MIN(71,Cartera_Polizas!$B$12+18-49))*(1+(Cartera_Polizas!$P$12-1)*MAX(0,1-18/Supuestos!$C$20))*(1-Supuestos!$C$18)^18))</f>
        <v>0.0330843671846051</v>
      </c>
      <c r="V10" s="29" t="n">
        <f aca="false">U10*(1-MIN(1,INDEX(Tabla_Mortalidad!$B$5:$B$75,MIN(71,Cartera_Polizas!$B$12+19-49))*(1+(Cartera_Polizas!$P$12-1)*MAX(0,1-19/Supuestos!$C$20))*(1-Supuestos!$C$18)^19))</f>
        <v>0.0221046209120699</v>
      </c>
      <c r="W10" s="29" t="n">
        <f aca="false">V10*(1-MIN(1,INDEX(Tabla_Mortalidad!$B$5:$B$75,MIN(71,Cartera_Polizas!$B$12+20-49))*(1+(Cartera_Polizas!$P$12-1)*MAX(0,1-20/Supuestos!$C$20))*(1-Supuestos!$C$18)^20))</f>
        <v>0.0141522831616072</v>
      </c>
      <c r="X10" s="29" t="n">
        <f aca="false">W10*(1-MIN(1,INDEX(Tabla_Mortalidad!$B$5:$B$75,MIN(71,Cartera_Polizas!$B$12+21-49))*(1+(Cartera_Polizas!$P$12-1)*MAX(0,1-21/Supuestos!$C$20))*(1-Supuestos!$C$18)^21))</f>
        <v>0.00864709901362007</v>
      </c>
      <c r="Y10" s="29" t="n">
        <f aca="false">X10*(1-MIN(1,INDEX(Tabla_Mortalidad!$B$5:$B$75,MIN(71,Cartera_Polizas!$B$12+22-49))*(1+(Cartera_Polizas!$P$12-1)*MAX(0,1-22/Supuestos!$C$20))*(1-Supuestos!$C$18)^22))</f>
        <v>0.00502016662383045</v>
      </c>
      <c r="Z10" s="29" t="n">
        <f aca="false">Y10*(1-MIN(1,INDEX(Tabla_Mortalidad!$B$5:$B$75,MIN(71,Cartera_Polizas!$B$12+23-49))*(1+(Cartera_Polizas!$P$12-1)*MAX(0,1-23/Supuestos!$C$20))*(1-Supuestos!$C$18)^23))</f>
        <v>0.00275658992575959</v>
      </c>
      <c r="AA10" s="29" t="n">
        <f aca="false">Z10*(1-MIN(1,INDEX(Tabla_Mortalidad!$B$5:$B$75,MIN(71,Cartera_Polizas!$B$12+24-49))*(1+(Cartera_Polizas!$P$12-1)*MAX(0,1-24/Supuestos!$C$20))*(1-Supuestos!$C$18)^24))</f>
        <v>0.00142480974019024</v>
      </c>
      <c r="AB10" s="29" t="n">
        <f aca="false">AA10*(1-MIN(1,INDEX(Tabla_Mortalidad!$B$5:$B$75,MIN(71,Cartera_Polizas!$B$12+25-49))*(1+(Cartera_Polizas!$P$12-1)*MAX(0,1-25/Supuestos!$C$20))*(1-Supuestos!$C$18)^25))</f>
        <v>0.000689849209812091</v>
      </c>
      <c r="AC10" s="29" t="n">
        <f aca="false">AB10*(1-MIN(1,INDEX(Tabla_Mortalidad!$B$5:$B$75,MIN(71,Cartera_Polizas!$B$12+26-49))*(1+(Cartera_Polizas!$P$12-1)*MAX(0,1-26/Supuestos!$C$20))*(1-Supuestos!$C$18)^26))</f>
        <v>0.000311354945553732</v>
      </c>
      <c r="AD10" s="29" t="n">
        <f aca="false">AC10*(1-MIN(1,INDEX(Tabla_Mortalidad!$B$5:$B$75,MIN(71,Cartera_Polizas!$B$12+27-49))*(1+(Cartera_Polizas!$P$12-1)*MAX(0,1-27/Supuestos!$C$20))*(1-Supuestos!$C$18)^27))</f>
        <v>0.00013038867300056</v>
      </c>
      <c r="AE10" s="29" t="n">
        <f aca="false">AD10*(1-MIN(1,INDEX(Tabla_Mortalidad!$B$5:$B$75,MIN(71,Cartera_Polizas!$B$12+28-49))*(1+(Cartera_Polizas!$P$12-1)*MAX(0,1-28/Supuestos!$C$20))*(1-Supuestos!$C$18)^28))</f>
        <v>5.04508412667774E-005</v>
      </c>
      <c r="AF10" s="29" t="n">
        <f aca="false">AE10*(1-MIN(1,INDEX(Tabla_Mortalidad!$B$5:$B$75,MIN(71,Cartera_Polizas!$B$12+29-49))*(1+(Cartera_Polizas!$P$12-1)*MAX(0,1-29/Supuestos!$C$20))*(1-Supuestos!$C$18)^29))</f>
        <v>1.7972946333339E-005</v>
      </c>
      <c r="AG10" s="29" t="n">
        <f aca="false">AF10*(1-MIN(1,INDEX(Tabla_Mortalidad!$B$5:$B$75,MIN(71,Cartera_Polizas!$B$12+30-49))*(1+(Cartera_Polizas!$P$12-1)*MAX(0,1-30/Supuestos!$C$20))*(1-Supuestos!$C$18)^30))</f>
        <v>5.88096832608065E-006</v>
      </c>
      <c r="AH10" s="29" t="n">
        <f aca="false">AG10*(1-MIN(1,INDEX(Tabla_Mortalidad!$B$5:$B$75,MIN(71,Cartera_Polizas!$B$12+31-49))*(1+(Cartera_Polizas!$P$12-1)*MAX(0,1-31/Supuestos!$C$20))*(1-Supuestos!$C$18)^31))</f>
        <v>1.76593893179081E-006</v>
      </c>
      <c r="AI10" s="29" t="n">
        <f aca="false">AH10*(1-MIN(1,INDEX(Tabla_Mortalidad!$B$5:$B$75,MIN(71,Cartera_Polizas!$B$12+32-49))*(1+(Cartera_Polizas!$P$12-1)*MAX(0,1-32/Supuestos!$C$20))*(1-Supuestos!$C$18)^32))</f>
        <v>4.87170389199162E-007</v>
      </c>
      <c r="AJ10" s="29" t="n">
        <f aca="false">AI10*(1-MIN(1,INDEX(Tabla_Mortalidad!$B$5:$B$75,MIN(71,Cartera_Polizas!$B$12+33-49))*(1+(Cartera_Polizas!$P$12-1)*MAX(0,1-33/Supuestos!$C$20))*(1-Supuestos!$C$18)^33))</f>
        <v>1.23904573730942E-007</v>
      </c>
      <c r="AK10" s="29" t="n">
        <f aca="false">AJ10*(1-MIN(1,INDEX(Tabla_Mortalidad!$B$5:$B$75,MIN(71,Cartera_Polizas!$B$12+34-49))*(1+(Cartera_Polizas!$P$12-1)*MAX(0,1-34/Supuestos!$C$20))*(1-Supuestos!$C$18)^34))</f>
        <v>2.92328219304907E-008</v>
      </c>
      <c r="AL10" s="29" t="n">
        <f aca="false">AK10*(1-MIN(1,INDEX(Tabla_Mortalidad!$B$5:$B$75,MIN(71,Cartera_Polizas!$B$12+35-49))*(1+(Cartera_Polizas!$P$12-1)*MAX(0,1-35/Supuestos!$C$20))*(1-Supuestos!$C$18)^35))</f>
        <v>6.45449905712265E-009</v>
      </c>
      <c r="AM10" s="29" t="n">
        <f aca="false">AL10*(1-MIN(1,INDEX(Tabla_Mortalidad!$B$5:$B$75,MIN(71,Cartera_Polizas!$B$12+36-49))*(1+(Cartera_Polizas!$P$12-1)*MAX(0,1-36/Supuestos!$C$20))*(1-Supuestos!$C$18)^36))</f>
        <v>1.34861635210042E-009</v>
      </c>
      <c r="AN10" s="29" t="n">
        <f aca="false">AM10*(1-MIN(1,INDEX(Tabla_Mortalidad!$B$5:$B$75,MIN(71,Cartera_Polizas!$B$12+37-49))*(1+(Cartera_Polizas!$P$12-1)*MAX(0,1-37/Supuestos!$C$20))*(1-Supuestos!$C$18)^37))</f>
        <v>2.28295527285988E-010</v>
      </c>
      <c r="AO10" s="29" t="n">
        <f aca="false">AN10*(1-MIN(1,INDEX(Tabla_Mortalidad!$B$5:$B$75,MIN(71,Cartera_Polizas!$B$12+38-49))*(1+(Cartera_Polizas!$P$12-1)*MAX(0,1-38/Supuestos!$C$20))*(1-Supuestos!$C$18)^38))</f>
        <v>3.95944101246992E-011</v>
      </c>
      <c r="AP10" s="29" t="n">
        <f aca="false">AO10*(1-MIN(1,INDEX(Tabla_Mortalidad!$B$5:$B$75,MIN(71,Cartera_Polizas!$B$12+39-49))*(1+(Cartera_Polizas!$P$12-1)*MAX(0,1-39/Supuestos!$C$20))*(1-Supuestos!$C$18)^39))</f>
        <v>7.03068903418137E-012</v>
      </c>
      <c r="AQ10" s="29" t="n">
        <f aca="false">AP10*(1-MIN(1,INDEX(Tabla_Mortalidad!$B$5:$B$75,MIN(71,Cartera_Polizas!$B$12+40-49))*(1+(Cartera_Polizas!$P$12-1)*MAX(0,1-40/Supuestos!$C$20))*(1-Supuestos!$C$18)^40))</f>
        <v>1.27733473285728E-012</v>
      </c>
      <c r="AR10" s="29" t="n">
        <f aca="false">AQ10*(1-MIN(1,INDEX(Tabla_Mortalidad!$B$5:$B$75,MIN(71,Cartera_Polizas!$B$12+41-49))*(1+(Cartera_Polizas!$P$12-1)*MAX(0,1-41/Supuestos!$C$20))*(1-Supuestos!$C$18)^41))</f>
        <v>2.37292363244937E-013</v>
      </c>
      <c r="AS10" s="29" t="n">
        <f aca="false">AR10*(1-MIN(1,INDEX(Tabla_Mortalidad!$B$5:$B$75,MIN(71,Cartera_Polizas!$B$12+42-49))*(1+(Cartera_Polizas!$P$12-1)*MAX(0,1-42/Supuestos!$C$20))*(1-Supuestos!$C$18)^42))</f>
        <v>4.50482044627821E-014</v>
      </c>
      <c r="AT10" s="29" t="n">
        <f aca="false">AS10*(1-MIN(1,INDEX(Tabla_Mortalidad!$B$5:$B$75,MIN(71,Cartera_Polizas!$B$12+43-49))*(1+(Cartera_Polizas!$P$12-1)*MAX(0,1-43/Supuestos!$C$20))*(1-Supuestos!$C$18)^43))</f>
        <v>8.73454993593358E-015</v>
      </c>
      <c r="AU10" s="29" t="n">
        <f aca="false">AT10*(1-MIN(1,INDEX(Tabla_Mortalidad!$B$5:$B$75,MIN(71,Cartera_Polizas!$B$12+44-49))*(1+(Cartera_Polizas!$P$12-1)*MAX(0,1-44/Supuestos!$C$20))*(1-Supuestos!$C$18)^44))</f>
        <v>1.72877655516245E-015</v>
      </c>
    </row>
    <row r="11" customFormat="false" ht="15" hidden="false" customHeight="false" outlineLevel="0" collapsed="false">
      <c r="A11" s="14" t="n">
        <f aca="false">Cartera_Polizas!A13</f>
        <v>8</v>
      </c>
      <c r="B11" s="26" t="n">
        <f aca="false">SUM(C11:AU11)+0.5</f>
        <v>4.72506649350162</v>
      </c>
      <c r="C11" s="29" t="n">
        <f aca="false">1-MIN(1,INDEX(Tabla_Mortalidad!$B$5:$B$75,MIN(71,Cartera_Polizas!$B$13+0-49))*(1+(Cartera_Polizas!$P$13-1)*MAX(0,1-0/Supuestos!$C$20))*(1-Supuestos!$C$18)^0)</f>
        <v>0.85946512</v>
      </c>
      <c r="D11" s="29" t="n">
        <f aca="false">C11*(1-MIN(1,INDEX(Tabla_Mortalidad!$B$5:$B$75,MIN(71,Cartera_Polizas!$B$13+1-49))*(1+(Cartera_Polizas!$P$13-1)*MAX(0,1-1/Supuestos!$C$20))*(1-Supuestos!$C$18)^1))</f>
        <v>0.727893673509997</v>
      </c>
      <c r="E11" s="29" t="n">
        <f aca="false">D11*(1-MIN(1,INDEX(Tabla_Mortalidad!$B$5:$B$75,MIN(71,Cartera_Polizas!$B$13+2-49))*(1+(Cartera_Polizas!$P$13-1)*MAX(0,1-2/Supuestos!$C$20))*(1-Supuestos!$C$18)^2))</f>
        <v>0.606626673131552</v>
      </c>
      <c r="F11" s="29" t="n">
        <f aca="false">E11*(1-MIN(1,INDEX(Tabla_Mortalidad!$B$5:$B$75,MIN(71,Cartera_Polizas!$B$13+3-49))*(1+(Cartera_Polizas!$P$13-1)*MAX(0,1-3/Supuestos!$C$20))*(1-Supuestos!$C$18)^3))</f>
        <v>0.49675424220438</v>
      </c>
      <c r="G11" s="29" t="n">
        <f aca="false">F11*(1-MIN(1,INDEX(Tabla_Mortalidad!$B$5:$B$75,MIN(71,Cartera_Polizas!$B$13+4-49))*(1+(Cartera_Polizas!$P$13-1)*MAX(0,1-4/Supuestos!$C$20))*(1-Supuestos!$C$18)^4))</f>
        <v>0.399051330519455</v>
      </c>
      <c r="H11" s="29" t="n">
        <f aca="false">G11*(1-MIN(1,INDEX(Tabla_Mortalidad!$B$5:$B$75,MIN(71,Cartera_Polizas!$B$13+5-49))*(1+(Cartera_Polizas!$P$13-1)*MAX(0,1-5/Supuestos!$C$20))*(1-Supuestos!$C$18)^5))</f>
        <v>0.313926465171154</v>
      </c>
      <c r="I11" s="29" t="n">
        <f aca="false">H11*(1-MIN(1,INDEX(Tabla_Mortalidad!$B$5:$B$75,MIN(71,Cartera_Polizas!$B$13+6-49))*(1+(Cartera_Polizas!$P$13-1)*MAX(0,1-6/Supuestos!$C$20))*(1-Supuestos!$C$18)^6))</f>
        <v>0.241395007702797</v>
      </c>
      <c r="J11" s="29" t="n">
        <f aca="false">I11*(1-MIN(1,INDEX(Tabla_Mortalidad!$B$5:$B$75,MIN(71,Cartera_Polizas!$B$13+7-49))*(1+(Cartera_Polizas!$P$13-1)*MAX(0,1-7/Supuestos!$C$20))*(1-Supuestos!$C$18)^7))</f>
        <v>0.181076942215362</v>
      </c>
      <c r="K11" s="29" t="n">
        <f aca="false">J11*(1-MIN(1,INDEX(Tabla_Mortalidad!$B$5:$B$75,MIN(71,Cartera_Polizas!$B$13+8-49))*(1+(Cartera_Polizas!$P$13-1)*MAX(0,1-8/Supuestos!$C$20))*(1-Supuestos!$C$18)^8))</f>
        <v>0.132223602542698</v>
      </c>
      <c r="L11" s="29" t="n">
        <f aca="false">K11*(1-MIN(1,INDEX(Tabla_Mortalidad!$B$5:$B$75,MIN(71,Cartera_Polizas!$B$13+9-49))*(1+(Cartera_Polizas!$P$13-1)*MAX(0,1-9/Supuestos!$C$20))*(1-Supuestos!$C$18)^9))</f>
        <v>0.0937754697012551</v>
      </c>
      <c r="M11" s="29" t="n">
        <f aca="false">L11*(1-MIN(1,INDEX(Tabla_Mortalidad!$B$5:$B$75,MIN(71,Cartera_Polizas!$B$13+10-49))*(1+(Cartera_Polizas!$P$13-1)*MAX(0,1-10/Supuestos!$C$20))*(1-Supuestos!$C$18)^10))</f>
        <v>0.0644436768653522</v>
      </c>
      <c r="N11" s="29" t="n">
        <f aca="false">M11*(1-MIN(1,INDEX(Tabla_Mortalidad!$B$5:$B$75,MIN(71,Cartera_Polizas!$B$13+11-49))*(1+(Cartera_Polizas!$P$13-1)*MAX(0,1-11/Supuestos!$C$20))*(1-Supuestos!$C$18)^11))</f>
        <v>0.0428073564050113</v>
      </c>
      <c r="O11" s="29" t="n">
        <f aca="false">N11*(1-MIN(1,INDEX(Tabla_Mortalidad!$B$5:$B$75,MIN(71,Cartera_Polizas!$B$13+12-49))*(1+(Cartera_Polizas!$P$13-1)*MAX(0,1-12/Supuestos!$C$20))*(1-Supuestos!$C$18)^12))</f>
        <v>0.027416669621098</v>
      </c>
      <c r="P11" s="29" t="n">
        <f aca="false">O11*(1-MIN(1,INDEX(Tabla_Mortalidad!$B$5:$B$75,MIN(71,Cartera_Polizas!$B$13+13-49))*(1+(Cartera_Polizas!$P$13-1)*MAX(0,1-13/Supuestos!$C$20))*(1-Supuestos!$C$18)^13))</f>
        <v>0.0168877669815112</v>
      </c>
      <c r="Q11" s="29" t="n">
        <f aca="false">P11*(1-MIN(1,INDEX(Tabla_Mortalidad!$B$5:$B$75,MIN(71,Cartera_Polizas!$B$13+14-49))*(1+(Cartera_Polizas!$P$13-1)*MAX(0,1-14/Supuestos!$C$20))*(1-Supuestos!$C$18)^14))</f>
        <v>0.0099795710245416</v>
      </c>
      <c r="R11" s="29" t="n">
        <f aca="false">Q11*(1-MIN(1,INDEX(Tabla_Mortalidad!$B$5:$B$75,MIN(71,Cartera_Polizas!$B$13+15-49))*(1+(Cartera_Polizas!$P$13-1)*MAX(0,1-15/Supuestos!$C$20))*(1-Supuestos!$C$18)^15))</f>
        <v>0.00564426922350588</v>
      </c>
      <c r="S11" s="29" t="n">
        <f aca="false">R11*(1-MIN(1,INDEX(Tabla_Mortalidad!$B$5:$B$75,MIN(71,Cartera_Polizas!$B$13+16-49))*(1+(Cartera_Polizas!$P$13-1)*MAX(0,1-16/Supuestos!$C$20))*(1-Supuestos!$C$18)^16))</f>
        <v>0.00300840377020206</v>
      </c>
      <c r="T11" s="29" t="n">
        <f aca="false">S11*(1-MIN(1,INDEX(Tabla_Mortalidad!$B$5:$B$75,MIN(71,Cartera_Polizas!$B$13+17-49))*(1+(Cartera_Polizas!$P$13-1)*MAX(0,1-17/Supuestos!$C$20))*(1-Supuestos!$C$18)^17))</f>
        <v>0.00150306258607048</v>
      </c>
      <c r="U11" s="29" t="n">
        <f aca="false">T11*(1-MIN(1,INDEX(Tabla_Mortalidad!$B$5:$B$75,MIN(71,Cartera_Polizas!$B$13+18-49))*(1+(Cartera_Polizas!$P$13-1)*MAX(0,1-18/Supuestos!$C$20))*(1-Supuestos!$C$18)^18))</f>
        <v>0.00070004946659596</v>
      </c>
      <c r="V11" s="29" t="n">
        <f aca="false">U11*(1-MIN(1,INDEX(Tabla_Mortalidad!$B$5:$B$75,MIN(71,Cartera_Polizas!$B$13+19-49))*(1+(Cartera_Polizas!$P$13-1)*MAX(0,1-19/Supuestos!$C$20))*(1-Supuestos!$C$18)^19))</f>
        <v>0.000302242581755878</v>
      </c>
      <c r="W11" s="29" t="n">
        <f aca="false">V11*(1-MIN(1,INDEX(Tabla_Mortalidad!$B$5:$B$75,MIN(71,Cartera_Polizas!$B$13+20-49))*(1+(Cartera_Polizas!$P$13-1)*MAX(0,1-20/Supuestos!$C$20))*(1-Supuestos!$C$18)^20))</f>
        <v>0.000120299327700993</v>
      </c>
      <c r="X11" s="29" t="n">
        <f aca="false">W11*(1-MIN(1,INDEX(Tabla_Mortalidad!$B$5:$B$75,MIN(71,Cartera_Polizas!$B$13+21-49))*(1+(Cartera_Polizas!$P$13-1)*MAX(0,1-21/Supuestos!$C$20))*(1-Supuestos!$C$18)^21))</f>
        <v>4.39132634664793E-005</v>
      </c>
      <c r="Y11" s="29" t="n">
        <f aca="false">X11*(1-MIN(1,INDEX(Tabla_Mortalidad!$B$5:$B$75,MIN(71,Cartera_Polizas!$B$13+22-49))*(1+(Cartera_Polizas!$P$13-1)*MAX(0,1-22/Supuestos!$C$20))*(1-Supuestos!$C$18)^22))</f>
        <v>1.46344408703771E-005</v>
      </c>
      <c r="Z11" s="29" t="n">
        <f aca="false">Y11*(1-MIN(1,INDEX(Tabla_Mortalidad!$B$5:$B$75,MIN(71,Cartera_Polizas!$B$13+23-49))*(1+(Cartera_Polizas!$P$13-1)*MAX(0,1-23/Supuestos!$C$20))*(1-Supuestos!$C$18)^23))</f>
        <v>4.43696608537024E-006</v>
      </c>
      <c r="AA11" s="29" t="n">
        <f aca="false">Z11*(1-MIN(1,INDEX(Tabla_Mortalidad!$B$5:$B$75,MIN(71,Cartera_Polizas!$B$13+24-49))*(1+(Cartera_Polizas!$P$13-1)*MAX(0,1-24/Supuestos!$C$20))*(1-Supuestos!$C$18)^24))</f>
        <v>1.22146511237455E-006</v>
      </c>
      <c r="AB11" s="29" t="n">
        <f aca="false">AA11*(1-MIN(1,INDEX(Tabla_Mortalidad!$B$5:$B$75,MIN(71,Cartera_Polizas!$B$13+25-49))*(1+(Cartera_Polizas!$P$13-1)*MAX(0,1-25/Supuestos!$C$20))*(1-Supuestos!$C$18)^25))</f>
        <v>3.05380127267332E-007</v>
      </c>
      <c r="AC11" s="29" t="n">
        <f aca="false">AB11*(1-MIN(1,INDEX(Tabla_Mortalidad!$B$5:$B$75,MIN(71,Cartera_Polizas!$B$13+26-49))*(1+(Cartera_Polizas!$P$13-1)*MAX(0,1-26/Supuestos!$C$20))*(1-Supuestos!$C$18)^26))</f>
        <v>6.95372012938125E-008</v>
      </c>
      <c r="AD11" s="29" t="n">
        <f aca="false">AC11*(1-MIN(1,INDEX(Tabla_Mortalidad!$B$5:$B$75,MIN(71,Cartera_Polizas!$B$13+27-49))*(1+(Cartera_Polizas!$P$13-1)*MAX(0,1-27/Supuestos!$C$20))*(1-Supuestos!$C$18)^27))</f>
        <v>1.45085691534444E-008</v>
      </c>
      <c r="AE11" s="29" t="n">
        <f aca="false">AD11*(1-MIN(1,INDEX(Tabla_Mortalidad!$B$5:$B$75,MIN(71,Cartera_Polizas!$B$13+28-49))*(1+(Cartera_Polizas!$P$13-1)*MAX(0,1-28/Supuestos!$C$20))*(1-Supuestos!$C$18)^28))</f>
        <v>2.79972508493676E-009</v>
      </c>
      <c r="AF11" s="29" t="n">
        <f aca="false">AE11*(1-MIN(1,INDEX(Tabla_Mortalidad!$B$5:$B$75,MIN(71,Cartera_Polizas!$B$13+29-49))*(1+(Cartera_Polizas!$P$13-1)*MAX(0,1-29/Supuestos!$C$20))*(1-Supuestos!$C$18)^29))</f>
        <v>5.05890400335251E-010</v>
      </c>
      <c r="AG11" s="29" t="n">
        <f aca="false">AF11*(1-MIN(1,INDEX(Tabla_Mortalidad!$B$5:$B$75,MIN(71,Cartera_Polizas!$B$13+30-49))*(1+(Cartera_Polizas!$P$13-1)*MAX(0,1-30/Supuestos!$C$20))*(1-Supuestos!$C$18)^30))</f>
        <v>7.0630297045404E-011</v>
      </c>
      <c r="AH11" s="29" t="n">
        <f aca="false">AG11*(1-MIN(1,INDEX(Tabla_Mortalidad!$B$5:$B$75,MIN(71,Cartera_Polizas!$B$13+31-49))*(1+(Cartera_Polizas!$P$13-1)*MAX(0,1-31/Supuestos!$C$20))*(1-Supuestos!$C$18)^31))</f>
        <v>1.01649519525397E-011</v>
      </c>
      <c r="AI11" s="29" t="n">
        <f aca="false">AH11*(1-MIN(1,INDEX(Tabla_Mortalidad!$B$5:$B$75,MIN(71,Cartera_Polizas!$B$13+32-49))*(1+(Cartera_Polizas!$P$13-1)*MAX(0,1-32/Supuestos!$C$20))*(1-Supuestos!$C$18)^32))</f>
        <v>1.5064269766182E-012</v>
      </c>
      <c r="AJ11" s="29" t="n">
        <f aca="false">AI11*(1-MIN(1,INDEX(Tabla_Mortalidad!$B$5:$B$75,MIN(71,Cartera_Polizas!$B$13+33-49))*(1+(Cartera_Polizas!$P$13-1)*MAX(0,1-33/Supuestos!$C$20))*(1-Supuestos!$C$18)^33))</f>
        <v>2.29665563082866E-013</v>
      </c>
      <c r="AK11" s="29" t="n">
        <f aca="false">AJ11*(1-MIN(1,INDEX(Tabla_Mortalidad!$B$5:$B$75,MIN(71,Cartera_Polizas!$B$13+34-49))*(1+(Cartera_Polizas!$P$13-1)*MAX(0,1-34/Supuestos!$C$20))*(1-Supuestos!$C$18)^34))</f>
        <v>3.59874141610785E-014</v>
      </c>
      <c r="AL11" s="29" t="n">
        <f aca="false">AK11*(1-MIN(1,INDEX(Tabla_Mortalidad!$B$5:$B$75,MIN(71,Cartera_Polizas!$B$13+35-49))*(1+(Cartera_Polizas!$P$13-1)*MAX(0,1-35/Supuestos!$C$20))*(1-Supuestos!$C$18)^35))</f>
        <v>5.79078482182863E-015</v>
      </c>
      <c r="AM11" s="29" t="n">
        <f aca="false">AL11*(1-MIN(1,INDEX(Tabla_Mortalidad!$B$5:$B$75,MIN(71,Cartera_Polizas!$B$13+36-49))*(1+(Cartera_Polizas!$P$13-1)*MAX(0,1-36/Supuestos!$C$20))*(1-Supuestos!$C$18)^36))</f>
        <v>9.56098140670919E-016</v>
      </c>
      <c r="AN11" s="29" t="n">
        <f aca="false">AM11*(1-MIN(1,INDEX(Tabla_Mortalidad!$B$5:$B$75,MIN(71,Cartera_Polizas!$B$13+37-49))*(1+(Cartera_Polizas!$P$13-1)*MAX(0,1-37/Supuestos!$C$20))*(1-Supuestos!$C$18)^37))</f>
        <v>1.61849534763292E-016</v>
      </c>
      <c r="AO11" s="29" t="n">
        <f aca="false">AN11*(1-MIN(1,INDEX(Tabla_Mortalidad!$B$5:$B$75,MIN(71,Cartera_Polizas!$B$13+38-49))*(1+(Cartera_Polizas!$P$13-1)*MAX(0,1-38/Supuestos!$C$20))*(1-Supuestos!$C$18)^38))</f>
        <v>2.80703565860129E-017</v>
      </c>
      <c r="AP11" s="29" t="n">
        <f aca="false">AO11*(1-MIN(1,INDEX(Tabla_Mortalidad!$B$5:$B$75,MIN(71,Cartera_Polizas!$B$13+39-49))*(1+(Cartera_Polizas!$P$13-1)*MAX(0,1-39/Supuestos!$C$20))*(1-Supuestos!$C$18)^39))</f>
        <v>4.98438915021824E-018</v>
      </c>
      <c r="AQ11" s="29" t="n">
        <f aca="false">AP11*(1-MIN(1,INDEX(Tabla_Mortalidad!$B$5:$B$75,MIN(71,Cartera_Polizas!$B$13+40-49))*(1+(Cartera_Polizas!$P$13-1)*MAX(0,1-40/Supuestos!$C$20))*(1-Supuestos!$C$18)^40))</f>
        <v>9.05563217587545E-019</v>
      </c>
      <c r="AR11" s="29" t="n">
        <f aca="false">AQ11*(1-MIN(1,INDEX(Tabla_Mortalidad!$B$5:$B$75,MIN(71,Cartera_Polizas!$B$13+41-49))*(1+(Cartera_Polizas!$P$13-1)*MAX(0,1-41/Supuestos!$C$20))*(1-Supuestos!$C$18)^41))</f>
        <v>1.68227818786672E-019</v>
      </c>
      <c r="AS11" s="29" t="n">
        <f aca="false">AR11*(1-MIN(1,INDEX(Tabla_Mortalidad!$B$5:$B$75,MIN(71,Cartera_Polizas!$B$13+42-49))*(1+(Cartera_Polizas!$P$13-1)*MAX(0,1-42/Supuestos!$C$20))*(1-Supuestos!$C$18)^42))</f>
        <v>3.19368102428453E-020</v>
      </c>
      <c r="AT11" s="29" t="n">
        <f aca="false">AS11*(1-MIN(1,INDEX(Tabla_Mortalidad!$B$5:$B$75,MIN(71,Cartera_Polizas!$B$13+43-49))*(1+(Cartera_Polizas!$P$13-1)*MAX(0,1-43/Supuestos!$C$20))*(1-Supuestos!$C$18)^43))</f>
        <v>6.19233701292208E-021</v>
      </c>
      <c r="AU11" s="29" t="n">
        <f aca="false">AT11*(1-MIN(1,INDEX(Tabla_Mortalidad!$B$5:$B$75,MIN(71,Cartera_Polizas!$B$13+44-49))*(1+(Cartera_Polizas!$P$13-1)*MAX(0,1-44/Supuestos!$C$20))*(1-Supuestos!$C$18)^44))</f>
        <v>1.22561175196489E-021</v>
      </c>
    </row>
    <row r="12" customFormat="false" ht="15" hidden="false" customHeight="false" outlineLevel="0" collapsed="false">
      <c r="A12" s="14" t="n">
        <f aca="false">Cartera_Polizas!A14</f>
        <v>9</v>
      </c>
      <c r="B12" s="26" t="n">
        <f aca="false">SUM(C12:AU12)+0.5</f>
        <v>10.3682803172088</v>
      </c>
      <c r="C12" s="29" t="n">
        <f aca="false">1-MIN(1,INDEX(Tabla_Mortalidad!$B$5:$B$75,MIN(71,Cartera_Polizas!$B$14+0-49))*(1+(Cartera_Polizas!$P$14-1)*MAX(0,1-0/Supuestos!$C$20))*(1-Supuestos!$C$18)^0)</f>
        <v>0.962310745</v>
      </c>
      <c r="D12" s="29" t="n">
        <f aca="false">C12*(1-MIN(1,INDEX(Tabla_Mortalidad!$B$5:$B$75,MIN(71,Cartera_Polizas!$B$14+1-49))*(1+(Cartera_Polizas!$P$14-1)*MAX(0,1-1/Supuestos!$C$20))*(1-Supuestos!$C$18)^1))</f>
        <v>0.921677375438176</v>
      </c>
      <c r="E12" s="29" t="n">
        <f aca="false">D12*(1-MIN(1,INDEX(Tabla_Mortalidad!$B$5:$B$75,MIN(71,Cartera_Polizas!$B$14+2-49))*(1+(Cartera_Polizas!$P$14-1)*MAX(0,1-2/Supuestos!$C$20))*(1-Supuestos!$C$18)^2))</f>
        <v>0.878094344952705</v>
      </c>
      <c r="F12" s="29" t="n">
        <f aca="false">E12*(1-MIN(1,INDEX(Tabla_Mortalidad!$B$5:$B$75,MIN(71,Cartera_Polizas!$B$14+3-49))*(1+(Cartera_Polizas!$P$14-1)*MAX(0,1-3/Supuestos!$C$20))*(1-Supuestos!$C$18)^3))</f>
        <v>0.831616624577118</v>
      </c>
      <c r="G12" s="29" t="n">
        <f aca="false">F12*(1-MIN(1,INDEX(Tabla_Mortalidad!$B$5:$B$75,MIN(71,Cartera_Polizas!$B$14+4-49))*(1+(Cartera_Polizas!$P$14-1)*MAX(0,1-4/Supuestos!$C$20))*(1-Supuestos!$C$18)^4))</f>
        <v>0.782370020737261</v>
      </c>
      <c r="H12" s="29" t="n">
        <f aca="false">G12*(1-MIN(1,INDEX(Tabla_Mortalidad!$B$5:$B$75,MIN(71,Cartera_Polizas!$B$14+5-49))*(1+(Cartera_Polizas!$P$14-1)*MAX(0,1-5/Supuestos!$C$20))*(1-Supuestos!$C$18)^5))</f>
        <v>0.73056267980123</v>
      </c>
      <c r="I12" s="29" t="n">
        <f aca="false">H12*(1-MIN(1,INDEX(Tabla_Mortalidad!$B$5:$B$75,MIN(71,Cartera_Polizas!$B$14+6-49))*(1+(Cartera_Polizas!$P$14-1)*MAX(0,1-6/Supuestos!$C$20))*(1-Supuestos!$C$18)^6))</f>
        <v>0.676499196101945</v>
      </c>
      <c r="J12" s="29" t="n">
        <f aca="false">I12*(1-MIN(1,INDEX(Tabla_Mortalidad!$B$5:$B$75,MIN(71,Cartera_Polizas!$B$14+7-49))*(1+(Cartera_Polizas!$P$14-1)*MAX(0,1-7/Supuestos!$C$20))*(1-Supuestos!$C$18)^7))</f>
        <v>0.620585437464219</v>
      </c>
      <c r="K12" s="29" t="n">
        <f aca="false">J12*(1-MIN(1,INDEX(Tabla_Mortalidad!$B$5:$B$75,MIN(71,Cartera_Polizas!$B$14+8-49))*(1+(Cartera_Polizas!$P$14-1)*MAX(0,1-8/Supuestos!$C$20))*(1-Supuestos!$C$18)^8))</f>
        <v>0.563337912797406</v>
      </c>
      <c r="L12" s="29" t="n">
        <f aca="false">K12*(1-MIN(1,INDEX(Tabla_Mortalidad!$B$5:$B$75,MIN(71,Cartera_Polizas!$B$14+9-49))*(1+(Cartera_Polizas!$P$14-1)*MAX(0,1-9/Supuestos!$C$20))*(1-Supuestos!$C$18)^9))</f>
        <v>0.505380815593551</v>
      </c>
      <c r="M12" s="29" t="n">
        <f aca="false">L12*(1-MIN(1,INDEX(Tabla_Mortalidad!$B$5:$B$75,MIN(71,Cartera_Polizas!$B$14+10-49))*(1+(Cartera_Polizas!$P$14-1)*MAX(0,1-10/Supuestos!$C$20))*(1-Supuestos!$C$18)^10))</f>
        <v>0.447439598176965</v>
      </c>
      <c r="N12" s="29" t="n">
        <f aca="false">M12*(1-MIN(1,INDEX(Tabla_Mortalidad!$B$5:$B$75,MIN(71,Cartera_Polizas!$B$14+11-49))*(1+(Cartera_Polizas!$P$14-1)*MAX(0,1-11/Supuestos!$C$20))*(1-Supuestos!$C$18)^11))</f>
        <v>0.390324499630807</v>
      </c>
      <c r="O12" s="29" t="n">
        <f aca="false">N12*(1-MIN(1,INDEX(Tabla_Mortalidad!$B$5:$B$75,MIN(71,Cartera_Polizas!$B$14+12-49))*(1+(Cartera_Polizas!$P$14-1)*MAX(0,1-12/Supuestos!$C$20))*(1-Supuestos!$C$18)^12))</f>
        <v>0.334904273038367</v>
      </c>
      <c r="P12" s="29" t="n">
        <f aca="false">O12*(1-MIN(1,INDEX(Tabla_Mortalidad!$B$5:$B$75,MIN(71,Cartera_Polizas!$B$14+13-49))*(1+(Cartera_Polizas!$P$14-1)*MAX(0,1-13/Supuestos!$C$20))*(1-Supuestos!$C$18)^13))</f>
        <v>0.282068861566537</v>
      </c>
      <c r="Q12" s="29" t="n">
        <f aca="false">P12*(1-MIN(1,INDEX(Tabla_Mortalidad!$B$5:$B$75,MIN(71,Cartera_Polizas!$B$14+14-49))*(1+(Cartera_Polizas!$P$14-1)*MAX(0,1-14/Supuestos!$C$20))*(1-Supuestos!$C$18)^14))</f>
        <v>0.232681355024401</v>
      </c>
      <c r="R12" s="29" t="n">
        <f aca="false">Q12*(1-MIN(1,INDEX(Tabla_Mortalidad!$B$5:$B$75,MIN(71,Cartera_Polizas!$B$14+15-49))*(1+(Cartera_Polizas!$P$14-1)*MAX(0,1-15/Supuestos!$C$20))*(1-Supuestos!$C$18)^15))</f>
        <v>0.187524309117833</v>
      </c>
      <c r="S12" s="29" t="n">
        <f aca="false">R12*(1-MIN(1,INDEX(Tabla_Mortalidad!$B$5:$B$75,MIN(71,Cartera_Polizas!$B$14+16-49))*(1+(Cartera_Polizas!$P$14-1)*MAX(0,1-16/Supuestos!$C$20))*(1-Supuestos!$C$18)^16))</f>
        <v>0.147627919819813</v>
      </c>
      <c r="T12" s="29" t="n">
        <f aca="false">S12*(1-MIN(1,INDEX(Tabla_Mortalidad!$B$5:$B$75,MIN(71,Cartera_Polizas!$B$14+17-49))*(1+(Cartera_Polizas!$P$14-1)*MAX(0,1-17/Supuestos!$C$20))*(1-Supuestos!$C$18)^17))</f>
        <v>0.113246092129451</v>
      </c>
      <c r="U12" s="29" t="n">
        <f aca="false">T12*(1-MIN(1,INDEX(Tabla_Mortalidad!$B$5:$B$75,MIN(71,Cartera_Polizas!$B$14+18-49))*(1+(Cartera_Polizas!$P$14-1)*MAX(0,1-18/Supuestos!$C$20))*(1-Supuestos!$C$18)^18))</f>
        <v>0.0844207426742693</v>
      </c>
      <c r="V12" s="29" t="n">
        <f aca="false">U12*(1-MIN(1,INDEX(Tabla_Mortalidad!$B$5:$B$75,MIN(71,Cartera_Polizas!$B$14+19-49))*(1+(Cartera_Polizas!$P$14-1)*MAX(0,1-19/Supuestos!$C$20))*(1-Supuestos!$C$18)^19))</f>
        <v>0.0609771056595219</v>
      </c>
      <c r="W12" s="29" t="n">
        <f aca="false">V12*(1-MIN(1,INDEX(Tabla_Mortalidad!$B$5:$B$75,MIN(71,Cartera_Polizas!$B$14+20-49))*(1+(Cartera_Polizas!$P$14-1)*MAX(0,1-20/Supuestos!$C$20))*(1-Supuestos!$C$18)^20))</f>
        <v>0.042538595685373</v>
      </c>
      <c r="X12" s="29" t="n">
        <f aca="false">W12*(1-MIN(1,INDEX(Tabla_Mortalidad!$B$5:$B$75,MIN(71,Cartera_Polizas!$B$14+21-49))*(1+(Cartera_Polizas!$P$14-1)*MAX(0,1-21/Supuestos!$C$20))*(1-Supuestos!$C$18)^21))</f>
        <v>0.028562084315645</v>
      </c>
      <c r="Y12" s="29" t="n">
        <f aca="false">X12*(1-MIN(1,INDEX(Tabla_Mortalidad!$B$5:$B$75,MIN(71,Cartera_Polizas!$B$14+22-49))*(1+(Cartera_Polizas!$P$14-1)*MAX(0,1-22/Supuestos!$C$20))*(1-Supuestos!$C$18)^22))</f>
        <v>0.0183891133698915</v>
      </c>
      <c r="Z12" s="29" t="n">
        <f aca="false">Y12*(1-MIN(1,INDEX(Tabla_Mortalidad!$B$5:$B$75,MIN(71,Cartera_Polizas!$B$14+23-49))*(1+(Cartera_Polizas!$P$14-1)*MAX(0,1-23/Supuestos!$C$20))*(1-Supuestos!$C$18)^23))</f>
        <v>0.0113071725546066</v>
      </c>
      <c r="AA12" s="29" t="n">
        <f aca="false">Z12*(1-MIN(1,INDEX(Tabla_Mortalidad!$B$5:$B$75,MIN(71,Cartera_Polizas!$B$14+24-49))*(1+(Cartera_Polizas!$P$14-1)*MAX(0,1-24/Supuestos!$C$20))*(1-Supuestos!$C$18)^24))</f>
        <v>0.00661180916553255</v>
      </c>
      <c r="AB12" s="29" t="n">
        <f aca="false">AA12*(1-MIN(1,INDEX(Tabla_Mortalidad!$B$5:$B$75,MIN(71,Cartera_Polizas!$B$14+25-49))*(1+(Cartera_Polizas!$P$14-1)*MAX(0,1-25/Supuestos!$C$20))*(1-Supuestos!$C$18)^25))</f>
        <v>0.00366030395538829</v>
      </c>
      <c r="AC12" s="29" t="n">
        <f aca="false">AB12*(1-MIN(1,INDEX(Tabla_Mortalidad!$B$5:$B$75,MIN(71,Cartera_Polizas!$B$14+26-49))*(1+(Cartera_Polizas!$P$14-1)*MAX(0,1-26/Supuestos!$C$20))*(1-Supuestos!$C$18)^26))</f>
        <v>0.00190955572075019</v>
      </c>
      <c r="AD12" s="29" t="n">
        <f aca="false">AC12*(1-MIN(1,INDEX(Tabla_Mortalidad!$B$5:$B$75,MIN(71,Cartera_Polizas!$B$14+27-49))*(1+(Cartera_Polizas!$P$14-1)*MAX(0,1-27/Supuestos!$C$20))*(1-Supuestos!$C$18)^27))</f>
        <v>0.000934373805954524</v>
      </c>
      <c r="AE12" s="29" t="n">
        <f aca="false">AD12*(1-MIN(1,INDEX(Tabla_Mortalidad!$B$5:$B$75,MIN(71,Cartera_Polizas!$B$14+28-49))*(1+(Cartera_Polizas!$P$14-1)*MAX(0,1-28/Supuestos!$C$20))*(1-Supuestos!$C$18)^28))</f>
        <v>0.000426831851331865</v>
      </c>
      <c r="AF12" s="29" t="n">
        <f aca="false">AE12*(1-MIN(1,INDEX(Tabla_Mortalidad!$B$5:$B$75,MIN(71,Cartera_Polizas!$B$14+29-49))*(1+(Cartera_Polizas!$P$14-1)*MAX(0,1-29/Supuestos!$C$20))*(1-Supuestos!$C$18)^29))</f>
        <v>0.000181222524750271</v>
      </c>
      <c r="AG12" s="29" t="n">
        <f aca="false">AF12*(1-MIN(1,INDEX(Tabla_Mortalidad!$B$5:$B$75,MIN(71,Cartera_Polizas!$B$14+30-49))*(1+(Cartera_Polizas!$P$14-1)*MAX(0,1-30/Supuestos!$C$20))*(1-Supuestos!$C$18)^30))</f>
        <v>7.12280584649176E-005</v>
      </c>
      <c r="AH12" s="29" t="n">
        <f aca="false">AG12*(1-MIN(1,INDEX(Tabla_Mortalidad!$B$5:$B$75,MIN(71,Cartera_Polizas!$B$14+31-49))*(1+(Cartera_Polizas!$P$14-1)*MAX(0,1-31/Supuestos!$C$20))*(1-Supuestos!$C$18)^31))</f>
        <v>2.58321482863456E-005</v>
      </c>
      <c r="AI12" s="29" t="n">
        <f aca="false">AH12*(1-MIN(1,INDEX(Tabla_Mortalidad!$B$5:$B$75,MIN(71,Cartera_Polizas!$B$14+32-49))*(1+(Cartera_Polizas!$P$14-1)*MAX(0,1-32/Supuestos!$C$20))*(1-Supuestos!$C$18)^32))</f>
        <v>8.62595657031481E-006</v>
      </c>
      <c r="AJ12" s="29" t="n">
        <f aca="false">AI12*(1-MIN(1,INDEX(Tabla_Mortalidad!$B$5:$B$75,MIN(71,Cartera_Polizas!$B$14+33-49))*(1+(Cartera_Polizas!$P$14-1)*MAX(0,1-33/Supuestos!$C$20))*(1-Supuestos!$C$18)^33))</f>
        <v>2.65041144825033E-006</v>
      </c>
      <c r="AK12" s="29" t="n">
        <f aca="false">AJ12*(1-MIN(1,INDEX(Tabla_Mortalidad!$B$5:$B$75,MIN(71,Cartera_Polizas!$B$14+34-49))*(1+(Cartera_Polizas!$P$14-1)*MAX(0,1-34/Supuestos!$C$20))*(1-Supuestos!$C$18)^34))</f>
        <v>7.50314662194013E-007</v>
      </c>
      <c r="AL12" s="29" t="n">
        <f aca="false">AK12*(1-MIN(1,INDEX(Tabla_Mortalidad!$B$5:$B$75,MIN(71,Cartera_Polizas!$B$14+35-49))*(1+(Cartera_Polizas!$P$14-1)*MAX(0,1-35/Supuestos!$C$20))*(1-Supuestos!$C$18)^35))</f>
        <v>1.96412267841291E-007</v>
      </c>
      <c r="AM12" s="29" t="n">
        <f aca="false">AL12*(1-MIN(1,INDEX(Tabla_Mortalidad!$B$5:$B$75,MIN(71,Cartera_Polizas!$B$14+36-49))*(1+(Cartera_Polizas!$P$14-1)*MAX(0,1-36/Supuestos!$C$20))*(1-Supuestos!$C$18)^36))</f>
        <v>4.7836546623522E-008</v>
      </c>
      <c r="AN12" s="29" t="n">
        <f aca="false">AM12*(1-MIN(1,INDEX(Tabla_Mortalidad!$B$5:$B$75,MIN(71,Cartera_Polizas!$B$14+37-49))*(1+(Cartera_Polizas!$P$14-1)*MAX(0,1-37/Supuestos!$C$20))*(1-Supuestos!$C$18)^37))</f>
        <v>1.09339450009756E-008</v>
      </c>
      <c r="AO12" s="29" t="n">
        <f aca="false">AN12*(1-MIN(1,INDEX(Tabla_Mortalidad!$B$5:$B$75,MIN(71,Cartera_Polizas!$B$14+38-49))*(1+(Cartera_Polizas!$P$14-1)*MAX(0,1-38/Supuestos!$C$20))*(1-Supuestos!$C$18)^38))</f>
        <v>2.3708386362161E-009</v>
      </c>
      <c r="AP12" s="29" t="n">
        <f aca="false">AO12*(1-MIN(1,INDEX(Tabla_Mortalidad!$B$5:$B$75,MIN(71,Cartera_Polizas!$B$14+39-49))*(1+(Cartera_Polizas!$P$14-1)*MAX(0,1-39/Supuestos!$C$20))*(1-Supuestos!$C$18)^39))</f>
        <v>4.2098440534817E-010</v>
      </c>
      <c r="AQ12" s="29" t="n">
        <f aca="false">AP12*(1-MIN(1,INDEX(Tabla_Mortalidad!$B$5:$B$75,MIN(71,Cartera_Polizas!$B$14+40-49))*(1+(Cartera_Polizas!$P$14-1)*MAX(0,1-40/Supuestos!$C$20))*(1-Supuestos!$C$18)^40))</f>
        <v>7.64843958149969E-011</v>
      </c>
      <c r="AR12" s="29" t="n">
        <f aca="false">AQ12*(1-MIN(1,INDEX(Tabla_Mortalidad!$B$5:$B$75,MIN(71,Cartera_Polizas!$B$14+41-49))*(1+(Cartera_Polizas!$P$14-1)*MAX(0,1-41/Supuestos!$C$20))*(1-Supuestos!$C$18)^41))</f>
        <v>1.42086193755209E-011</v>
      </c>
      <c r="AS12" s="29" t="n">
        <f aca="false">AR12*(1-MIN(1,INDEX(Tabla_Mortalidad!$B$5:$B$75,MIN(71,Cartera_Polizas!$B$14+42-49))*(1+(Cartera_Polizas!$P$14-1)*MAX(0,1-42/Supuestos!$C$20))*(1-Supuestos!$C$18)^42))</f>
        <v>2.69740155987076E-012</v>
      </c>
      <c r="AT12" s="29" t="n">
        <f aca="false">AS12*(1-MIN(1,INDEX(Tabla_Mortalidad!$B$5:$B$75,MIN(71,Cartera_Polizas!$B$14+43-49))*(1+(Cartera_Polizas!$P$14-1)*MAX(0,1-43/Supuestos!$C$20))*(1-Supuestos!$C$18)^43))</f>
        <v>5.230083840838E-013</v>
      </c>
      <c r="AU12" s="29" t="n">
        <f aca="false">AT12*(1-MIN(1,INDEX(Tabla_Mortalidad!$B$5:$B$75,MIN(71,Cartera_Polizas!$B$14+44-49))*(1+(Cartera_Polizas!$P$14-1)*MAX(0,1-44/Supuestos!$C$20))*(1-Supuestos!$C$18)^44))</f>
        <v>1.03515881091684E-013</v>
      </c>
    </row>
    <row r="13" customFormat="false" ht="15" hidden="false" customHeight="false" outlineLevel="0" collapsed="false">
      <c r="A13" s="14" t="n">
        <f aca="false">Cartera_Polizas!A15</f>
        <v>10</v>
      </c>
      <c r="B13" s="26" t="n">
        <f aca="false">SUM(C13:AU13)+0.5</f>
        <v>8.97351489842766</v>
      </c>
      <c r="C13" s="29" t="n">
        <f aca="false">1-MIN(1,INDEX(Tabla_Mortalidad!$B$5:$B$75,MIN(71,Cartera_Polizas!$B$15+0-49))*(1+(Cartera_Polizas!$P$15-1)*MAX(0,1-0/Supuestos!$C$20))*(1-Supuestos!$C$18)^0)</f>
        <v>0.938331244</v>
      </c>
      <c r="D13" s="29" t="n">
        <f aca="false">C13*(1-MIN(1,INDEX(Tabla_Mortalidad!$B$5:$B$75,MIN(71,Cartera_Polizas!$B$15+1-49))*(1+(Cartera_Polizas!$P$15-1)*MAX(0,1-1/Supuestos!$C$20))*(1-Supuestos!$C$18)^1))</f>
        <v>0.875741554049891</v>
      </c>
      <c r="E13" s="29" t="n">
        <f aca="false">D13*(1-MIN(1,INDEX(Tabla_Mortalidad!$B$5:$B$75,MIN(71,Cartera_Polizas!$B$15+2-49))*(1+(Cartera_Polizas!$P$15-1)*MAX(0,1-2/Supuestos!$C$20))*(1-Supuestos!$C$18)^2))</f>
        <v>0.812611719819916</v>
      </c>
      <c r="F13" s="29" t="n">
        <f aca="false">E13*(1-MIN(1,INDEX(Tabla_Mortalidad!$B$5:$B$75,MIN(71,Cartera_Polizas!$B$15+3-49))*(1+(Cartera_Polizas!$P$15-1)*MAX(0,1-3/Supuestos!$C$20))*(1-Supuestos!$C$18)^3))</f>
        <v>0.749362374044184</v>
      </c>
      <c r="G13" s="29" t="n">
        <f aca="false">F13*(1-MIN(1,INDEX(Tabla_Mortalidad!$B$5:$B$75,MIN(71,Cartera_Polizas!$B$15+4-49))*(1+(Cartera_Polizas!$P$15-1)*MAX(0,1-4/Supuestos!$C$20))*(1-Supuestos!$C$18)^4))</f>
        <v>0.686449580197466</v>
      </c>
      <c r="H13" s="29" t="n">
        <f aca="false">G13*(1-MIN(1,INDEX(Tabla_Mortalidad!$B$5:$B$75,MIN(71,Cartera_Polizas!$B$15+5-49))*(1+(Cartera_Polizas!$P$15-1)*MAX(0,1-5/Supuestos!$C$20))*(1-Supuestos!$C$18)^5))</f>
        <v>0.624353612433262</v>
      </c>
      <c r="I13" s="29" t="n">
        <f aca="false">H13*(1-MIN(1,INDEX(Tabla_Mortalidad!$B$5:$B$75,MIN(71,Cartera_Polizas!$B$15+6-49))*(1+(Cartera_Polizas!$P$15-1)*MAX(0,1-6/Supuestos!$C$20))*(1-Supuestos!$C$18)^6))</f>
        <v>0.563567975312024</v>
      </c>
      <c r="J13" s="29" t="n">
        <f aca="false">I13*(1-MIN(1,INDEX(Tabla_Mortalidad!$B$5:$B$75,MIN(71,Cartera_Polizas!$B$15+7-49))*(1+(Cartera_Polizas!$P$15-1)*MAX(0,1-7/Supuestos!$C$20))*(1-Supuestos!$C$18)^7))</f>
        <v>0.504590525378469</v>
      </c>
      <c r="K13" s="29" t="n">
        <f aca="false">J13*(1-MIN(1,INDEX(Tabla_Mortalidad!$B$5:$B$75,MIN(71,Cartera_Polizas!$B$15+8-49))*(1+(Cartera_Polizas!$P$15-1)*MAX(0,1-8/Supuestos!$C$20))*(1-Supuestos!$C$18)^8))</f>
        <v>0.447904352320497</v>
      </c>
      <c r="L13" s="29" t="n">
        <f aca="false">K13*(1-MIN(1,INDEX(Tabla_Mortalidad!$B$5:$B$75,MIN(71,Cartera_Polizas!$B$15+9-49))*(1+(Cartera_Polizas!$P$15-1)*MAX(0,1-9/Supuestos!$C$20))*(1-Supuestos!$C$18)^9))</f>
        <v>0.393966983523181</v>
      </c>
      <c r="M13" s="29" t="n">
        <f aca="false">L13*(1-MIN(1,INDEX(Tabla_Mortalidad!$B$5:$B$75,MIN(71,Cartera_Polizas!$B$15+10-49))*(1+(Cartera_Polizas!$P$15-1)*MAX(0,1-10/Supuestos!$C$20))*(1-Supuestos!$C$18)^10))</f>
        <v>0.343191468239597</v>
      </c>
      <c r="N13" s="29" t="n">
        <f aca="false">M13*(1-MIN(1,INDEX(Tabla_Mortalidad!$B$5:$B$75,MIN(71,Cartera_Polizas!$B$15+11-49))*(1+(Cartera_Polizas!$P$15-1)*MAX(0,1-11/Supuestos!$C$20))*(1-Supuestos!$C$18)^11))</f>
        <v>0.295932090764343</v>
      </c>
      <c r="O13" s="29" t="n">
        <f aca="false">N13*(1-MIN(1,INDEX(Tabla_Mortalidad!$B$5:$B$75,MIN(71,Cartera_Polizas!$B$15+12-49))*(1+(Cartera_Polizas!$P$15-1)*MAX(0,1-12/Supuestos!$C$20))*(1-Supuestos!$C$18)^12))</f>
        <v>0.252470442360113</v>
      </c>
      <c r="P13" s="29" t="n">
        <f aca="false">O13*(1-MIN(1,INDEX(Tabla_Mortalidad!$B$5:$B$75,MIN(71,Cartera_Polizas!$B$15+13-49))*(1+(Cartera_Polizas!$P$15-1)*MAX(0,1-13/Supuestos!$C$20))*(1-Supuestos!$C$18)^13))</f>
        <v>0.213004463678854</v>
      </c>
      <c r="Q13" s="29" t="n">
        <f aca="false">P13*(1-MIN(1,INDEX(Tabla_Mortalidad!$B$5:$B$75,MIN(71,Cartera_Polizas!$B$15+14-49))*(1+(Cartera_Polizas!$P$15-1)*MAX(0,1-14/Supuestos!$C$20))*(1-Supuestos!$C$18)^14))</f>
        <v>0.177640797287316</v>
      </c>
      <c r="R13" s="29" t="n">
        <f aca="false">Q13*(1-MIN(1,INDEX(Tabla_Mortalidad!$B$5:$B$75,MIN(71,Cartera_Polizas!$B$15+15-49))*(1+(Cartera_Polizas!$P$15-1)*MAX(0,1-15/Supuestos!$C$20))*(1-Supuestos!$C$18)^15))</f>
        <v>0.146391061350666</v>
      </c>
      <c r="S13" s="29" t="n">
        <f aca="false">R13*(1-MIN(1,INDEX(Tabla_Mortalidad!$B$5:$B$75,MIN(71,Cartera_Polizas!$B$15+16-49))*(1+(Cartera_Polizas!$P$15-1)*MAX(0,1-16/Supuestos!$C$20))*(1-Supuestos!$C$18)^16))</f>
        <v>0.118122638478345</v>
      </c>
      <c r="T13" s="29" t="n">
        <f aca="false">S13*(1-MIN(1,INDEX(Tabla_Mortalidad!$B$5:$B$75,MIN(71,Cartera_Polizas!$B$15+17-49))*(1+(Cartera_Polizas!$P$15-1)*MAX(0,1-17/Supuestos!$C$20))*(1-Supuestos!$C$18)^17))</f>
        <v>0.0931173287248941</v>
      </c>
      <c r="U13" s="29" t="n">
        <f aca="false">T13*(1-MIN(1,INDEX(Tabla_Mortalidad!$B$5:$B$75,MIN(71,Cartera_Polizas!$B$15+18-49))*(1+(Cartera_Polizas!$P$15-1)*MAX(0,1-18/Supuestos!$C$20))*(1-Supuestos!$C$18)^18))</f>
        <v>0.0715391866272602</v>
      </c>
      <c r="V13" s="29" t="n">
        <f aca="false">U13*(1-MIN(1,INDEX(Tabla_Mortalidad!$B$5:$B$75,MIN(71,Cartera_Polizas!$B$15+19-49))*(1+(Cartera_Polizas!$P$15-1)*MAX(0,1-19/Supuestos!$C$20))*(1-Supuestos!$C$18)^19))</f>
        <v>0.0534208453634093</v>
      </c>
      <c r="W13" s="29" t="n">
        <f aca="false">V13*(1-MIN(1,INDEX(Tabla_Mortalidad!$B$5:$B$75,MIN(71,Cartera_Polizas!$B$15+20-49))*(1+(Cartera_Polizas!$P$15-1)*MAX(0,1-20/Supuestos!$C$20))*(1-Supuestos!$C$18)^20))</f>
        <v>0.0386600534808958</v>
      </c>
      <c r="X13" s="29" t="n">
        <f aca="false">W13*(1-MIN(1,INDEX(Tabla_Mortalidad!$B$5:$B$75,MIN(71,Cartera_Polizas!$B$15+21-49))*(1+(Cartera_Polizas!$P$15-1)*MAX(0,1-21/Supuestos!$C$20))*(1-Supuestos!$C$18)^21))</f>
        <v>0.0270283171902225</v>
      </c>
      <c r="Y13" s="29" t="n">
        <f aca="false">X13*(1-MIN(1,INDEX(Tabla_Mortalidad!$B$5:$B$75,MIN(71,Cartera_Polizas!$B$15+22-49))*(1+(Cartera_Polizas!$P$15-1)*MAX(0,1-22/Supuestos!$C$20))*(1-Supuestos!$C$18)^22))</f>
        <v>0.0181922762127241</v>
      </c>
      <c r="Z13" s="29" t="n">
        <f aca="false">Y13*(1-MIN(1,INDEX(Tabla_Mortalidad!$B$5:$B$75,MIN(71,Cartera_Polizas!$B$15+23-49))*(1+(Cartera_Polizas!$P$15-1)*MAX(0,1-23/Supuestos!$C$20))*(1-Supuestos!$C$18)^23))</f>
        <v>0.0117451224326495</v>
      </c>
      <c r="AA13" s="29" t="n">
        <f aca="false">Z13*(1-MIN(1,INDEX(Tabla_Mortalidad!$B$5:$B$75,MIN(71,Cartera_Polizas!$B$15+24-49))*(1+(Cartera_Polizas!$P$15-1)*MAX(0,1-24/Supuestos!$C$20))*(1-Supuestos!$C$18)^24))</f>
        <v>0.00724450465071098</v>
      </c>
      <c r="AB13" s="29" t="n">
        <f aca="false">AA13*(1-MIN(1,INDEX(Tabla_Mortalidad!$B$5:$B$75,MIN(71,Cartera_Polizas!$B$15+25-49))*(1+(Cartera_Polizas!$P$15-1)*MAX(0,1-25/Supuestos!$C$20))*(1-Supuestos!$C$18)^25))</f>
        <v>0.00425122725656779</v>
      </c>
      <c r="AC13" s="29" t="n">
        <f aca="false">AB13*(1-MIN(1,INDEX(Tabla_Mortalidad!$B$5:$B$75,MIN(71,Cartera_Polizas!$B$15+26-49))*(1+(Cartera_Polizas!$P$15-1)*MAX(0,1-26/Supuestos!$C$20))*(1-Supuestos!$C$18)^26))</f>
        <v>0.00236297224380001</v>
      </c>
      <c r="AD13" s="29" t="n">
        <f aca="false">AC13*(1-MIN(1,INDEX(Tabla_Mortalidad!$B$5:$B$75,MIN(71,Cartera_Polizas!$B$15+27-49))*(1+(Cartera_Polizas!$P$15-1)*MAX(0,1-27/Supuestos!$C$20))*(1-Supuestos!$C$18)^27))</f>
        <v>0.0012383977037948</v>
      </c>
      <c r="AE13" s="29" t="n">
        <f aca="false">AD13*(1-MIN(1,INDEX(Tabla_Mortalidad!$B$5:$B$75,MIN(71,Cartera_Polizas!$B$15+28-49))*(1+(Cartera_Polizas!$P$15-1)*MAX(0,1-28/Supuestos!$C$20))*(1-Supuestos!$C$18)^28))</f>
        <v>0.000609128436714825</v>
      </c>
      <c r="AF13" s="29" t="n">
        <f aca="false">AE13*(1-MIN(1,INDEX(Tabla_Mortalidad!$B$5:$B$75,MIN(71,Cartera_Polizas!$B$15+29-49))*(1+(Cartera_Polizas!$P$15-1)*MAX(0,1-29/Supuestos!$C$20))*(1-Supuestos!$C$18)^29))</f>
        <v>0.000279910682279481</v>
      </c>
      <c r="AG13" s="29" t="n">
        <f aca="false">AF13*(1-MIN(1,INDEX(Tabla_Mortalidad!$B$5:$B$75,MIN(71,Cartera_Polizas!$B$15+30-49))*(1+(Cartera_Polizas!$P$15-1)*MAX(0,1-30/Supuestos!$C$20))*(1-Supuestos!$C$18)^30))</f>
        <v>0.000119648671388489</v>
      </c>
      <c r="AH13" s="29" t="n">
        <f aca="false">AG13*(1-MIN(1,INDEX(Tabla_Mortalidad!$B$5:$B$75,MIN(71,Cartera_Polizas!$B$15+31-49))*(1+(Cartera_Polizas!$P$15-1)*MAX(0,1-31/Supuestos!$C$20))*(1-Supuestos!$C$18)^31))</f>
        <v>4.73900583357358E-005</v>
      </c>
      <c r="AI13" s="29" t="n">
        <f aca="false">AH13*(1-MIN(1,INDEX(Tabla_Mortalidad!$B$5:$B$75,MIN(71,Cartera_Polizas!$B$15+32-49))*(1+(Cartera_Polizas!$P$15-1)*MAX(0,1-32/Supuestos!$C$20))*(1-Supuestos!$C$18)^32))</f>
        <v>1.73378808155129E-005</v>
      </c>
      <c r="AJ13" s="29" t="n">
        <f aca="false">AI13*(1-MIN(1,INDEX(Tabla_Mortalidad!$B$5:$B$75,MIN(71,Cartera_Polizas!$B$15+33-49))*(1+(Cartera_Polizas!$P$15-1)*MAX(0,1-33/Supuestos!$C$20))*(1-Supuestos!$C$18)^33))</f>
        <v>5.8472644151728E-006</v>
      </c>
      <c r="AK13" s="29" t="n">
        <f aca="false">AJ13*(1-MIN(1,INDEX(Tabla_Mortalidad!$B$5:$B$75,MIN(71,Cartera_Polizas!$B$15+34-49))*(1+(Cartera_Polizas!$P$15-1)*MAX(0,1-34/Supuestos!$C$20))*(1-Supuestos!$C$18)^34))</f>
        <v>1.81688365585132E-006</v>
      </c>
      <c r="AL13" s="29" t="n">
        <f aca="false">AK13*(1-MIN(1,INDEX(Tabla_Mortalidad!$B$5:$B$75,MIN(71,Cartera_Polizas!$B$15+35-49))*(1+(Cartera_Polizas!$P$15-1)*MAX(0,1-35/Supuestos!$C$20))*(1-Supuestos!$C$18)^35))</f>
        <v>5.20860910623084E-007</v>
      </c>
      <c r="AM13" s="29" t="n">
        <f aca="false">AL13*(1-MIN(1,INDEX(Tabla_Mortalidad!$B$5:$B$75,MIN(71,Cartera_Polizas!$B$15+36-49))*(1+(Cartera_Polizas!$P$15-1)*MAX(0,1-36/Supuestos!$C$20))*(1-Supuestos!$C$18)^36))</f>
        <v>1.38269993164718E-007</v>
      </c>
      <c r="AN13" s="29" t="n">
        <f aca="false">AM13*(1-MIN(1,INDEX(Tabla_Mortalidad!$B$5:$B$75,MIN(71,Cartera_Polizas!$B$15+37-49))*(1+(Cartera_Polizas!$P$15-1)*MAX(0,1-37/Supuestos!$C$20))*(1-Supuestos!$C$18)^37))</f>
        <v>3.41988658257941E-008</v>
      </c>
      <c r="AO13" s="29" t="n">
        <f aca="false">AN13*(1-MIN(1,INDEX(Tabla_Mortalidad!$B$5:$B$75,MIN(71,Cartera_Polizas!$B$15+38-49))*(1+(Cartera_Polizas!$P$15-1)*MAX(0,1-38/Supuestos!$C$20))*(1-Supuestos!$C$18)^38))</f>
        <v>7.94870617720485E-009</v>
      </c>
      <c r="AP13" s="29" t="n">
        <f aca="false">AO13*(1-MIN(1,INDEX(Tabla_Mortalidad!$B$5:$B$75,MIN(71,Cartera_Polizas!$B$15+39-49))*(1+(Cartera_Polizas!$P$15-1)*MAX(0,1-39/Supuestos!$C$20))*(1-Supuestos!$C$18)^39))</f>
        <v>1.75466657216798E-009</v>
      </c>
      <c r="AQ13" s="29" t="n">
        <f aca="false">AP13*(1-MIN(1,INDEX(Tabla_Mortalidad!$B$5:$B$75,MIN(71,Cartera_Polizas!$B$15+40-49))*(1+(Cartera_Polizas!$P$15-1)*MAX(0,1-40/Supuestos!$C$20))*(1-Supuestos!$C$18)^40))</f>
        <v>3.18787610477037E-010</v>
      </c>
      <c r="AR13" s="29" t="n">
        <f aca="false">AQ13*(1-MIN(1,INDEX(Tabla_Mortalidad!$B$5:$B$75,MIN(71,Cartera_Polizas!$B$15+41-49))*(1+(Cartera_Polizas!$P$15-1)*MAX(0,1-41/Supuestos!$C$20))*(1-Supuestos!$C$18)^41))</f>
        <v>5.92216460708694E-011</v>
      </c>
      <c r="AS13" s="29" t="n">
        <f aca="false">AR13*(1-MIN(1,INDEX(Tabla_Mortalidad!$B$5:$B$75,MIN(71,Cartera_Polizas!$B$15+42-49))*(1+(Cartera_Polizas!$P$15-1)*MAX(0,1-42/Supuestos!$C$20))*(1-Supuestos!$C$18)^42))</f>
        <v>1.12427925801778E-011</v>
      </c>
      <c r="AT13" s="29" t="n">
        <f aca="false">AS13*(1-MIN(1,INDEX(Tabla_Mortalidad!$B$5:$B$75,MIN(71,Cartera_Polizas!$B$15+43-49))*(1+(Cartera_Polizas!$P$15-1)*MAX(0,1-43/Supuestos!$C$20))*(1-Supuestos!$C$18)^43))</f>
        <v>2.1799033808781E-012</v>
      </c>
      <c r="AU13" s="29" t="n">
        <f aca="false">AT13*(1-MIN(1,INDEX(Tabla_Mortalidad!$B$5:$B$75,MIN(71,Cartera_Polizas!$B$15+44-49))*(1+(Cartera_Polizas!$P$15-1)*MAX(0,1-44/Supuestos!$C$20))*(1-Supuestos!$C$18)^44))</f>
        <v>4.31455070384074E-013</v>
      </c>
    </row>
    <row r="14" customFormat="false" ht="15" hidden="false" customHeight="false" outlineLevel="0" collapsed="false">
      <c r="A14" s="14" t="n">
        <f aca="false">Cartera_Polizas!A16</f>
        <v>11</v>
      </c>
      <c r="B14" s="26" t="n">
        <f aca="false">SUM(C14:AU14)+0.5</f>
        <v>4.83405135575803</v>
      </c>
      <c r="C14" s="29" t="n">
        <f aca="false">1-MIN(1,INDEX(Tabla_Mortalidad!$B$5:$B$75,MIN(71,Cartera_Polizas!$B$16+0-49))*(1+(Cartera_Polizas!$P$16-1)*MAX(0,1-0/Supuestos!$C$20))*(1-Supuestos!$C$18)^0)</f>
        <v>0.84991468</v>
      </c>
      <c r="D14" s="29" t="n">
        <f aca="false">C14*(1-MIN(1,INDEX(Tabla_Mortalidad!$B$5:$B$75,MIN(71,Cartera_Polizas!$B$16+1-49))*(1+(Cartera_Polizas!$P$16-1)*MAX(0,1-1/Supuestos!$C$20))*(1-Supuestos!$C$18)^1))</f>
        <v>0.713971578598543</v>
      </c>
      <c r="E14" s="29" t="n">
        <f aca="false">D14*(1-MIN(1,INDEX(Tabla_Mortalidad!$B$5:$B$75,MIN(71,Cartera_Polizas!$B$16+2-49))*(1+(Cartera_Polizas!$P$16-1)*MAX(0,1-2/Supuestos!$C$20))*(1-Supuestos!$C$18)^2))</f>
        <v>0.592501578950346</v>
      </c>
      <c r="F14" s="29" t="n">
        <f aca="false">E14*(1-MIN(1,INDEX(Tabla_Mortalidad!$B$5:$B$75,MIN(71,Cartera_Polizas!$B$16+3-49))*(1+(Cartera_Polizas!$P$16-1)*MAX(0,1-3/Supuestos!$C$20))*(1-Supuestos!$C$18)^3))</f>
        <v>0.4854998732462</v>
      </c>
      <c r="G14" s="29" t="n">
        <f aca="false">F14*(1-MIN(1,INDEX(Tabla_Mortalidad!$B$5:$B$75,MIN(71,Cartera_Polizas!$B$16+4-49))*(1+(Cartera_Polizas!$P$16-1)*MAX(0,1-4/Supuestos!$C$20))*(1-Supuestos!$C$18)^4))</f>
        <v>0.392643111670879</v>
      </c>
      <c r="H14" s="29" t="n">
        <f aca="false">G14*(1-MIN(1,INDEX(Tabla_Mortalidad!$B$5:$B$75,MIN(71,Cartera_Polizas!$B$16+5-49))*(1+(Cartera_Polizas!$P$16-1)*MAX(0,1-5/Supuestos!$C$20))*(1-Supuestos!$C$18)^5))</f>
        <v>0.313307157883205</v>
      </c>
      <c r="I14" s="29" t="n">
        <f aca="false">H14*(1-MIN(1,INDEX(Tabla_Mortalidad!$B$5:$B$75,MIN(71,Cartera_Polizas!$B$16+6-49))*(1+(Cartera_Polizas!$P$16-1)*MAX(0,1-6/Supuestos!$C$20))*(1-Supuestos!$C$18)^6))</f>
        <v>0.246609606866803</v>
      </c>
      <c r="J14" s="29" t="n">
        <f aca="false">I14*(1-MIN(1,INDEX(Tabla_Mortalidad!$B$5:$B$75,MIN(71,Cartera_Polizas!$B$16+7-49))*(1+(Cartera_Polizas!$P$16-1)*MAX(0,1-7/Supuestos!$C$20))*(1-Supuestos!$C$18)^7))</f>
        <v>0.191462902701552</v>
      </c>
      <c r="K14" s="29" t="n">
        <f aca="false">J14*(1-MIN(1,INDEX(Tabla_Mortalidad!$B$5:$B$75,MIN(71,Cartera_Polizas!$B$16+8-49))*(1+(Cartera_Polizas!$P$16-1)*MAX(0,1-8/Supuestos!$C$20))*(1-Supuestos!$C$18)^8))</f>
        <v>0.146636821775162</v>
      </c>
      <c r="L14" s="29" t="n">
        <f aca="false">K14*(1-MIN(1,INDEX(Tabla_Mortalidad!$B$5:$B$75,MIN(71,Cartera_Polizas!$B$16+9-49))*(1+(Cartera_Polizas!$P$16-1)*MAX(0,1-9/Supuestos!$C$20))*(1-Supuestos!$C$18)^9))</f>
        <v>0.110824156886098</v>
      </c>
      <c r="M14" s="29" t="n">
        <f aca="false">L14*(1-MIN(1,INDEX(Tabla_Mortalidad!$B$5:$B$75,MIN(71,Cartera_Polizas!$B$16+10-49))*(1+(Cartera_Polizas!$P$16-1)*MAX(0,1-10/Supuestos!$C$20))*(1-Supuestos!$C$18)^10))</f>
        <v>0.082704250749695</v>
      </c>
      <c r="N14" s="29" t="n">
        <f aca="false">M14*(1-MIN(1,INDEX(Tabla_Mortalidad!$B$5:$B$75,MIN(71,Cartera_Polizas!$B$16+11-49))*(1+(Cartera_Polizas!$P$16-1)*MAX(0,1-11/Supuestos!$C$20))*(1-Supuestos!$C$18)^11))</f>
        <v>0.0610010109617139</v>
      </c>
      <c r="O14" s="29" t="n">
        <f aca="false">N14*(1-MIN(1,INDEX(Tabla_Mortalidad!$B$5:$B$75,MIN(71,Cartera_Polizas!$B$16+12-49))*(1+(Cartera_Polizas!$P$16-1)*MAX(0,1-12/Supuestos!$C$20))*(1-Supuestos!$C$18)^12))</f>
        <v>0.044529209127802</v>
      </c>
      <c r="P14" s="29" t="n">
        <f aca="false">O14*(1-MIN(1,INDEX(Tabla_Mortalidad!$B$5:$B$75,MIN(71,Cartera_Polizas!$B$16+13-49))*(1+(Cartera_Polizas!$P$16-1)*MAX(0,1-13/Supuestos!$C$20))*(1-Supuestos!$C$18)^13))</f>
        <v>0.032227418264192</v>
      </c>
      <c r="Q14" s="29" t="n">
        <f aca="false">P14*(1-MIN(1,INDEX(Tabla_Mortalidad!$B$5:$B$75,MIN(71,Cartera_Polizas!$B$16+14-49))*(1+(Cartera_Polizas!$P$16-1)*MAX(0,1-14/Supuestos!$C$20))*(1-Supuestos!$C$18)^14))</f>
        <v>0.0231775107681131</v>
      </c>
      <c r="R14" s="29" t="n">
        <f aca="false">Q14*(1-MIN(1,INDEX(Tabla_Mortalidad!$B$5:$B$75,MIN(71,Cartera_Polizas!$B$16+15-49))*(1+(Cartera_Polizas!$P$16-1)*MAX(0,1-15/Supuestos!$C$20))*(1-Supuestos!$C$18)^15))</f>
        <v>0.0166107637049982</v>
      </c>
      <c r="S14" s="29" t="n">
        <f aca="false">R14*(1-MIN(1,INDEX(Tabla_Mortalidad!$B$5:$B$75,MIN(71,Cartera_Polizas!$B$16+16-49))*(1+(Cartera_Polizas!$P$16-1)*MAX(0,1-16/Supuestos!$C$20))*(1-Supuestos!$C$18)^16))</f>
        <v>0.0114862071128254</v>
      </c>
      <c r="T14" s="29" t="n">
        <f aca="false">S14*(1-MIN(1,INDEX(Tabla_Mortalidad!$B$5:$B$75,MIN(71,Cartera_Polizas!$B$16+17-49))*(1+(Cartera_Polizas!$P$16-1)*MAX(0,1-17/Supuestos!$C$20))*(1-Supuestos!$C$18)^17))</f>
        <v>0.00763585937770224</v>
      </c>
      <c r="U14" s="29" t="n">
        <f aca="false">T14*(1-MIN(1,INDEX(Tabla_Mortalidad!$B$5:$B$75,MIN(71,Cartera_Polizas!$B$16+18-49))*(1+(Cartera_Polizas!$P$16-1)*MAX(0,1-18/Supuestos!$C$20))*(1-Supuestos!$C$18)^18))</f>
        <v>0.00486111163917712</v>
      </c>
      <c r="V14" s="29" t="n">
        <f aca="false">U14*(1-MIN(1,INDEX(Tabla_Mortalidad!$B$5:$B$75,MIN(71,Cartera_Polizas!$B$16+19-49))*(1+(Cartera_Polizas!$P$16-1)*MAX(0,1-19/Supuestos!$C$20))*(1-Supuestos!$C$18)^19))</f>
        <v>0.00295110544867801</v>
      </c>
      <c r="W14" s="29" t="n">
        <f aca="false">V14*(1-MIN(1,INDEX(Tabla_Mortalidad!$B$5:$B$75,MIN(71,Cartera_Polizas!$B$16+20-49))*(1+(Cartera_Polizas!$P$16-1)*MAX(0,1-20/Supuestos!$C$20))*(1-Supuestos!$C$18)^20))</f>
        <v>0.00170082455508394</v>
      </c>
      <c r="X14" s="29" t="n">
        <f aca="false">W14*(1-MIN(1,INDEX(Tabla_Mortalidad!$B$5:$B$75,MIN(71,Cartera_Polizas!$B$16+21-49))*(1+(Cartera_Polizas!$P$16-1)*MAX(0,1-21/Supuestos!$C$20))*(1-Supuestos!$C$18)^21))</f>
        <v>0.000926201465219061</v>
      </c>
      <c r="Y14" s="29" t="n">
        <f aca="false">X14*(1-MIN(1,INDEX(Tabla_Mortalidad!$B$5:$B$75,MIN(71,Cartera_Polizas!$B$16+22-49))*(1+(Cartera_Polizas!$P$16-1)*MAX(0,1-22/Supuestos!$C$20))*(1-Supuestos!$C$18)^22))</f>
        <v>0.000474220977277523</v>
      </c>
      <c r="Z14" s="29" t="n">
        <f aca="false">Y14*(1-MIN(1,INDEX(Tabla_Mortalidad!$B$5:$B$75,MIN(71,Cartera_Polizas!$B$16+23-49))*(1+(Cartera_Polizas!$P$16-1)*MAX(0,1-23/Supuestos!$C$20))*(1-Supuestos!$C$18)^23))</f>
        <v>0.00022713861712377</v>
      </c>
      <c r="AA14" s="29" t="n">
        <f aca="false">Z14*(1-MIN(1,INDEX(Tabla_Mortalidad!$B$5:$B$75,MIN(71,Cartera_Polizas!$B$16+24-49))*(1+(Cartera_Polizas!$P$16-1)*MAX(0,1-24/Supuestos!$C$20))*(1-Supuestos!$C$18)^24))</f>
        <v>0.000101260584314687</v>
      </c>
      <c r="AB14" s="29" t="n">
        <f aca="false">AA14*(1-MIN(1,INDEX(Tabla_Mortalidad!$B$5:$B$75,MIN(71,Cartera_Polizas!$B$16+25-49))*(1+(Cartera_Polizas!$P$16-1)*MAX(0,1-25/Supuestos!$C$20))*(1-Supuestos!$C$18)^25))</f>
        <v>4.18127359808826E-005</v>
      </c>
      <c r="AC14" s="29" t="n">
        <f aca="false">AB14*(1-MIN(1,INDEX(Tabla_Mortalidad!$B$5:$B$75,MIN(71,Cartera_Polizas!$B$16+26-49))*(1+(Cartera_Polizas!$P$16-1)*MAX(0,1-26/Supuestos!$C$20))*(1-Supuestos!$C$18)^26))</f>
        <v>1.59201800311578E-005</v>
      </c>
      <c r="AD14" s="29" t="n">
        <f aca="false">AC14*(1-MIN(1,INDEX(Tabla_Mortalidad!$B$5:$B$75,MIN(71,Cartera_Polizas!$B$16+27-49))*(1+(Cartera_Polizas!$P$16-1)*MAX(0,1-27/Supuestos!$C$20))*(1-Supuestos!$C$18)^27))</f>
        <v>5.56825130606418E-006</v>
      </c>
      <c r="AE14" s="29" t="n">
        <f aca="false">AD14*(1-MIN(1,INDEX(Tabla_Mortalidad!$B$5:$B$75,MIN(71,Cartera_Polizas!$B$16+28-49))*(1+(Cartera_Polizas!$P$16-1)*MAX(0,1-28/Supuestos!$C$20))*(1-Supuestos!$C$18)^28))</f>
        <v>1.78425470867993E-006</v>
      </c>
      <c r="AF14" s="29" t="n">
        <f aca="false">AE14*(1-MIN(1,INDEX(Tabla_Mortalidad!$B$5:$B$75,MIN(71,Cartera_Polizas!$B$16+29-49))*(1+(Cartera_Polizas!$P$16-1)*MAX(0,1-29/Supuestos!$C$20))*(1-Supuestos!$C$18)^29))</f>
        <v>5.23197493031229E-007</v>
      </c>
      <c r="AG14" s="29" t="n">
        <f aca="false">AF14*(1-MIN(1,INDEX(Tabla_Mortalidad!$B$5:$B$75,MIN(71,Cartera_Polizas!$B$16+30-49))*(1+(Cartera_Polizas!$P$16-1)*MAX(0,1-30/Supuestos!$C$20))*(1-Supuestos!$C$18)^30))</f>
        <v>1.40517501267771E-007</v>
      </c>
      <c r="AH14" s="29" t="n">
        <f aca="false">AG14*(1-MIN(1,INDEX(Tabla_Mortalidad!$B$5:$B$75,MIN(71,Cartera_Polizas!$B$16+31-49))*(1+(Cartera_Polizas!$P$16-1)*MAX(0,1-31/Supuestos!$C$20))*(1-Supuestos!$C$18)^31))</f>
        <v>3.46828447513139E-008</v>
      </c>
      <c r="AI14" s="29" t="n">
        <f aca="false">AH14*(1-MIN(1,INDEX(Tabla_Mortalidad!$B$5:$B$75,MIN(71,Cartera_Polizas!$B$16+32-49))*(1+(Cartera_Polizas!$P$16-1)*MAX(0,1-32/Supuestos!$C$20))*(1-Supuestos!$C$18)^32))</f>
        <v>7.91572598923261E-009</v>
      </c>
      <c r="AJ14" s="29" t="n">
        <f aca="false">AI14*(1-MIN(1,INDEX(Tabla_Mortalidad!$B$5:$B$75,MIN(71,Cartera_Polizas!$B$16+33-49))*(1+(Cartera_Polizas!$P$16-1)*MAX(0,1-33/Supuestos!$C$20))*(1-Supuestos!$C$18)^33))</f>
        <v>1.68561771713291E-009</v>
      </c>
      <c r="AK14" s="29" t="n">
        <f aca="false">AJ14*(1-MIN(1,INDEX(Tabla_Mortalidad!$B$5:$B$75,MIN(71,Cartera_Polizas!$B$16+34-49))*(1+(Cartera_Polizas!$P$16-1)*MAX(0,1-34/Supuestos!$C$20))*(1-Supuestos!$C$18)^34))</f>
        <v>3.38761553926273E-010</v>
      </c>
      <c r="AL14" s="29" t="n">
        <f aca="false">AK14*(1-MIN(1,INDEX(Tabla_Mortalidad!$B$5:$B$75,MIN(71,Cartera_Polizas!$B$16+35-49))*(1+(Cartera_Polizas!$P$16-1)*MAX(0,1-35/Supuestos!$C$20))*(1-Supuestos!$C$18)^35))</f>
        <v>5.45105923952985E-011</v>
      </c>
      <c r="AM14" s="29" t="n">
        <f aca="false">AL14*(1-MIN(1,INDEX(Tabla_Mortalidad!$B$5:$B$75,MIN(71,Cartera_Polizas!$B$16+36-49))*(1+(Cartera_Polizas!$P$16-1)*MAX(0,1-36/Supuestos!$C$20))*(1-Supuestos!$C$18)^36))</f>
        <v>9.00007125796765E-012</v>
      </c>
      <c r="AN14" s="29" t="n">
        <f aca="false">AM14*(1-MIN(1,INDEX(Tabla_Mortalidad!$B$5:$B$75,MIN(71,Cartera_Polizas!$B$16+37-49))*(1+(Cartera_Polizas!$P$16-1)*MAX(0,1-37/Supuestos!$C$20))*(1-Supuestos!$C$18)^37))</f>
        <v>1.5235437493021E-012</v>
      </c>
      <c r="AO14" s="29" t="n">
        <f aca="false">AN14*(1-MIN(1,INDEX(Tabla_Mortalidad!$B$5:$B$75,MIN(71,Cartera_Polizas!$B$16+38-49))*(1+(Cartera_Polizas!$P$16-1)*MAX(0,1-38/Supuestos!$C$20))*(1-Supuestos!$C$18)^38))</f>
        <v>2.64235645655997E-013</v>
      </c>
      <c r="AP14" s="29" t="n">
        <f aca="false">AO14*(1-MIN(1,INDEX(Tabla_Mortalidad!$B$5:$B$75,MIN(71,Cartera_Polizas!$B$16+39-49))*(1+(Cartera_Polizas!$P$16-1)*MAX(0,1-39/Supuestos!$C$20))*(1-Supuestos!$C$18)^39))</f>
        <v>4.69197204984895E-014</v>
      </c>
      <c r="AQ14" s="29" t="n">
        <f aca="false">AP14*(1-MIN(1,INDEX(Tabla_Mortalidad!$B$5:$B$75,MIN(71,Cartera_Polizas!$B$16+40-49))*(1+(Cartera_Polizas!$P$16-1)*MAX(0,1-40/Supuestos!$C$20))*(1-Supuestos!$C$18)^40))</f>
        <v>8.52436914181552E-015</v>
      </c>
      <c r="AR14" s="29" t="n">
        <f aca="false">AQ14*(1-MIN(1,INDEX(Tabla_Mortalidad!$B$5:$B$75,MIN(71,Cartera_Polizas!$B$16+41-49))*(1+(Cartera_Polizas!$P$16-1)*MAX(0,1-41/Supuestos!$C$20))*(1-Supuestos!$C$18)^41))</f>
        <v>1.58358466798196E-015</v>
      </c>
      <c r="AS14" s="29" t="n">
        <f aca="false">AR14*(1-MIN(1,INDEX(Tabla_Mortalidad!$B$5:$B$75,MIN(71,Cartera_Polizas!$B$16+42-49))*(1+(Cartera_Polizas!$P$16-1)*MAX(0,1-42/Supuestos!$C$20))*(1-Supuestos!$C$18)^42))</f>
        <v>3.00631865820908E-016</v>
      </c>
      <c r="AT14" s="29" t="n">
        <f aca="false">AS14*(1-MIN(1,INDEX(Tabla_Mortalidad!$B$5:$B$75,MIN(71,Cartera_Polizas!$B$16+43-49))*(1+(Cartera_Polizas!$P$16-1)*MAX(0,1-43/Supuestos!$C$20))*(1-Supuestos!$C$18)^43))</f>
        <v>5.82905373401742E-017</v>
      </c>
      <c r="AU14" s="29" t="n">
        <f aca="false">AT14*(1-MIN(1,INDEX(Tabla_Mortalidad!$B$5:$B$75,MIN(71,Cartera_Polizas!$B$16+44-49))*(1+(Cartera_Polizas!$P$16-1)*MAX(0,1-44/Supuestos!$C$20))*(1-Supuestos!$C$18)^44))</f>
        <v>1.15370929333114E-017</v>
      </c>
    </row>
    <row r="15" customFormat="false" ht="15" hidden="false" customHeight="false" outlineLevel="0" collapsed="false">
      <c r="A15" s="14" t="n">
        <f aca="false">Cartera_Polizas!A17</f>
        <v>12</v>
      </c>
      <c r="B15" s="26" t="n">
        <f aca="false">SUM(C15:AU15)+0.5</f>
        <v>4.94688298369457</v>
      </c>
      <c r="C15" s="29" t="n">
        <f aca="false">1-MIN(1,INDEX(Tabla_Mortalidad!$B$5:$B$75,MIN(71,Cartera_Polizas!$B$17+0-49))*(1+(Cartera_Polizas!$P$17-1)*MAX(0,1-0/Supuestos!$C$20))*(1-Supuestos!$C$18)^0)</f>
        <v>0.854478085</v>
      </c>
      <c r="D15" s="29" t="n">
        <f aca="false">C15*(1-MIN(1,INDEX(Tabla_Mortalidad!$B$5:$B$75,MIN(71,Cartera_Polizas!$B$17+1-49))*(1+(Cartera_Polizas!$P$17-1)*MAX(0,1-1/Supuestos!$C$20))*(1-Supuestos!$C$18)^1))</f>
        <v>0.72183113079973</v>
      </c>
      <c r="E15" s="29" t="n">
        <f aca="false">D15*(1-MIN(1,INDEX(Tabla_Mortalidad!$B$5:$B$75,MIN(71,Cartera_Polizas!$B$17+2-49))*(1+(Cartera_Polizas!$P$17-1)*MAX(0,1-2/Supuestos!$C$20))*(1-Supuestos!$C$18)^2))</f>
        <v>0.60251596884459</v>
      </c>
      <c r="F15" s="29" t="n">
        <f aca="false">E15*(1-MIN(1,INDEX(Tabla_Mortalidad!$B$5:$B$75,MIN(71,Cartera_Polizas!$B$17+3-49))*(1+(Cartera_Polizas!$P$17-1)*MAX(0,1-3/Supuestos!$C$20))*(1-Supuestos!$C$18)^3))</f>
        <v>0.496679292345168</v>
      </c>
      <c r="G15" s="29" t="n">
        <f aca="false">F15*(1-MIN(1,INDEX(Tabla_Mortalidad!$B$5:$B$75,MIN(71,Cartera_Polizas!$B$17+4-49))*(1+(Cartera_Polizas!$P$17-1)*MAX(0,1-4/Supuestos!$C$20))*(1-Supuestos!$C$18)^4))</f>
        <v>0.404166188477291</v>
      </c>
      <c r="H15" s="29" t="n">
        <f aca="false">G15*(1-MIN(1,INDEX(Tabla_Mortalidad!$B$5:$B$75,MIN(71,Cartera_Polizas!$B$17+5-49))*(1+(Cartera_Polizas!$P$17-1)*MAX(0,1-5/Supuestos!$C$20))*(1-Supuestos!$C$18)^5))</f>
        <v>0.324528520947211</v>
      </c>
      <c r="I15" s="29" t="n">
        <f aca="false">H15*(1-MIN(1,INDEX(Tabla_Mortalidad!$B$5:$B$75,MIN(71,Cartera_Polizas!$B$17+6-49))*(1+(Cartera_Polizas!$P$17-1)*MAX(0,1-6/Supuestos!$C$20))*(1-Supuestos!$C$18)^6))</f>
        <v>0.257057612785725</v>
      </c>
      <c r="J15" s="29" t="n">
        <f aca="false">I15*(1-MIN(1,INDEX(Tabla_Mortalidad!$B$5:$B$75,MIN(71,Cartera_Polizas!$B$17+7-49))*(1+(Cartera_Polizas!$P$17-1)*MAX(0,1-7/Supuestos!$C$20))*(1-Supuestos!$C$18)^7))</f>
        <v>0.200828201093913</v>
      </c>
      <c r="K15" s="29" t="n">
        <f aca="false">J15*(1-MIN(1,INDEX(Tabla_Mortalidad!$B$5:$B$75,MIN(71,Cartera_Polizas!$B$17+8-49))*(1+(Cartera_Polizas!$P$17-1)*MAX(0,1-8/Supuestos!$C$20))*(1-Supuestos!$C$18)^8))</f>
        <v>0.154753248089555</v>
      </c>
      <c r="L15" s="29" t="n">
        <f aca="false">K15*(1-MIN(1,INDEX(Tabla_Mortalidad!$B$5:$B$75,MIN(71,Cartera_Polizas!$B$17+9-49))*(1+(Cartera_Polizas!$P$17-1)*MAX(0,1-9/Supuestos!$C$20))*(1-Supuestos!$C$18)^9))</f>
        <v>0.117644127921779</v>
      </c>
      <c r="M15" s="29" t="n">
        <f aca="false">L15*(1-MIN(1,INDEX(Tabla_Mortalidad!$B$5:$B$75,MIN(71,Cartera_Polizas!$B$17+10-49))*(1+(Cartera_Polizas!$P$17-1)*MAX(0,1-10/Supuestos!$C$20))*(1-Supuestos!$C$18)^10))</f>
        <v>0.0882712246201298</v>
      </c>
      <c r="N15" s="29" t="n">
        <f aca="false">M15*(1-MIN(1,INDEX(Tabla_Mortalidad!$B$5:$B$75,MIN(71,Cartera_Polizas!$B$17+11-49))*(1+(Cartera_Polizas!$P$17-1)*MAX(0,1-11/Supuestos!$C$20))*(1-Supuestos!$C$18)^11))</f>
        <v>0.0654217035010206</v>
      </c>
      <c r="O15" s="29" t="n">
        <f aca="false">N15*(1-MIN(1,INDEX(Tabla_Mortalidad!$B$5:$B$75,MIN(71,Cartera_Polizas!$B$17+12-49))*(1+(Cartera_Polizas!$P$17-1)*MAX(0,1-12/Supuestos!$C$20))*(1-Supuestos!$C$18)^12))</f>
        <v>0.0479479114775437</v>
      </c>
      <c r="P15" s="29" t="n">
        <f aca="false">O15*(1-MIN(1,INDEX(Tabla_Mortalidad!$B$5:$B$75,MIN(71,Cartera_Polizas!$B$17+13-49))*(1+(Cartera_Polizas!$P$17-1)*MAX(0,1-13/Supuestos!$C$20))*(1-Supuestos!$C$18)^13))</f>
        <v>0.0348041952047578</v>
      </c>
      <c r="Q15" s="29" t="n">
        <f aca="false">P15*(1-MIN(1,INDEX(Tabla_Mortalidad!$B$5:$B$75,MIN(71,Cartera_Polizas!$B$17+14-49))*(1+(Cartera_Polizas!$P$17-1)*MAX(0,1-14/Supuestos!$C$20))*(1-Supuestos!$C$18)^14))</f>
        <v>0.0250713656007746</v>
      </c>
      <c r="R15" s="29" t="n">
        <f aca="false">Q15*(1-MIN(1,INDEX(Tabla_Mortalidad!$B$5:$B$75,MIN(71,Cartera_Polizas!$B$17+15-49))*(1+(Cartera_Polizas!$P$17-1)*MAX(0,1-15/Supuestos!$C$20))*(1-Supuestos!$C$18)^15))</f>
        <v>0.0179680438474451</v>
      </c>
      <c r="S15" s="29" t="n">
        <f aca="false">R15*(1-MIN(1,INDEX(Tabla_Mortalidad!$B$5:$B$75,MIN(71,Cartera_Polizas!$B$17+16-49))*(1+(Cartera_Polizas!$P$17-1)*MAX(0,1-16/Supuestos!$C$20))*(1-Supuestos!$C$18)^16))</f>
        <v>0.0124247552195317</v>
      </c>
      <c r="T15" s="29" t="n">
        <f aca="false">S15*(1-MIN(1,INDEX(Tabla_Mortalidad!$B$5:$B$75,MIN(71,Cartera_Polizas!$B$17+17-49))*(1+(Cartera_Polizas!$P$17-1)*MAX(0,1-17/Supuestos!$C$20))*(1-Supuestos!$C$18)^17))</f>
        <v>0.00825979217741776</v>
      </c>
      <c r="U15" s="29" t="n">
        <f aca="false">T15*(1-MIN(1,INDEX(Tabla_Mortalidad!$B$5:$B$75,MIN(71,Cartera_Polizas!$B$17+18-49))*(1+(Cartera_Polizas!$P$17-1)*MAX(0,1-18/Supuestos!$C$20))*(1-Supuestos!$C$18)^18))</f>
        <v>0.00525831735561792</v>
      </c>
      <c r="V15" s="29" t="n">
        <f aca="false">U15*(1-MIN(1,INDEX(Tabla_Mortalidad!$B$5:$B$75,MIN(71,Cartera_Polizas!$B$17+19-49))*(1+(Cartera_Polizas!$P$17-1)*MAX(0,1-19/Supuestos!$C$20))*(1-Supuestos!$C$18)^19))</f>
        <v>0.00319224287588447</v>
      </c>
      <c r="W15" s="29" t="n">
        <f aca="false">V15*(1-MIN(1,INDEX(Tabla_Mortalidad!$B$5:$B$75,MIN(71,Cartera_Polizas!$B$17+20-49))*(1+(Cartera_Polizas!$P$17-1)*MAX(0,1-20/Supuestos!$C$20))*(1-Supuestos!$C$18)^20))</f>
        <v>0.00183980042852358</v>
      </c>
      <c r="X15" s="29" t="n">
        <f aca="false">W15*(1-MIN(1,INDEX(Tabla_Mortalidad!$B$5:$B$75,MIN(71,Cartera_Polizas!$B$17+21-49))*(1+(Cartera_Polizas!$P$17-1)*MAX(0,1-21/Supuestos!$C$20))*(1-Supuestos!$C$18)^21))</f>
        <v>0.00100188220326176</v>
      </c>
      <c r="Y15" s="29" t="n">
        <f aca="false">X15*(1-MIN(1,INDEX(Tabla_Mortalidad!$B$5:$B$75,MIN(71,Cartera_Polizas!$B$17+22-49))*(1+(Cartera_Polizas!$P$17-1)*MAX(0,1-22/Supuestos!$C$20))*(1-Supuestos!$C$18)^22))</f>
        <v>0.000512969991291665</v>
      </c>
      <c r="Z15" s="29" t="n">
        <f aca="false">Y15*(1-MIN(1,INDEX(Tabla_Mortalidad!$B$5:$B$75,MIN(71,Cartera_Polizas!$B$17+23-49))*(1+(Cartera_Polizas!$P$17-1)*MAX(0,1-23/Supuestos!$C$20))*(1-Supuestos!$C$18)^23))</f>
        <v>0.000245698313720512</v>
      </c>
      <c r="AA15" s="29" t="n">
        <f aca="false">Z15*(1-MIN(1,INDEX(Tabla_Mortalidad!$B$5:$B$75,MIN(71,Cartera_Polizas!$B$17+24-49))*(1+(Cartera_Polizas!$P$17-1)*MAX(0,1-24/Supuestos!$C$20))*(1-Supuestos!$C$18)^24))</f>
        <v>0.000109534675906366</v>
      </c>
      <c r="AB15" s="29" t="n">
        <f aca="false">AA15*(1-MIN(1,INDEX(Tabla_Mortalidad!$B$5:$B$75,MIN(71,Cartera_Polizas!$B$17+25-49))*(1+(Cartera_Polizas!$P$17-1)*MAX(0,1-25/Supuestos!$C$20))*(1-Supuestos!$C$18)^25))</f>
        <v>4.52292914900764E-005</v>
      </c>
      <c r="AC15" s="29" t="n">
        <f aca="false">AB15*(1-MIN(1,INDEX(Tabla_Mortalidad!$B$5:$B$75,MIN(71,Cartera_Polizas!$B$17+26-49))*(1+(Cartera_Polizas!$P$17-1)*MAX(0,1-26/Supuestos!$C$20))*(1-Supuestos!$C$18)^26))</f>
        <v>1.72210319729604E-005</v>
      </c>
      <c r="AD15" s="29" t="n">
        <f aca="false">AC15*(1-MIN(1,INDEX(Tabla_Mortalidad!$B$5:$B$75,MIN(71,Cartera_Polizas!$B$17+27-49))*(1+(Cartera_Polizas!$P$17-1)*MAX(0,1-27/Supuestos!$C$20))*(1-Supuestos!$C$18)^27))</f>
        <v>6.02323802793303E-006</v>
      </c>
      <c r="AE15" s="29" t="n">
        <f aca="false">AD15*(1-MIN(1,INDEX(Tabla_Mortalidad!$B$5:$B$75,MIN(71,Cartera_Polizas!$B$17+28-49))*(1+(Cartera_Polizas!$P$17-1)*MAX(0,1-28/Supuestos!$C$20))*(1-Supuestos!$C$18)^28))</f>
        <v>1.93004773350214E-006</v>
      </c>
      <c r="AF15" s="29" t="n">
        <f aca="false">AE15*(1-MIN(1,INDEX(Tabla_Mortalidad!$B$5:$B$75,MIN(71,Cartera_Polizas!$B$17+29-49))*(1+(Cartera_Polizas!$P$17-1)*MAX(0,1-29/Supuestos!$C$20))*(1-Supuestos!$C$18)^29))</f>
        <v>5.65948421313691E-007</v>
      </c>
      <c r="AG15" s="29" t="n">
        <f aca="false">AF15*(1-MIN(1,INDEX(Tabla_Mortalidad!$B$5:$B$75,MIN(71,Cartera_Polizas!$B$17+30-49))*(1+(Cartera_Polizas!$P$17-1)*MAX(0,1-30/Supuestos!$C$20))*(1-Supuestos!$C$18)^30))</f>
        <v>1.51999310143279E-007</v>
      </c>
      <c r="AH15" s="29" t="n">
        <f aca="false">AG15*(1-MIN(1,INDEX(Tabla_Mortalidad!$B$5:$B$75,MIN(71,Cartera_Polizas!$B$17+31-49))*(1+(Cartera_Polizas!$P$17-1)*MAX(0,1-31/Supuestos!$C$20))*(1-Supuestos!$C$18)^31))</f>
        <v>3.75168105641178E-008</v>
      </c>
      <c r="AI15" s="29" t="n">
        <f aca="false">AH15*(1-MIN(1,INDEX(Tabla_Mortalidad!$B$5:$B$75,MIN(71,Cartera_Polizas!$B$17+32-49))*(1+(Cartera_Polizas!$P$17-1)*MAX(0,1-32/Supuestos!$C$20))*(1-Supuestos!$C$18)^32))</f>
        <v>8.56252693644033E-009</v>
      </c>
      <c r="AJ15" s="29" t="n">
        <f aca="false">AI15*(1-MIN(1,INDEX(Tabla_Mortalidad!$B$5:$B$75,MIN(71,Cartera_Polizas!$B$17+33-49))*(1+(Cartera_Polizas!$P$17-1)*MAX(0,1-33/Supuestos!$C$20))*(1-Supuestos!$C$18)^33))</f>
        <v>1.82335102644082E-009</v>
      </c>
      <c r="AK15" s="29" t="n">
        <f aca="false">AJ15*(1-MIN(1,INDEX(Tabla_Mortalidad!$B$5:$B$75,MIN(71,Cartera_Polizas!$B$17+34-49))*(1+(Cartera_Polizas!$P$17-1)*MAX(0,1-34/Supuestos!$C$20))*(1-Supuestos!$C$18)^34))</f>
        <v>3.66442059069468E-010</v>
      </c>
      <c r="AL15" s="29" t="n">
        <f aca="false">AK15*(1-MIN(1,INDEX(Tabla_Mortalidad!$B$5:$B$75,MIN(71,Cartera_Polizas!$B$17+35-49))*(1+(Cartera_Polizas!$P$17-1)*MAX(0,1-35/Supuestos!$C$20))*(1-Supuestos!$C$18)^35))</f>
        <v>5.89647009435343E-011</v>
      </c>
      <c r="AM15" s="29" t="n">
        <f aca="false">AL15*(1-MIN(1,INDEX(Tabla_Mortalidad!$B$5:$B$75,MIN(71,Cartera_Polizas!$B$17+36-49))*(1+(Cartera_Polizas!$P$17-1)*MAX(0,1-36/Supuestos!$C$20))*(1-Supuestos!$C$18)^36))</f>
        <v>9.73547501278545E-012</v>
      </c>
      <c r="AN15" s="29" t="n">
        <f aca="false">AM15*(1-MIN(1,INDEX(Tabla_Mortalidad!$B$5:$B$75,MIN(71,Cartera_Polizas!$B$17+37-49))*(1+(Cartera_Polizas!$P$17-1)*MAX(0,1-37/Supuestos!$C$20))*(1-Supuestos!$C$18)^37))</f>
        <v>1.64803385185257E-012</v>
      </c>
      <c r="AO15" s="29" t="n">
        <f aca="false">AN15*(1-MIN(1,INDEX(Tabla_Mortalidad!$B$5:$B$75,MIN(71,Cartera_Polizas!$B$17+38-49))*(1+(Cartera_Polizas!$P$17-1)*MAX(0,1-38/Supuestos!$C$20))*(1-Supuestos!$C$18)^38))</f>
        <v>2.85826573150054E-013</v>
      </c>
      <c r="AP15" s="29" t="n">
        <f aca="false">AO15*(1-MIN(1,INDEX(Tabla_Mortalidad!$B$5:$B$75,MIN(71,Cartera_Polizas!$B$17+39-49))*(1+(Cartera_Polizas!$P$17-1)*MAX(0,1-39/Supuestos!$C$20))*(1-Supuestos!$C$18)^39))</f>
        <v>5.07535722137239E-014</v>
      </c>
      <c r="AQ15" s="29" t="n">
        <f aca="false">AP15*(1-MIN(1,INDEX(Tabla_Mortalidad!$B$5:$B$75,MIN(71,Cartera_Polizas!$B$17+40-49))*(1+(Cartera_Polizas!$P$17-1)*MAX(0,1-40/Supuestos!$C$20))*(1-Supuestos!$C$18)^40))</f>
        <v>9.22090285745631E-015</v>
      </c>
      <c r="AR15" s="29" t="n">
        <f aca="false">AQ15*(1-MIN(1,INDEX(Tabla_Mortalidad!$B$5:$B$75,MIN(71,Cartera_Polizas!$B$17+41-49))*(1+(Cartera_Polizas!$P$17-1)*MAX(0,1-41/Supuestos!$C$20))*(1-Supuestos!$C$18)^41))</f>
        <v>1.7129807669156E-015</v>
      </c>
      <c r="AS15" s="29" t="n">
        <f aca="false">AR15*(1-MIN(1,INDEX(Tabla_Mortalidad!$B$5:$B$75,MIN(71,Cartera_Polizas!$B$17+42-49))*(1+(Cartera_Polizas!$P$17-1)*MAX(0,1-42/Supuestos!$C$20))*(1-Supuestos!$C$18)^42))</f>
        <v>3.2519676054292E-016</v>
      </c>
      <c r="AT15" s="29" t="n">
        <f aca="false">AS15*(1-MIN(1,INDEX(Tabla_Mortalidad!$B$5:$B$75,MIN(71,Cartera_Polizas!$B$17+43-49))*(1+(Cartera_Polizas!$P$17-1)*MAX(0,1-43/Supuestos!$C$20))*(1-Supuestos!$C$18)^43))</f>
        <v>6.30535085213593E-017</v>
      </c>
      <c r="AU15" s="29" t="n">
        <f aca="false">AT15*(1-MIN(1,INDEX(Tabla_Mortalidad!$B$5:$B$75,MIN(71,Cartera_Polizas!$B$17+44-49))*(1+(Cartera_Polizas!$P$17-1)*MAX(0,1-44/Supuestos!$C$20))*(1-Supuestos!$C$18)^44))</f>
        <v>1.24797989652584E-017</v>
      </c>
    </row>
    <row r="16" customFormat="false" ht="15" hidden="false" customHeight="false" outlineLevel="0" collapsed="false">
      <c r="A16" s="14" t="n">
        <f aca="false">Cartera_Polizas!A18</f>
        <v>13</v>
      </c>
      <c r="B16" s="26" t="n">
        <f aca="false">SUM(C16:AU16)+0.5</f>
        <v>7.42841297818769</v>
      </c>
      <c r="C16" s="29" t="n">
        <f aca="false">1-MIN(1,INDEX(Tabla_Mortalidad!$B$5:$B$75,MIN(71,Cartera_Polizas!$B$18+0-49))*(1+(Cartera_Polizas!$P$18-1)*MAX(0,1-0/Supuestos!$C$20))*(1-Supuestos!$C$18)^0)</f>
        <v>0.923778118</v>
      </c>
      <c r="D16" s="29" t="n">
        <f aca="false">C16*(1-MIN(1,INDEX(Tabla_Mortalidad!$B$5:$B$75,MIN(71,Cartera_Polizas!$B$18+1-49))*(1+(Cartera_Polizas!$P$18-1)*MAX(0,1-1/Supuestos!$C$20))*(1-Supuestos!$C$18)^1))</f>
        <v>0.846905955701202</v>
      </c>
      <c r="E16" s="29" t="n">
        <f aca="false">D16*(1-MIN(1,INDEX(Tabla_Mortalidad!$B$5:$B$75,MIN(71,Cartera_Polizas!$B$18+2-49))*(1+(Cartera_Polizas!$P$18-1)*MAX(0,1-2/Supuestos!$C$20))*(1-Supuestos!$C$18)^2))</f>
        <v>0.770009857770621</v>
      </c>
      <c r="F16" s="29" t="n">
        <f aca="false">E16*(1-MIN(1,INDEX(Tabla_Mortalidad!$B$5:$B$75,MIN(71,Cartera_Polizas!$B$18+3-49))*(1+(Cartera_Polizas!$P$18-1)*MAX(0,1-3/Supuestos!$C$20))*(1-Supuestos!$C$18)^3))</f>
        <v>0.693777275224069</v>
      </c>
      <c r="G16" s="29" t="n">
        <f aca="false">F16*(1-MIN(1,INDEX(Tabla_Mortalidad!$B$5:$B$75,MIN(71,Cartera_Polizas!$B$18+4-49))*(1+(Cartera_Polizas!$P$18-1)*MAX(0,1-4/Supuestos!$C$20))*(1-Supuestos!$C$18)^4))</f>
        <v>0.618936250231939</v>
      </c>
      <c r="H16" s="29" t="n">
        <f aca="false">G16*(1-MIN(1,INDEX(Tabla_Mortalidad!$B$5:$B$75,MIN(71,Cartera_Polizas!$B$18+5-49))*(1+(Cartera_Polizas!$P$18-1)*MAX(0,1-5/Supuestos!$C$20))*(1-Supuestos!$C$18)^5))</f>
        <v>0.546242189721952</v>
      </c>
      <c r="I16" s="29" t="n">
        <f aca="false">H16*(1-MIN(1,INDEX(Tabla_Mortalidad!$B$5:$B$75,MIN(71,Cartera_Polizas!$B$18+6-49))*(1+(Cartera_Polizas!$P$18-1)*MAX(0,1-6/Supuestos!$C$20))*(1-Supuestos!$C$18)^6))</f>
        <v>0.476450134069224</v>
      </c>
      <c r="J16" s="29" t="n">
        <f aca="false">I16*(1-MIN(1,INDEX(Tabla_Mortalidad!$B$5:$B$75,MIN(71,Cartera_Polizas!$B$18+7-49))*(1+(Cartera_Polizas!$P$18-1)*MAX(0,1-7/Supuestos!$C$20))*(1-Supuestos!$C$18)^7))</f>
        <v>0.410288441515204</v>
      </c>
      <c r="K16" s="29" t="n">
        <f aca="false">J16*(1-MIN(1,INDEX(Tabla_Mortalidad!$B$5:$B$75,MIN(71,Cartera_Polizas!$B$18+8-49))*(1+(Cartera_Polizas!$P$18-1)*MAX(0,1-8/Supuestos!$C$20))*(1-Supuestos!$C$18)^8))</f>
        <v>0.348428218129793</v>
      </c>
      <c r="L16" s="29" t="n">
        <f aca="false">K16*(1-MIN(1,INDEX(Tabla_Mortalidad!$B$5:$B$75,MIN(71,Cartera_Polizas!$B$18+9-49))*(1+(Cartera_Polizas!$P$18-1)*MAX(0,1-9/Supuestos!$C$20))*(1-Supuestos!$C$18)^9))</f>
        <v>0.291452309416077</v>
      </c>
      <c r="M16" s="29" t="n">
        <f aca="false">L16*(1-MIN(1,INDEX(Tabla_Mortalidad!$B$5:$B$75,MIN(71,Cartera_Polizas!$B$18+10-49))*(1+(Cartera_Polizas!$P$18-1)*MAX(0,1-10/Supuestos!$C$20))*(1-Supuestos!$C$18)^10))</f>
        <v>0.239825231570593</v>
      </c>
      <c r="N16" s="29" t="n">
        <f aca="false">M16*(1-MIN(1,INDEX(Tabla_Mortalidad!$B$5:$B$75,MIN(71,Cartera_Polizas!$B$18+11-49))*(1+(Cartera_Polizas!$P$18-1)*MAX(0,1-11/Supuestos!$C$20))*(1-Supuestos!$C$18)^11))</f>
        <v>0.193866398960195</v>
      </c>
      <c r="O16" s="29" t="n">
        <f aca="false">N16*(1-MIN(1,INDEX(Tabla_Mortalidad!$B$5:$B$75,MIN(71,Cartera_Polizas!$B$18+12-49))*(1+(Cartera_Polizas!$P$18-1)*MAX(0,1-12/Supuestos!$C$20))*(1-Supuestos!$C$18)^12))</f>
        <v>0.153731950009468</v>
      </c>
      <c r="P16" s="29" t="n">
        <f aca="false">O16*(1-MIN(1,INDEX(Tabla_Mortalidad!$B$5:$B$75,MIN(71,Cartera_Polizas!$B$18+13-49))*(1+(Cartera_Polizas!$P$18-1)*MAX(0,1-13/Supuestos!$C$20))*(1-Supuestos!$C$18)^13))</f>
        <v>0.119404981950202</v>
      </c>
      <c r="Q16" s="29" t="n">
        <f aca="false">P16*(1-MIN(1,INDEX(Tabla_Mortalidad!$B$5:$B$75,MIN(71,Cartera_Polizas!$B$18+14-49))*(1+(Cartera_Polizas!$P$18-1)*MAX(0,1-14/Supuestos!$C$20))*(1-Supuestos!$C$18)^14))</f>
        <v>0.0906967697817653</v>
      </c>
      <c r="R16" s="29" t="n">
        <f aca="false">Q16*(1-MIN(1,INDEX(Tabla_Mortalidad!$B$5:$B$75,MIN(71,Cartera_Polizas!$B$18+15-49))*(1+(Cartera_Polizas!$P$18-1)*MAX(0,1-15/Supuestos!$C$20))*(1-Supuestos!$C$18)^15))</f>
        <v>0.0672612854103879</v>
      </c>
      <c r="S16" s="29" t="n">
        <f aca="false">R16*(1-MIN(1,INDEX(Tabla_Mortalidad!$B$5:$B$75,MIN(71,Cartera_Polizas!$B$18+16-49))*(1+(Cartera_Polizas!$P$18-1)*MAX(0,1-16/Supuestos!$C$20))*(1-Supuestos!$C$18)^16))</f>
        <v>0.0482998268834235</v>
      </c>
      <c r="T16" s="29" t="n">
        <f aca="false">S16*(1-MIN(1,INDEX(Tabla_Mortalidad!$B$5:$B$75,MIN(71,Cartera_Polizas!$B$18+17-49))*(1+(Cartera_Polizas!$P$18-1)*MAX(0,1-17/Supuestos!$C$20))*(1-Supuestos!$C$18)^17))</f>
        <v>0.0334734393284152</v>
      </c>
      <c r="U16" s="29" t="n">
        <f aca="false">T16*(1-MIN(1,INDEX(Tabla_Mortalidad!$B$5:$B$75,MIN(71,Cartera_Polizas!$B$18+18-49))*(1+(Cartera_Polizas!$P$18-1)*MAX(0,1-18/Supuestos!$C$20))*(1-Supuestos!$C$18)^18))</f>
        <v>0.022308747786746</v>
      </c>
      <c r="V16" s="29" t="n">
        <f aca="false">U16*(1-MIN(1,INDEX(Tabla_Mortalidad!$B$5:$B$75,MIN(71,Cartera_Polizas!$B$18+19-49))*(1+(Cartera_Polizas!$P$18-1)*MAX(0,1-19/Supuestos!$C$20))*(1-Supuestos!$C$18)^19))</f>
        <v>0.0142426430188788</v>
      </c>
      <c r="W16" s="29" t="n">
        <f aca="false">V16*(1-MIN(1,INDEX(Tabla_Mortalidad!$B$5:$B$75,MIN(71,Cartera_Polizas!$B$18+20-49))*(1+(Cartera_Polizas!$P$18-1)*MAX(0,1-20/Supuestos!$C$20))*(1-Supuestos!$C$18)^20))</f>
        <v>0.00867446835790068</v>
      </c>
      <c r="X16" s="29" t="n">
        <f aca="false">W16*(1-MIN(1,INDEX(Tabla_Mortalidad!$B$5:$B$75,MIN(71,Cartera_Polizas!$B$18+21-49))*(1+(Cartera_Polizas!$P$18-1)*MAX(0,1-21/Supuestos!$C$20))*(1-Supuestos!$C$18)^21))</f>
        <v>0.0050177727137129</v>
      </c>
      <c r="Y16" s="29" t="n">
        <f aca="false">X16*(1-MIN(1,INDEX(Tabla_Mortalidad!$B$5:$B$75,MIN(71,Cartera_Polizas!$B$18+22-49))*(1+(Cartera_Polizas!$P$18-1)*MAX(0,1-22/Supuestos!$C$20))*(1-Supuestos!$C$18)^22))</f>
        <v>0.00274390608875321</v>
      </c>
      <c r="Z16" s="29" t="n">
        <f aca="false">Y16*(1-MIN(1,INDEX(Tabla_Mortalidad!$B$5:$B$75,MIN(71,Cartera_Polizas!$B$18+23-49))*(1+(Cartera_Polizas!$P$18-1)*MAX(0,1-23/Supuestos!$C$20))*(1-Supuestos!$C$18)^23))</f>
        <v>0.00141159222493928</v>
      </c>
      <c r="AA16" s="29" t="n">
        <f aca="false">Z16*(1-MIN(1,INDEX(Tabla_Mortalidad!$B$5:$B$75,MIN(71,Cartera_Polizas!$B$18+24-49))*(1+(Cartera_Polizas!$P$18-1)*MAX(0,1-24/Supuestos!$C$20))*(1-Supuestos!$C$18)^24))</f>
        <v>0.000679790686313901</v>
      </c>
      <c r="AB16" s="29" t="n">
        <f aca="false">AA16*(1-MIN(1,INDEX(Tabla_Mortalidad!$B$5:$B$75,MIN(71,Cartera_Polizas!$B$18+25-49))*(1+(Cartera_Polizas!$P$18-1)*MAX(0,1-25/Supuestos!$C$20))*(1-Supuestos!$C$18)^25))</f>
        <v>0.000304940905938778</v>
      </c>
      <c r="AC16" s="29" t="n">
        <f aca="false">AB16*(1-MIN(1,INDEX(Tabla_Mortalidad!$B$5:$B$75,MIN(71,Cartera_Polizas!$B$18+26-49))*(1+(Cartera_Polizas!$P$18-1)*MAX(0,1-26/Supuestos!$C$20))*(1-Supuestos!$C$18)^26))</f>
        <v>0.000126811968154542</v>
      </c>
      <c r="AD16" s="29" t="n">
        <f aca="false">AC16*(1-MIN(1,INDEX(Tabla_Mortalidad!$B$5:$B$75,MIN(71,Cartera_Polizas!$B$18+27-49))*(1+(Cartera_Polizas!$P$18-1)*MAX(0,1-27/Supuestos!$C$20))*(1-Supuestos!$C$18)^27))</f>
        <v>4.86762405110012E-005</v>
      </c>
      <c r="AE16" s="29" t="n">
        <f aca="false">AD16*(1-MIN(1,INDEX(Tabla_Mortalidad!$B$5:$B$75,MIN(71,Cartera_Polizas!$B$18+28-49))*(1+(Cartera_Polizas!$P$18-1)*MAX(0,1-28/Supuestos!$C$20))*(1-Supuestos!$C$18)^28))</f>
        <v>1.71832858752954E-005</v>
      </c>
      <c r="AF16" s="29" t="n">
        <f aca="false">AE16*(1-MIN(1,INDEX(Tabla_Mortalidad!$B$5:$B$75,MIN(71,Cartera_Polizas!$B$18+29-49))*(1+(Cartera_Polizas!$P$18-1)*MAX(0,1-29/Supuestos!$C$20))*(1-Supuestos!$C$18)^29))</f>
        <v>5.56448775511713E-006</v>
      </c>
      <c r="AG16" s="29" t="n">
        <f aca="false">AF16*(1-MIN(1,INDEX(Tabla_Mortalidad!$B$5:$B$75,MIN(71,Cartera_Polizas!$B$18+30-49))*(1+(Cartera_Polizas!$P$18-1)*MAX(0,1-30/Supuestos!$C$20))*(1-Supuestos!$C$18)^30))</f>
        <v>1.65134031386978E-006</v>
      </c>
      <c r="AH16" s="29" t="n">
        <f aca="false">AG16*(1-MIN(1,INDEX(Tabla_Mortalidad!$B$5:$B$75,MIN(71,Cartera_Polizas!$B$18+31-49))*(1+(Cartera_Polizas!$P$18-1)*MAX(0,1-31/Supuestos!$C$20))*(1-Supuestos!$C$18)^31))</f>
        <v>4.4954704919091E-007</v>
      </c>
      <c r="AI16" s="29" t="n">
        <f aca="false">AH16*(1-MIN(1,INDEX(Tabla_Mortalidad!$B$5:$B$75,MIN(71,Cartera_Polizas!$B$18+32-49))*(1+(Cartera_Polizas!$P$18-1)*MAX(0,1-32/Supuestos!$C$20))*(1-Supuestos!$C$18)^32))</f>
        <v>1.1265115491223E-007</v>
      </c>
      <c r="AJ16" s="29" t="n">
        <f aca="false">AI16*(1-MIN(1,INDEX(Tabla_Mortalidad!$B$5:$B$75,MIN(71,Cartera_Polizas!$B$18+33-49))*(1+(Cartera_Polizas!$P$18-1)*MAX(0,1-33/Supuestos!$C$20))*(1-Supuestos!$C$18)^33))</f>
        <v>2.61452719743399E-008</v>
      </c>
      <c r="AK16" s="29" t="n">
        <f aca="false">AJ16*(1-MIN(1,INDEX(Tabla_Mortalidad!$B$5:$B$75,MIN(71,Cartera_Polizas!$B$18+34-49))*(1+(Cartera_Polizas!$P$18-1)*MAX(0,1-34/Supuestos!$C$20))*(1-Supuestos!$C$18)^34))</f>
        <v>5.67040510198048E-009</v>
      </c>
      <c r="AL16" s="29" t="n">
        <f aca="false">AK16*(1-MIN(1,INDEX(Tabla_Mortalidad!$B$5:$B$75,MIN(71,Cartera_Polizas!$B$18+35-49))*(1+(Cartera_Polizas!$P$18-1)*MAX(0,1-35/Supuestos!$C$20))*(1-Supuestos!$C$18)^35))</f>
        <v>1.16224534431689E-009</v>
      </c>
      <c r="AM16" s="29" t="n">
        <f aca="false">AL16*(1-MIN(1,INDEX(Tabla_Mortalidad!$B$5:$B$75,MIN(71,Cartera_Polizas!$B$18+36-49))*(1+(Cartera_Polizas!$P$18-1)*MAX(0,1-36/Supuestos!$C$20))*(1-Supuestos!$C$18)^36))</f>
        <v>1.91894647598717E-010</v>
      </c>
      <c r="AN16" s="29" t="n">
        <f aca="false">AM16*(1-MIN(1,INDEX(Tabla_Mortalidad!$B$5:$B$75,MIN(71,Cartera_Polizas!$B$18+37-49))*(1+(Cartera_Polizas!$P$18-1)*MAX(0,1-37/Supuestos!$C$20))*(1-Supuestos!$C$18)^37))</f>
        <v>3.24841751241394E-011</v>
      </c>
      <c r="AO16" s="29" t="n">
        <f aca="false">AN16*(1-MIN(1,INDEX(Tabla_Mortalidad!$B$5:$B$75,MIN(71,Cartera_Polizas!$B$18+38-49))*(1+(Cartera_Polizas!$P$18-1)*MAX(0,1-38/Supuestos!$C$20))*(1-Supuestos!$C$18)^38))</f>
        <v>5.63388940518533E-012</v>
      </c>
      <c r="AP16" s="29" t="n">
        <f aca="false">AO16*(1-MIN(1,INDEX(Tabla_Mortalidad!$B$5:$B$75,MIN(71,Cartera_Polizas!$B$18+39-49))*(1+(Cartera_Polizas!$P$18-1)*MAX(0,1-39/Supuestos!$C$20))*(1-Supuestos!$C$18)^39))</f>
        <v>1.00039688269325E-012</v>
      </c>
      <c r="AQ16" s="29" t="n">
        <f aca="false">AP16*(1-MIN(1,INDEX(Tabla_Mortalidad!$B$5:$B$75,MIN(71,Cartera_Polizas!$B$18+40-49))*(1+(Cartera_Polizas!$P$18-1)*MAX(0,1-40/Supuestos!$C$20))*(1-Supuestos!$C$18)^40))</f>
        <v>1.81751984577003E-013</v>
      </c>
      <c r="AR16" s="29" t="n">
        <f aca="false">AQ16*(1-MIN(1,INDEX(Tabla_Mortalidad!$B$5:$B$75,MIN(71,Cartera_Polizas!$B$18+41-49))*(1+(Cartera_Polizas!$P$18-1)*MAX(0,1-41/Supuestos!$C$20))*(1-Supuestos!$C$18)^41))</f>
        <v>3.37643350919146E-014</v>
      </c>
      <c r="AS16" s="29" t="n">
        <f aca="false">AR16*(1-MIN(1,INDEX(Tabla_Mortalidad!$B$5:$B$75,MIN(71,Cartera_Polizas!$B$18+42-49))*(1+(Cartera_Polizas!$P$18-1)*MAX(0,1-42/Supuestos!$C$20))*(1-Supuestos!$C$18)^42))</f>
        <v>6.4099099101661E-015</v>
      </c>
      <c r="AT16" s="29" t="n">
        <f aca="false">AS16*(1-MIN(1,INDEX(Tabla_Mortalidad!$B$5:$B$75,MIN(71,Cartera_Polizas!$B$18+43-49))*(1+(Cartera_Polizas!$P$18-1)*MAX(0,1-43/Supuestos!$C$20))*(1-Supuestos!$C$18)^43))</f>
        <v>1.24283928433679E-015</v>
      </c>
      <c r="AU16" s="29" t="n">
        <f aca="false">AT16*(1-MIN(1,INDEX(Tabla_Mortalidad!$B$5:$B$75,MIN(71,Cartera_Polizas!$B$18+44-49))*(1+(Cartera_Polizas!$P$18-1)*MAX(0,1-44/Supuestos!$C$20))*(1-Supuestos!$C$18)^44))</f>
        <v>2.45987650463489E-016</v>
      </c>
    </row>
    <row r="17" customFormat="false" ht="15" hidden="false" customHeight="false" outlineLevel="0" collapsed="false">
      <c r="A17" s="14" t="n">
        <f aca="false">Cartera_Polizas!A19</f>
        <v>14</v>
      </c>
      <c r="B17" s="26" t="n">
        <f aca="false">SUM(C17:AU17)+0.5</f>
        <v>10.2810276121255</v>
      </c>
      <c r="C17" s="29" t="n">
        <f aca="false">1-MIN(1,INDEX(Tabla_Mortalidad!$B$5:$B$75,MIN(71,Cartera_Polizas!$B$19+0-49))*(1+(Cartera_Polizas!$P$19-1)*MAX(0,1-0/Supuestos!$C$20))*(1-Supuestos!$C$18)^0)</f>
        <v>0.9500108575</v>
      </c>
      <c r="D17" s="29" t="n">
        <f aca="false">C17*(1-MIN(1,INDEX(Tabla_Mortalidad!$B$5:$B$75,MIN(71,Cartera_Polizas!$B$19+1-49))*(1+(Cartera_Polizas!$P$19-1)*MAX(0,1-1/Supuestos!$C$20))*(1-Supuestos!$C$18)^1))</f>
        <v>0.898632486739599</v>
      </c>
      <c r="E17" s="29" t="n">
        <f aca="false">D17*(1-MIN(1,INDEX(Tabla_Mortalidad!$B$5:$B$75,MIN(71,Cartera_Polizas!$B$19+2-49))*(1+(Cartera_Polizas!$P$19-1)*MAX(0,1-2/Supuestos!$C$20))*(1-Supuestos!$C$18)^2))</f>
        <v>0.846097779361</v>
      </c>
      <c r="F17" s="29" t="n">
        <f aca="false">E17*(1-MIN(1,INDEX(Tabla_Mortalidad!$B$5:$B$75,MIN(71,Cartera_Polizas!$B$19+3-49))*(1+(Cartera_Polizas!$P$19-1)*MAX(0,1-3/Supuestos!$C$20))*(1-Supuestos!$C$18)^3))</f>
        <v>0.792677563065229</v>
      </c>
      <c r="G17" s="29" t="n">
        <f aca="false">F17*(1-MIN(1,INDEX(Tabla_Mortalidad!$B$5:$B$75,MIN(71,Cartera_Polizas!$B$19+4-49))*(1+(Cartera_Polizas!$P$19-1)*MAX(0,1-4/Supuestos!$C$20))*(1-Supuestos!$C$18)^4))</f>
        <v>0.738676916266324</v>
      </c>
      <c r="H17" s="29" t="n">
        <f aca="false">G17*(1-MIN(1,INDEX(Tabla_Mortalidad!$B$5:$B$75,MIN(71,Cartera_Polizas!$B$19+5-49))*(1+(Cartera_Polizas!$P$19-1)*MAX(0,1-5/Supuestos!$C$20))*(1-Supuestos!$C$18)^5))</f>
        <v>0.684434442062799</v>
      </c>
      <c r="I17" s="29" t="n">
        <f aca="false">H17*(1-MIN(1,INDEX(Tabla_Mortalidad!$B$5:$B$75,MIN(71,Cartera_Polizas!$B$19+6-49))*(1+(Cartera_Polizas!$P$19-1)*MAX(0,1-6/Supuestos!$C$20))*(1-Supuestos!$C$18)^6))</f>
        <v>0.63031923930159</v>
      </c>
      <c r="J17" s="29" t="n">
        <f aca="false">I17*(1-MIN(1,INDEX(Tabla_Mortalidad!$B$5:$B$75,MIN(71,Cartera_Polizas!$B$19+7-49))*(1+(Cartera_Polizas!$P$19-1)*MAX(0,1-7/Supuestos!$C$20))*(1-Supuestos!$C$18)^7))</f>
        <v>0.576722216040329</v>
      </c>
      <c r="K17" s="29" t="n">
        <f aca="false">J17*(1-MIN(1,INDEX(Tabla_Mortalidad!$B$5:$B$75,MIN(71,Cartera_Polizas!$B$19+8-49))*(1+(Cartera_Polizas!$P$19-1)*MAX(0,1-8/Supuestos!$C$20))*(1-Supuestos!$C$18)^8))</f>
        <v>0.524047731852956</v>
      </c>
      <c r="L17" s="29" t="n">
        <f aca="false">K17*(1-MIN(1,INDEX(Tabla_Mortalidad!$B$5:$B$75,MIN(71,Cartera_Polizas!$B$19+9-49))*(1+(Cartera_Polizas!$P$19-1)*MAX(0,1-9/Supuestos!$C$20))*(1-Supuestos!$C$18)^9))</f>
        <v>0.472707193635658</v>
      </c>
      <c r="M17" s="29" t="n">
        <f aca="false">L17*(1-MIN(1,INDEX(Tabla_Mortalidad!$B$5:$B$75,MIN(71,Cartera_Polizas!$B$19+10-49))*(1+(Cartera_Polizas!$P$19-1)*MAX(0,1-10/Supuestos!$C$20))*(1-Supuestos!$C$18)^10))</f>
        <v>0.423103872837173</v>
      </c>
      <c r="N17" s="29" t="n">
        <f aca="false">M17*(1-MIN(1,INDEX(Tabla_Mortalidad!$B$5:$B$75,MIN(71,Cartera_Polizas!$B$19+11-49))*(1+(Cartera_Polizas!$P$19-1)*MAX(0,1-11/Supuestos!$C$20))*(1-Supuestos!$C$18)^11))</f>
        <v>0.375624907927469</v>
      </c>
      <c r="O17" s="29" t="n">
        <f aca="false">N17*(1-MIN(1,INDEX(Tabla_Mortalidad!$B$5:$B$75,MIN(71,Cartera_Polizas!$B$19+12-49))*(1+(Cartera_Polizas!$P$19-1)*MAX(0,1-12/Supuestos!$C$20))*(1-Supuestos!$C$18)^12))</f>
        <v>0.330626143517883</v>
      </c>
      <c r="P17" s="29" t="n">
        <f aca="false">O17*(1-MIN(1,INDEX(Tabla_Mortalidad!$B$5:$B$75,MIN(71,Cartera_Polizas!$B$19+13-49))*(1+(Cartera_Polizas!$P$19-1)*MAX(0,1-13/Supuestos!$C$20))*(1-Supuestos!$C$18)^13))</f>
        <v>0.288420730888607</v>
      </c>
      <c r="Q17" s="29" t="n">
        <f aca="false">P17*(1-MIN(1,INDEX(Tabla_Mortalidad!$B$5:$B$75,MIN(71,Cartera_Polizas!$B$19+14-49))*(1+(Cartera_Polizas!$P$19-1)*MAX(0,1-14/Supuestos!$C$20))*(1-Supuestos!$C$18)^14))</f>
        <v>0.249267658849147</v>
      </c>
      <c r="R17" s="29" t="n">
        <f aca="false">Q17*(1-MIN(1,INDEX(Tabla_Mortalidad!$B$5:$B$75,MIN(71,Cartera_Polizas!$B$19+15-49))*(1+(Cartera_Polizas!$P$19-1)*MAX(0,1-15/Supuestos!$C$20))*(1-Supuestos!$C$18)^15))</f>
        <v>0.213362369363909</v>
      </c>
      <c r="S17" s="29" t="n">
        <f aca="false">R17*(1-MIN(1,INDEX(Tabla_Mortalidad!$B$5:$B$75,MIN(71,Cartera_Polizas!$B$19+16-49))*(1+(Cartera_Polizas!$P$19-1)*MAX(0,1-16/Supuestos!$C$20))*(1-Supuestos!$C$18)^16))</f>
        <v>0.179550431725679</v>
      </c>
      <c r="T17" s="29" t="n">
        <f aca="false">S17*(1-MIN(1,INDEX(Tabla_Mortalidad!$B$5:$B$75,MIN(71,Cartera_Polizas!$B$19+17-49))*(1+(Cartera_Polizas!$P$19-1)*MAX(0,1-17/Supuestos!$C$20))*(1-Supuestos!$C$18)^17))</f>
        <v>0.148279828911639</v>
      </c>
      <c r="U17" s="29" t="n">
        <f aca="false">T17*(1-MIN(1,INDEX(Tabla_Mortalidad!$B$5:$B$75,MIN(71,Cartera_Polizas!$B$19+18-49))*(1+(Cartera_Polizas!$P$19-1)*MAX(0,1-18/Supuestos!$C$20))*(1-Supuestos!$C$18)^18))</f>
        <v>0.119932296687518</v>
      </c>
      <c r="V17" s="29" t="n">
        <f aca="false">U17*(1-MIN(1,INDEX(Tabla_Mortalidad!$B$5:$B$75,MIN(71,Cartera_Polizas!$B$19+19-49))*(1+(Cartera_Polizas!$P$19-1)*MAX(0,1-19/Supuestos!$C$20))*(1-Supuestos!$C$18)^19))</f>
        <v>0.0947971507266278</v>
      </c>
      <c r="W17" s="29" t="n">
        <f aca="false">V17*(1-MIN(1,INDEX(Tabla_Mortalidad!$B$5:$B$75,MIN(71,Cartera_Polizas!$B$19+20-49))*(1+(Cartera_Polizas!$P$19-1)*MAX(0,1-20/Supuestos!$C$20))*(1-Supuestos!$C$18)^20))</f>
        <v>0.0730488672295303</v>
      </c>
      <c r="X17" s="29" t="n">
        <f aca="false">W17*(1-MIN(1,INDEX(Tabla_Mortalidad!$B$5:$B$75,MIN(71,Cartera_Polizas!$B$19+21-49))*(1+(Cartera_Polizas!$P$19-1)*MAX(0,1-21/Supuestos!$C$20))*(1-Supuestos!$C$18)^21))</f>
        <v>0.0547327217401619</v>
      </c>
      <c r="Y17" s="29" t="n">
        <f aca="false">X17*(1-MIN(1,INDEX(Tabla_Mortalidad!$B$5:$B$75,MIN(71,Cartera_Polizas!$B$19+22-49))*(1+(Cartera_Polizas!$P$19-1)*MAX(0,1-22/Supuestos!$C$20))*(1-Supuestos!$C$18)^22))</f>
        <v>0.0397602980797143</v>
      </c>
      <c r="Z17" s="29" t="n">
        <f aca="false">Y17*(1-MIN(1,INDEX(Tabla_Mortalidad!$B$5:$B$75,MIN(71,Cartera_Polizas!$B$19+23-49))*(1+(Cartera_Polizas!$P$19-1)*MAX(0,1-23/Supuestos!$C$20))*(1-Supuestos!$C$18)^23))</f>
        <v>0.0279168573731567</v>
      </c>
      <c r="AA17" s="29" t="n">
        <f aca="false">Z17*(1-MIN(1,INDEX(Tabla_Mortalidad!$B$5:$B$75,MIN(71,Cartera_Polizas!$B$19+24-49))*(1+(Cartera_Polizas!$P$19-1)*MAX(0,1-24/Supuestos!$C$20))*(1-Supuestos!$C$18)^24))</f>
        <v>0.0188813737395028</v>
      </c>
      <c r="AB17" s="29" t="n">
        <f aca="false">AA17*(1-MIN(1,INDEX(Tabla_Mortalidad!$B$5:$B$75,MIN(71,Cartera_Polizas!$B$19+25-49))*(1+(Cartera_Polizas!$P$19-1)*MAX(0,1-25/Supuestos!$C$20))*(1-Supuestos!$C$18)^25))</f>
        <v>0.0122567572953786</v>
      </c>
      <c r="AC17" s="29" t="n">
        <f aca="false">AB17*(1-MIN(1,INDEX(Tabla_Mortalidad!$B$5:$B$75,MIN(71,Cartera_Polizas!$B$19+26-49))*(1+(Cartera_Polizas!$P$19-1)*MAX(0,1-26/Supuestos!$C$20))*(1-Supuestos!$C$18)^26))</f>
        <v>0.00760693525888433</v>
      </c>
      <c r="AD17" s="29" t="n">
        <f aca="false">AC17*(1-MIN(1,INDEX(Tabla_Mortalidad!$B$5:$B$75,MIN(71,Cartera_Polizas!$B$19+27-49))*(1+(Cartera_Polizas!$P$19-1)*MAX(0,1-27/Supuestos!$C$20))*(1-Supuestos!$C$18)^27))</f>
        <v>0.00449526082368201</v>
      </c>
      <c r="AE17" s="29" t="n">
        <f aca="false">AD17*(1-MIN(1,INDEX(Tabla_Mortalidad!$B$5:$B$75,MIN(71,Cartera_Polizas!$B$19+28-49))*(1+(Cartera_Polizas!$P$19-1)*MAX(0,1-28/Supuestos!$C$20))*(1-Supuestos!$C$18)^28))</f>
        <v>0.00251853069518491</v>
      </c>
      <c r="AF17" s="29" t="n">
        <f aca="false">AE17*(1-MIN(1,INDEX(Tabla_Mortalidad!$B$5:$B$75,MIN(71,Cartera_Polizas!$B$19+29-49))*(1+(Cartera_Polizas!$P$19-1)*MAX(0,1-29/Supuestos!$C$20))*(1-Supuestos!$C$18)^29))</f>
        <v>0.00133187962160967</v>
      </c>
      <c r="AG17" s="29" t="n">
        <f aca="false">AF17*(1-MIN(1,INDEX(Tabla_Mortalidad!$B$5:$B$75,MIN(71,Cartera_Polizas!$B$19+30-49))*(1+(Cartera_Polizas!$P$19-1)*MAX(0,1-30/Supuestos!$C$20))*(1-Supuestos!$C$18)^30))</f>
        <v>0.000661860003173672</v>
      </c>
      <c r="AH17" s="29" t="n">
        <f aca="false">AG17*(1-MIN(1,INDEX(Tabla_Mortalidad!$B$5:$B$75,MIN(71,Cartera_Polizas!$B$19+31-49))*(1+(Cartera_Polizas!$P$19-1)*MAX(0,1-31/Supuestos!$C$20))*(1-Supuestos!$C$18)^31))</f>
        <v>0.000307710471228496</v>
      </c>
      <c r="AI17" s="29" t="n">
        <f aca="false">AH17*(1-MIN(1,INDEX(Tabla_Mortalidad!$B$5:$B$75,MIN(71,Cartera_Polizas!$B$19+32-49))*(1+(Cartera_Polizas!$P$19-1)*MAX(0,1-32/Supuestos!$C$20))*(1-Supuestos!$C$18)^32))</f>
        <v>0.000133289158107243</v>
      </c>
      <c r="AJ17" s="29" t="n">
        <f aca="false">AI17*(1-MIN(1,INDEX(Tabla_Mortalidad!$B$5:$B$75,MIN(71,Cartera_Polizas!$B$19+33-49))*(1+(Cartera_Polizas!$P$19-1)*MAX(0,1-33/Supuestos!$C$20))*(1-Supuestos!$C$18)^33))</f>
        <v>5.35956899358917E-005</v>
      </c>
      <c r="AK17" s="29" t="n">
        <f aca="false">AJ17*(1-MIN(1,INDEX(Tabla_Mortalidad!$B$5:$B$75,MIN(71,Cartera_Polizas!$B$19+34-49))*(1+(Cartera_Polizas!$P$19-1)*MAX(0,1-34/Supuestos!$C$20))*(1-Supuestos!$C$18)^34))</f>
        <v>1.99472657923247E-005</v>
      </c>
      <c r="AL17" s="29" t="n">
        <f aca="false">AK17*(1-MIN(1,INDEX(Tabla_Mortalidad!$B$5:$B$75,MIN(71,Cartera_Polizas!$B$19+35-49))*(1+(Cartera_Polizas!$P$19-1)*MAX(0,1-35/Supuestos!$C$20))*(1-Supuestos!$C$18)^35))</f>
        <v>6.85915841433827E-006</v>
      </c>
      <c r="AM17" s="29" t="n">
        <f aca="false">AL17*(1-MIN(1,INDEX(Tabla_Mortalidad!$B$5:$B$75,MIN(71,Cartera_Polizas!$B$19+36-49))*(1+(Cartera_Polizas!$P$19-1)*MAX(0,1-36/Supuestos!$C$20))*(1-Supuestos!$C$18)^36))</f>
        <v>2.17846346375808E-006</v>
      </c>
      <c r="AN17" s="29" t="n">
        <f aca="false">AM17*(1-MIN(1,INDEX(Tabla_Mortalidad!$B$5:$B$75,MIN(71,Cartera_Polizas!$B$19+37-49))*(1+(Cartera_Polizas!$P$19-1)*MAX(0,1-37/Supuestos!$C$20))*(1-Supuestos!$C$18)^37))</f>
        <v>6.40018560505523E-007</v>
      </c>
      <c r="AO17" s="29" t="n">
        <f aca="false">AN17*(1-MIN(1,INDEX(Tabla_Mortalidad!$B$5:$B$75,MIN(71,Cartera_Polizas!$B$19+38-49))*(1+(Cartera_Polizas!$P$19-1)*MAX(0,1-38/Supuestos!$C$20))*(1-Supuestos!$C$18)^38))</f>
        <v>1.74591510674014E-007</v>
      </c>
      <c r="AP17" s="29" t="n">
        <f aca="false">AO17*(1-MIN(1,INDEX(Tabla_Mortalidad!$B$5:$B$75,MIN(71,Cartera_Polizas!$B$19+39-49))*(1+(Cartera_Polizas!$P$19-1)*MAX(0,1-39/Supuestos!$C$20))*(1-Supuestos!$C$18)^39))</f>
        <v>4.44932165834961E-008</v>
      </c>
      <c r="AQ17" s="29" t="n">
        <f aca="false">AP17*(1-MIN(1,INDEX(Tabla_Mortalidad!$B$5:$B$75,MIN(71,Cartera_Polizas!$B$19+40-49))*(1+(Cartera_Polizas!$P$19-1)*MAX(0,1-40/Supuestos!$C$20))*(1-Supuestos!$C$18)^40))</f>
        <v>1.06820456823574E-008</v>
      </c>
      <c r="AR17" s="29" t="n">
        <f aca="false">AQ17*(1-MIN(1,INDEX(Tabla_Mortalidad!$B$5:$B$75,MIN(71,Cartera_Polizas!$B$19+41-49))*(1+(Cartera_Polizas!$P$19-1)*MAX(0,1-41/Supuestos!$C$20))*(1-Supuestos!$C$18)^41))</f>
        <v>2.44107960006012E-009</v>
      </c>
      <c r="AS17" s="29" t="n">
        <f aca="false">AR17*(1-MIN(1,INDEX(Tabla_Mortalidad!$B$5:$B$75,MIN(71,Cartera_Polizas!$B$19+42-49))*(1+(Cartera_Polizas!$P$19-1)*MAX(0,1-42/Supuestos!$C$20))*(1-Supuestos!$C$18)^42))</f>
        <v>4.6342095223657E-010</v>
      </c>
      <c r="AT17" s="29" t="n">
        <f aca="false">AS17*(1-MIN(1,INDEX(Tabla_Mortalidad!$B$5:$B$75,MIN(71,Cartera_Polizas!$B$19+43-49))*(1+(Cartera_Polizas!$P$19-1)*MAX(0,1-43/Supuestos!$C$20))*(1-Supuestos!$C$18)^43))</f>
        <v>8.98542682652846E-011</v>
      </c>
      <c r="AU17" s="29" t="n">
        <f aca="false">AT17*(1-MIN(1,INDEX(Tabla_Mortalidad!$B$5:$B$75,MIN(71,Cartera_Polizas!$B$19+44-49))*(1+(Cartera_Polizas!$P$19-1)*MAX(0,1-44/Supuestos!$C$20))*(1-Supuestos!$C$18)^44))</f>
        <v>1.77843109831278E-011</v>
      </c>
    </row>
    <row r="18" customFormat="false" ht="15" hidden="false" customHeight="false" outlineLevel="0" collapsed="false">
      <c r="A18" s="14" t="n">
        <f aca="false">Cartera_Polizas!A20</f>
        <v>15</v>
      </c>
      <c r="B18" s="26" t="n">
        <f aca="false">SUM(C18:AU18)+0.5</f>
        <v>5.48526665530951</v>
      </c>
      <c r="C18" s="29" t="n">
        <f aca="false">1-MIN(1,INDEX(Tabla_Mortalidad!$B$5:$B$75,MIN(71,Cartera_Polizas!$B$20+0-49))*(1+(Cartera_Polizas!$P$20-1)*MAX(0,1-0/Supuestos!$C$20))*(1-Supuestos!$C$18)^0)</f>
        <v>0.868701602</v>
      </c>
      <c r="D18" s="29" t="n">
        <f aca="false">C18*(1-MIN(1,INDEX(Tabla_Mortalidad!$B$5:$B$75,MIN(71,Cartera_Polizas!$B$20+1-49))*(1+(Cartera_Polizas!$P$20-1)*MAX(0,1-1/Supuestos!$C$20))*(1-Supuestos!$C$18)^1))</f>
        <v>0.747341682309512</v>
      </c>
      <c r="E18" s="29" t="n">
        <f aca="false">D18*(1-MIN(1,INDEX(Tabla_Mortalidad!$B$5:$B$75,MIN(71,Cartera_Polizas!$B$20+2-49))*(1+(Cartera_Polizas!$P$20-1)*MAX(0,1-2/Supuestos!$C$20))*(1-Supuestos!$C$18)^2))</f>
        <v>0.636477255030126</v>
      </c>
      <c r="F18" s="29" t="n">
        <f aca="false">E18*(1-MIN(1,INDEX(Tabla_Mortalidad!$B$5:$B$75,MIN(71,Cartera_Polizas!$B$20+3-49))*(1+(Cartera_Polizas!$P$20-1)*MAX(0,1-3/Supuestos!$C$20))*(1-Supuestos!$C$18)^3))</f>
        <v>0.536436520582765</v>
      </c>
      <c r="G18" s="29" t="n">
        <f aca="false">F18*(1-MIN(1,INDEX(Tabla_Mortalidad!$B$5:$B$75,MIN(71,Cartera_Polizas!$B$20+4-49))*(1+(Cartera_Polizas!$P$20-1)*MAX(0,1-4/Supuestos!$C$20))*(1-Supuestos!$C$18)^4))</f>
        <v>0.447315545461984</v>
      </c>
      <c r="H18" s="29" t="n">
        <f aca="false">G18*(1-MIN(1,INDEX(Tabla_Mortalidad!$B$5:$B$75,MIN(71,Cartera_Polizas!$B$20+5-49))*(1+(Cartera_Polizas!$P$20-1)*MAX(0,1-5/Supuestos!$C$20))*(1-Supuestos!$C$18)^5))</f>
        <v>0.368971684149955</v>
      </c>
      <c r="I18" s="29" t="n">
        <f aca="false">H18*(1-MIN(1,INDEX(Tabla_Mortalidad!$B$5:$B$75,MIN(71,Cartera_Polizas!$B$20+6-49))*(1+(Cartera_Polizas!$P$20-1)*MAX(0,1-6/Supuestos!$C$20))*(1-Supuestos!$C$18)^6))</f>
        <v>0.301044439185734</v>
      </c>
      <c r="J18" s="29" t="n">
        <f aca="false">I18*(1-MIN(1,INDEX(Tabla_Mortalidad!$B$5:$B$75,MIN(71,Cartera_Polizas!$B$20+7-49))*(1+(Cartera_Polizas!$P$20-1)*MAX(0,1-7/Supuestos!$C$20))*(1-Supuestos!$C$18)^7))</f>
        <v>0.242975337677473</v>
      </c>
      <c r="K18" s="29" t="n">
        <f aca="false">J18*(1-MIN(1,INDEX(Tabla_Mortalidad!$B$5:$B$75,MIN(71,Cartera_Polizas!$B$20+8-49))*(1+(Cartera_Polizas!$P$20-1)*MAX(0,1-8/Supuestos!$C$20))*(1-Supuestos!$C$18)^8))</f>
        <v>0.194043751971511</v>
      </c>
      <c r="L18" s="29" t="n">
        <f aca="false">K18*(1-MIN(1,INDEX(Tabla_Mortalidad!$B$5:$B$75,MIN(71,Cartera_Polizas!$B$20+9-49))*(1+(Cartera_Polizas!$P$20-1)*MAX(0,1-9/Supuestos!$C$20))*(1-Supuestos!$C$18)^9))</f>
        <v>0.153407823257183</v>
      </c>
      <c r="M18" s="29" t="n">
        <f aca="false">L18*(1-MIN(1,INDEX(Tabla_Mortalidad!$B$5:$B$75,MIN(71,Cartera_Polizas!$B$20+10-49))*(1+(Cartera_Polizas!$P$20-1)*MAX(0,1-10/Supuestos!$C$20))*(1-Supuestos!$C$18)^10))</f>
        <v>0.120149423608736</v>
      </c>
      <c r="N18" s="29" t="n">
        <f aca="false">M18*(1-MIN(1,INDEX(Tabla_Mortalidad!$B$5:$B$75,MIN(71,Cartera_Polizas!$B$20+11-49))*(1+(Cartera_Polizas!$P$20-1)*MAX(0,1-11/Supuestos!$C$20))*(1-Supuestos!$C$18)^11))</f>
        <v>0.093318876137556</v>
      </c>
      <c r="O18" s="29" t="n">
        <f aca="false">N18*(1-MIN(1,INDEX(Tabla_Mortalidad!$B$5:$B$75,MIN(71,Cartera_Polizas!$B$20+12-49))*(1+(Cartera_Polizas!$P$20-1)*MAX(0,1-12/Supuestos!$C$20))*(1-Supuestos!$C$18)^12))</f>
        <v>0.0719760805316119</v>
      </c>
      <c r="P18" s="29" t="n">
        <f aca="false">O18*(1-MIN(1,INDEX(Tabla_Mortalidad!$B$5:$B$75,MIN(71,Cartera_Polizas!$B$20+13-49))*(1+(Cartera_Polizas!$P$20-1)*MAX(0,1-13/Supuestos!$C$20))*(1-Supuestos!$C$18)^13))</f>
        <v>0.0552264407817163</v>
      </c>
      <c r="Q18" s="29" t="n">
        <f aca="false">P18*(1-MIN(1,INDEX(Tabla_Mortalidad!$B$5:$B$75,MIN(71,Cartera_Polizas!$B$20+14-49))*(1+(Cartera_Polizas!$P$20-1)*MAX(0,1-14/Supuestos!$C$20))*(1-Supuestos!$C$18)^14))</f>
        <v>0.0422480102723772</v>
      </c>
      <c r="R18" s="29" t="n">
        <f aca="false">Q18*(1-MIN(1,INDEX(Tabla_Mortalidad!$B$5:$B$75,MIN(71,Cartera_Polizas!$B$20+15-49))*(1+(Cartera_Polizas!$P$20-1)*MAX(0,1-15/Supuestos!$C$20))*(1-Supuestos!$C$18)^15))</f>
        <v>0.0323095167782942</v>
      </c>
      <c r="S18" s="29" t="n">
        <f aca="false">R18*(1-MIN(1,INDEX(Tabla_Mortalidad!$B$5:$B$75,MIN(71,Cartera_Polizas!$B$20+16-49))*(1+(Cartera_Polizas!$P$20-1)*MAX(0,1-16/Supuestos!$C$20))*(1-Supuestos!$C$18)^16))</f>
        <v>0.0240026803668124</v>
      </c>
      <c r="T18" s="29" t="n">
        <f aca="false">S18*(1-MIN(1,INDEX(Tabla_Mortalidad!$B$5:$B$75,MIN(71,Cartera_Polizas!$B$20+17-49))*(1+(Cartera_Polizas!$P$20-1)*MAX(0,1-17/Supuestos!$C$20))*(1-Supuestos!$C$18)^17))</f>
        <v>0.0172699782424519</v>
      </c>
      <c r="U18" s="29" t="n">
        <f aca="false">T18*(1-MIN(1,INDEX(Tabla_Mortalidad!$B$5:$B$75,MIN(71,Cartera_Polizas!$B$20+18-49))*(1+(Cartera_Polizas!$P$20-1)*MAX(0,1-18/Supuestos!$C$20))*(1-Supuestos!$C$18)^18))</f>
        <v>0.0119951946671065</v>
      </c>
      <c r="V18" s="29" t="n">
        <f aca="false">U18*(1-MIN(1,INDEX(Tabla_Mortalidad!$B$5:$B$75,MIN(71,Cartera_Polizas!$B$20+19-49))*(1+(Cartera_Polizas!$P$20-1)*MAX(0,1-19/Supuestos!$C$20))*(1-Supuestos!$C$18)^19))</f>
        <v>0.00801433587662064</v>
      </c>
      <c r="W18" s="29" t="n">
        <f aca="false">V18*(1-MIN(1,INDEX(Tabla_Mortalidad!$B$5:$B$75,MIN(71,Cartera_Polizas!$B$20+20-49))*(1+(Cartera_Polizas!$P$20-1)*MAX(0,1-20/Supuestos!$C$20))*(1-Supuestos!$C$18)^20))</f>
        <v>0.0051311058954298</v>
      </c>
      <c r="X18" s="29" t="n">
        <f aca="false">W18*(1-MIN(1,INDEX(Tabla_Mortalidad!$B$5:$B$75,MIN(71,Cartera_Polizas!$B$20+21-49))*(1+(Cartera_Polizas!$P$20-1)*MAX(0,1-21/Supuestos!$C$20))*(1-Supuestos!$C$18)^21))</f>
        <v>0.00313512528123501</v>
      </c>
      <c r="Y18" s="29" t="n">
        <f aca="false">X18*(1-MIN(1,INDEX(Tabla_Mortalidad!$B$5:$B$75,MIN(71,Cartera_Polizas!$B$20+22-49))*(1+(Cartera_Polizas!$P$20-1)*MAX(0,1-22/Supuestos!$C$20))*(1-Supuestos!$C$18)^22))</f>
        <v>0.00182013080613426</v>
      </c>
      <c r="Z18" s="29" t="n">
        <f aca="false">Y18*(1-MIN(1,INDEX(Tabla_Mortalidad!$B$5:$B$75,MIN(71,Cartera_Polizas!$B$20+23-49))*(1+(Cartera_Polizas!$P$20-1)*MAX(0,1-23/Supuestos!$C$20))*(1-Supuestos!$C$18)^23))</f>
        <v>0.000999439783519789</v>
      </c>
      <c r="AA18" s="29" t="n">
        <f aca="false">Z18*(1-MIN(1,INDEX(Tabla_Mortalidad!$B$5:$B$75,MIN(71,Cartera_Polizas!$B$20+24-49))*(1+(Cartera_Polizas!$P$20-1)*MAX(0,1-24/Supuestos!$C$20))*(1-Supuestos!$C$18)^24))</f>
        <v>0.000516584467274446</v>
      </c>
      <c r="AB18" s="29" t="n">
        <f aca="false">AA18*(1-MIN(1,INDEX(Tabla_Mortalidad!$B$5:$B$75,MIN(71,Cartera_Polizas!$B$20+25-49))*(1+(Cartera_Polizas!$P$20-1)*MAX(0,1-25/Supuestos!$C$20))*(1-Supuestos!$C$18)^25))</f>
        <v>0.000250114367201683</v>
      </c>
      <c r="AC18" s="29" t="n">
        <f aca="false">AB18*(1-MIN(1,INDEX(Tabla_Mortalidad!$B$5:$B$75,MIN(71,Cartera_Polizas!$B$20+26-49))*(1+(Cartera_Polizas!$P$20-1)*MAX(0,1-26/Supuestos!$C$20))*(1-Supuestos!$C$18)^26))</f>
        <v>0.000112886039549858</v>
      </c>
      <c r="AD18" s="29" t="n">
        <f aca="false">AC18*(1-MIN(1,INDEX(Tabla_Mortalidad!$B$5:$B$75,MIN(71,Cartera_Polizas!$B$20+27-49))*(1+(Cartera_Polizas!$P$20-1)*MAX(0,1-27/Supuestos!$C$20))*(1-Supuestos!$C$18)^27))</f>
        <v>4.72742158343349E-005</v>
      </c>
      <c r="AE18" s="29" t="n">
        <f aca="false">AD18*(1-MIN(1,INDEX(Tabla_Mortalidad!$B$5:$B$75,MIN(71,Cartera_Polizas!$B$20+28-49))*(1+(Cartera_Polizas!$P$20-1)*MAX(0,1-28/Supuestos!$C$20))*(1-Supuestos!$C$18)^28))</f>
        <v>1.82916499124059E-005</v>
      </c>
      <c r="AF18" s="29" t="n">
        <f aca="false">AE18*(1-MIN(1,INDEX(Tabla_Mortalidad!$B$5:$B$75,MIN(71,Cartera_Polizas!$B$20+29-49))*(1+(Cartera_Polizas!$P$20-1)*MAX(0,1-29/Supuestos!$C$20))*(1-Supuestos!$C$18)^29))</f>
        <v>6.51634014357624E-006</v>
      </c>
      <c r="AG18" s="29" t="n">
        <f aca="false">AF18*(1-MIN(1,INDEX(Tabla_Mortalidad!$B$5:$B$75,MIN(71,Cartera_Polizas!$B$20+30-49))*(1+(Cartera_Polizas!$P$20-1)*MAX(0,1-30/Supuestos!$C$20))*(1-Supuestos!$C$18)^30))</f>
        <v>2.13222636264448E-006</v>
      </c>
      <c r="AH18" s="29" t="n">
        <f aca="false">AG18*(1-MIN(1,INDEX(Tabla_Mortalidad!$B$5:$B$75,MIN(71,Cartera_Polizas!$B$20+31-49))*(1+(Cartera_Polizas!$P$20-1)*MAX(0,1-31/Supuestos!$C$20))*(1-Supuestos!$C$18)^31))</f>
        <v>6.40265571315194E-007</v>
      </c>
      <c r="AI18" s="29" t="n">
        <f aca="false">AH18*(1-MIN(1,INDEX(Tabla_Mortalidad!$B$5:$B$75,MIN(71,Cartera_Polizas!$B$20+32-49))*(1+(Cartera_Polizas!$P$20-1)*MAX(0,1-32/Supuestos!$C$20))*(1-Supuestos!$C$18)^32))</f>
        <v>1.76630359041995E-007</v>
      </c>
      <c r="AJ18" s="29" t="n">
        <f aca="false">AI18*(1-MIN(1,INDEX(Tabla_Mortalidad!$B$5:$B$75,MIN(71,Cartera_Polizas!$B$20+33-49))*(1+(Cartera_Polizas!$P$20-1)*MAX(0,1-33/Supuestos!$C$20))*(1-Supuestos!$C$18)^33))</f>
        <v>4.49233160106836E-008</v>
      </c>
      <c r="AK18" s="29" t="n">
        <f aca="false">AJ18*(1-MIN(1,INDEX(Tabla_Mortalidad!$B$5:$B$75,MIN(71,Cartera_Polizas!$B$20+34-49))*(1+(Cartera_Polizas!$P$20-1)*MAX(0,1-34/Supuestos!$C$20))*(1-Supuestos!$C$18)^34))</f>
        <v>1.05987636930914E-008</v>
      </c>
      <c r="AL18" s="29" t="n">
        <f aca="false">AK18*(1-MIN(1,INDEX(Tabla_Mortalidad!$B$5:$B$75,MIN(71,Cartera_Polizas!$B$20+35-49))*(1+(Cartera_Polizas!$P$20-1)*MAX(0,1-35/Supuestos!$C$20))*(1-Supuestos!$C$18)^35))</f>
        <v>2.34016785743051E-009</v>
      </c>
      <c r="AM18" s="29" t="n">
        <f aca="false">AL18*(1-MIN(1,INDEX(Tabla_Mortalidad!$B$5:$B$75,MIN(71,Cartera_Polizas!$B$20+36-49))*(1+(Cartera_Polizas!$P$20-1)*MAX(0,1-36/Supuestos!$C$20))*(1-Supuestos!$C$18)^36))</f>
        <v>4.88959501157243E-010</v>
      </c>
      <c r="AN18" s="29" t="n">
        <f aca="false">AM18*(1-MIN(1,INDEX(Tabla_Mortalidad!$B$5:$B$75,MIN(71,Cartera_Polizas!$B$20+37-49))*(1+(Cartera_Polizas!$P$20-1)*MAX(0,1-37/Supuestos!$C$20))*(1-Supuestos!$C$18)^37))</f>
        <v>8.27716992785466E-011</v>
      </c>
      <c r="AO18" s="29" t="n">
        <f aca="false">AN18*(1-MIN(1,INDEX(Tabla_Mortalidad!$B$5:$B$75,MIN(71,Cartera_Polizas!$B$20+38-49))*(1+(Cartera_Polizas!$P$20-1)*MAX(0,1-38/Supuestos!$C$20))*(1-Supuestos!$C$18)^38))</f>
        <v>1.43555007271235E-011</v>
      </c>
      <c r="AP18" s="29" t="n">
        <f aca="false">AO18*(1-MIN(1,INDEX(Tabla_Mortalidad!$B$5:$B$75,MIN(71,Cartera_Polizas!$B$20+39-49))*(1+(Cartera_Polizas!$P$20-1)*MAX(0,1-39/Supuestos!$C$20))*(1-Supuestos!$C$18)^39))</f>
        <v>2.5490734986202E-012</v>
      </c>
      <c r="AQ18" s="29" t="n">
        <f aca="false">AP18*(1-MIN(1,INDEX(Tabla_Mortalidad!$B$5:$B$75,MIN(71,Cartera_Polizas!$B$20+40-49))*(1+(Cartera_Polizas!$P$20-1)*MAX(0,1-40/Supuestos!$C$20))*(1-Supuestos!$C$18)^40))</f>
        <v>4.63115364733625E-013</v>
      </c>
      <c r="AR18" s="29" t="n">
        <f aca="false">AQ18*(1-MIN(1,INDEX(Tabla_Mortalidad!$B$5:$B$75,MIN(71,Cartera_Polizas!$B$20+41-49))*(1+(Cartera_Polizas!$P$20-1)*MAX(0,1-41/Supuestos!$C$20))*(1-Supuestos!$C$18)^41))</f>
        <v>8.60336265239265E-014</v>
      </c>
      <c r="AS18" s="29" t="n">
        <f aca="false">AR18*(1-MIN(1,INDEX(Tabla_Mortalidad!$B$5:$B$75,MIN(71,Cartera_Polizas!$B$20+42-49))*(1+(Cartera_Polizas!$P$20-1)*MAX(0,1-42/Supuestos!$C$20))*(1-Supuestos!$C$18)^42))</f>
        <v>1.63328492553465E-014</v>
      </c>
      <c r="AT18" s="29" t="n">
        <f aca="false">AS18*(1-MIN(1,INDEX(Tabla_Mortalidad!$B$5:$B$75,MIN(71,Cartera_Polizas!$B$20+43-49))*(1+(Cartera_Polizas!$P$20-1)*MAX(0,1-43/Supuestos!$C$20))*(1-Supuestos!$C$18)^43))</f>
        <v>3.16683182200441E-015</v>
      </c>
      <c r="AU18" s="29" t="n">
        <f aca="false">AT18*(1-MIN(1,INDEX(Tabla_Mortalidad!$B$5:$B$75,MIN(71,Cartera_Polizas!$B$20+44-49))*(1+(Cartera_Polizas!$P$20-1)*MAX(0,1-44/Supuestos!$C$20))*(1-Supuestos!$C$18)^44))</f>
        <v>6.26791837951574E-016</v>
      </c>
    </row>
    <row r="19" customFormat="false" ht="15" hidden="false" customHeight="false" outlineLevel="0" collapsed="false">
      <c r="A19" s="14" t="n">
        <f aca="false">Cartera_Polizas!A21</f>
        <v>16</v>
      </c>
      <c r="B19" s="26" t="n">
        <f aca="false">SUM(C19:AU19)+0.5</f>
        <v>6.93823652514313</v>
      </c>
      <c r="C19" s="29" t="n">
        <f aca="false">1-MIN(1,INDEX(Tabla_Mortalidad!$B$5:$B$75,MIN(71,Cartera_Polizas!$B$21+0-49))*(1+(Cartera_Polizas!$P$21-1)*MAX(0,1-0/Supuestos!$C$20))*(1-Supuestos!$C$18)^0)</f>
        <v>0.91966740625</v>
      </c>
      <c r="D19" s="29" t="n">
        <f aca="false">C19*(1-MIN(1,INDEX(Tabla_Mortalidad!$B$5:$B$75,MIN(71,Cartera_Polizas!$B$21+1-49))*(1+(Cartera_Polizas!$P$21-1)*MAX(0,1-1/Supuestos!$C$20))*(1-Supuestos!$C$18)^1))</f>
        <v>0.838328035359082</v>
      </c>
      <c r="E19" s="29" t="n">
        <f aca="false">D19*(1-MIN(1,INDEX(Tabla_Mortalidad!$B$5:$B$75,MIN(71,Cartera_Polizas!$B$21+2-49))*(1+(Cartera_Polizas!$P$21-1)*MAX(0,1-2/Supuestos!$C$20))*(1-Supuestos!$C$18)^2))</f>
        <v>0.756737407282388</v>
      </c>
      <c r="F19" s="29" t="n">
        <f aca="false">E19*(1-MIN(1,INDEX(Tabla_Mortalidad!$B$5:$B$75,MIN(71,Cartera_Polizas!$B$21+3-49))*(1+(Cartera_Polizas!$P$21-1)*MAX(0,1-3/Supuestos!$C$20))*(1-Supuestos!$C$18)^3))</f>
        <v>0.675740920920414</v>
      </c>
      <c r="G19" s="29" t="n">
        <f aca="false">F19*(1-MIN(1,INDEX(Tabla_Mortalidad!$B$5:$B$75,MIN(71,Cartera_Polizas!$B$21+4-49))*(1+(Cartera_Polizas!$P$21-1)*MAX(0,1-4/Supuestos!$C$20))*(1-Supuestos!$C$18)^4))</f>
        <v>0.596250799196988</v>
      </c>
      <c r="H19" s="29" t="n">
        <f aca="false">G19*(1-MIN(1,INDEX(Tabla_Mortalidad!$B$5:$B$75,MIN(71,Cartera_Polizas!$B$21+5-49))*(1+(Cartera_Polizas!$P$21-1)*MAX(0,1-5/Supuestos!$C$20))*(1-Supuestos!$C$18)^5))</f>
        <v>0.519220771073472</v>
      </c>
      <c r="I19" s="29" t="n">
        <f aca="false">H19*(1-MIN(1,INDEX(Tabla_Mortalidad!$B$5:$B$75,MIN(71,Cartera_Polizas!$B$21+6-49))*(1+(Cartera_Polizas!$P$21-1)*MAX(0,1-6/Supuestos!$C$20))*(1-Supuestos!$C$18)^6))</f>
        <v>0.445611217927503</v>
      </c>
      <c r="J19" s="29" t="n">
        <f aca="false">I19*(1-MIN(1,INDEX(Tabla_Mortalidad!$B$5:$B$75,MIN(71,Cartera_Polizas!$B$21+7-49))*(1+(Cartera_Polizas!$P$21-1)*MAX(0,1-7/Supuestos!$C$20))*(1-Supuestos!$C$18)^7))</f>
        <v>0.37634793034703</v>
      </c>
      <c r="K19" s="29" t="n">
        <f aca="false">J19*(1-MIN(1,INDEX(Tabla_Mortalidad!$B$5:$B$75,MIN(71,Cartera_Polizas!$B$21+8-49))*(1+(Cartera_Polizas!$P$21-1)*MAX(0,1-8/Supuestos!$C$20))*(1-Supuestos!$C$18)^8))</f>
        <v>0.312275398624864</v>
      </c>
      <c r="L19" s="29" t="n">
        <f aca="false">K19*(1-MIN(1,INDEX(Tabla_Mortalidad!$B$5:$B$75,MIN(71,Cartera_Polizas!$B$21+9-49))*(1+(Cartera_Polizas!$P$21-1)*MAX(0,1-9/Supuestos!$C$20))*(1-Supuestos!$C$18)^9))</f>
        <v>0.254107315046827</v>
      </c>
      <c r="M19" s="29" t="n">
        <f aca="false">L19*(1-MIN(1,INDEX(Tabla_Mortalidad!$B$5:$B$75,MIN(71,Cartera_Polizas!$B$21+10-49))*(1+(Cartera_Polizas!$P$21-1)*MAX(0,1-10/Supuestos!$C$20))*(1-Supuestos!$C$18)^10))</f>
        <v>0.20238166496405</v>
      </c>
      <c r="N19" s="29" t="n">
        <f aca="false">M19*(1-MIN(1,INDEX(Tabla_Mortalidad!$B$5:$B$75,MIN(71,Cartera_Polizas!$B$21+11-49))*(1+(Cartera_Polizas!$P$21-1)*MAX(0,1-11/Supuestos!$C$20))*(1-Supuestos!$C$18)^11))</f>
        <v>0.157422137353715</v>
      </c>
      <c r="O19" s="29" t="n">
        <f aca="false">N19*(1-MIN(1,INDEX(Tabla_Mortalidad!$B$5:$B$75,MIN(71,Cartera_Polizas!$B$21+12-49))*(1+(Cartera_Polizas!$P$21-1)*MAX(0,1-12/Supuestos!$C$20))*(1-Supuestos!$C$18)^12))</f>
        <v>0.119311893535364</v>
      </c>
      <c r="P19" s="29" t="n">
        <f aca="false">O19*(1-MIN(1,INDEX(Tabla_Mortalidad!$B$5:$B$75,MIN(71,Cartera_Polizas!$B$21+13-49))*(1+(Cartera_Polizas!$P$21-1)*MAX(0,1-13/Supuestos!$C$20))*(1-Supuestos!$C$18)^13))</f>
        <v>0.0878863651782493</v>
      </c>
      <c r="Q19" s="29" t="n">
        <f aca="false">P19*(1-MIN(1,INDEX(Tabla_Mortalidad!$B$5:$B$75,MIN(71,Cartera_Polizas!$B$21+14-49))*(1+(Cartera_Polizas!$P$21-1)*MAX(0,1-14/Supuestos!$C$20))*(1-Supuestos!$C$18)^14))</f>
        <v>0.0627462138158307</v>
      </c>
      <c r="R19" s="29" t="n">
        <f aca="false">Q19*(1-MIN(1,INDEX(Tabla_Mortalidad!$B$5:$B$75,MIN(71,Cartera_Polizas!$B$21+15-49))*(1+(Cartera_Polizas!$P$21-1)*MAX(0,1-15/Supuestos!$C$20))*(1-Supuestos!$C$18)^15))</f>
        <v>0.0432912181841031</v>
      </c>
      <c r="S19" s="29" t="n">
        <f aca="false">R19*(1-MIN(1,INDEX(Tabla_Mortalidad!$B$5:$B$75,MIN(71,Cartera_Polizas!$B$21+16-49))*(1+(Cartera_Polizas!$P$21-1)*MAX(0,1-16/Supuestos!$C$20))*(1-Supuestos!$C$18)^16))</f>
        <v>0.0287064330103412</v>
      </c>
      <c r="T19" s="29" t="n">
        <f aca="false">S19*(1-MIN(1,INDEX(Tabla_Mortalidad!$B$5:$B$75,MIN(71,Cartera_Polizas!$B$21+17-49))*(1+(Cartera_Polizas!$P$21-1)*MAX(0,1-17/Supuestos!$C$20))*(1-Supuestos!$C$18)^17))</f>
        <v>0.0182225604032656</v>
      </c>
      <c r="U19" s="29" t="n">
        <f aca="false">T19*(1-MIN(1,INDEX(Tabla_Mortalidad!$B$5:$B$75,MIN(71,Cartera_Polizas!$B$21+18-49))*(1+(Cartera_Polizas!$P$21-1)*MAX(0,1-18/Supuestos!$C$20))*(1-Supuestos!$C$18)^18))</f>
        <v>0.0110266541390392</v>
      </c>
      <c r="V19" s="29" t="n">
        <f aca="false">U19*(1-MIN(1,INDEX(Tabla_Mortalidad!$B$5:$B$75,MIN(71,Cartera_Polizas!$B$21+19-49))*(1+(Cartera_Polizas!$P$21-1)*MAX(0,1-19/Supuestos!$C$20))*(1-Supuestos!$C$18)^19))</f>
        <v>0.00633156828102434</v>
      </c>
      <c r="W19" s="29" t="n">
        <f aca="false">V19*(1-MIN(1,INDEX(Tabla_Mortalidad!$B$5:$B$75,MIN(71,Cartera_Polizas!$B$21+20-49))*(1+(Cartera_Polizas!$P$21-1)*MAX(0,1-20/Supuestos!$C$20))*(1-Supuestos!$C$18)^20))</f>
        <v>0.00343342978910345</v>
      </c>
      <c r="X19" s="29" t="n">
        <f aca="false">W19*(1-MIN(1,INDEX(Tabla_Mortalidad!$B$5:$B$75,MIN(71,Cartera_Polizas!$B$21+21-49))*(1+(Cartera_Polizas!$P$21-1)*MAX(0,1-21/Supuestos!$C$20))*(1-Supuestos!$C$18)^21))</f>
        <v>0.00174951809455972</v>
      </c>
      <c r="Y19" s="29" t="n">
        <f aca="false">X19*(1-MIN(1,INDEX(Tabla_Mortalidad!$B$5:$B$75,MIN(71,Cartera_Polizas!$B$21+22-49))*(1+(Cartera_Polizas!$P$21-1)*MAX(0,1-22/Supuestos!$C$20))*(1-Supuestos!$C$18)^22))</f>
        <v>0.000833389712994355</v>
      </c>
      <c r="Z19" s="29" t="n">
        <f aca="false">Y19*(1-MIN(1,INDEX(Tabla_Mortalidad!$B$5:$B$75,MIN(71,Cartera_Polizas!$B$21+23-49))*(1+(Cartera_Polizas!$P$21-1)*MAX(0,1-23/Supuestos!$C$20))*(1-Supuestos!$C$18)^23))</f>
        <v>0.00036921227776194</v>
      </c>
      <c r="AA19" s="29" t="n">
        <f aca="false">Z19*(1-MIN(1,INDEX(Tabla_Mortalidad!$B$5:$B$75,MIN(71,Cartera_Polizas!$B$21+24-49))*(1+(Cartera_Polizas!$P$21-1)*MAX(0,1-24/Supuestos!$C$20))*(1-Supuestos!$C$18)^24))</f>
        <v>0.000151366691570597</v>
      </c>
      <c r="AB19" s="29" t="n">
        <f aca="false">AA19*(1-MIN(1,INDEX(Tabla_Mortalidad!$B$5:$B$75,MIN(71,Cartera_Polizas!$B$21+25-49))*(1+(Cartera_Polizas!$P$21-1)*MAX(0,1-25/Supuestos!$C$20))*(1-Supuestos!$C$18)^25))</f>
        <v>5.71617737435652E-005</v>
      </c>
      <c r="AC19" s="29" t="n">
        <f aca="false">AB19*(1-MIN(1,INDEX(Tabla_Mortalidad!$B$5:$B$75,MIN(71,Cartera_Polizas!$B$21+26-49))*(1+(Cartera_Polizas!$P$21-1)*MAX(0,1-26/Supuestos!$C$20))*(1-Supuestos!$C$18)^26))</f>
        <v>1.98061567109015E-005</v>
      </c>
      <c r="AD19" s="29" t="n">
        <f aca="false">AC19*(1-MIN(1,INDEX(Tabla_Mortalidad!$B$5:$B$75,MIN(71,Cartera_Polizas!$B$21+27-49))*(1+(Cartera_Polizas!$P$21-1)*MAX(0,1-27/Supuestos!$C$20))*(1-Supuestos!$C$18)^27))</f>
        <v>6.27892155479314E-006</v>
      </c>
      <c r="AE19" s="29" t="n">
        <f aca="false">AD19*(1-MIN(1,INDEX(Tabla_Mortalidad!$B$5:$B$75,MIN(71,Cartera_Polizas!$B$21+28-49))*(1+(Cartera_Polizas!$P$21-1)*MAX(0,1-28/Supuestos!$C$20))*(1-Supuestos!$C$18)^28))</f>
        <v>1.81886961387134E-006</v>
      </c>
      <c r="AF19" s="29" t="n">
        <f aca="false">AE19*(1-MIN(1,INDEX(Tabla_Mortalidad!$B$5:$B$75,MIN(71,Cartera_Polizas!$B$21+29-49))*(1+(Cartera_Polizas!$P$21-1)*MAX(0,1-29/Supuestos!$C$20))*(1-Supuestos!$C$18)^29))</f>
        <v>4.81816719342907E-007</v>
      </c>
      <c r="AG19" s="29" t="n">
        <f aca="false">AF19*(1-MIN(1,INDEX(Tabla_Mortalidad!$B$5:$B$75,MIN(71,Cartera_Polizas!$B$21+30-49))*(1+(Cartera_Polizas!$P$21-1)*MAX(0,1-30/Supuestos!$C$20))*(1-Supuestos!$C$18)^30))</f>
        <v>1.1709949695451E-007</v>
      </c>
      <c r="AH19" s="29" t="n">
        <f aca="false">AG19*(1-MIN(1,INDEX(Tabla_Mortalidad!$B$5:$B$75,MIN(71,Cartera_Polizas!$B$21+31-49))*(1+(Cartera_Polizas!$P$21-1)*MAX(0,1-31/Supuestos!$C$20))*(1-Supuestos!$C$18)^31))</f>
        <v>2.62716828166216E-008</v>
      </c>
      <c r="AI19" s="29" t="n">
        <f aca="false">AH19*(1-MIN(1,INDEX(Tabla_Mortalidad!$B$5:$B$75,MIN(71,Cartera_Polizas!$B$21+32-49))*(1+(Cartera_Polizas!$P$21-1)*MAX(0,1-32/Supuestos!$C$20))*(1-Supuestos!$C$18)^32))</f>
        <v>5.49052916732748E-009</v>
      </c>
      <c r="AJ19" s="29" t="n">
        <f aca="false">AI19*(1-MIN(1,INDEX(Tabla_Mortalidad!$B$5:$B$75,MIN(71,Cartera_Polizas!$B$21+33-49))*(1+(Cartera_Polizas!$P$21-1)*MAX(0,1-33/Supuestos!$C$20))*(1-Supuestos!$C$18)^33))</f>
        <v>1.08139562487515E-009</v>
      </c>
      <c r="AK19" s="29" t="n">
        <f aca="false">AJ19*(1-MIN(1,INDEX(Tabla_Mortalidad!$B$5:$B$75,MIN(71,Cartera_Polizas!$B$21+34-49))*(1+(Cartera_Polizas!$P$21-1)*MAX(0,1-34/Supuestos!$C$20))*(1-Supuestos!$C$18)^34))</f>
        <v>1.69449140315036E-010</v>
      </c>
      <c r="AL19" s="29" t="n">
        <f aca="false">AK19*(1-MIN(1,INDEX(Tabla_Mortalidad!$B$5:$B$75,MIN(71,Cartera_Polizas!$B$21+35-49))*(1+(Cartera_Polizas!$P$21-1)*MAX(0,1-35/Supuestos!$C$20))*(1-Supuestos!$C$18)^35))</f>
        <v>2.72662966396031E-011</v>
      </c>
      <c r="AM19" s="29" t="n">
        <f aca="false">AL19*(1-MIN(1,INDEX(Tabla_Mortalidad!$B$5:$B$75,MIN(71,Cartera_Polizas!$B$21+36-49))*(1+(Cartera_Polizas!$P$21-1)*MAX(0,1-36/Supuestos!$C$20))*(1-Supuestos!$C$18)^36))</f>
        <v>4.50185187711293E-012</v>
      </c>
      <c r="AN19" s="29" t="n">
        <f aca="false">AM19*(1-MIN(1,INDEX(Tabla_Mortalidad!$B$5:$B$75,MIN(71,Cartera_Polizas!$B$21+37-49))*(1+(Cartera_Polizas!$P$21-1)*MAX(0,1-37/Supuestos!$C$20))*(1-Supuestos!$C$18)^37))</f>
        <v>7.62079331492774E-013</v>
      </c>
      <c r="AO19" s="29" t="n">
        <f aca="false">AN19*(1-MIN(1,INDEX(Tabla_Mortalidad!$B$5:$B$75,MIN(71,Cartera_Polizas!$B$21+38-49))*(1+(Cartera_Polizas!$P$21-1)*MAX(0,1-38/Supuestos!$C$20))*(1-Supuestos!$C$18)^38))</f>
        <v>1.32171146572145E-013</v>
      </c>
      <c r="AP19" s="29" t="n">
        <f aca="false">AO19*(1-MIN(1,INDEX(Tabla_Mortalidad!$B$5:$B$75,MIN(71,Cartera_Polizas!$B$21+39-49))*(1+(Cartera_Polizas!$P$21-1)*MAX(0,1-39/Supuestos!$C$20))*(1-Supuestos!$C$18)^39))</f>
        <v>2.3469328824785E-014</v>
      </c>
      <c r="AQ19" s="29" t="n">
        <f aca="false">AP19*(1-MIN(1,INDEX(Tabla_Mortalidad!$B$5:$B$75,MIN(71,Cartera_Polizas!$B$21+40-49))*(1+(Cartera_Polizas!$P$21-1)*MAX(0,1-40/Supuestos!$C$20))*(1-Supuestos!$C$18)^40))</f>
        <v>4.26390482056599E-015</v>
      </c>
      <c r="AR19" s="29" t="n">
        <f aca="false">AQ19*(1-MIN(1,INDEX(Tabla_Mortalidad!$B$5:$B$75,MIN(71,Cartera_Polizas!$B$21+41-49))*(1+(Cartera_Polizas!$P$21-1)*MAX(0,1-41/Supuestos!$C$20))*(1-Supuestos!$C$18)^41))</f>
        <v>7.92111907315239E-016</v>
      </c>
      <c r="AS19" s="29" t="n">
        <f aca="false">AR19*(1-MIN(1,INDEX(Tabla_Mortalidad!$B$5:$B$75,MIN(71,Cartera_Polizas!$B$21+42-49))*(1+(Cartera_Polizas!$P$21-1)*MAX(0,1-42/Supuestos!$C$20))*(1-Supuestos!$C$18)^42))</f>
        <v>1.50376601548312E-016</v>
      </c>
      <c r="AT19" s="29" t="n">
        <f aca="false">AS19*(1-MIN(1,INDEX(Tabla_Mortalidad!$B$5:$B$75,MIN(71,Cartera_Polizas!$B$21+43-49))*(1+(Cartera_Polizas!$P$21-1)*MAX(0,1-43/Supuestos!$C$20))*(1-Supuestos!$C$18)^43))</f>
        <v>2.91570319191053E-017</v>
      </c>
      <c r="AU19" s="29" t="n">
        <f aca="false">AT19*(1-MIN(1,INDEX(Tabla_Mortalidad!$B$5:$B$75,MIN(71,Cartera_Polizas!$B$21+44-49))*(1+(Cartera_Polizas!$P$21-1)*MAX(0,1-44/Supuestos!$C$20))*(1-Supuestos!$C$18)^44))</f>
        <v>5.77087469527242E-018</v>
      </c>
    </row>
    <row r="20" customFormat="false" ht="15" hidden="false" customHeight="false" outlineLevel="0" collapsed="false">
      <c r="A20" s="14" t="n">
        <f aca="false">Cartera_Polizas!A22</f>
        <v>17</v>
      </c>
      <c r="B20" s="26" t="n">
        <f aca="false">SUM(C20:AU20)+0.5</f>
        <v>11.7386255287784</v>
      </c>
      <c r="C20" s="29" t="n">
        <f aca="false">1-MIN(1,INDEX(Tabla_Mortalidad!$B$5:$B$75,MIN(71,Cartera_Polizas!$B$22+0-49))*(1+(Cartera_Polizas!$P$22-1)*MAX(0,1-0/Supuestos!$C$20))*(1-Supuestos!$C$18)^0)</f>
        <v>0.95999835</v>
      </c>
      <c r="D20" s="29" t="n">
        <f aca="false">C20*(1-MIN(1,INDEX(Tabla_Mortalidad!$B$5:$B$75,MIN(71,Cartera_Polizas!$B$22+1-49))*(1+(Cartera_Polizas!$P$22-1)*MAX(0,1-1/Supuestos!$C$20))*(1-Supuestos!$C$18)^1))</f>
        <v>0.918427416715444</v>
      </c>
      <c r="E20" s="29" t="n">
        <f aca="false">D20*(1-MIN(1,INDEX(Tabla_Mortalidad!$B$5:$B$75,MIN(71,Cartera_Polizas!$B$22+2-49))*(1+(Cartera_Polizas!$P$22-1)*MAX(0,1-2/Supuestos!$C$20))*(1-Supuestos!$C$18)^2))</f>
        <v>0.875406866214996</v>
      </c>
      <c r="F20" s="29" t="n">
        <f aca="false">E20*(1-MIN(1,INDEX(Tabla_Mortalidad!$B$5:$B$75,MIN(71,Cartera_Polizas!$B$22+3-49))*(1+(Cartera_Polizas!$P$22-1)*MAX(0,1-3/Supuestos!$C$20))*(1-Supuestos!$C$18)^3))</f>
        <v>0.831086893952046</v>
      </c>
      <c r="G20" s="29" t="n">
        <f aca="false">F20*(1-MIN(1,INDEX(Tabla_Mortalidad!$B$5:$B$75,MIN(71,Cartera_Polizas!$B$22+4-49))*(1+(Cartera_Polizas!$P$22-1)*MAX(0,1-4/Supuestos!$C$20))*(1-Supuestos!$C$18)^4))</f>
        <v>0.785649948726972</v>
      </c>
      <c r="H20" s="29" t="n">
        <f aca="false">G20*(1-MIN(1,INDEX(Tabla_Mortalidad!$B$5:$B$75,MIN(71,Cartera_Polizas!$B$22+5-49))*(1+(Cartera_Polizas!$P$22-1)*MAX(0,1-5/Supuestos!$C$20))*(1-Supuestos!$C$18)^5))</f>
        <v>0.7393105878352</v>
      </c>
      <c r="I20" s="29" t="n">
        <f aca="false">H20*(1-MIN(1,INDEX(Tabla_Mortalidad!$B$5:$B$75,MIN(71,Cartera_Polizas!$B$22+6-49))*(1+(Cartera_Polizas!$P$22-1)*MAX(0,1-6/Supuestos!$C$20))*(1-Supuestos!$C$18)^6))</f>
        <v>0.692312811122696</v>
      </c>
      <c r="J20" s="29" t="n">
        <f aca="false">I20*(1-MIN(1,INDEX(Tabla_Mortalidad!$B$5:$B$75,MIN(71,Cartera_Polizas!$B$22+7-49))*(1+(Cartera_Polizas!$P$22-1)*MAX(0,1-7/Supuestos!$C$20))*(1-Supuestos!$C$18)^7))</f>
        <v>0.644930082032336</v>
      </c>
      <c r="K20" s="29" t="n">
        <f aca="false">J20*(1-MIN(1,INDEX(Tabla_Mortalidad!$B$5:$B$75,MIN(71,Cartera_Polizas!$B$22+8-49))*(1+(Cartera_Polizas!$P$22-1)*MAX(0,1-8/Supuestos!$C$20))*(1-Supuestos!$C$18)^8))</f>
        <v>0.59746351682067</v>
      </c>
      <c r="L20" s="29" t="n">
        <f aca="false">K20*(1-MIN(1,INDEX(Tabla_Mortalidad!$B$5:$B$75,MIN(71,Cartera_Polizas!$B$22+9-49))*(1+(Cartera_Polizas!$P$22-1)*MAX(0,1-9/Supuestos!$C$20))*(1-Supuestos!$C$18)^9))</f>
        <v>0.550235269254266</v>
      </c>
      <c r="M20" s="29" t="n">
        <f aca="false">L20*(1-MIN(1,INDEX(Tabla_Mortalidad!$B$5:$B$75,MIN(71,Cartera_Polizas!$B$22+10-49))*(1+(Cartera_Polizas!$P$22-1)*MAX(0,1-10/Supuestos!$C$20))*(1-Supuestos!$C$18)^10))</f>
        <v>0.503582268527727</v>
      </c>
      <c r="N20" s="29" t="n">
        <f aca="false">M20*(1-MIN(1,INDEX(Tabla_Mortalidad!$B$5:$B$75,MIN(71,Cartera_Polizas!$B$22+11-49))*(1+(Cartera_Polizas!$P$22-1)*MAX(0,1-11/Supuestos!$C$20))*(1-Supuestos!$C$18)^11))</f>
        <v>0.457851760388513</v>
      </c>
      <c r="O20" s="29" t="n">
        <f aca="false">N20*(1-MIN(1,INDEX(Tabla_Mortalidad!$B$5:$B$75,MIN(71,Cartera_Polizas!$B$22+12-49))*(1+(Cartera_Polizas!$P$22-1)*MAX(0,1-12/Supuestos!$C$20))*(1-Supuestos!$C$18)^12))</f>
        <v>0.413389104417481</v>
      </c>
      <c r="P20" s="29" t="n">
        <f aca="false">O20*(1-MIN(1,INDEX(Tabla_Mortalidad!$B$5:$B$75,MIN(71,Cartera_Polizas!$B$22+13-49))*(1+(Cartera_Polizas!$P$22-1)*MAX(0,1-13/Supuestos!$C$20))*(1-Supuestos!$C$18)^13))</f>
        <v>0.370531849506766</v>
      </c>
      <c r="Q20" s="29" t="n">
        <f aca="false">P20*(1-MIN(1,INDEX(Tabla_Mortalidad!$B$5:$B$75,MIN(71,Cartera_Polizas!$B$22+14-49))*(1+(Cartera_Polizas!$P$22-1)*MAX(0,1-14/Supuestos!$C$20))*(1-Supuestos!$C$18)^14))</f>
        <v>0.329597282728934</v>
      </c>
      <c r="R20" s="29" t="n">
        <f aca="false">Q20*(1-MIN(1,INDEX(Tabla_Mortalidad!$B$5:$B$75,MIN(71,Cartera_Polizas!$B$22+15-49))*(1+(Cartera_Polizas!$P$22-1)*MAX(0,1-15/Supuestos!$C$20))*(1-Supuestos!$C$18)^15))</f>
        <v>0.290873031182446</v>
      </c>
      <c r="S20" s="29" t="n">
        <f aca="false">R20*(1-MIN(1,INDEX(Tabla_Mortalidad!$B$5:$B$75,MIN(71,Cartera_Polizas!$B$22+16-49))*(1+(Cartera_Polizas!$P$22-1)*MAX(0,1-16/Supuestos!$C$20))*(1-Supuestos!$C$18)^16))</f>
        <v>0.253206001588208</v>
      </c>
      <c r="T20" s="29" t="n">
        <f aca="false">S20*(1-MIN(1,INDEX(Tabla_Mortalidad!$B$5:$B$75,MIN(71,Cartera_Polizas!$B$22+17-49))*(1+(Cartera_Polizas!$P$22-1)*MAX(0,1-17/Supuestos!$C$20))*(1-Supuestos!$C$18)^17))</f>
        <v>0.21709723494762</v>
      </c>
      <c r="U20" s="29" t="n">
        <f aca="false">T20*(1-MIN(1,INDEX(Tabla_Mortalidad!$B$5:$B$75,MIN(71,Cartera_Polizas!$B$22+18-49))*(1+(Cartera_Polizas!$P$22-1)*MAX(0,1-18/Supuestos!$C$20))*(1-Supuestos!$C$18)^18))</f>
        <v>0.183036604099706</v>
      </c>
      <c r="V20" s="29" t="n">
        <f aca="false">U20*(1-MIN(1,INDEX(Tabla_Mortalidad!$B$5:$B$75,MIN(71,Cartera_Polizas!$B$22+19-49))*(1+(Cartera_Polizas!$P$22-1)*MAX(0,1-19/Supuestos!$C$20))*(1-Supuestos!$C$18)^19))</f>
        <v>0.151476828192057</v>
      </c>
      <c r="W20" s="29" t="n">
        <f aca="false">V20*(1-MIN(1,INDEX(Tabla_Mortalidad!$B$5:$B$75,MIN(71,Cartera_Polizas!$B$22+20-49))*(1+(Cartera_Polizas!$P$22-1)*MAX(0,1-20/Supuestos!$C$20))*(1-Supuestos!$C$18)^20))</f>
        <v>0.122806969946617</v>
      </c>
      <c r="X20" s="29" t="n">
        <f aca="false">W20*(1-MIN(1,INDEX(Tabla_Mortalidad!$B$5:$B$75,MIN(71,Cartera_Polizas!$B$22+21-49))*(1+(Cartera_Polizas!$P$22-1)*MAX(0,1-21/Supuestos!$C$20))*(1-Supuestos!$C$18)^21))</f>
        <v>0.0973260890066242</v>
      </c>
      <c r="Y20" s="29" t="n">
        <f aca="false">X20*(1-MIN(1,INDEX(Tabla_Mortalidad!$B$5:$B$75,MIN(71,Cartera_Polizas!$B$22+22-49))*(1+(Cartera_Polizas!$P$22-1)*MAX(0,1-22/Supuestos!$C$20))*(1-Supuestos!$C$18)^22))</f>
        <v>0.0752203450844942</v>
      </c>
      <c r="Z20" s="29" t="n">
        <f aca="false">Y20*(1-MIN(1,INDEX(Tabla_Mortalidad!$B$5:$B$75,MIN(71,Cartera_Polizas!$B$22+23-49))*(1+(Cartera_Polizas!$P$22-1)*MAX(0,1-23/Supuestos!$C$20))*(1-Supuestos!$C$18)^23))</f>
        <v>0.0565478616924038</v>
      </c>
      <c r="AA20" s="29" t="n">
        <f aca="false">Z20*(1-MIN(1,INDEX(Tabla_Mortalidad!$B$5:$B$75,MIN(71,Cartera_Polizas!$B$22+24-49))*(1+(Cartera_Polizas!$P$22-1)*MAX(0,1-24/Supuestos!$C$20))*(1-Supuestos!$C$18)^24))</f>
        <v>0.0412331998824093</v>
      </c>
      <c r="AB20" s="29" t="n">
        <f aca="false">AA20*(1-MIN(1,INDEX(Tabla_Mortalidad!$B$5:$B$75,MIN(71,Cartera_Polizas!$B$22+25-49))*(1+(Cartera_Polizas!$P$22-1)*MAX(0,1-25/Supuestos!$C$20))*(1-Supuestos!$C$18)^25))</f>
        <v>0.0290735391078821</v>
      </c>
      <c r="AC20" s="29" t="n">
        <f aca="false">AB20*(1-MIN(1,INDEX(Tabla_Mortalidad!$B$5:$B$75,MIN(71,Cartera_Polizas!$B$22+26-49))*(1+(Cartera_Polizas!$P$22-1)*MAX(0,1-26/Supuestos!$C$20))*(1-Supuestos!$C$18)^26))</f>
        <v>0.0197575507151095</v>
      </c>
      <c r="AD20" s="29" t="n">
        <f aca="false">AC20*(1-MIN(1,INDEX(Tabla_Mortalidad!$B$5:$B$75,MIN(71,Cartera_Polizas!$B$22+27-49))*(1+(Cartera_Polizas!$P$22-1)*MAX(0,1-27/Supuestos!$C$20))*(1-Supuestos!$C$18)^27))</f>
        <v>0.0128946705374302</v>
      </c>
      <c r="AE20" s="29" t="n">
        <f aca="false">AD20*(1-MIN(1,INDEX(Tabla_Mortalidad!$B$5:$B$75,MIN(71,Cartera_Polizas!$B$22+28-49))*(1+(Cartera_Polizas!$P$22-1)*MAX(0,1-28/Supuestos!$C$20))*(1-Supuestos!$C$18)^28))</f>
        <v>0.00805164056599105</v>
      </c>
      <c r="AF20" s="29" t="n">
        <f aca="false">AE20*(1-MIN(1,INDEX(Tabla_Mortalidad!$B$5:$B$75,MIN(71,Cartera_Polizas!$B$22+29-49))*(1+(Cartera_Polizas!$P$22-1)*MAX(0,1-29/Supuestos!$C$20))*(1-Supuestos!$C$18)^29))</f>
        <v>0.00479090956494048</v>
      </c>
      <c r="AG20" s="29" t="n">
        <f aca="false">AF20*(1-MIN(1,INDEX(Tabla_Mortalidad!$B$5:$B$75,MIN(71,Cartera_Polizas!$B$22+30-49))*(1+(Cartera_Polizas!$P$22-1)*MAX(0,1-30/Supuestos!$C$20))*(1-Supuestos!$C$18)^30))</f>
        <v>0.0027051866106435</v>
      </c>
      <c r="AH20" s="29" t="n">
        <f aca="false">AG20*(1-MIN(1,INDEX(Tabla_Mortalidad!$B$5:$B$75,MIN(71,Cartera_Polizas!$B$22+31-49))*(1+(Cartera_Polizas!$P$22-1)*MAX(0,1-31/Supuestos!$C$20))*(1-Supuestos!$C$18)^31))</f>
        <v>0.00144330335121965</v>
      </c>
      <c r="AI20" s="29" t="n">
        <f aca="false">AH20*(1-MIN(1,INDEX(Tabla_Mortalidad!$B$5:$B$75,MIN(71,Cartera_Polizas!$B$22+32-49))*(1+(Cartera_Polizas!$P$22-1)*MAX(0,1-32/Supuestos!$C$20))*(1-Supuestos!$C$18)^32))</f>
        <v>0.000724473131453384</v>
      </c>
      <c r="AJ20" s="29" t="n">
        <f aca="false">AI20*(1-MIN(1,INDEX(Tabla_Mortalidad!$B$5:$B$75,MIN(71,Cartera_Polizas!$B$22+33-49))*(1+(Cartera_Polizas!$P$22-1)*MAX(0,1-33/Supuestos!$C$20))*(1-Supuestos!$C$18)^33))</f>
        <v>0.000340687262410897</v>
      </c>
      <c r="AK20" s="29" t="n">
        <f aca="false">AJ20*(1-MIN(1,INDEX(Tabla_Mortalidad!$B$5:$B$75,MIN(71,Cartera_Polizas!$B$22+34-49))*(1+(Cartera_Polizas!$P$22-1)*MAX(0,1-34/Supuestos!$C$20))*(1-Supuestos!$C$18)^34))</f>
        <v>0.000149499832812618</v>
      </c>
      <c r="AL20" s="29" t="n">
        <f aca="false">AK20*(1-MIN(1,INDEX(Tabla_Mortalidad!$B$5:$B$75,MIN(71,Cartera_Polizas!$B$22+35-49))*(1+(Cartera_Polizas!$P$22-1)*MAX(0,1-35/Supuestos!$C$20))*(1-Supuestos!$C$18)^35))</f>
        <v>6.10056402788951E-005</v>
      </c>
      <c r="AM20" s="29" t="n">
        <f aca="false">AL20*(1-MIN(1,INDEX(Tabla_Mortalidad!$B$5:$B$75,MIN(71,Cartera_Polizas!$B$22+36-49))*(1+(Cartera_Polizas!$P$22-1)*MAX(0,1-36/Supuestos!$C$20))*(1-Supuestos!$C$18)^36))</f>
        <v>2.3087151988438E-005</v>
      </c>
      <c r="AN20" s="29" t="n">
        <f aca="false">AM20*(1-MIN(1,INDEX(Tabla_Mortalidad!$B$5:$B$75,MIN(71,Cartera_Polizas!$B$22+37-49))*(1+(Cartera_Polizas!$P$22-1)*MAX(0,1-37/Supuestos!$C$20))*(1-Supuestos!$C$18)^37))</f>
        <v>8.0899583717059E-006</v>
      </c>
      <c r="AO20" s="29" t="n">
        <f aca="false">AN20*(1-MIN(1,INDEX(Tabla_Mortalidad!$B$5:$B$75,MIN(71,Cartera_Polizas!$B$22+38-49))*(1+(Cartera_Polizas!$P$22-1)*MAX(0,1-38/Supuestos!$C$20))*(1-Supuestos!$C$18)^38))</f>
        <v>2.62443251139691E-006</v>
      </c>
      <c r="AP20" s="29" t="n">
        <f aca="false">AO20*(1-MIN(1,INDEX(Tabla_Mortalidad!$B$5:$B$75,MIN(71,Cartera_Polizas!$B$22+39-49))*(1+(Cartera_Polizas!$P$22-1)*MAX(0,1-39/Supuestos!$C$20))*(1-Supuestos!$C$18)^39))</f>
        <v>7.89528975946834E-007</v>
      </c>
      <c r="AQ20" s="29" t="n">
        <f aca="false">AP20*(1-MIN(1,INDEX(Tabla_Mortalidad!$B$5:$B$75,MIN(71,Cartera_Polizas!$B$22+40-49))*(1+(Cartera_Polizas!$P$22-1)*MAX(0,1-40/Supuestos!$C$20))*(1-Supuestos!$C$18)^40))</f>
        <v>2.21103824296057E-007</v>
      </c>
      <c r="AR20" s="29" t="n">
        <f aca="false">AQ20*(1-MIN(1,INDEX(Tabla_Mortalidad!$B$5:$B$75,MIN(71,Cartera_Polizas!$B$22+41-49))*(1+(Cartera_Polizas!$P$22-1)*MAX(0,1-41/Supuestos!$C$20))*(1-Supuestos!$C$18)^41))</f>
        <v>5.79899530943791E-008</v>
      </c>
      <c r="AS20" s="29" t="n">
        <f aca="false">AR20*(1-MIN(1,INDEX(Tabla_Mortalidad!$B$5:$B$75,MIN(71,Cartera_Polizas!$B$22+42-49))*(1+(Cartera_Polizas!$P$22-1)*MAX(0,1-42/Supuestos!$C$20))*(1-Supuestos!$C$18)^42))</f>
        <v>1.43619509125311E-008</v>
      </c>
      <c r="AT20" s="29" t="n">
        <f aca="false">AS20*(1-MIN(1,INDEX(Tabla_Mortalidad!$B$5:$B$75,MIN(71,Cartera_Polizas!$B$22+43-49))*(1+(Cartera_Polizas!$P$22-1)*MAX(0,1-43/Supuestos!$C$20))*(1-Supuestos!$C$18)^43))</f>
        <v>3.39254025511209E-009</v>
      </c>
      <c r="AU20" s="29" t="n">
        <f aca="false">AT20*(1-MIN(1,INDEX(Tabla_Mortalidad!$B$5:$B$75,MIN(71,Cartera_Polizas!$B$22+44-49))*(1+(Cartera_Polizas!$P$22-1)*MAX(0,1-44/Supuestos!$C$20))*(1-Supuestos!$C$18)^44))</f>
        <v>6.71464940781262E-010</v>
      </c>
    </row>
    <row r="21" customFormat="false" ht="15" hidden="false" customHeight="false" outlineLevel="0" collapsed="false">
      <c r="A21" s="14" t="n">
        <f aca="false">Cartera_Polizas!A23</f>
        <v>18</v>
      </c>
      <c r="B21" s="26" t="n">
        <f aca="false">SUM(C21:AU21)+0.5</f>
        <v>7.25050057094844</v>
      </c>
      <c r="C21" s="29" t="n">
        <f aca="false">1-MIN(1,INDEX(Tabla_Mortalidad!$B$5:$B$75,MIN(71,Cartera_Polizas!$B$23+0-49))*(1+(Cartera_Polizas!$P$23-1)*MAX(0,1-0/Supuestos!$C$20))*(1-Supuestos!$C$18)^0)</f>
        <v>0.909859865125</v>
      </c>
      <c r="D21" s="29" t="n">
        <f aca="false">C21*(1-MIN(1,INDEX(Tabla_Mortalidad!$B$5:$B$75,MIN(71,Cartera_Polizas!$B$23+1-49))*(1+(Cartera_Polizas!$P$23-1)*MAX(0,1-1/Supuestos!$C$20))*(1-Supuestos!$C$18)^1))</f>
        <v>0.822097557162331</v>
      </c>
      <c r="E21" s="29" t="n">
        <f aca="false">D21*(1-MIN(1,INDEX(Tabla_Mortalidad!$B$5:$B$75,MIN(71,Cartera_Polizas!$B$23+2-49))*(1+(Cartera_Polizas!$P$23-1)*MAX(0,1-2/Supuestos!$C$20))*(1-Supuestos!$C$18)^2))</f>
        <v>0.737373436909321</v>
      </c>
      <c r="F21" s="29" t="n">
        <f aca="false">E21*(1-MIN(1,INDEX(Tabla_Mortalidad!$B$5:$B$75,MIN(71,Cartera_Polizas!$B$23+3-49))*(1+(Cartera_Polizas!$P$23-1)*MAX(0,1-3/Supuestos!$C$20))*(1-Supuestos!$C$18)^3))</f>
        <v>0.656316930036942</v>
      </c>
      <c r="G21" s="29" t="n">
        <f aca="false">F21*(1-MIN(1,INDEX(Tabla_Mortalidad!$B$5:$B$75,MIN(71,Cartera_Polizas!$B$23+4-49))*(1+(Cartera_Polizas!$P$23-1)*MAX(0,1-4/Supuestos!$C$20))*(1-Supuestos!$C$18)^4))</f>
        <v>0.579502768015474</v>
      </c>
      <c r="H21" s="29" t="n">
        <f aca="false">G21*(1-MIN(1,INDEX(Tabla_Mortalidad!$B$5:$B$75,MIN(71,Cartera_Polizas!$B$23+5-49))*(1+(Cartera_Polizas!$P$23-1)*MAX(0,1-5/Supuestos!$C$20))*(1-Supuestos!$C$18)^5))</f>
        <v>0.507431564137709</v>
      </c>
      <c r="I21" s="29" t="n">
        <f aca="false">H21*(1-MIN(1,INDEX(Tabla_Mortalidad!$B$5:$B$75,MIN(71,Cartera_Polizas!$B$23+6-49))*(1+(Cartera_Polizas!$P$23-1)*MAX(0,1-6/Supuestos!$C$20))*(1-Supuestos!$C$18)^6))</f>
        <v>0.440516980837921</v>
      </c>
      <c r="J21" s="29" t="n">
        <f aca="false">I21*(1-MIN(1,INDEX(Tabla_Mortalidad!$B$5:$B$75,MIN(71,Cartera_Polizas!$B$23+7-49))*(1+(Cartera_Polizas!$P$23-1)*MAX(0,1-7/Supuestos!$C$20))*(1-Supuestos!$C$18)^7))</f>
        <v>0.379065519765337</v>
      </c>
      <c r="K21" s="29" t="n">
        <f aca="false">J21*(1-MIN(1,INDEX(Tabla_Mortalidad!$B$5:$B$75,MIN(71,Cartera_Polizas!$B$23+8-49))*(1+(Cartera_Polizas!$P$23-1)*MAX(0,1-8/Supuestos!$C$20))*(1-Supuestos!$C$18)^8))</f>
        <v>0.323271608706181</v>
      </c>
      <c r="L21" s="29" t="n">
        <f aca="false">K21*(1-MIN(1,INDEX(Tabla_Mortalidad!$B$5:$B$75,MIN(71,Cartera_Polizas!$B$23+9-49))*(1+(Cartera_Polizas!$P$23-1)*MAX(0,1-9/Supuestos!$C$20))*(1-Supuestos!$C$18)^9))</f>
        <v>0.273208798576132</v>
      </c>
      <c r="M21" s="29" t="n">
        <f aca="false">L21*(1-MIN(1,INDEX(Tabla_Mortalidad!$B$5:$B$75,MIN(71,Cartera_Polizas!$B$23+10-49))*(1+(Cartera_Polizas!$P$23-1)*MAX(0,1-10/Supuestos!$C$20))*(1-Supuestos!$C$18)^10))</f>
        <v>0.228831328683513</v>
      </c>
      <c r="N21" s="29" t="n">
        <f aca="false">M21*(1-MIN(1,INDEX(Tabla_Mortalidad!$B$5:$B$75,MIN(71,Cartera_Polizas!$B$23+11-49))*(1+(Cartera_Polizas!$P$23-1)*MAX(0,1-11/Supuestos!$C$20))*(1-Supuestos!$C$18)^11))</f>
        <v>0.189980166276488</v>
      </c>
      <c r="O21" s="29" t="n">
        <f aca="false">N21*(1-MIN(1,INDEX(Tabla_Mortalidad!$B$5:$B$75,MIN(71,Cartera_Polizas!$B$23+12-49))*(1+(Cartera_Polizas!$P$23-1)*MAX(0,1-12/Supuestos!$C$20))*(1-Supuestos!$C$18)^12))</f>
        <v>0.156394896641352</v>
      </c>
      <c r="P21" s="29" t="n">
        <f aca="false">O21*(1-MIN(1,INDEX(Tabla_Mortalidad!$B$5:$B$75,MIN(71,Cartera_Polizas!$B$23+13-49))*(1+(Cartera_Polizas!$P$23-1)*MAX(0,1-13/Supuestos!$C$20))*(1-Supuestos!$C$18)^13))</f>
        <v>0.127730023802477</v>
      </c>
      <c r="Q21" s="29" t="n">
        <f aca="false">P21*(1-MIN(1,INDEX(Tabla_Mortalidad!$B$5:$B$75,MIN(71,Cartera_Polizas!$B$23+14-49))*(1+(Cartera_Polizas!$P$23-1)*MAX(0,1-14/Supuestos!$C$20))*(1-Supuestos!$C$18)^14))</f>
        <v>0.103574379301082</v>
      </c>
      <c r="R21" s="29" t="n">
        <f aca="false">Q21*(1-MIN(1,INDEX(Tabla_Mortalidad!$B$5:$B$75,MIN(71,Cartera_Polizas!$B$23+15-49))*(1+(Cartera_Polizas!$P$23-1)*MAX(0,1-15/Supuestos!$C$20))*(1-Supuestos!$C$18)^15))</f>
        <v>0.0834734434080761</v>
      </c>
      <c r="S21" s="29" t="n">
        <f aca="false">R21*(1-MIN(1,INDEX(Tabla_Mortalidad!$B$5:$B$75,MIN(71,Cartera_Polizas!$B$23+16-49))*(1+(Cartera_Polizas!$P$23-1)*MAX(0,1-16/Supuestos!$C$20))*(1-Supuestos!$C$18)^16))</f>
        <v>0.0657142045663412</v>
      </c>
      <c r="T21" s="29" t="n">
        <f aca="false">S21*(1-MIN(1,INDEX(Tabla_Mortalidad!$B$5:$B$75,MIN(71,Cartera_Polizas!$B$23+17-49))*(1+(Cartera_Polizas!$P$23-1)*MAX(0,1-17/Supuestos!$C$20))*(1-Supuestos!$C$18)^17))</f>
        <v>0.0504096845204936</v>
      </c>
      <c r="U21" s="29" t="n">
        <f aca="false">T21*(1-MIN(1,INDEX(Tabla_Mortalidad!$B$5:$B$75,MIN(71,Cartera_Polizas!$B$23+18-49))*(1+(Cartera_Polizas!$P$23-1)*MAX(0,1-18/Supuestos!$C$20))*(1-Supuestos!$C$18)^18))</f>
        <v>0.0375785417860698</v>
      </c>
      <c r="V21" s="29" t="n">
        <f aca="false">U21*(1-MIN(1,INDEX(Tabla_Mortalidad!$B$5:$B$75,MIN(71,Cartera_Polizas!$B$23+19-49))*(1+(Cartera_Polizas!$P$23-1)*MAX(0,1-19/Supuestos!$C$20))*(1-Supuestos!$C$18)^19))</f>
        <v>0.0271429821680347</v>
      </c>
      <c r="W21" s="29" t="n">
        <f aca="false">V21*(1-MIN(1,INDEX(Tabla_Mortalidad!$B$5:$B$75,MIN(71,Cartera_Polizas!$B$23+20-49))*(1+(Cartera_Polizas!$P$23-1)*MAX(0,1-20/Supuestos!$C$20))*(1-Supuestos!$C$18)^20))</f>
        <v>0.018935374705851</v>
      </c>
      <c r="X21" s="29" t="n">
        <f aca="false">W21*(1-MIN(1,INDEX(Tabla_Mortalidad!$B$5:$B$75,MIN(71,Cartera_Polizas!$B$23+21-49))*(1+(Cartera_Polizas!$P$23-1)*MAX(0,1-21/Supuestos!$C$20))*(1-Supuestos!$C$18)^21))</f>
        <v>0.0127139544731801</v>
      </c>
      <c r="Y21" s="29" t="n">
        <f aca="false">X21*(1-MIN(1,INDEX(Tabla_Mortalidad!$B$5:$B$75,MIN(71,Cartera_Polizas!$B$23+22-49))*(1+(Cartera_Polizas!$P$23-1)*MAX(0,1-22/Supuestos!$C$20))*(1-Supuestos!$C$18)^22))</f>
        <v>0.00818561935477811</v>
      </c>
      <c r="Z21" s="29" t="n">
        <f aca="false">Y21*(1-MIN(1,INDEX(Tabla_Mortalidad!$B$5:$B$75,MIN(71,Cartera_Polizas!$B$23+23-49))*(1+(Cartera_Polizas!$P$23-1)*MAX(0,1-23/Supuestos!$C$20))*(1-Supuestos!$C$18)^23))</f>
        <v>0.00503320680280028</v>
      </c>
      <c r="AA21" s="29" t="n">
        <f aca="false">Z21*(1-MIN(1,INDEX(Tabla_Mortalidad!$B$5:$B$75,MIN(71,Cartera_Polizas!$B$23+24-49))*(1+(Cartera_Polizas!$P$23-1)*MAX(0,1-24/Supuestos!$C$20))*(1-Supuestos!$C$18)^24))</f>
        <v>0.00294314097623087</v>
      </c>
      <c r="AB21" s="29" t="n">
        <f aca="false">AA21*(1-MIN(1,INDEX(Tabla_Mortalidad!$B$5:$B$75,MIN(71,Cartera_Polizas!$B$23+25-49))*(1+(Cartera_Polizas!$P$23-1)*MAX(0,1-25/Supuestos!$C$20))*(1-Supuestos!$C$18)^25))</f>
        <v>0.00162932569389962</v>
      </c>
      <c r="AC21" s="29" t="n">
        <f aca="false">AB21*(1-MIN(1,INDEX(Tabla_Mortalidad!$B$5:$B$75,MIN(71,Cartera_Polizas!$B$23+26-49))*(1+(Cartera_Polizas!$P$23-1)*MAX(0,1-26/Supuestos!$C$20))*(1-Supuestos!$C$18)^26))</f>
        <v>0.000850008151692211</v>
      </c>
      <c r="AD21" s="29" t="n">
        <f aca="false">AC21*(1-MIN(1,INDEX(Tabla_Mortalidad!$B$5:$B$75,MIN(71,Cartera_Polizas!$B$23+27-49))*(1+(Cartera_Polizas!$P$23-1)*MAX(0,1-27/Supuestos!$C$20))*(1-Supuestos!$C$18)^27))</f>
        <v>0.000415921537747536</v>
      </c>
      <c r="AE21" s="29" t="n">
        <f aca="false">AD21*(1-MIN(1,INDEX(Tabla_Mortalidad!$B$5:$B$75,MIN(71,Cartera_Polizas!$B$23+28-49))*(1+(Cartera_Polizas!$P$23-1)*MAX(0,1-28/Supuestos!$C$20))*(1-Supuestos!$C$18)^28))</f>
        <v>0.000189997363832583</v>
      </c>
      <c r="AF21" s="29" t="n">
        <f aca="false">AE21*(1-MIN(1,INDEX(Tabla_Mortalidad!$B$5:$B$75,MIN(71,Cartera_Polizas!$B$23+29-49))*(1+(Cartera_Polizas!$P$23-1)*MAX(0,1-29/Supuestos!$C$20))*(1-Supuestos!$C$18)^29))</f>
        <v>8.06683050062858E-005</v>
      </c>
      <c r="AG21" s="29" t="n">
        <f aca="false">AF21*(1-MIN(1,INDEX(Tabla_Mortalidad!$B$5:$B$75,MIN(71,Cartera_Polizas!$B$23+30-49))*(1+(Cartera_Polizas!$P$23-1)*MAX(0,1-30/Supuestos!$C$20))*(1-Supuestos!$C$18)^30))</f>
        <v>3.17060296625458E-005</v>
      </c>
      <c r="AH21" s="29" t="n">
        <f aca="false">AG21*(1-MIN(1,INDEX(Tabla_Mortalidad!$B$5:$B$75,MIN(71,Cartera_Polizas!$B$23+31-49))*(1+(Cartera_Polizas!$P$23-1)*MAX(0,1-31/Supuestos!$C$20))*(1-Supuestos!$C$18)^31))</f>
        <v>1.14987671637513E-005</v>
      </c>
      <c r="AI21" s="29" t="n">
        <f aca="false">AH21*(1-MIN(1,INDEX(Tabla_Mortalidad!$B$5:$B$75,MIN(71,Cartera_Polizas!$B$23+32-49))*(1+(Cartera_Polizas!$P$23-1)*MAX(0,1-32/Supuestos!$C$20))*(1-Supuestos!$C$18)^32))</f>
        <v>3.83970644126063E-006</v>
      </c>
      <c r="AJ21" s="29" t="n">
        <f aca="false">AI21*(1-MIN(1,INDEX(Tabla_Mortalidad!$B$5:$B$75,MIN(71,Cartera_Polizas!$B$23+33-49))*(1+(Cartera_Polizas!$P$23-1)*MAX(0,1-33/Supuestos!$C$20))*(1-Supuestos!$C$18)^33))</f>
        <v>1.17978821558874E-006</v>
      </c>
      <c r="AK21" s="29" t="n">
        <f aca="false">AJ21*(1-MIN(1,INDEX(Tabla_Mortalidad!$B$5:$B$75,MIN(71,Cartera_Polizas!$B$23+34-49))*(1+(Cartera_Polizas!$P$23-1)*MAX(0,1-34/Supuestos!$C$20))*(1-Supuestos!$C$18)^34))</f>
        <v>3.33990557211153E-007</v>
      </c>
      <c r="AL21" s="29" t="n">
        <f aca="false">AK21*(1-MIN(1,INDEX(Tabla_Mortalidad!$B$5:$B$75,MIN(71,Cartera_Polizas!$B$23+35-49))*(1+(Cartera_Polizas!$P$23-1)*MAX(0,1-35/Supuestos!$C$20))*(1-Supuestos!$C$18)^35))</f>
        <v>8.74297759124109E-008</v>
      </c>
      <c r="AM21" s="29" t="n">
        <f aca="false">AL21*(1-MIN(1,INDEX(Tabla_Mortalidad!$B$5:$B$75,MIN(71,Cartera_Polizas!$B$23+36-49))*(1+(Cartera_Polizas!$P$23-1)*MAX(0,1-36/Supuestos!$C$20))*(1-Supuestos!$C$18)^36))</f>
        <v>2.12936727307565E-008</v>
      </c>
      <c r="AN21" s="29" t="n">
        <f aca="false">AM21*(1-MIN(1,INDEX(Tabla_Mortalidad!$B$5:$B$75,MIN(71,Cartera_Polizas!$B$23+37-49))*(1+(Cartera_Polizas!$P$23-1)*MAX(0,1-37/Supuestos!$C$20))*(1-Supuestos!$C$18)^37))</f>
        <v>4.86707053373249E-009</v>
      </c>
      <c r="AO21" s="29" t="n">
        <f aca="false">AN21*(1-MIN(1,INDEX(Tabla_Mortalidad!$B$5:$B$75,MIN(71,Cartera_Polizas!$B$23+38-49))*(1+(Cartera_Polizas!$P$23-1)*MAX(0,1-38/Supuestos!$C$20))*(1-Supuestos!$C$18)^38))</f>
        <v>1.05534085506488E-009</v>
      </c>
      <c r="AP21" s="29" t="n">
        <f aca="false">AO21*(1-MIN(1,INDEX(Tabla_Mortalidad!$B$5:$B$75,MIN(71,Cartera_Polizas!$B$23+39-49))*(1+(Cartera_Polizas!$P$23-1)*MAX(0,1-39/Supuestos!$C$20))*(1-Supuestos!$C$18)^39))</f>
        <v>1.87394466887126E-010</v>
      </c>
      <c r="AQ21" s="29" t="n">
        <f aca="false">AP21*(1-MIN(1,INDEX(Tabla_Mortalidad!$B$5:$B$75,MIN(71,Cartera_Polizas!$B$23+40-49))*(1+(Cartera_Polizas!$P$23-1)*MAX(0,1-40/Supuestos!$C$20))*(1-Supuestos!$C$18)^40))</f>
        <v>3.40458040650735E-011</v>
      </c>
      <c r="AR21" s="29" t="n">
        <f aca="false">AQ21*(1-MIN(1,INDEX(Tabla_Mortalidad!$B$5:$B$75,MIN(71,Cartera_Polizas!$B$23+41-49))*(1+(Cartera_Polizas!$P$23-1)*MAX(0,1-41/Supuestos!$C$20))*(1-Supuestos!$C$18)^41))</f>
        <v>6.32473939474252E-012</v>
      </c>
      <c r="AS21" s="29" t="n">
        <f aca="false">AR21*(1-MIN(1,INDEX(Tabla_Mortalidad!$B$5:$B$75,MIN(71,Cartera_Polizas!$B$23+42-49))*(1+(Cartera_Polizas!$P$23-1)*MAX(0,1-42/Supuestos!$C$20))*(1-Supuestos!$C$18)^42))</f>
        <v>1.2007051113317E-012</v>
      </c>
      <c r="AT21" s="29" t="n">
        <f aca="false">AS21*(1-MIN(1,INDEX(Tabla_Mortalidad!$B$5:$B$75,MIN(71,Cartera_Polizas!$B$23+43-49))*(1+(Cartera_Polizas!$P$23-1)*MAX(0,1-43/Supuestos!$C$20))*(1-Supuestos!$C$18)^43))</f>
        <v>2.32808807328205E-013</v>
      </c>
      <c r="AU21" s="29" t="n">
        <f aca="false">AT21*(1-MIN(1,INDEX(Tabla_Mortalidad!$B$5:$B$75,MIN(71,Cartera_Polizas!$B$23+44-49))*(1+(Cartera_Polizas!$P$23-1)*MAX(0,1-44/Supuestos!$C$20))*(1-Supuestos!$C$18)^44))</f>
        <v>4.60784368852904E-014</v>
      </c>
    </row>
    <row r="22" customFormat="false" ht="15" hidden="false" customHeight="false" outlineLevel="0" collapsed="false">
      <c r="A22" s="14" t="n">
        <f aca="false">Cartera_Polizas!A24</f>
        <v>19</v>
      </c>
      <c r="B22" s="26" t="n">
        <f aca="false">SUM(C22:AU22)+0.5</f>
        <v>12.9409991589303</v>
      </c>
      <c r="C22" s="29" t="n">
        <f aca="false">1-MIN(1,INDEX(Tabla_Mortalidad!$B$5:$B$75,MIN(71,Cartera_Polizas!$B$24+0-49))*(1+(Cartera_Polizas!$P$24-1)*MAX(0,1-0/Supuestos!$C$20))*(1-Supuestos!$C$18)^0)</f>
        <v>0.961484446</v>
      </c>
      <c r="D22" s="29" t="n">
        <f aca="false">C22*(1-MIN(1,INDEX(Tabla_Mortalidad!$B$5:$B$75,MIN(71,Cartera_Polizas!$B$24+1-49))*(1+(Cartera_Polizas!$P$24-1)*MAX(0,1-1/Supuestos!$C$20))*(1-Supuestos!$C$18)^1))</f>
        <v>0.921820639427187</v>
      </c>
      <c r="E22" s="29" t="n">
        <f aca="false">D22*(1-MIN(1,INDEX(Tabla_Mortalidad!$B$5:$B$75,MIN(71,Cartera_Polizas!$B$24+2-49))*(1+(Cartera_Polizas!$P$24-1)*MAX(0,1-2/Supuestos!$C$20))*(1-Supuestos!$C$18)^2))</f>
        <v>0.881144930122734</v>
      </c>
      <c r="F22" s="29" t="n">
        <f aca="false">E22*(1-MIN(1,INDEX(Tabla_Mortalidad!$B$5:$B$75,MIN(71,Cartera_Polizas!$B$24+3-49))*(1+(Cartera_Polizas!$P$24-1)*MAX(0,1-3/Supuestos!$C$20))*(1-Supuestos!$C$18)^3))</f>
        <v>0.839622141094088</v>
      </c>
      <c r="G22" s="29" t="n">
        <f aca="false">F22*(1-MIN(1,INDEX(Tabla_Mortalidad!$B$5:$B$75,MIN(71,Cartera_Polizas!$B$24+4-49))*(1+(Cartera_Polizas!$P$24-1)*MAX(0,1-4/Supuestos!$C$20))*(1-Supuestos!$C$18)^4))</f>
        <v>0.797436898270396</v>
      </c>
      <c r="H22" s="29" t="n">
        <f aca="false">G22*(1-MIN(1,INDEX(Tabla_Mortalidad!$B$5:$B$75,MIN(71,Cartera_Polizas!$B$24+5-49))*(1+(Cartera_Polizas!$P$24-1)*MAX(0,1-5/Supuestos!$C$20))*(1-Supuestos!$C$18)^5))</f>
        <v>0.754794664035381</v>
      </c>
      <c r="I22" s="29" t="n">
        <f aca="false">H22*(1-MIN(1,INDEX(Tabla_Mortalidad!$B$5:$B$75,MIN(71,Cartera_Polizas!$B$24+6-49))*(1+(Cartera_Polizas!$P$24-1)*MAX(0,1-6/Supuestos!$C$20))*(1-Supuestos!$C$18)^6))</f>
        <v>0.711920245486495</v>
      </c>
      <c r="J22" s="29" t="n">
        <f aca="false">I22*(1-MIN(1,INDEX(Tabla_Mortalidad!$B$5:$B$75,MIN(71,Cartera_Polizas!$B$24+7-49))*(1+(Cartera_Polizas!$P$24-1)*MAX(0,1-7/Supuestos!$C$20))*(1-Supuestos!$C$18)^7))</f>
        <v>0.669055538225599</v>
      </c>
      <c r="K22" s="29" t="n">
        <f aca="false">J22*(1-MIN(1,INDEX(Tabla_Mortalidad!$B$5:$B$75,MIN(71,Cartera_Polizas!$B$24+8-49))*(1+(Cartera_Polizas!$P$24-1)*MAX(0,1-8/Supuestos!$C$20))*(1-Supuestos!$C$18)^8))</f>
        <v>0.626455369916037</v>
      </c>
      <c r="L22" s="29" t="n">
        <f aca="false">K22*(1-MIN(1,INDEX(Tabla_Mortalidad!$B$5:$B$75,MIN(71,Cartera_Polizas!$B$24+9-49))*(1+(Cartera_Polizas!$P$24-1)*MAX(0,1-9/Supuestos!$C$20))*(1-Supuestos!$C$18)^9))</f>
        <v>0.58438122891849</v>
      </c>
      <c r="M22" s="29" t="n">
        <f aca="false">L22*(1-MIN(1,INDEX(Tabla_Mortalidad!$B$5:$B$75,MIN(71,Cartera_Polizas!$B$24+10-49))*(1+(Cartera_Polizas!$P$24-1)*MAX(0,1-10/Supuestos!$C$20))*(1-Supuestos!$C$18)^10))</f>
        <v>0.543097889884067</v>
      </c>
      <c r="N22" s="29" t="n">
        <f aca="false">M22*(1-MIN(1,INDEX(Tabla_Mortalidad!$B$5:$B$75,MIN(71,Cartera_Polizas!$B$24+11-49))*(1+(Cartera_Polizas!$P$24-1)*MAX(0,1-11/Supuestos!$C$20))*(1-Supuestos!$C$18)^11))</f>
        <v>0.502868812498888</v>
      </c>
      <c r="O22" s="29" t="n">
        <f aca="false">N22*(1-MIN(1,INDEX(Tabla_Mortalidad!$B$5:$B$75,MIN(71,Cartera_Polizas!$B$24+12-49))*(1+(Cartera_Polizas!$P$24-1)*MAX(0,1-12/Supuestos!$C$20))*(1-Supuestos!$C$18)^12))</f>
        <v>0.463948255137217</v>
      </c>
      <c r="P22" s="29" t="n">
        <f aca="false">O22*(1-MIN(1,INDEX(Tabla_Mortalidad!$B$5:$B$75,MIN(71,Cartera_Polizas!$B$24+13-49))*(1+(Cartera_Polizas!$P$24-1)*MAX(0,1-13/Supuestos!$C$20))*(1-Supuestos!$C$18)^13))</f>
        <v>0.426575022722272</v>
      </c>
      <c r="Q22" s="29" t="n">
        <f aca="false">P22*(1-MIN(1,INDEX(Tabla_Mortalidad!$B$5:$B$75,MIN(71,Cartera_Polizas!$B$24+14-49))*(1+(Cartera_Polizas!$P$24-1)*MAX(0,1-14/Supuestos!$C$20))*(1-Supuestos!$C$18)^14))</f>
        <v>0.390968987978091</v>
      </c>
      <c r="R22" s="29" t="n">
        <f aca="false">Q22*(1-MIN(1,INDEX(Tabla_Mortalidad!$B$5:$B$75,MIN(71,Cartera_Polizas!$B$24+15-49))*(1+(Cartera_Polizas!$P$24-1)*MAX(0,1-15/Supuestos!$C$20))*(1-Supuestos!$C$18)^15))</f>
        <v>0.35732298123897</v>
      </c>
      <c r="S22" s="29" t="n">
        <f aca="false">R22*(1-MIN(1,INDEX(Tabla_Mortalidad!$B$5:$B$75,MIN(71,Cartera_Polizas!$B$24+16-49))*(1+(Cartera_Polizas!$P$24-1)*MAX(0,1-16/Supuestos!$C$20))*(1-Supuestos!$C$18)^16))</f>
        <v>0.323358145727716</v>
      </c>
      <c r="T22" s="29" t="n">
        <f aca="false">S22*(1-MIN(1,INDEX(Tabla_Mortalidad!$B$5:$B$75,MIN(71,Cartera_Polizas!$B$24+17-49))*(1+(Cartera_Polizas!$P$24-1)*MAX(0,1-17/Supuestos!$C$20))*(1-Supuestos!$C$18)^17))</f>
        <v>0.289430385194048</v>
      </c>
      <c r="U22" s="29" t="n">
        <f aca="false">T22*(1-MIN(1,INDEX(Tabla_Mortalidad!$B$5:$B$75,MIN(71,Cartera_Polizas!$B$24+18-49))*(1+(Cartera_Polizas!$P$24-1)*MAX(0,1-18/Supuestos!$C$20))*(1-Supuestos!$C$18)^18))</f>
        <v>0.255932855962169</v>
      </c>
      <c r="V22" s="29" t="n">
        <f aca="false">U22*(1-MIN(1,INDEX(Tabla_Mortalidad!$B$5:$B$75,MIN(71,Cartera_Polizas!$B$24+19-49))*(1+(Cartera_Polizas!$P$24-1)*MAX(0,1-19/Supuestos!$C$20))*(1-Supuestos!$C$18)^19))</f>
        <v>0.223285110049042</v>
      </c>
      <c r="W22" s="29" t="n">
        <f aca="false">V22*(1-MIN(1,INDEX(Tabla_Mortalidad!$B$5:$B$75,MIN(71,Cartera_Polizas!$B$24+20-49))*(1+(Cartera_Polizas!$P$24-1)*MAX(0,1-20/Supuestos!$C$20))*(1-Supuestos!$C$18)^20))</f>
        <v>0.191918494259162</v>
      </c>
      <c r="X22" s="29" t="n">
        <f aca="false">W22*(1-MIN(1,INDEX(Tabla_Mortalidad!$B$5:$B$75,MIN(71,Cartera_Polizas!$B$24+21-49))*(1+(Cartera_Polizas!$P$24-1)*MAX(0,1-21/Supuestos!$C$20))*(1-Supuestos!$C$18)^21))</f>
        <v>0.162257584665447</v>
      </c>
      <c r="Y22" s="29" t="n">
        <f aca="false">X22*(1-MIN(1,INDEX(Tabla_Mortalidad!$B$5:$B$75,MIN(71,Cartera_Polizas!$B$24+22-49))*(1+(Cartera_Polizas!$P$24-1)*MAX(0,1-22/Supuestos!$C$20))*(1-Supuestos!$C$18)^22))</f>
        <v>0.134698155982461</v>
      </c>
      <c r="Z22" s="29" t="n">
        <f aca="false">Y22*(1-MIN(1,INDEX(Tabla_Mortalidad!$B$5:$B$75,MIN(71,Cartera_Polizas!$B$24+23-49))*(1+(Cartera_Polizas!$P$24-1)*MAX(0,1-23/Supuestos!$C$20))*(1-Supuestos!$C$18)^23))</f>
        <v>0.109584482965076</v>
      </c>
      <c r="AA22" s="29" t="n">
        <f aca="false">Z22*(1-MIN(1,INDEX(Tabla_Mortalidad!$B$5:$B$75,MIN(71,Cartera_Polizas!$B$24+24-49))*(1+(Cartera_Polizas!$P$24-1)*MAX(0,1-24/Supuestos!$C$20))*(1-Supuestos!$C$18)^24))</f>
        <v>0.0871864578269385</v>
      </c>
      <c r="AB22" s="29" t="n">
        <f aca="false">AA22*(1-MIN(1,INDEX(Tabla_Mortalidad!$B$5:$B$75,MIN(71,Cartera_Polizas!$B$24+25-49))*(1+(Cartera_Polizas!$P$24-1)*MAX(0,1-25/Supuestos!$C$20))*(1-Supuestos!$C$18)^25))</f>
        <v>0.0676792936623974</v>
      </c>
      <c r="AC22" s="29" t="n">
        <f aca="false">AB22*(1-MIN(1,INDEX(Tabla_Mortalidad!$B$5:$B$75,MIN(71,Cartera_Polizas!$B$24+26-49))*(1+(Cartera_Polizas!$P$24-1)*MAX(0,1-26/Supuestos!$C$20))*(1-Supuestos!$C$18)^26))</f>
        <v>0.0511295290905036</v>
      </c>
      <c r="AD22" s="29" t="n">
        <f aca="false">AC22*(1-MIN(1,INDEX(Tabla_Mortalidad!$B$5:$B$75,MIN(71,Cartera_Polizas!$B$24+27-49))*(1+(Cartera_Polizas!$P$24-1)*MAX(0,1-27/Supuestos!$C$20))*(1-Supuestos!$C$18)^27))</f>
        <v>0.0374889672509985</v>
      </c>
      <c r="AE22" s="29" t="n">
        <f aca="false">AD22*(1-MIN(1,INDEX(Tabla_Mortalidad!$B$5:$B$75,MIN(71,Cartera_Polizas!$B$24+28-49))*(1+(Cartera_Polizas!$P$24-1)*MAX(0,1-28/Supuestos!$C$20))*(1-Supuestos!$C$18)^28))</f>
        <v>0.0265984843155379</v>
      </c>
      <c r="AF22" s="29" t="n">
        <f aca="false">AE22*(1-MIN(1,INDEX(Tabla_Mortalidad!$B$5:$B$75,MIN(71,Cartera_Polizas!$B$24+29-49))*(1+(Cartera_Polizas!$P$24-1)*MAX(0,1-29/Supuestos!$C$20))*(1-Supuestos!$C$18)^29))</f>
        <v>0.0182027793399635</v>
      </c>
      <c r="AG22" s="29" t="n">
        <f aca="false">AF22*(1-MIN(1,INDEX(Tabla_Mortalidad!$B$5:$B$75,MIN(71,Cartera_Polizas!$B$24+30-49))*(1+(Cartera_Polizas!$P$24-1)*MAX(0,1-30/Supuestos!$C$20))*(1-Supuestos!$C$18)^30))</f>
        <v>0.011974325391939</v>
      </c>
      <c r="AH22" s="29" t="n">
        <f aca="false">AG22*(1-MIN(1,INDEX(Tabla_Mortalidad!$B$5:$B$75,MIN(71,Cartera_Polizas!$B$24+31-49))*(1+(Cartera_Polizas!$P$24-1)*MAX(0,1-31/Supuestos!$C$20))*(1-Supuestos!$C$18)^31))</f>
        <v>0.0075440858991236</v>
      </c>
      <c r="AI22" s="29" t="n">
        <f aca="false">AH22*(1-MIN(1,INDEX(Tabla_Mortalidad!$B$5:$B$75,MIN(71,Cartera_Polizas!$B$24+32-49))*(1+(Cartera_Polizas!$P$24-1)*MAX(0,1-32/Supuestos!$C$20))*(1-Supuestos!$C$18)^32))</f>
        <v>0.00453450196235068</v>
      </c>
      <c r="AJ22" s="29" t="n">
        <f aca="false">AI22*(1-MIN(1,INDEX(Tabla_Mortalidad!$B$5:$B$75,MIN(71,Cartera_Polizas!$B$24+33-49))*(1+(Cartera_Polizas!$P$24-1)*MAX(0,1-33/Supuestos!$C$20))*(1-Supuestos!$C$18)^33))</f>
        <v>0.0025898697110309</v>
      </c>
      <c r="AK22" s="29" t="n">
        <f aca="false">AJ22*(1-MIN(1,INDEX(Tabla_Mortalidad!$B$5:$B$75,MIN(71,Cartera_Polizas!$B$24+34-49))*(1+(Cartera_Polizas!$P$24-1)*MAX(0,1-34/Supuestos!$C$20))*(1-Supuestos!$C$18)^34))</f>
        <v>0.00139980902491629</v>
      </c>
      <c r="AL22" s="29" t="n">
        <f aca="false">AK22*(1-MIN(1,INDEX(Tabla_Mortalidad!$B$5:$B$75,MIN(71,Cartera_Polizas!$B$24+35-49))*(1+(Cartera_Polizas!$P$24-1)*MAX(0,1-35/Supuestos!$C$20))*(1-Supuestos!$C$18)^35))</f>
        <v>0.000713046263756171</v>
      </c>
      <c r="AM22" s="29" t="n">
        <f aca="false">AL22*(1-MIN(1,INDEX(Tabla_Mortalidad!$B$5:$B$75,MIN(71,Cartera_Polizas!$B$24+36-49))*(1+(Cartera_Polizas!$P$24-1)*MAX(0,1-36/Supuestos!$C$20))*(1-Supuestos!$C$18)^36))</f>
        <v>0.000340951423832733</v>
      </c>
      <c r="AN22" s="29" t="n">
        <f aca="false">AM22*(1-MIN(1,INDEX(Tabla_Mortalidad!$B$5:$B$75,MIN(71,Cartera_Polizas!$B$24+37-49))*(1+(Cartera_Polizas!$P$24-1)*MAX(0,1-37/Supuestos!$C$20))*(1-Supuestos!$C$18)^37))</f>
        <v>0.000152471460523529</v>
      </c>
      <c r="AO22" s="29" t="n">
        <f aca="false">AN22*(1-MIN(1,INDEX(Tabla_Mortalidad!$B$5:$B$75,MIN(71,Cartera_Polizas!$B$24+38-49))*(1+(Cartera_Polizas!$P$24-1)*MAX(0,1-38/Supuestos!$C$20))*(1-Supuestos!$C$18)^38))</f>
        <v>6.35652977007357E-005</v>
      </c>
      <c r="AP22" s="29" t="n">
        <f aca="false">AO22*(1-MIN(1,INDEX(Tabla_Mortalidad!$B$5:$B$75,MIN(71,Cartera_Polizas!$B$24+39-49))*(1+(Cartera_Polizas!$P$24-1)*MAX(0,1-39/Supuestos!$C$20))*(1-Supuestos!$C$18)^39))</f>
        <v>2.46455198416016E-005</v>
      </c>
      <c r="AQ22" s="29" t="n">
        <f aca="false">AP22*(1-MIN(1,INDEX(Tabla_Mortalidad!$B$5:$B$75,MIN(71,Cartera_Polizas!$B$24+40-49))*(1+(Cartera_Polizas!$P$24-1)*MAX(0,1-40/Supuestos!$C$20))*(1-Supuestos!$C$18)^40))</f>
        <v>8.87496904521635E-006</v>
      </c>
      <c r="AR22" s="29" t="n">
        <f aca="false">AQ22*(1-MIN(1,INDEX(Tabla_Mortalidad!$B$5:$B$75,MIN(71,Cartera_Polizas!$B$24+41-49))*(1+(Cartera_Polizas!$P$24-1)*MAX(0,1-41/Supuestos!$C$20))*(1-Supuestos!$C$18)^41))</f>
        <v>2.9685839993474E-006</v>
      </c>
      <c r="AS22" s="29" t="n">
        <f aca="false">AR22*(1-MIN(1,INDEX(Tabla_Mortalidad!$B$5:$B$75,MIN(71,Cartera_Polizas!$B$24+42-49))*(1+(Cartera_Polizas!$P$24-1)*MAX(0,1-42/Supuestos!$C$20))*(1-Supuestos!$C$18)^42))</f>
        <v>9.24040227595276E-007</v>
      </c>
      <c r="AT22" s="29" t="n">
        <f aca="false">AS22*(1-MIN(1,INDEX(Tabla_Mortalidad!$B$5:$B$75,MIN(71,Cartera_Polizas!$B$24+43-49))*(1+(Cartera_Polizas!$P$24-1)*MAX(0,1-43/Supuestos!$C$20))*(1-Supuestos!$C$18)^43))</f>
        <v>2.68702254462299E-007</v>
      </c>
      <c r="AU22" s="29" t="n">
        <f aca="false">AT22*(1-MIN(1,INDEX(Tabla_Mortalidad!$B$5:$B$75,MIN(71,Cartera_Polizas!$B$24+44-49))*(1+(Cartera_Polizas!$P$24-1)*MAX(0,1-44/Supuestos!$C$20))*(1-Supuestos!$C$18)^44))</f>
        <v>7.34324042425224E-008</v>
      </c>
    </row>
    <row r="23" customFormat="false" ht="15" hidden="false" customHeight="false" outlineLevel="0" collapsed="false">
      <c r="A23" s="14" t="n">
        <f aca="false">Cartera_Polizas!A25</f>
        <v>20</v>
      </c>
      <c r="B23" s="26" t="n">
        <f aca="false">SUM(C23:AU23)+0.5</f>
        <v>8.68467461669877</v>
      </c>
      <c r="C23" s="29" t="n">
        <f aca="false">1-MIN(1,INDEX(Tabla_Mortalidad!$B$5:$B$75,MIN(71,Cartera_Polizas!$B$25+0-49))*(1+(Cartera_Polizas!$P$25-1)*MAX(0,1-0/Supuestos!$C$20))*(1-Supuestos!$C$18)^0)</f>
        <v>0.92387878</v>
      </c>
      <c r="D23" s="29" t="n">
        <f aca="false">C23*(1-MIN(1,INDEX(Tabla_Mortalidad!$B$5:$B$75,MIN(71,Cartera_Polizas!$B$25+1-49))*(1+(Cartera_Polizas!$P$25-1)*MAX(0,1-1/Supuestos!$C$20))*(1-Supuestos!$C$18)^1))</f>
        <v>0.849142266307995</v>
      </c>
      <c r="E23" s="29" t="n">
        <f aca="false">D23*(1-MIN(1,INDEX(Tabla_Mortalidad!$B$5:$B$75,MIN(71,Cartera_Polizas!$B$25+2-49))*(1+(Cartera_Polizas!$P$25-1)*MAX(0,1-2/Supuestos!$C$20))*(1-Supuestos!$C$18)^2))</f>
        <v>0.77629538929963</v>
      </c>
      <c r="F23" s="29" t="n">
        <f aca="false">E23*(1-MIN(1,INDEX(Tabla_Mortalidad!$B$5:$B$75,MIN(71,Cartera_Polizas!$B$25+3-49))*(1+(Cartera_Polizas!$P$25-1)*MAX(0,1-3/Supuestos!$C$20))*(1-Supuestos!$C$18)^3))</f>
        <v>0.705829820904967</v>
      </c>
      <c r="G23" s="29" t="n">
        <f aca="false">F23*(1-MIN(1,INDEX(Tabla_Mortalidad!$B$5:$B$75,MIN(71,Cartera_Polizas!$B$25+4-49))*(1+(Cartera_Polizas!$P$25-1)*MAX(0,1-4/Supuestos!$C$20))*(1-Supuestos!$C$18)^4))</f>
        <v>0.638209885733635</v>
      </c>
      <c r="H23" s="29" t="n">
        <f aca="false">G23*(1-MIN(1,INDEX(Tabla_Mortalidad!$B$5:$B$75,MIN(71,Cartera_Polizas!$B$25+5-49))*(1+(Cartera_Polizas!$P$25-1)*MAX(0,1-5/Supuestos!$C$20))*(1-Supuestos!$C$18)^5))</f>
        <v>0.573856639462315</v>
      </c>
      <c r="I23" s="29" t="n">
        <f aca="false">H23*(1-MIN(1,INDEX(Tabla_Mortalidad!$B$5:$B$75,MIN(71,Cartera_Polizas!$B$25+6-49))*(1+(Cartera_Polizas!$P$25-1)*MAX(0,1-6/Supuestos!$C$20))*(1-Supuestos!$C$18)^6))</f>
        <v>0.513138601003257</v>
      </c>
      <c r="J23" s="29" t="n">
        <f aca="false">I23*(1-MIN(1,INDEX(Tabla_Mortalidad!$B$5:$B$75,MIN(71,Cartera_Polizas!$B$25+7-49))*(1+(Cartera_Polizas!$P$25-1)*MAX(0,1-7/Supuestos!$C$20))*(1-Supuestos!$C$18)^7))</f>
        <v>0.456362374032662</v>
      </c>
      <c r="K23" s="29" t="n">
        <f aca="false">J23*(1-MIN(1,INDEX(Tabla_Mortalidad!$B$5:$B$75,MIN(71,Cartera_Polizas!$B$25+8-49))*(1+(Cartera_Polizas!$P$25-1)*MAX(0,1-8/Supuestos!$C$20))*(1-Supuestos!$C$18)^8))</f>
        <v>0.403761070121573</v>
      </c>
      <c r="L23" s="29" t="n">
        <f aca="false">K23*(1-MIN(1,INDEX(Tabla_Mortalidad!$B$5:$B$75,MIN(71,Cartera_Polizas!$B$25+9-49))*(1+(Cartera_Polizas!$P$25-1)*MAX(0,1-9/Supuestos!$C$20))*(1-Supuestos!$C$18)^9))</f>
        <v>0.355488418730618</v>
      </c>
      <c r="M23" s="29" t="n">
        <f aca="false">L23*(1-MIN(1,INDEX(Tabla_Mortalidad!$B$5:$B$75,MIN(71,Cartera_Polizas!$B$25+10-49))*(1+(Cartera_Polizas!$P$25-1)*MAX(0,1-10/Supuestos!$C$20))*(1-Supuestos!$C$18)^10))</f>
        <v>0.311619370904355</v>
      </c>
      <c r="N23" s="29" t="n">
        <f aca="false">M23*(1-MIN(1,INDEX(Tabla_Mortalidad!$B$5:$B$75,MIN(71,Cartera_Polizas!$B$25+11-49))*(1+(Cartera_Polizas!$P$25-1)*MAX(0,1-11/Supuestos!$C$20))*(1-Supuestos!$C$18)^11))</f>
        <v>0.272147352164407</v>
      </c>
      <c r="O23" s="29" t="n">
        <f aca="false">N23*(1-MIN(1,INDEX(Tabla_Mortalidad!$B$5:$B$75,MIN(71,Cartera_Polizas!$B$25+12-49))*(1+(Cartera_Polizas!$P$25-1)*MAX(0,1-12/Supuestos!$C$20))*(1-Supuestos!$C$18)^12))</f>
        <v>0.236992556172423</v>
      </c>
      <c r="P23" s="29" t="n">
        <f aca="false">O23*(1-MIN(1,INDEX(Tabla_Mortalidad!$B$5:$B$75,MIN(71,Cartera_Polizas!$B$25+13-49))*(1+(Cartera_Polizas!$P$25-1)*MAX(0,1-13/Supuestos!$C$20))*(1-Supuestos!$C$18)^13))</f>
        <v>0.206007807275861</v>
      </c>
      <c r="Q23" s="29" t="n">
        <f aca="false">P23*(1-MIN(1,INDEX(Tabla_Mortalidad!$B$5:$B$75,MIN(71,Cartera_Polizas!$B$25+14-49))*(1+(Cartera_Polizas!$P$25-1)*MAX(0,1-14/Supuestos!$C$20))*(1-Supuestos!$C$18)^14))</f>
        <v>0.178990395201538</v>
      </c>
      <c r="R23" s="29" t="n">
        <f aca="false">Q23*(1-MIN(1,INDEX(Tabla_Mortalidad!$B$5:$B$75,MIN(71,Cartera_Polizas!$B$25+15-49))*(1+(Cartera_Polizas!$P$25-1)*MAX(0,1-15/Supuestos!$C$20))*(1-Supuestos!$C$18)^15))</f>
        <v>0.155695296078517</v>
      </c>
      <c r="S23" s="29" t="n">
        <f aca="false">R23*(1-MIN(1,INDEX(Tabla_Mortalidad!$B$5:$B$75,MIN(71,Cartera_Polizas!$B$25+16-49))*(1+(Cartera_Polizas!$P$25-1)*MAX(0,1-16/Supuestos!$C$20))*(1-Supuestos!$C$18)^16))</f>
        <v>0.133380595168323</v>
      </c>
      <c r="T23" s="29" t="n">
        <f aca="false">S23*(1-MIN(1,INDEX(Tabla_Mortalidad!$B$5:$B$75,MIN(71,Cartera_Polizas!$B$25+17-49))*(1+(Cartera_Polizas!$P$25-1)*MAX(0,1-17/Supuestos!$C$20))*(1-Supuestos!$C$18)^17))</f>
        <v>0.112349205717928</v>
      </c>
      <c r="U23" s="29" t="n">
        <f aca="false">T23*(1-MIN(1,INDEX(Tabla_Mortalidad!$B$5:$B$75,MIN(71,Cartera_Polizas!$B$25+18-49))*(1+(Cartera_Polizas!$P$25-1)*MAX(0,1-18/Supuestos!$C$20))*(1-Supuestos!$C$18)^18))</f>
        <v>0.0928802397124518</v>
      </c>
      <c r="V23" s="29" t="n">
        <f aca="false">U23*(1-MIN(1,INDEX(Tabla_Mortalidad!$B$5:$B$75,MIN(71,Cartera_Polizas!$B$25+19-49))*(1+(Cartera_Polizas!$P$25-1)*MAX(0,1-19/Supuestos!$C$20))*(1-Supuestos!$C$18)^19))</f>
        <v>0.0752125570645795</v>
      </c>
      <c r="W23" s="29" t="n">
        <f aca="false">V23*(1-MIN(1,INDEX(Tabla_Mortalidad!$B$5:$B$75,MIN(71,Cartera_Polizas!$B$25+20-49))*(1+(Cartera_Polizas!$P$25-1)*MAX(0,1-20/Supuestos!$C$20))*(1-Supuestos!$C$18)^20))</f>
        <v>0.0595284898127746</v>
      </c>
      <c r="X23" s="29" t="n">
        <f aca="false">W23*(1-MIN(1,INDEX(Tabla_Mortalidad!$B$5:$B$75,MIN(71,Cartera_Polizas!$B$25+21-49))*(1+(Cartera_Polizas!$P$25-1)*MAX(0,1-21/Supuestos!$C$20))*(1-Supuestos!$C$18)^21))</f>
        <v>0.0459397980602761</v>
      </c>
      <c r="Y23" s="29" t="n">
        <f aca="false">X23*(1-MIN(1,INDEX(Tabla_Mortalidad!$B$5:$B$75,MIN(71,Cartera_Polizas!$B$25+22-49))*(1+(Cartera_Polizas!$P$25-1)*MAX(0,1-22/Supuestos!$C$20))*(1-Supuestos!$C$18)^22))</f>
        <v>0.0344785275895323</v>
      </c>
      <c r="Z23" s="29" t="n">
        <f aca="false">Y23*(1-MIN(1,INDEX(Tabla_Mortalidad!$B$5:$B$75,MIN(71,Cartera_Polizas!$B$25+23-49))*(1+(Cartera_Polizas!$P$25-1)*MAX(0,1-23/Supuestos!$C$20))*(1-Supuestos!$C$18)^23))</f>
        <v>0.0250939040897894</v>
      </c>
      <c r="AA23" s="29" t="n">
        <f aca="false">Z23*(1-MIN(1,INDEX(Tabla_Mortalidad!$B$5:$B$75,MIN(71,Cartera_Polizas!$B$25+24-49))*(1+(Cartera_Polizas!$P$25-1)*MAX(0,1-24/Supuestos!$C$20))*(1-Supuestos!$C$18)^24))</f>
        <v>0.0176565309150541</v>
      </c>
      <c r="AB23" s="29" t="n">
        <f aca="false">AA23*(1-MIN(1,INDEX(Tabla_Mortalidad!$B$5:$B$75,MIN(71,Cartera_Polizas!$B$25+25-49))*(1+(Cartera_Polizas!$P$25-1)*MAX(0,1-25/Supuestos!$C$20))*(1-Supuestos!$C$18)^25))</f>
        <v>0.0119704460700544</v>
      </c>
      <c r="AC23" s="29" t="n">
        <f aca="false">AB23*(1-MIN(1,INDEX(Tabla_Mortalidad!$B$5:$B$75,MIN(71,Cartera_Polizas!$B$25+26-49))*(1+(Cartera_Polizas!$P$25-1)*MAX(0,1-26/Supuestos!$C$20))*(1-Supuestos!$C$18)^26))</f>
        <v>0.00779155967659717</v>
      </c>
      <c r="AD23" s="29" t="n">
        <f aca="false">AC23*(1-MIN(1,INDEX(Tabla_Mortalidad!$B$5:$B$75,MIN(71,Cartera_Polizas!$B$25+27-49))*(1+(Cartera_Polizas!$P$25-1)*MAX(0,1-27/Supuestos!$C$20))*(1-Supuestos!$C$18)^27))</f>
        <v>0.00485047026895432</v>
      </c>
      <c r="AE23" s="29" t="n">
        <f aca="false">AD23*(1-MIN(1,INDEX(Tabla_Mortalidad!$B$5:$B$75,MIN(71,Cartera_Polizas!$B$25+28-49))*(1+(Cartera_Polizas!$P$25-1)*MAX(0,1-28/Supuestos!$C$20))*(1-Supuestos!$C$18)^28))</f>
        <v>0.00287626930603676</v>
      </c>
      <c r="AF23" s="29" t="n">
        <f aca="false">AE23*(1-MIN(1,INDEX(Tabla_Mortalidad!$B$5:$B$75,MIN(71,Cartera_Polizas!$B$25+29-49))*(1+(Cartera_Polizas!$P$25-1)*MAX(0,1-29/Supuestos!$C$20))*(1-Supuestos!$C$18)^29))</f>
        <v>0.00161779279581148</v>
      </c>
      <c r="AG23" s="29" t="n">
        <f aca="false">AF23*(1-MIN(1,INDEX(Tabla_Mortalidad!$B$5:$B$75,MIN(71,Cartera_Polizas!$B$25+30-49))*(1+(Cartera_Polizas!$P$25-1)*MAX(0,1-30/Supuestos!$C$20))*(1-Supuestos!$C$18)^30))</f>
        <v>0.000859351858865953</v>
      </c>
      <c r="AH23" s="29" t="n">
        <f aca="false">AG23*(1-MIN(1,INDEX(Tabla_Mortalidad!$B$5:$B$75,MIN(71,Cartera_Polizas!$B$25+31-49))*(1+(Cartera_Polizas!$P$25-1)*MAX(0,1-31/Supuestos!$C$20))*(1-Supuestos!$C$18)^31))</f>
        <v>0.000429205108167612</v>
      </c>
      <c r="AI23" s="29" t="n">
        <f aca="false">AH23*(1-MIN(1,INDEX(Tabla_Mortalidad!$B$5:$B$75,MIN(71,Cartera_Polizas!$B$25+32-49))*(1+(Cartera_Polizas!$P$25-1)*MAX(0,1-32/Supuestos!$C$20))*(1-Supuestos!$C$18)^32))</f>
        <v>0.000200693378345615</v>
      </c>
      <c r="AJ23" s="29" t="n">
        <f aca="false">AI23*(1-MIN(1,INDEX(Tabla_Mortalidad!$B$5:$B$75,MIN(71,Cartera_Polizas!$B$25+33-49))*(1+(Cartera_Polizas!$P$25-1)*MAX(0,1-33/Supuestos!$C$20))*(1-Supuestos!$C$18)^33))</f>
        <v>8.75019863406617E-005</v>
      </c>
      <c r="AK23" s="29" t="n">
        <f aca="false">AJ23*(1-MIN(1,INDEX(Tabla_Mortalidad!$B$5:$B$75,MIN(71,Cartera_Polizas!$B$25+34-49))*(1+(Cartera_Polizas!$P$25-1)*MAX(0,1-34/Supuestos!$C$20))*(1-Supuestos!$C$18)^34))</f>
        <v>3.54462139276491E-005</v>
      </c>
      <c r="AL23" s="29" t="n">
        <f aca="false">AK23*(1-MIN(1,INDEX(Tabla_Mortalidad!$B$5:$B$75,MIN(71,Cartera_Polizas!$B$25+35-49))*(1+(Cartera_Polizas!$P$25-1)*MAX(0,1-35/Supuestos!$C$20))*(1-Supuestos!$C$18)^35))</f>
        <v>1.33036555290527E-005</v>
      </c>
      <c r="AM23" s="29" t="n">
        <f aca="false">AL23*(1-MIN(1,INDEX(Tabla_Mortalidad!$B$5:$B$75,MIN(71,Cartera_Polizas!$B$25+36-49))*(1+(Cartera_Polizas!$P$25-1)*MAX(0,1-36/Supuestos!$C$20))*(1-Supuestos!$C$18)^36))</f>
        <v>4.61830107860832E-006</v>
      </c>
      <c r="AN23" s="29" t="n">
        <f aca="false">AM23*(1-MIN(1,INDEX(Tabla_Mortalidad!$B$5:$B$75,MIN(71,Cartera_Polizas!$B$25+37-49))*(1+(Cartera_Polizas!$P$25-1)*MAX(0,1-37/Supuestos!$C$20))*(1-Supuestos!$C$18)^37))</f>
        <v>1.48252654958666E-006</v>
      </c>
      <c r="AO23" s="29" t="n">
        <f aca="false">AN23*(1-MIN(1,INDEX(Tabla_Mortalidad!$B$5:$B$75,MIN(71,Cartera_Polizas!$B$25+38-49))*(1+(Cartera_Polizas!$P$25-1)*MAX(0,1-38/Supuestos!$C$20))*(1-Supuestos!$C$18)^38))</f>
        <v>4.40791618139828E-007</v>
      </c>
      <c r="AP23" s="29" t="n">
        <f aca="false">AO23*(1-MIN(1,INDEX(Tabla_Mortalidad!$B$5:$B$75,MIN(71,Cartera_Polizas!$B$25+39-49))*(1+(Cartera_Polizas!$P$25-1)*MAX(0,1-39/Supuestos!$C$20))*(1-Supuestos!$C$18)^39))</f>
        <v>1.21846866681469E-007</v>
      </c>
      <c r="AQ23" s="29" t="n">
        <f aca="false">AP23*(1-MIN(1,INDEX(Tabla_Mortalidad!$B$5:$B$75,MIN(71,Cartera_Polizas!$B$25+40-49))*(1+(Cartera_Polizas!$P$25-1)*MAX(0,1-40/Supuestos!$C$20))*(1-Supuestos!$C$18)^40))</f>
        <v>3.150565199603E-008</v>
      </c>
      <c r="AR23" s="29" t="n">
        <f aca="false">AQ23*(1-MIN(1,INDEX(Tabla_Mortalidad!$B$5:$B$75,MIN(71,Cartera_Polizas!$B$25+41-49))*(1+(Cartera_Polizas!$P$25-1)*MAX(0,1-41/Supuestos!$C$20))*(1-Supuestos!$C$18)^41))</f>
        <v>7.68366629893881E-009</v>
      </c>
      <c r="AS23" s="29" t="n">
        <f aca="false">AR23*(1-MIN(1,INDEX(Tabla_Mortalidad!$B$5:$B$75,MIN(71,Cartera_Polizas!$B$25+42-49))*(1+(Cartera_Polizas!$P$25-1)*MAX(0,1-42/Supuestos!$C$20))*(1-Supuestos!$C$18)^42))</f>
        <v>1.78552365248695E-009</v>
      </c>
      <c r="AT23" s="29" t="n">
        <f aca="false">AS23*(1-MIN(1,INDEX(Tabla_Mortalidad!$B$5:$B$75,MIN(71,Cartera_Polizas!$B$25+43-49))*(1+(Cartera_Polizas!$P$25-1)*MAX(0,1-43/Supuestos!$C$20))*(1-Supuestos!$C$18)^43))</f>
        <v>3.46201267962248E-010</v>
      </c>
      <c r="AU23" s="29" t="n">
        <f aca="false">AT23*(1-MIN(1,INDEX(Tabla_Mortalidad!$B$5:$B$75,MIN(71,Cartera_Polizas!$B$25+44-49))*(1+(Cartera_Polizas!$P$25-1)*MAX(0,1-44/Supuestos!$C$20))*(1-Supuestos!$C$18)^44))</f>
        <v>6.85215196902618E-011</v>
      </c>
    </row>
    <row r="24" customFormat="false" ht="15" hidden="false" customHeight="false" outlineLevel="0" collapsed="false">
      <c r="A24" s="14" t="n">
        <f aca="false">Cartera_Polizas!A26</f>
        <v>21</v>
      </c>
      <c r="B24" s="26" t="n">
        <f aca="false">SUM(C24:AU24)+0.5</f>
        <v>11.0762326810146</v>
      </c>
      <c r="C24" s="29" t="n">
        <f aca="false">1-MIN(1,INDEX(Tabla_Mortalidad!$B$5:$B$75,MIN(71,Cartera_Polizas!$B$26+0-49))*(1+(Cartera_Polizas!$P$26-1)*MAX(0,1-0/Supuestos!$C$20))*(1-Supuestos!$C$18)^0)</f>
        <v>0.94608523</v>
      </c>
      <c r="D24" s="29" t="n">
        <f aca="false">C24*(1-MIN(1,INDEX(Tabla_Mortalidad!$B$5:$B$75,MIN(71,Cartera_Polizas!$B$26+1-49))*(1+(Cartera_Polizas!$P$26-1)*MAX(0,1-1/Supuestos!$C$20))*(1-Supuestos!$C$18)^1))</f>
        <v>0.891824203637404</v>
      </c>
      <c r="E24" s="29" t="n">
        <f aca="false">D24*(1-MIN(1,INDEX(Tabla_Mortalidad!$B$5:$B$75,MIN(71,Cartera_Polizas!$B$26+2-49))*(1+(Cartera_Polizas!$P$26-1)*MAX(0,1-2/Supuestos!$C$20))*(1-Supuestos!$C$18)^2))</f>
        <v>0.837523953949047</v>
      </c>
      <c r="F24" s="29" t="n">
        <f aca="false">E24*(1-MIN(1,INDEX(Tabla_Mortalidad!$B$5:$B$75,MIN(71,Cartera_Polizas!$B$26+3-49))*(1+(Cartera_Polizas!$P$26-1)*MAX(0,1-3/Supuestos!$C$20))*(1-Supuestos!$C$18)^3))</f>
        <v>0.783504946149482</v>
      </c>
      <c r="G24" s="29" t="n">
        <f aca="false">F24*(1-MIN(1,INDEX(Tabla_Mortalidad!$B$5:$B$75,MIN(71,Cartera_Polizas!$B$26+4-49))*(1+(Cartera_Polizas!$P$26-1)*MAX(0,1-4/Supuestos!$C$20))*(1-Supuestos!$C$18)^4))</f>
        <v>0.730098769484491</v>
      </c>
      <c r="H24" s="29" t="n">
        <f aca="false">G24*(1-MIN(1,INDEX(Tabla_Mortalidad!$B$5:$B$75,MIN(71,Cartera_Polizas!$B$26+5-49))*(1+(Cartera_Polizas!$P$26-1)*MAX(0,1-5/Supuestos!$C$20))*(1-Supuestos!$C$18)^5))</f>
        <v>0.677642424593958</v>
      </c>
      <c r="I24" s="29" t="n">
        <f aca="false">H24*(1-MIN(1,INDEX(Tabla_Mortalidad!$B$5:$B$75,MIN(71,Cartera_Polizas!$B$26+6-49))*(1+(Cartera_Polizas!$P$26-1)*MAX(0,1-6/Supuestos!$C$20))*(1-Supuestos!$C$18)^6))</f>
        <v>0.626471846885654</v>
      </c>
      <c r="J24" s="29" t="n">
        <f aca="false">I24*(1-MIN(1,INDEX(Tabla_Mortalidad!$B$5:$B$75,MIN(71,Cartera_Polizas!$B$26+7-49))*(1+(Cartera_Polizas!$P$26-1)*MAX(0,1-7/Supuestos!$C$20))*(1-Supuestos!$C$18)^7))</f>
        <v>0.576913584275781</v>
      </c>
      <c r="K24" s="29" t="n">
        <f aca="false">J24*(1-MIN(1,INDEX(Tabla_Mortalidad!$B$5:$B$75,MIN(71,Cartera_Polizas!$B$26+8-49))*(1+(Cartera_Polizas!$P$26-1)*MAX(0,1-8/Supuestos!$C$20))*(1-Supuestos!$C$18)^8))</f>
        <v>0.529274881148501</v>
      </c>
      <c r="L24" s="29" t="n">
        <f aca="false">K24*(1-MIN(1,INDEX(Tabla_Mortalidad!$B$5:$B$75,MIN(71,Cartera_Polizas!$B$26+9-49))*(1+(Cartera_Polizas!$P$26-1)*MAX(0,1-9/Supuestos!$C$20))*(1-Supuestos!$C$18)^9))</f>
        <v>0.483838249961442</v>
      </c>
      <c r="M24" s="29" t="n">
        <f aca="false">L24*(1-MIN(1,INDEX(Tabla_Mortalidad!$B$5:$B$75,MIN(71,Cartera_Polizas!$B$26+10-49))*(1+(Cartera_Polizas!$P$26-1)*MAX(0,1-10/Supuestos!$C$20))*(1-Supuestos!$C$18)^10))</f>
        <v>0.440855637510915</v>
      </c>
      <c r="N24" s="29" t="n">
        <f aca="false">M24*(1-MIN(1,INDEX(Tabla_Mortalidad!$B$5:$B$75,MIN(71,Cartera_Polizas!$B$26+11-49))*(1+(Cartera_Polizas!$P$26-1)*MAX(0,1-11/Supuestos!$C$20))*(1-Supuestos!$C$18)^11))</f>
        <v>0.400540416031739</v>
      </c>
      <c r="O24" s="29" t="n">
        <f aca="false">N24*(1-MIN(1,INDEX(Tabla_Mortalidad!$B$5:$B$75,MIN(71,Cartera_Polizas!$B$26+12-49))*(1+(Cartera_Polizas!$P$26-1)*MAX(0,1-12/Supuestos!$C$20))*(1-Supuestos!$C$18)^12))</f>
        <v>0.363062931768757</v>
      </c>
      <c r="P24" s="29" t="n">
        <f aca="false">O24*(1-MIN(1,INDEX(Tabla_Mortalidad!$B$5:$B$75,MIN(71,Cartera_Polizas!$B$26+13-49))*(1+(Cartera_Polizas!$P$26-1)*MAX(0,1-13/Supuestos!$C$20))*(1-Supuestos!$C$18)^13))</f>
        <v>0.328550436851499</v>
      </c>
      <c r="Q24" s="29" t="n">
        <f aca="false">P24*(1-MIN(1,INDEX(Tabla_Mortalidad!$B$5:$B$75,MIN(71,Cartera_Polizas!$B$26+14-49))*(1+(Cartera_Polizas!$P$26-1)*MAX(0,1-14/Supuestos!$C$20))*(1-Supuestos!$C$18)^14))</f>
        <v>0.297083928171427</v>
      </c>
      <c r="R24" s="29" t="n">
        <f aca="false">Q24*(1-MIN(1,INDEX(Tabla_Mortalidad!$B$5:$B$75,MIN(71,Cartera_Polizas!$B$26+15-49))*(1+(Cartera_Polizas!$P$26-1)*MAX(0,1-15/Supuestos!$C$20))*(1-Supuestos!$C$18)^15))</f>
        <v>0.268703127474557</v>
      </c>
      <c r="S24" s="29" t="n">
        <f aca="false">R24*(1-MIN(1,INDEX(Tabla_Mortalidad!$B$5:$B$75,MIN(71,Cartera_Polizas!$B$26+16-49))*(1+(Cartera_Polizas!$P$26-1)*MAX(0,1-16/Supuestos!$C$20))*(1-Supuestos!$C$18)^16))</f>
        <v>0.240368270229891</v>
      </c>
      <c r="T24" s="29" t="n">
        <f aca="false">S24*(1-MIN(1,INDEX(Tabla_Mortalidad!$B$5:$B$75,MIN(71,Cartera_Polizas!$B$26+17-49))*(1+(Cartera_Polizas!$P$26-1)*MAX(0,1-17/Supuestos!$C$20))*(1-Supuestos!$C$18)^17))</f>
        <v>0.212409200991485</v>
      </c>
      <c r="U24" s="29" t="n">
        <f aca="false">T24*(1-MIN(1,INDEX(Tabla_Mortalidad!$B$5:$B$75,MIN(71,Cartera_Polizas!$B$26+18-49))*(1+(Cartera_Polizas!$P$26-1)*MAX(0,1-18/Supuestos!$C$20))*(1-Supuestos!$C$18)^18))</f>
        <v>0.18517733486891</v>
      </c>
      <c r="V24" s="29" t="n">
        <f aca="false">U24*(1-MIN(1,INDEX(Tabla_Mortalidad!$B$5:$B$75,MIN(71,Cartera_Polizas!$B$26+19-49))*(1+(Cartera_Polizas!$P$26-1)*MAX(0,1-19/Supuestos!$C$20))*(1-Supuestos!$C$18)^19))</f>
        <v>0.159033297832681</v>
      </c>
      <c r="W24" s="29" t="n">
        <f aca="false">V24*(1-MIN(1,INDEX(Tabla_Mortalidad!$B$5:$B$75,MIN(71,Cartera_Polizas!$B$26+20-49))*(1+(Cartera_Polizas!$P$26-1)*MAX(0,1-20/Supuestos!$C$20))*(1-Supuestos!$C$18)^20))</f>
        <v>0.134331269148803</v>
      </c>
      <c r="X24" s="29" t="n">
        <f aca="false">W24*(1-MIN(1,INDEX(Tabla_Mortalidad!$B$5:$B$75,MIN(71,Cartera_Polizas!$B$26+21-49))*(1+(Cartera_Polizas!$P$26-1)*MAX(0,1-21/Supuestos!$C$20))*(1-Supuestos!$C$18)^21))</f>
        <v>0.111400467348408</v>
      </c>
      <c r="Y24" s="29" t="n">
        <f aca="false">X24*(1-MIN(1,INDEX(Tabla_Mortalidad!$B$5:$B$75,MIN(71,Cartera_Polizas!$B$26+22-49))*(1+(Cartera_Polizas!$P$26-1)*MAX(0,1-22/Supuestos!$C$20))*(1-Supuestos!$C$18)^22))</f>
        <v>0.0905261386810408</v>
      </c>
      <c r="Z24" s="29" t="n">
        <f aca="false">Y24*(1-MIN(1,INDEX(Tabla_Mortalidad!$B$5:$B$75,MIN(71,Cartera_Polizas!$B$26+23-49))*(1+(Cartera_Polizas!$P$26-1)*MAX(0,1-23/Supuestos!$C$20))*(1-Supuestos!$C$18)^23))</f>
        <v>0.0719304793938789</v>
      </c>
      <c r="AA24" s="29" t="n">
        <f aca="false">Z24*(1-MIN(1,INDEX(Tabla_Mortalidad!$B$5:$B$75,MIN(71,Cartera_Polizas!$B$26+24-49))*(1+(Cartera_Polizas!$P$26-1)*MAX(0,1-24/Supuestos!$C$20))*(1-Supuestos!$C$18)^24))</f>
        <v>0.0557558261422502</v>
      </c>
      <c r="AB24" s="29" t="n">
        <f aca="false">AA24*(1-MIN(1,INDEX(Tabla_Mortalidad!$B$5:$B$75,MIN(71,Cartera_Polizas!$B$26+25-49))*(1+(Cartera_Polizas!$P$26-1)*MAX(0,1-25/Supuestos!$C$20))*(1-Supuestos!$C$18)^25))</f>
        <v>0.0420532199309577</v>
      </c>
      <c r="AC24" s="29" t="n">
        <f aca="false">AB24*(1-MIN(1,INDEX(Tabla_Mortalidad!$B$5:$B$75,MIN(71,Cartera_Polizas!$B$26+26-49))*(1+(Cartera_Polizas!$P$26-1)*MAX(0,1-26/Supuestos!$C$20))*(1-Supuestos!$C$18)^26))</f>
        <v>0.0307776983720589</v>
      </c>
      <c r="AD24" s="29" t="n">
        <f aca="false">AC24*(1-MIN(1,INDEX(Tabla_Mortalidad!$B$5:$B$75,MIN(71,Cartera_Polizas!$B$26+27-49))*(1+(Cartera_Polizas!$P$26-1)*MAX(0,1-27/Supuestos!$C$20))*(1-Supuestos!$C$18)^27))</f>
        <v>0.0217918989404202</v>
      </c>
      <c r="AE24" s="29" t="n">
        <f aca="false">AD24*(1-MIN(1,INDEX(Tabla_Mortalidad!$B$5:$B$75,MIN(71,Cartera_Polizas!$B$26+28-49))*(1+(Cartera_Polizas!$P$26-1)*MAX(0,1-28/Supuestos!$C$20))*(1-Supuestos!$C$18)^28))</f>
        <v>0.0148788079200695</v>
      </c>
      <c r="AF24" s="29" t="n">
        <f aca="false">AE24*(1-MIN(1,INDEX(Tabla_Mortalidad!$B$5:$B$75,MIN(71,Cartera_Polizas!$B$26+29-49))*(1+(Cartera_Polizas!$P$26-1)*MAX(0,1-29/Supuestos!$C$20))*(1-Supuestos!$C$18)^29))</f>
        <v>0.00976213554365452</v>
      </c>
      <c r="AG24" s="29" t="n">
        <f aca="false">AF24*(1-MIN(1,INDEX(Tabla_Mortalidad!$B$5:$B$75,MIN(71,Cartera_Polizas!$B$26+30-49))*(1+(Cartera_Polizas!$P$26-1)*MAX(0,1-30/Supuestos!$C$20))*(1-Supuestos!$C$18)^30))</f>
        <v>0.00613220845905431</v>
      </c>
      <c r="AH24" s="29" t="n">
        <f aca="false">AG24*(1-MIN(1,INDEX(Tabla_Mortalidad!$B$5:$B$75,MIN(71,Cartera_Polizas!$B$26+31-49))*(1+(Cartera_Polizas!$P$26-1)*MAX(0,1-31/Supuestos!$C$20))*(1-Supuestos!$C$18)^31))</f>
        <v>0.00367357569596989</v>
      </c>
      <c r="AI24" s="29" t="n">
        <f aca="false">AH24*(1-MIN(1,INDEX(Tabla_Mortalidad!$B$5:$B$75,MIN(71,Cartera_Polizas!$B$26+32-49))*(1+(Cartera_Polizas!$P$26-1)*MAX(0,1-32/Supuestos!$C$20))*(1-Supuestos!$C$18)^32))</f>
        <v>0.00209023708550278</v>
      </c>
      <c r="AJ24" s="29" t="n">
        <f aca="false">AI24*(1-MIN(1,INDEX(Tabla_Mortalidad!$B$5:$B$75,MIN(71,Cartera_Polizas!$B$26+33-49))*(1+(Cartera_Polizas!$P$26-1)*MAX(0,1-33/Supuestos!$C$20))*(1-Supuestos!$C$18)^33))</f>
        <v>0.00112493407640016</v>
      </c>
      <c r="AK24" s="29" t="n">
        <f aca="false">AJ24*(1-MIN(1,INDEX(Tabla_Mortalidad!$B$5:$B$75,MIN(71,Cartera_Polizas!$B$26+34-49))*(1+(Cartera_Polizas!$P$26-1)*MAX(0,1-34/Supuestos!$C$20))*(1-Supuestos!$C$18)^34))</f>
        <v>0.000570254799513293</v>
      </c>
      <c r="AL24" s="29" t="n">
        <f aca="false">AK24*(1-MIN(1,INDEX(Tabla_Mortalidad!$B$5:$B$75,MIN(71,Cartera_Polizas!$B$26+35-49))*(1+(Cartera_Polizas!$P$26-1)*MAX(0,1-35/Supuestos!$C$20))*(1-Supuestos!$C$18)^35))</f>
        <v>0.000271178631667754</v>
      </c>
      <c r="AM24" s="29" t="n">
        <f aca="false">AL24*(1-MIN(1,INDEX(Tabla_Mortalidad!$B$5:$B$75,MIN(71,Cartera_Polizas!$B$26+36-49))*(1+(Cartera_Polizas!$P$26-1)*MAX(0,1-36/Supuestos!$C$20))*(1-Supuestos!$C$18)^36))</f>
        <v>0.000120516168150809</v>
      </c>
      <c r="AN24" s="29" t="n">
        <f aca="false">AM24*(1-MIN(1,INDEX(Tabla_Mortalidad!$B$5:$B$75,MIN(71,Cartera_Polizas!$B$26+37-49))*(1+(Cartera_Polizas!$P$26-1)*MAX(0,1-37/Supuestos!$C$20))*(1-Supuestos!$C$18)^37))</f>
        <v>4.98900169119288E-005</v>
      </c>
      <c r="AO24" s="29" t="n">
        <f aca="false">AN24*(1-MIN(1,INDEX(Tabla_Mortalidad!$B$5:$B$75,MIN(71,Cartera_Polizas!$B$26+38-49))*(1+(Cartera_Polizas!$P$26-1)*MAX(0,1-38/Supuestos!$C$20))*(1-Supuestos!$C$18)^38))</f>
        <v>1.91898428435435E-005</v>
      </c>
      <c r="AP24" s="29" t="n">
        <f aca="false">AO24*(1-MIN(1,INDEX(Tabla_Mortalidad!$B$5:$B$75,MIN(71,Cartera_Polizas!$B$26+39-49))*(1+(Cartera_Polizas!$P$26-1)*MAX(0,1-39/Supuestos!$C$20))*(1-Supuestos!$C$18)^39))</f>
        <v>6.84864780568462E-006</v>
      </c>
      <c r="AQ24" s="29" t="n">
        <f aca="false">AP24*(1-MIN(1,INDEX(Tabla_Mortalidad!$B$5:$B$75,MIN(71,Cartera_Polizas!$B$26+40-49))*(1+(Cartera_Polizas!$P$26-1)*MAX(0,1-40/Supuestos!$C$20))*(1-Supuestos!$C$18)^40))</f>
        <v>2.26789705802107E-006</v>
      </c>
      <c r="AR24" s="29" t="n">
        <f aca="false">AQ24*(1-MIN(1,INDEX(Tabla_Mortalidad!$B$5:$B$75,MIN(71,Cartera_Polizas!$B$26+41-49))*(1+(Cartera_Polizas!$P$26-1)*MAX(0,1-41/Supuestos!$C$20))*(1-Supuestos!$C$18)^41))</f>
        <v>6.9808620446742E-007</v>
      </c>
      <c r="AS24" s="29" t="n">
        <f aca="false">AR24*(1-MIN(1,INDEX(Tabla_Mortalidad!$B$5:$B$75,MIN(71,Cartera_Polizas!$B$26+42-49))*(1+(Cartera_Polizas!$P$26-1)*MAX(0,1-42/Supuestos!$C$20))*(1-Supuestos!$C$18)^42))</f>
        <v>2.00509052411532E-007</v>
      </c>
      <c r="AT24" s="29" t="n">
        <f aca="false">AS24*(1-MIN(1,INDEX(Tabla_Mortalidad!$B$5:$B$75,MIN(71,Cartera_Polizas!$B$26+43-49))*(1+(Cartera_Polizas!$P$26-1)*MAX(0,1-43/Supuestos!$C$20))*(1-Supuestos!$C$18)^43))</f>
        <v>5.40639720489032E-008</v>
      </c>
      <c r="AU24" s="29" t="n">
        <f aca="false">AT24*(1-MIN(1,INDEX(Tabla_Mortalidad!$B$5:$B$75,MIN(71,Cartera_Polizas!$B$26+44-49))*(1+(Cartera_Polizas!$P$26-1)*MAX(0,1-44/Supuestos!$C$20))*(1-Supuestos!$C$18)^44))</f>
        <v>1.37953582188389E-008</v>
      </c>
    </row>
    <row r="25" customFormat="false" ht="15" hidden="false" customHeight="false" outlineLevel="0" collapsed="false">
      <c r="A25" s="14" t="n">
        <f aca="false">Cartera_Polizas!A27</f>
        <v>22</v>
      </c>
      <c r="B25" s="26" t="n">
        <f aca="false">SUM(C25:AU25)+0.5</f>
        <v>6.79175411769791</v>
      </c>
      <c r="C25" s="29" t="n">
        <f aca="false">1-MIN(1,INDEX(Tabla_Mortalidad!$B$5:$B$75,MIN(71,Cartera_Polizas!$B$27+0-49))*(1+(Cartera_Polizas!$P$27-1)*MAX(0,1-0/Supuestos!$C$20))*(1-Supuestos!$C$18)^0)</f>
        <v>0.9025536455</v>
      </c>
      <c r="D25" s="29" t="n">
        <f aca="false">C25*(1-MIN(1,INDEX(Tabla_Mortalidad!$B$5:$B$75,MIN(71,Cartera_Polizas!$B$27+1-49))*(1+(Cartera_Polizas!$P$27-1)*MAX(0,1-1/Supuestos!$C$20))*(1-Supuestos!$C$18)^1))</f>
        <v>0.808371757211616</v>
      </c>
      <c r="E25" s="29" t="n">
        <f aca="false">D25*(1-MIN(1,INDEX(Tabla_Mortalidad!$B$5:$B$75,MIN(71,Cartera_Polizas!$B$27+2-49))*(1+(Cartera_Polizas!$P$27-1)*MAX(0,1-2/Supuestos!$C$20))*(1-Supuestos!$C$18)^2))</f>
        <v>0.718178810007204</v>
      </c>
      <c r="F25" s="29" t="n">
        <f aca="false">E25*(1-MIN(1,INDEX(Tabla_Mortalidad!$B$5:$B$75,MIN(71,Cartera_Polizas!$B$27+3-49))*(1+(Cartera_Polizas!$P$27-1)*MAX(0,1-3/Supuestos!$C$20))*(1-Supuestos!$C$18)^3))</f>
        <v>0.632642259621862</v>
      </c>
      <c r="G25" s="29" t="n">
        <f aca="false">F25*(1-MIN(1,INDEX(Tabla_Mortalidad!$B$5:$B$75,MIN(71,Cartera_Polizas!$B$27+4-49))*(1+(Cartera_Polizas!$P$27-1)*MAX(0,1-4/Supuestos!$C$20))*(1-Supuestos!$C$18)^4))</f>
        <v>0.552349601193049</v>
      </c>
      <c r="H25" s="29" t="n">
        <f aca="false">G25*(1-MIN(1,INDEX(Tabla_Mortalidad!$B$5:$B$75,MIN(71,Cartera_Polizas!$B$27+5-49))*(1+(Cartera_Polizas!$P$27-1)*MAX(0,1-5/Supuestos!$C$20))*(1-Supuestos!$C$18)^5))</f>
        <v>0.47779246139279</v>
      </c>
      <c r="I25" s="29" t="n">
        <f aca="false">H25*(1-MIN(1,INDEX(Tabla_Mortalidad!$B$5:$B$75,MIN(71,Cartera_Polizas!$B$27+6-49))*(1+(Cartera_Polizas!$P$27-1)*MAX(0,1-6/Supuestos!$C$20))*(1-Supuestos!$C$18)^6))</f>
        <v>0.409342241646145</v>
      </c>
      <c r="J25" s="29" t="n">
        <f aca="false">I25*(1-MIN(1,INDEX(Tabla_Mortalidad!$B$5:$B$75,MIN(71,Cartera_Polizas!$B$27+7-49))*(1+(Cartera_Polizas!$P$27-1)*MAX(0,1-7/Supuestos!$C$20))*(1-Supuestos!$C$18)^7))</f>
        <v>0.347242744457242</v>
      </c>
      <c r="K25" s="29" t="n">
        <f aca="false">J25*(1-MIN(1,INDEX(Tabla_Mortalidad!$B$5:$B$75,MIN(71,Cartera_Polizas!$B$27+8-49))*(1+(Cartera_Polizas!$P$27-1)*MAX(0,1-8/Supuestos!$C$20))*(1-Supuestos!$C$18)^8))</f>
        <v>0.291598538385578</v>
      </c>
      <c r="L25" s="29" t="n">
        <f aca="false">K25*(1-MIN(1,INDEX(Tabla_Mortalidad!$B$5:$B$75,MIN(71,Cartera_Polizas!$B$27+9-49))*(1+(Cartera_Polizas!$P$27-1)*MAX(0,1-9/Supuestos!$C$20))*(1-Supuestos!$C$18)^9))</f>
        <v>0.242375168046892</v>
      </c>
      <c r="M25" s="29" t="n">
        <f aca="false">L25*(1-MIN(1,INDEX(Tabla_Mortalidad!$B$5:$B$75,MIN(71,Cartera_Polizas!$B$27+10-49))*(1+(Cartera_Polizas!$P$27-1)*MAX(0,1-10/Supuestos!$C$20))*(1-Supuestos!$C$18)^10))</f>
        <v>0.199404795988849</v>
      </c>
      <c r="N25" s="29" t="n">
        <f aca="false">M25*(1-MIN(1,INDEX(Tabla_Mortalidad!$B$5:$B$75,MIN(71,Cartera_Polizas!$B$27+11-49))*(1+(Cartera_Polizas!$P$27-1)*MAX(0,1-11/Supuestos!$C$20))*(1-Supuestos!$C$18)^11))</f>
        <v>0.162398949102147</v>
      </c>
      <c r="O25" s="29" t="n">
        <f aca="false">N25*(1-MIN(1,INDEX(Tabla_Mortalidad!$B$5:$B$75,MIN(71,Cartera_Polizas!$B$27+12-49))*(1+(Cartera_Polizas!$P$27-1)*MAX(0,1-12/Supuestos!$C$20))*(1-Supuestos!$C$18)^12))</f>
        <v>0.130966837617246</v>
      </c>
      <c r="P25" s="29" t="n">
        <f aca="false">O25*(1-MIN(1,INDEX(Tabla_Mortalidad!$B$5:$B$75,MIN(71,Cartera_Polizas!$B$27+13-49))*(1+(Cartera_Polizas!$P$27-1)*MAX(0,1-13/Supuestos!$C$20))*(1-Supuestos!$C$18)^13))</f>
        <v>0.104637799572916</v>
      </c>
      <c r="Q25" s="29" t="n">
        <f aca="false">P25*(1-MIN(1,INDEX(Tabla_Mortalidad!$B$5:$B$75,MIN(71,Cartera_Polizas!$B$27+14-49))*(1+(Cartera_Polizas!$P$27-1)*MAX(0,1-14/Supuestos!$C$20))*(1-Supuestos!$C$18)^14))</f>
        <v>0.0828875410922015</v>
      </c>
      <c r="R25" s="29" t="n">
        <f aca="false">Q25*(1-MIN(1,INDEX(Tabla_Mortalidad!$B$5:$B$75,MIN(71,Cartera_Polizas!$B$27+15-49))*(1+(Cartera_Polizas!$P$27-1)*MAX(0,1-15/Supuestos!$C$20))*(1-Supuestos!$C$18)^15))</f>
        <v>0.0651643388080633</v>
      </c>
      <c r="S25" s="29" t="n">
        <f aca="false">R25*(1-MIN(1,INDEX(Tabla_Mortalidad!$B$5:$B$75,MIN(71,Cartera_Polizas!$B$27+16-49))*(1+(Cartera_Polizas!$P$27-1)*MAX(0,1-16/Supuestos!$C$20))*(1-Supuestos!$C$18)^16))</f>
        <v>0.0499116162218583</v>
      </c>
      <c r="T25" s="29" t="n">
        <f aca="false">S25*(1-MIN(1,INDEX(Tabla_Mortalidad!$B$5:$B$75,MIN(71,Cartera_Polizas!$B$27+17-49))*(1+(Cartera_Polizas!$P$27-1)*MAX(0,1-17/Supuestos!$C$20))*(1-Supuestos!$C$18)^17))</f>
        <v>0.0371434093909272</v>
      </c>
      <c r="U25" s="29" t="n">
        <f aca="false">T25*(1-MIN(1,INDEX(Tabla_Mortalidad!$B$5:$B$75,MIN(71,Cartera_Polizas!$B$27+18-49))*(1+(Cartera_Polizas!$P$27-1)*MAX(0,1-18/Supuestos!$C$20))*(1-Supuestos!$C$18)^18))</f>
        <v>0.0267768532416495</v>
      </c>
      <c r="V25" s="29" t="n">
        <f aca="false">U25*(1-MIN(1,INDEX(Tabla_Mortalidad!$B$5:$B$75,MIN(71,Cartera_Polizas!$B$27+19-49))*(1+(Cartera_Polizas!$P$27-1)*MAX(0,1-19/Supuestos!$C$20))*(1-Supuestos!$C$18)^19))</f>
        <v>0.0186392694429254</v>
      </c>
      <c r="W25" s="29" t="n">
        <f aca="false">V25*(1-MIN(1,INDEX(Tabla_Mortalidad!$B$5:$B$75,MIN(71,Cartera_Polizas!$B$27+20-49))*(1+(Cartera_Polizas!$P$27-1)*MAX(0,1-20/Supuestos!$C$20))*(1-Supuestos!$C$18)^20))</f>
        <v>0.0124843632358165</v>
      </c>
      <c r="X25" s="29" t="n">
        <f aca="false">W25*(1-MIN(1,INDEX(Tabla_Mortalidad!$B$5:$B$75,MIN(71,Cartera_Polizas!$B$27+21-49))*(1+(Cartera_Polizas!$P$27-1)*MAX(0,1-21/Supuestos!$C$20))*(1-Supuestos!$C$18)^21))</f>
        <v>0.0080154572057891</v>
      </c>
      <c r="Y25" s="29" t="n">
        <f aca="false">X25*(1-MIN(1,INDEX(Tabla_Mortalidad!$B$5:$B$75,MIN(71,Cartera_Polizas!$B$27+22-49))*(1+(Cartera_Polizas!$P$27-1)*MAX(0,1-22/Supuestos!$C$20))*(1-Supuestos!$C$18)^22))</f>
        <v>0.00491306484922942</v>
      </c>
      <c r="Z25" s="29" t="n">
        <f aca="false">Y25*(1-MIN(1,INDEX(Tabla_Mortalidad!$B$5:$B$75,MIN(71,Cartera_Polizas!$B$27+23-49))*(1+(Cartera_Polizas!$P$27-1)*MAX(0,1-23/Supuestos!$C$20))*(1-Supuestos!$C$18)^23))</f>
        <v>0.00286263646432183</v>
      </c>
      <c r="AA25" s="29" t="n">
        <f aca="false">Z25*(1-MIN(1,INDEX(Tabla_Mortalidad!$B$5:$B$75,MIN(71,Cartera_Polizas!$B$27+24-49))*(1+(Cartera_Polizas!$P$27-1)*MAX(0,1-24/Supuestos!$C$20))*(1-Supuestos!$C$18)^24))</f>
        <v>0.0015783368199429</v>
      </c>
      <c r="AB25" s="29" t="n">
        <f aca="false">AA25*(1-MIN(1,INDEX(Tabla_Mortalidad!$B$5:$B$75,MIN(71,Cartera_Polizas!$B$27+25-49))*(1+(Cartera_Polizas!$P$27-1)*MAX(0,1-25/Supuestos!$C$20))*(1-Supuestos!$C$18)^25))</f>
        <v>0.000819613988195122</v>
      </c>
      <c r="AC25" s="29" t="n">
        <f aca="false">AB25*(1-MIN(1,INDEX(Tabla_Mortalidad!$B$5:$B$75,MIN(71,Cartera_Polizas!$B$27+26-49))*(1+(Cartera_Polizas!$P$27-1)*MAX(0,1-26/Supuestos!$C$20))*(1-Supuestos!$C$18)^26))</f>
        <v>0.000398945884303677</v>
      </c>
      <c r="AD25" s="29" t="n">
        <f aca="false">AC25*(1-MIN(1,INDEX(Tabla_Mortalidad!$B$5:$B$75,MIN(71,Cartera_Polizas!$B$27+27-49))*(1+(Cartera_Polizas!$P$27-1)*MAX(0,1-27/Supuestos!$C$20))*(1-Supuestos!$C$18)^27))</f>
        <v>0.000181153744838077</v>
      </c>
      <c r="AE25" s="29" t="n">
        <f aca="false">AD25*(1-MIN(1,INDEX(Tabla_Mortalidad!$B$5:$B$75,MIN(71,Cartera_Polizas!$B$27+28-49))*(1+(Cartera_Polizas!$P$27-1)*MAX(0,1-28/Supuestos!$C$20))*(1-Supuestos!$C$18)^28))</f>
        <v>7.63896971221428E-005</v>
      </c>
      <c r="AF25" s="29" t="n">
        <f aca="false">AE25*(1-MIN(1,INDEX(Tabla_Mortalidad!$B$5:$B$75,MIN(71,Cartera_Polizas!$B$27+29-49))*(1+(Cartera_Polizas!$P$27-1)*MAX(0,1-29/Supuestos!$C$20))*(1-Supuestos!$C$18)^29))</f>
        <v>2.97913655251594E-005</v>
      </c>
      <c r="AG25" s="29" t="n">
        <f aca="false">AF25*(1-MIN(1,INDEX(Tabla_Mortalidad!$B$5:$B$75,MIN(71,Cartera_Polizas!$B$27+30-49))*(1+(Cartera_Polizas!$P$27-1)*MAX(0,1-30/Supuestos!$C$20))*(1-Supuestos!$C$18)^30))</f>
        <v>1.07089674703522E-005</v>
      </c>
      <c r="AH25" s="29" t="n">
        <f aca="false">AG25*(1-MIN(1,INDEX(Tabla_Mortalidad!$B$5:$B$75,MIN(71,Cartera_Polizas!$B$27+31-49))*(1+(Cartera_Polizas!$P$27-1)*MAX(0,1-31/Supuestos!$C$20))*(1-Supuestos!$C$18)^31))</f>
        <v>3.54012972129143E-006</v>
      </c>
      <c r="AI25" s="29" t="n">
        <f aca="false">AH25*(1-MIN(1,INDEX(Tabla_Mortalidad!$B$5:$B$75,MIN(71,Cartera_Polizas!$B$27+32-49))*(1+(Cartera_Polizas!$P$27-1)*MAX(0,1-32/Supuestos!$C$20))*(1-Supuestos!$C$18)^32))</f>
        <v>1.07541670640943E-006</v>
      </c>
      <c r="AJ25" s="29" t="n">
        <f aca="false">AI25*(1-MIN(1,INDEX(Tabla_Mortalidad!$B$5:$B$75,MIN(71,Cartera_Polizas!$B$27+33-49))*(1+(Cartera_Polizas!$P$27-1)*MAX(0,1-33/Supuestos!$C$20))*(1-Supuestos!$C$18)^33))</f>
        <v>3.00569408788203E-007</v>
      </c>
      <c r="AK25" s="29" t="n">
        <f aca="false">AJ25*(1-MIN(1,INDEX(Tabla_Mortalidad!$B$5:$B$75,MIN(71,Cartera_Polizas!$B$27+34-49))*(1+(Cartera_Polizas!$P$27-1)*MAX(0,1-34/Supuestos!$C$20))*(1-Supuestos!$C$18)^34))</f>
        <v>7.75659979899902E-008</v>
      </c>
      <c r="AL25" s="29" t="n">
        <f aca="false">AK25*(1-MIN(1,INDEX(Tabla_Mortalidad!$B$5:$B$75,MIN(71,Cartera_Polizas!$B$27+35-49))*(1+(Cartera_Polizas!$P$27-1)*MAX(0,1-35/Supuestos!$C$20))*(1-Supuestos!$C$18)^35))</f>
        <v>1.85964850390029E-008</v>
      </c>
      <c r="AM25" s="29" t="n">
        <f aca="false">AL25*(1-MIN(1,INDEX(Tabla_Mortalidad!$B$5:$B$75,MIN(71,Cartera_Polizas!$B$27+36-49))*(1+(Cartera_Polizas!$P$27-1)*MAX(0,1-36/Supuestos!$C$20))*(1-Supuestos!$C$18)^36))</f>
        <v>4.17848742564519E-009</v>
      </c>
      <c r="AN25" s="29" t="n">
        <f aca="false">AM25*(1-MIN(1,INDEX(Tabla_Mortalidad!$B$5:$B$75,MIN(71,Cartera_Polizas!$B$27+37-49))*(1+(Cartera_Polizas!$P$27-1)*MAX(0,1-37/Supuestos!$C$20))*(1-Supuestos!$C$18)^37))</f>
        <v>8.89588913384939E-010</v>
      </c>
      <c r="AO25" s="29" t="n">
        <f aca="false">AN25*(1-MIN(1,INDEX(Tabla_Mortalidad!$B$5:$B$75,MIN(71,Cartera_Polizas!$B$27+38-49))*(1+(Cartera_Polizas!$P$27-1)*MAX(0,1-38/Supuestos!$C$20))*(1-Supuestos!$C$18)^38))</f>
        <v>1.54285757139801E-010</v>
      </c>
      <c r="AP25" s="29" t="n">
        <f aca="false">AO25*(1-MIN(1,INDEX(Tabla_Mortalidad!$B$5:$B$75,MIN(71,Cartera_Polizas!$B$27+39-49))*(1+(Cartera_Polizas!$P$27-1)*MAX(0,1-39/Supuestos!$C$20))*(1-Supuestos!$C$18)^39))</f>
        <v>2.73961697481258E-011</v>
      </c>
      <c r="AQ25" s="29" t="n">
        <f aca="false">AP25*(1-MIN(1,INDEX(Tabla_Mortalidad!$B$5:$B$75,MIN(71,Cartera_Polizas!$B$27+40-49))*(1+(Cartera_Polizas!$P$27-1)*MAX(0,1-40/Supuestos!$C$20))*(1-Supuestos!$C$18)^40))</f>
        <v>4.97733280428176E-012</v>
      </c>
      <c r="AR25" s="29" t="n">
        <f aca="false">AQ25*(1-MIN(1,INDEX(Tabla_Mortalidad!$B$5:$B$75,MIN(71,Cartera_Polizas!$B$27+41-49))*(1+(Cartera_Polizas!$P$27-1)*MAX(0,1-41/Supuestos!$C$20))*(1-Supuestos!$C$18)^41))</f>
        <v>9.24646479425634E-013</v>
      </c>
      <c r="AS25" s="29" t="n">
        <f aca="false">AR25*(1-MIN(1,INDEX(Tabla_Mortalidad!$B$5:$B$75,MIN(71,Cartera_Polizas!$B$27+42-49))*(1+(Cartera_Polizas!$P$27-1)*MAX(0,1-42/Supuestos!$C$20))*(1-Supuestos!$C$18)^42))</f>
        <v>1.75537312247854E-013</v>
      </c>
      <c r="AT25" s="29" t="n">
        <f aca="false">AS25*(1-MIN(1,INDEX(Tabla_Mortalidad!$B$5:$B$75,MIN(71,Cartera_Polizas!$B$27+43-49))*(1+(Cartera_Polizas!$P$27-1)*MAX(0,1-43/Supuestos!$C$20))*(1-Supuestos!$C$18)^43))</f>
        <v>3.40355278913541E-014</v>
      </c>
      <c r="AU25" s="29" t="n">
        <f aca="false">AT25*(1-MIN(1,INDEX(Tabla_Mortalidad!$B$5:$B$75,MIN(71,Cartera_Polizas!$B$27+44-49))*(1+(Cartera_Polizas!$P$27-1)*MAX(0,1-44/Supuestos!$C$20))*(1-Supuestos!$C$18)^44))</f>
        <v>6.73644584926879E-015</v>
      </c>
    </row>
    <row r="26" customFormat="false" ht="15" hidden="false" customHeight="false" outlineLevel="0" collapsed="false">
      <c r="A26" s="14" t="n">
        <f aca="false">Cartera_Polizas!A28</f>
        <v>23</v>
      </c>
      <c r="B26" s="26" t="n">
        <f aca="false">SUM(C26:AU26)+0.5</f>
        <v>10.2514284667808</v>
      </c>
      <c r="C26" s="29" t="n">
        <f aca="false">1-MIN(1,INDEX(Tabla_Mortalidad!$B$5:$B$75,MIN(71,Cartera_Polizas!$B$28+0-49))*(1+(Cartera_Polizas!$P$28-1)*MAX(0,1-0/Supuestos!$C$20))*(1-Supuestos!$C$18)^0)</f>
        <v>0.946171423</v>
      </c>
      <c r="D26" s="29" t="n">
        <f aca="false">C26*(1-MIN(1,INDEX(Tabla_Mortalidad!$B$5:$B$75,MIN(71,Cartera_Polizas!$B$28+1-49))*(1+(Cartera_Polizas!$P$28-1)*MAX(0,1-1/Supuestos!$C$20))*(1-Supuestos!$C$18)^1))</f>
        <v>0.891460634198522</v>
      </c>
      <c r="E26" s="29" t="n">
        <f aca="false">D26*(1-MIN(1,INDEX(Tabla_Mortalidad!$B$5:$B$75,MIN(71,Cartera_Polizas!$B$28+2-49))*(1+(Cartera_Polizas!$P$28-1)*MAX(0,1-2/Supuestos!$C$20))*(1-Supuestos!$C$18)^2))</f>
        <v>0.836155699955804</v>
      </c>
      <c r="F26" s="29" t="n">
        <f aca="false">E26*(1-MIN(1,INDEX(Tabla_Mortalidad!$B$5:$B$75,MIN(71,Cartera_Polizas!$B$28+3-49))*(1+(Cartera_Polizas!$P$28-1)*MAX(0,1-3/Supuestos!$C$20))*(1-Supuestos!$C$18)^3))</f>
        <v>0.780574544868367</v>
      </c>
      <c r="G26" s="29" t="n">
        <f aca="false">F26*(1-MIN(1,INDEX(Tabla_Mortalidad!$B$5:$B$75,MIN(71,Cartera_Polizas!$B$28+4-49))*(1+(Cartera_Polizas!$P$28-1)*MAX(0,1-4/Supuestos!$C$20))*(1-Supuestos!$C$18)^4))</f>
        <v>0.725060155640618</v>
      </c>
      <c r="H26" s="29" t="n">
        <f aca="false">G26*(1-MIN(1,INDEX(Tabla_Mortalidad!$B$5:$B$75,MIN(71,Cartera_Polizas!$B$28+5-49))*(1+(Cartera_Polizas!$P$28-1)*MAX(0,1-5/Supuestos!$C$20))*(1-Supuestos!$C$18)^5))</f>
        <v>0.669972627514277</v>
      </c>
      <c r="I26" s="29" t="n">
        <f aca="false">H26*(1-MIN(1,INDEX(Tabla_Mortalidad!$B$5:$B$75,MIN(71,Cartera_Polizas!$B$28+6-49))*(1+(Cartera_Polizas!$P$28-1)*MAX(0,1-6/Supuestos!$C$20))*(1-Supuestos!$C$18)^6))</f>
        <v>0.615684520307766</v>
      </c>
      <c r="J26" s="29" t="n">
        <f aca="false">I26*(1-MIN(1,INDEX(Tabla_Mortalidad!$B$5:$B$75,MIN(71,Cartera_Polizas!$B$28+7-49))*(1+(Cartera_Polizas!$P$28-1)*MAX(0,1-7/Supuestos!$C$20))*(1-Supuestos!$C$18)^7))</f>
        <v>0.562574083627785</v>
      </c>
      <c r="K26" s="29" t="n">
        <f aca="false">J26*(1-MIN(1,INDEX(Tabla_Mortalidad!$B$5:$B$75,MIN(71,Cartera_Polizas!$B$28+8-49))*(1+(Cartera_Polizas!$P$28-1)*MAX(0,1-8/Supuestos!$C$20))*(1-Supuestos!$C$18)^8))</f>
        <v>0.511013519633861</v>
      </c>
      <c r="L26" s="29" t="n">
        <f aca="false">K26*(1-MIN(1,INDEX(Tabla_Mortalidad!$B$5:$B$75,MIN(71,Cartera_Polizas!$B$28+9-49))*(1+(Cartera_Polizas!$P$28-1)*MAX(0,1-9/Supuestos!$C$20))*(1-Supuestos!$C$18)^9))</f>
        <v>0.461358753496201</v>
      </c>
      <c r="M26" s="29" t="n">
        <f aca="false">L26*(1-MIN(1,INDEX(Tabla_Mortalidad!$B$5:$B$75,MIN(71,Cartera_Polizas!$B$28+10-49))*(1+(Cartera_Polizas!$P$28-1)*MAX(0,1-10/Supuestos!$C$20))*(1-Supuestos!$C$18)^10))</f>
        <v>0.413942280923913</v>
      </c>
      <c r="N26" s="29" t="n">
        <f aca="false">M26*(1-MIN(1,INDEX(Tabla_Mortalidad!$B$5:$B$75,MIN(71,Cartera_Polizas!$B$28+11-49))*(1+(Cartera_Polizas!$P$28-1)*MAX(0,1-11/Supuestos!$C$20))*(1-Supuestos!$C$18)^11))</f>
        <v>0.369059248009229</v>
      </c>
      <c r="O26" s="29" t="n">
        <f aca="false">N26*(1-MIN(1,INDEX(Tabla_Mortalidad!$B$5:$B$75,MIN(71,Cartera_Polizas!$B$28+12-49))*(1+(Cartera_Polizas!$P$28-1)*MAX(0,1-12/Supuestos!$C$20))*(1-Supuestos!$C$18)^12))</f>
        <v>0.326962018850621</v>
      </c>
      <c r="P26" s="29" t="n">
        <f aca="false">O26*(1-MIN(1,INDEX(Tabla_Mortalidad!$B$5:$B$75,MIN(71,Cartera_Polizas!$B$28+13-49))*(1+(Cartera_Polizas!$P$28-1)*MAX(0,1-13/Supuestos!$C$20))*(1-Supuestos!$C$18)^13))</f>
        <v>0.287849935570756</v>
      </c>
      <c r="Q26" s="29" t="n">
        <f aca="false">P26*(1-MIN(1,INDEX(Tabla_Mortalidad!$B$5:$B$75,MIN(71,Cartera_Polizas!$B$28+14-49))*(1+(Cartera_Polizas!$P$28-1)*MAX(0,1-14/Supuestos!$C$20))*(1-Supuestos!$C$18)^14))</f>
        <v>0.251864310360262</v>
      </c>
      <c r="R26" s="29" t="n">
        <f aca="false">Q26*(1-MIN(1,INDEX(Tabla_Mortalidad!$B$5:$B$75,MIN(71,Cartera_Polizas!$B$28+15-49))*(1+(Cartera_Polizas!$P$28-1)*MAX(0,1-15/Supuestos!$C$20))*(1-Supuestos!$C$18)^15))</f>
        <v>0.219084875079462</v>
      </c>
      <c r="S26" s="29" t="n">
        <f aca="false">R26*(1-MIN(1,INDEX(Tabla_Mortalidad!$B$5:$B$75,MIN(71,Cartera_Polizas!$B$28+16-49))*(1+(Cartera_Polizas!$P$28-1)*MAX(0,1-16/Supuestos!$C$20))*(1-Supuestos!$C$18)^16))</f>
        <v>0.18768499605627</v>
      </c>
      <c r="T26" s="29" t="n">
        <f aca="false">S26*(1-MIN(1,INDEX(Tabla_Mortalidad!$B$5:$B$75,MIN(71,Cartera_Polizas!$B$28+17-49))*(1+(Cartera_Polizas!$P$28-1)*MAX(0,1-17/Supuestos!$C$20))*(1-Supuestos!$C$18)^17))</f>
        <v>0.158090914240442</v>
      </c>
      <c r="U26" s="29" t="n">
        <f aca="false">T26*(1-MIN(1,INDEX(Tabla_Mortalidad!$B$5:$B$75,MIN(71,Cartera_Polizas!$B$28+18-49))*(1+(Cartera_Polizas!$P$28-1)*MAX(0,1-18/Supuestos!$C$20))*(1-Supuestos!$C$18)^18))</f>
        <v>0.130695378905289</v>
      </c>
      <c r="V26" s="29" t="n">
        <f aca="false">U26*(1-MIN(1,INDEX(Tabla_Mortalidad!$B$5:$B$75,MIN(71,Cartera_Polizas!$B$28+19-49))*(1+(Cartera_Polizas!$P$28-1)*MAX(0,1-19/Supuestos!$C$20))*(1-Supuestos!$C$18)^19))</f>
        <v>0.105834499075621</v>
      </c>
      <c r="W26" s="29" t="n">
        <f aca="false">V26*(1-MIN(1,INDEX(Tabla_Mortalidad!$B$5:$B$75,MIN(71,Cartera_Polizas!$B$28+20-49))*(1+(Cartera_Polizas!$P$28-1)*MAX(0,1-20/Supuestos!$C$20))*(1-Supuestos!$C$18)^20))</f>
        <v>0.0837648412173209</v>
      </c>
      <c r="X26" s="29" t="n">
        <f aca="false">W26*(1-MIN(1,INDEX(Tabla_Mortalidad!$B$5:$B$75,MIN(71,Cartera_Polizas!$B$28+21-49))*(1+(Cartera_Polizas!$P$28-1)*MAX(0,1-21/Supuestos!$C$20))*(1-Supuestos!$C$18)^21))</f>
        <v>0.0646436672957393</v>
      </c>
      <c r="Y26" s="29" t="n">
        <f aca="false">X26*(1-MIN(1,INDEX(Tabla_Mortalidad!$B$5:$B$75,MIN(71,Cartera_Polizas!$B$28+22-49))*(1+(Cartera_Polizas!$P$28-1)*MAX(0,1-22/Supuestos!$C$20))*(1-Supuestos!$C$18)^22))</f>
        <v>0.0485160701712344</v>
      </c>
      <c r="Z26" s="29" t="n">
        <f aca="false">Y26*(1-MIN(1,INDEX(Tabla_Mortalidad!$B$5:$B$75,MIN(71,Cartera_Polizas!$B$28+23-49))*(1+(Cartera_Polizas!$P$28-1)*MAX(0,1-23/Supuestos!$C$20))*(1-Supuestos!$C$18)^23))</f>
        <v>0.0353106033466484</v>
      </c>
      <c r="AA26" s="29" t="n">
        <f aca="false">Z26*(1-MIN(1,INDEX(Tabla_Mortalidad!$B$5:$B$75,MIN(71,Cartera_Polizas!$B$28+24-49))*(1+(Cartera_Polizas!$P$28-1)*MAX(0,1-24/Supuestos!$C$20))*(1-Supuestos!$C$18)^24))</f>
        <v>0.0248451877949511</v>
      </c>
      <c r="AB26" s="29" t="n">
        <f aca="false">AA26*(1-MIN(1,INDEX(Tabla_Mortalidad!$B$5:$B$75,MIN(71,Cartera_Polizas!$B$28+25-49))*(1+(Cartera_Polizas!$P$28-1)*MAX(0,1-25/Supuestos!$C$20))*(1-Supuestos!$C$18)^25))</f>
        <v>0.0168440778106793</v>
      </c>
      <c r="AC26" s="29" t="n">
        <f aca="false">AB26*(1-MIN(1,INDEX(Tabla_Mortalidad!$B$5:$B$75,MIN(71,Cartera_Polizas!$B$28+26-49))*(1+(Cartera_Polizas!$P$28-1)*MAX(0,1-26/Supuestos!$C$20))*(1-Supuestos!$C$18)^26))</f>
        <v>0.0109638050822076</v>
      </c>
      <c r="AD26" s="29" t="n">
        <f aca="false">AC26*(1-MIN(1,INDEX(Tabla_Mortalidad!$B$5:$B$75,MIN(71,Cartera_Polizas!$B$28+27-49))*(1+(Cartera_Polizas!$P$28-1)*MAX(0,1-27/Supuestos!$C$20))*(1-Supuestos!$C$18)^27))</f>
        <v>0.00682528438376584</v>
      </c>
      <c r="AE26" s="29" t="n">
        <f aca="false">AD26*(1-MIN(1,INDEX(Tabla_Mortalidad!$B$5:$B$75,MIN(71,Cartera_Polizas!$B$28+28-49))*(1+(Cartera_Polizas!$P$28-1)*MAX(0,1-28/Supuestos!$C$20))*(1-Supuestos!$C$18)^28))</f>
        <v>0.00404730982553365</v>
      </c>
      <c r="AF26" s="29" t="n">
        <f aca="false">AE26*(1-MIN(1,INDEX(Tabla_Mortalidad!$B$5:$B$75,MIN(71,Cartera_Polizas!$B$28+29-49))*(1+(Cartera_Polizas!$P$28-1)*MAX(0,1-29/Supuestos!$C$20))*(1-Supuestos!$C$18)^29))</f>
        <v>0.00227645883659883</v>
      </c>
      <c r="AG26" s="29" t="n">
        <f aca="false">AF26*(1-MIN(1,INDEX(Tabla_Mortalidad!$B$5:$B$75,MIN(71,Cartera_Polizas!$B$28+30-49))*(1+(Cartera_Polizas!$P$28-1)*MAX(0,1-30/Supuestos!$C$20))*(1-Supuestos!$C$18)^30))</f>
        <v>0.00120922724957603</v>
      </c>
      <c r="AH26" s="29" t="n">
        <f aca="false">AG26*(1-MIN(1,INDEX(Tabla_Mortalidad!$B$5:$B$75,MIN(71,Cartera_Polizas!$B$28+31-49))*(1+(Cartera_Polizas!$P$28-1)*MAX(0,1-31/Supuestos!$C$20))*(1-Supuestos!$C$18)^31))</f>
        <v>0.000603951113969094</v>
      </c>
      <c r="AI26" s="29" t="n">
        <f aca="false">AH26*(1-MIN(1,INDEX(Tabla_Mortalidad!$B$5:$B$75,MIN(71,Cartera_Polizas!$B$28+32-49))*(1+(Cartera_Polizas!$P$28-1)*MAX(0,1-32/Supuestos!$C$20))*(1-Supuestos!$C$18)^32))</f>
        <v>0.000282403417646933</v>
      </c>
      <c r="AJ26" s="29" t="n">
        <f aca="false">AI26*(1-MIN(1,INDEX(Tabla_Mortalidad!$B$5:$B$75,MIN(71,Cartera_Polizas!$B$28+33-49))*(1+(Cartera_Polizas!$P$28-1)*MAX(0,1-33/Supuestos!$C$20))*(1-Supuestos!$C$18)^33))</f>
        <v>0.0001231274304972</v>
      </c>
      <c r="AK26" s="29" t="n">
        <f aca="false">AJ26*(1-MIN(1,INDEX(Tabla_Mortalidad!$B$5:$B$75,MIN(71,Cartera_Polizas!$B$28+34-49))*(1+(Cartera_Polizas!$P$28-1)*MAX(0,1-34/Supuestos!$C$20))*(1-Supuestos!$C$18)^34))</f>
        <v>4.98777390581063E-005</v>
      </c>
      <c r="AL26" s="29" t="n">
        <f aca="false">AK26*(1-MIN(1,INDEX(Tabla_Mortalidad!$B$5:$B$75,MIN(71,Cartera_Polizas!$B$28+35-49))*(1+(Cartera_Polizas!$P$28-1)*MAX(0,1-35/Supuestos!$C$20))*(1-Supuestos!$C$18)^35))</f>
        <v>1.87200884233064E-005</v>
      </c>
      <c r="AM26" s="29" t="n">
        <f aca="false">AL26*(1-MIN(1,INDEX(Tabla_Mortalidad!$B$5:$B$75,MIN(71,Cartera_Polizas!$B$28+36-49))*(1+(Cartera_Polizas!$P$28-1)*MAX(0,1-36/Supuestos!$C$20))*(1-Supuestos!$C$18)^36))</f>
        <v>6.49859013323046E-006</v>
      </c>
      <c r="AN26" s="29" t="n">
        <f aca="false">AM26*(1-MIN(1,INDEX(Tabla_Mortalidad!$B$5:$B$75,MIN(71,Cartera_Polizas!$B$28+37-49))*(1+(Cartera_Polizas!$P$28-1)*MAX(0,1-37/Supuestos!$C$20))*(1-Supuestos!$C$18)^37))</f>
        <v>2.08612046798372E-006</v>
      </c>
      <c r="AO26" s="29" t="n">
        <f aca="false">AN26*(1-MIN(1,INDEX(Tabla_Mortalidad!$B$5:$B$75,MIN(71,Cartera_Polizas!$B$28+38-49))*(1+(Cartera_Polizas!$P$28-1)*MAX(0,1-38/Supuestos!$C$20))*(1-Supuestos!$C$18)^38))</f>
        <v>6.20254940441729E-007</v>
      </c>
      <c r="AP26" s="29" t="n">
        <f aca="false">AO26*(1-MIN(1,INDEX(Tabla_Mortalidad!$B$5:$B$75,MIN(71,Cartera_Polizas!$B$28+39-49))*(1+(Cartera_Polizas!$P$28-1)*MAX(0,1-39/Supuestos!$C$20))*(1-Supuestos!$C$18)^39))</f>
        <v>1.71455440453842E-007</v>
      </c>
      <c r="AQ26" s="29" t="n">
        <f aca="false">AP26*(1-MIN(1,INDEX(Tabla_Mortalidad!$B$5:$B$75,MIN(71,Cartera_Polizas!$B$28+40-49))*(1+(Cartera_Polizas!$P$28-1)*MAX(0,1-40/Supuestos!$C$20))*(1-Supuestos!$C$18)^40))</f>
        <v>4.43328219008385E-008</v>
      </c>
      <c r="AR26" s="29" t="n">
        <f aca="false">AQ26*(1-MIN(1,INDEX(Tabla_Mortalidad!$B$5:$B$75,MIN(71,Cartera_Polizas!$B$28+41-49))*(1+(Cartera_Polizas!$P$28-1)*MAX(0,1-41/Supuestos!$C$20))*(1-Supuestos!$C$18)^41))</f>
        <v>1.08119841360291E-008</v>
      </c>
      <c r="AS26" s="29" t="n">
        <f aca="false">AR26*(1-MIN(1,INDEX(Tabla_Mortalidad!$B$5:$B$75,MIN(71,Cartera_Polizas!$B$28+42-49))*(1+(Cartera_Polizas!$P$28-1)*MAX(0,1-42/Supuestos!$C$20))*(1-Supuestos!$C$18)^42))</f>
        <v>2.5124794146591E-009</v>
      </c>
      <c r="AT26" s="29" t="n">
        <f aca="false">AS26*(1-MIN(1,INDEX(Tabla_Mortalidad!$B$5:$B$75,MIN(71,Cartera_Polizas!$B$28+43-49))*(1+(Cartera_Polizas!$P$28-1)*MAX(0,1-43/Supuestos!$C$20))*(1-Supuestos!$C$18)^43))</f>
        <v>4.87153198935506E-010</v>
      </c>
      <c r="AU26" s="29" t="n">
        <f aca="false">AT26*(1-MIN(1,INDEX(Tabla_Mortalidad!$B$5:$B$75,MIN(71,Cartera_Polizas!$B$28+44-49))*(1+(Cartera_Polizas!$P$28-1)*MAX(0,1-44/Supuestos!$C$20))*(1-Supuestos!$C$18)^44))</f>
        <v>9.6419281504981E-011</v>
      </c>
    </row>
    <row r="27" customFormat="false" ht="15" hidden="false" customHeight="false" outlineLevel="0" collapsed="false">
      <c r="A27" s="14" t="n">
        <f aca="false">Cartera_Polizas!A29</f>
        <v>24</v>
      </c>
      <c r="B27" s="26" t="n">
        <f aca="false">SUM(C27:AU27)+0.5</f>
        <v>5.43649171772469</v>
      </c>
      <c r="C27" s="29" t="n">
        <f aca="false">1-MIN(1,INDEX(Tabla_Mortalidad!$B$5:$B$75,MIN(71,Cartera_Polizas!$B$29+0-49))*(1+(Cartera_Polizas!$P$29-1)*MAX(0,1-0/Supuestos!$C$20))*(1-Supuestos!$C$18)^0)</f>
        <v>0.86978761825</v>
      </c>
      <c r="D27" s="29" t="n">
        <f aca="false">C27*(1-MIN(1,INDEX(Tabla_Mortalidad!$B$5:$B$75,MIN(71,Cartera_Polizas!$B$29+1-49))*(1+(Cartera_Polizas!$P$29-1)*MAX(0,1-1/Supuestos!$C$20))*(1-Supuestos!$C$18)^1))</f>
        <v>0.748902488614521</v>
      </c>
      <c r="E27" s="29" t="n">
        <f aca="false">D27*(1-MIN(1,INDEX(Tabla_Mortalidad!$B$5:$B$75,MIN(71,Cartera_Polizas!$B$29+2-49))*(1+(Cartera_Polizas!$P$29-1)*MAX(0,1-2/Supuestos!$C$20))*(1-Supuestos!$C$18)^2))</f>
        <v>0.638003072039795</v>
      </c>
      <c r="F27" s="29" t="n">
        <f aca="false">E27*(1-MIN(1,INDEX(Tabla_Mortalidad!$B$5:$B$75,MIN(71,Cartera_Polizas!$B$29+3-49))*(1+(Cartera_Polizas!$P$29-1)*MAX(0,1-3/Supuestos!$C$20))*(1-Supuestos!$C$18)^3))</f>
        <v>0.537535514453078</v>
      </c>
      <c r="G27" s="29" t="n">
        <f aca="false">F27*(1-MIN(1,INDEX(Tabla_Mortalidad!$B$5:$B$75,MIN(71,Cartera_Polizas!$B$29+4-49))*(1+(Cartera_Polizas!$P$29-1)*MAX(0,1-4/Supuestos!$C$20))*(1-Supuestos!$C$18)^4))</f>
        <v>0.447708432636513</v>
      </c>
      <c r="H27" s="29" t="n">
        <f aca="false">G27*(1-MIN(1,INDEX(Tabla_Mortalidad!$B$5:$B$75,MIN(71,Cartera_Polizas!$B$29+5-49))*(1+(Cartera_Polizas!$P$29-1)*MAX(0,1-5/Supuestos!$C$20))*(1-Supuestos!$C$18)^5))</f>
        <v>0.368496136818136</v>
      </c>
      <c r="I27" s="29" t="n">
        <f aca="false">H27*(1-MIN(1,INDEX(Tabla_Mortalidad!$B$5:$B$75,MIN(71,Cartera_Polizas!$B$29+6-49))*(1+(Cartera_Polizas!$P$29-1)*MAX(0,1-6/Supuestos!$C$20))*(1-Supuestos!$C$18)^6))</f>
        <v>0.299640334231737</v>
      </c>
      <c r="J27" s="29" t="n">
        <f aca="false">I27*(1-MIN(1,INDEX(Tabla_Mortalidad!$B$5:$B$75,MIN(71,Cartera_Polizas!$B$29+7-49))*(1+(Cartera_Polizas!$P$29-1)*MAX(0,1-7/Supuestos!$C$20))*(1-Supuestos!$C$18)^7))</f>
        <v>0.240671158033542</v>
      </c>
      <c r="K27" s="29" t="n">
        <f aca="false">J27*(1-MIN(1,INDEX(Tabla_Mortalidad!$B$5:$B$75,MIN(71,Cartera_Polizas!$B$29+8-49))*(1+(Cartera_Polizas!$P$29-1)*MAX(0,1-8/Supuestos!$C$20))*(1-Supuestos!$C$18)^8))</f>
        <v>0.190937129666175</v>
      </c>
      <c r="L27" s="29" t="n">
        <f aca="false">K27*(1-MIN(1,INDEX(Tabla_Mortalidad!$B$5:$B$75,MIN(71,Cartera_Polizas!$B$29+9-49))*(1+(Cartera_Polizas!$P$29-1)*MAX(0,1-9/Supuestos!$C$20))*(1-Supuestos!$C$18)^9))</f>
        <v>0.149644347397751</v>
      </c>
      <c r="M27" s="29" t="n">
        <f aca="false">L27*(1-MIN(1,INDEX(Tabla_Mortalidad!$B$5:$B$75,MIN(71,Cartera_Polizas!$B$29+10-49))*(1+(Cartera_Polizas!$P$29-1)*MAX(0,1-10/Supuestos!$C$20))*(1-Supuestos!$C$18)^10))</f>
        <v>0.115900925821676</v>
      </c>
      <c r="N27" s="29" t="n">
        <f aca="false">M27*(1-MIN(1,INDEX(Tabla_Mortalidad!$B$5:$B$75,MIN(71,Cartera_Polizas!$B$29+11-49))*(1+(Cartera_Polizas!$P$29-1)*MAX(0,1-11/Supuestos!$C$20))*(1-Supuestos!$C$18)^11))</f>
        <v>0.0887630660200792</v>
      </c>
      <c r="O27" s="29" t="n">
        <f aca="false">N27*(1-MIN(1,INDEX(Tabla_Mortalidad!$B$5:$B$75,MIN(71,Cartera_Polizas!$B$29+12-49))*(1+(Cartera_Polizas!$P$29-1)*MAX(0,1-12/Supuestos!$C$20))*(1-Supuestos!$C$18)^12))</f>
        <v>0.0672805830281684</v>
      </c>
      <c r="P27" s="29" t="n">
        <f aca="false">O27*(1-MIN(1,INDEX(Tabla_Mortalidad!$B$5:$B$75,MIN(71,Cartera_Polizas!$B$29+13-49))*(1+(Cartera_Polizas!$P$29-1)*MAX(0,1-13/Supuestos!$C$20))*(1-Supuestos!$C$18)^13))</f>
        <v>0.0505364723989921</v>
      </c>
      <c r="Q27" s="29" t="n">
        <f aca="false">P27*(1-MIN(1,INDEX(Tabla_Mortalidad!$B$5:$B$75,MIN(71,Cartera_Polizas!$B$29+14-49))*(1+(Cartera_Polizas!$P$29-1)*MAX(0,1-14/Supuestos!$C$20))*(1-Supuestos!$C$18)^14))</f>
        <v>0.0376786047670755</v>
      </c>
      <c r="R27" s="29" t="n">
        <f aca="false">Q27*(1-MIN(1,INDEX(Tabla_Mortalidad!$B$5:$B$75,MIN(71,Cartera_Polizas!$B$29+15-49))*(1+(Cartera_Polizas!$P$29-1)*MAX(0,1-15/Supuestos!$C$20))*(1-Supuestos!$C$18)^15))</f>
        <v>0.0279426863294198</v>
      </c>
      <c r="S27" s="29" t="n">
        <f aca="false">R27*(1-MIN(1,INDEX(Tabla_Mortalidad!$B$5:$B$75,MIN(71,Cartera_Polizas!$B$29+16-49))*(1+(Cartera_Polizas!$P$29-1)*MAX(0,1-16/Supuestos!$C$20))*(1-Supuestos!$C$18)^16))</f>
        <v>0.0200654344342986</v>
      </c>
      <c r="T27" s="29" t="n">
        <f aca="false">S27*(1-MIN(1,INDEX(Tabla_Mortalidad!$B$5:$B$75,MIN(71,Cartera_Polizas!$B$29+17-49))*(1+(Cartera_Polizas!$P$29-1)*MAX(0,1-17/Supuestos!$C$20))*(1-Supuestos!$C$18)^17))</f>
        <v>0.0139060353933753</v>
      </c>
      <c r="U27" s="29" t="n">
        <f aca="false">T27*(1-MIN(1,INDEX(Tabla_Mortalidad!$B$5:$B$75,MIN(71,Cartera_Polizas!$B$29+18-49))*(1+(Cartera_Polizas!$P$29-1)*MAX(0,1-18/Supuestos!$C$20))*(1-Supuestos!$C$18)^18))</f>
        <v>0.00926783272136081</v>
      </c>
      <c r="V27" s="29" t="n">
        <f aca="false">U27*(1-MIN(1,INDEX(Tabla_Mortalidad!$B$5:$B$75,MIN(71,Cartera_Polizas!$B$29+19-49))*(1+(Cartera_Polizas!$P$29-1)*MAX(0,1-19/Supuestos!$C$20))*(1-Supuestos!$C$18)^19))</f>
        <v>0.00591689117967653</v>
      </c>
      <c r="W27" s="29" t="n">
        <f aca="false">V27*(1-MIN(1,INDEX(Tabla_Mortalidad!$B$5:$B$75,MIN(71,Cartera_Polizas!$B$29+20-49))*(1+(Cartera_Polizas!$P$29-1)*MAX(0,1-20/Supuestos!$C$20))*(1-Supuestos!$C$18)^20))</f>
        <v>0.00360367701747581</v>
      </c>
      <c r="X27" s="29" t="n">
        <f aca="false">W27*(1-MIN(1,INDEX(Tabla_Mortalidad!$B$5:$B$75,MIN(71,Cartera_Polizas!$B$29+21-49))*(1+(Cartera_Polizas!$P$29-1)*MAX(0,1-21/Supuestos!$C$20))*(1-Supuestos!$C$18)^21))</f>
        <v>0.00208455797649604</v>
      </c>
      <c r="Y27" s="29" t="n">
        <f aca="false">X27*(1-MIN(1,INDEX(Tabla_Mortalidad!$B$5:$B$75,MIN(71,Cartera_Polizas!$B$29+22-49))*(1+(Cartera_Polizas!$P$29-1)*MAX(0,1-22/Supuestos!$C$20))*(1-Supuestos!$C$18)^22))</f>
        <v>0.00113991439038979</v>
      </c>
      <c r="Z27" s="29" t="n">
        <f aca="false">Y27*(1-MIN(1,INDEX(Tabla_Mortalidad!$B$5:$B$75,MIN(71,Cartera_Polizas!$B$29+23-49))*(1+(Cartera_Polizas!$P$29-1)*MAX(0,1-23/Supuestos!$C$20))*(1-Supuestos!$C$18)^23))</f>
        <v>0.000586424694768536</v>
      </c>
      <c r="AA27" s="29" t="n">
        <f aca="false">Z27*(1-MIN(1,INDEX(Tabla_Mortalidad!$B$5:$B$75,MIN(71,Cartera_Polizas!$B$29+24-49))*(1+(Cartera_Polizas!$P$29-1)*MAX(0,1-24/Supuestos!$C$20))*(1-Supuestos!$C$18)^24))</f>
        <v>0.000282408785402081</v>
      </c>
      <c r="AB27" s="29" t="n">
        <f aca="false">AA27*(1-MIN(1,INDEX(Tabla_Mortalidad!$B$5:$B$75,MIN(71,Cartera_Polizas!$B$29+25-49))*(1+(Cartera_Polizas!$P$29-1)*MAX(0,1-25/Supuestos!$C$20))*(1-Supuestos!$C$18)^25))</f>
        <v>0.000126683099076492</v>
      </c>
      <c r="AC27" s="29" t="n">
        <f aca="false">AB27*(1-MIN(1,INDEX(Tabla_Mortalidad!$B$5:$B$75,MIN(71,Cartera_Polizas!$B$29+26-49))*(1+(Cartera_Polizas!$P$29-1)*MAX(0,1-26/Supuestos!$C$20))*(1-Supuestos!$C$18)^26))</f>
        <v>5.26821191022239E-005</v>
      </c>
      <c r="AD27" s="29" t="n">
        <f aca="false">AC27*(1-MIN(1,INDEX(Tabla_Mortalidad!$B$5:$B$75,MIN(71,Cartera_Polizas!$B$29+27-49))*(1+(Cartera_Polizas!$P$29-1)*MAX(0,1-27/Supuestos!$C$20))*(1-Supuestos!$C$18)^27))</f>
        <v>2.02218097973525E-005</v>
      </c>
      <c r="AE27" s="29" t="n">
        <f aca="false">AD27*(1-MIN(1,INDEX(Tabla_Mortalidad!$B$5:$B$75,MIN(71,Cartera_Polizas!$B$29+28-49))*(1+(Cartera_Polizas!$P$29-1)*MAX(0,1-28/Supuestos!$C$20))*(1-Supuestos!$C$18)^28))</f>
        <v>7.13853689224877E-006</v>
      </c>
      <c r="AF27" s="29" t="n">
        <f aca="false">AE27*(1-MIN(1,INDEX(Tabla_Mortalidad!$B$5:$B$75,MIN(71,Cartera_Polizas!$B$29+29-49))*(1+(Cartera_Polizas!$P$29-1)*MAX(0,1-29/Supuestos!$C$20))*(1-Supuestos!$C$18)^29))</f>
        <v>2.31168249278093E-006</v>
      </c>
      <c r="AG27" s="29" t="n">
        <f aca="false">AF27*(1-MIN(1,INDEX(Tabla_Mortalidad!$B$5:$B$75,MIN(71,Cartera_Polizas!$B$29+30-49))*(1+(Cartera_Polizas!$P$29-1)*MAX(0,1-30/Supuestos!$C$20))*(1-Supuestos!$C$18)^30))</f>
        <v>6.8602442150864E-007</v>
      </c>
      <c r="AH27" s="29" t="n">
        <f aca="false">AG27*(1-MIN(1,INDEX(Tabla_Mortalidad!$B$5:$B$75,MIN(71,Cartera_Polizas!$B$29+31-49))*(1+(Cartera_Polizas!$P$29-1)*MAX(0,1-31/Supuestos!$C$20))*(1-Supuestos!$C$18)^31))</f>
        <v>1.86757539782578E-007</v>
      </c>
      <c r="AI27" s="29" t="n">
        <f aca="false">AH27*(1-MIN(1,INDEX(Tabla_Mortalidad!$B$5:$B$75,MIN(71,Cartera_Polizas!$B$29+32-49))*(1+(Cartera_Polizas!$P$29-1)*MAX(0,1-32/Supuestos!$C$20))*(1-Supuestos!$C$18)^32))</f>
        <v>4.67992228687495E-008</v>
      </c>
      <c r="AJ27" s="29" t="n">
        <f aca="false">AI27*(1-MIN(1,INDEX(Tabla_Mortalidad!$B$5:$B$75,MIN(71,Cartera_Polizas!$B$29+33-49))*(1+(Cartera_Polizas!$P$29-1)*MAX(0,1-33/Supuestos!$C$20))*(1-Supuestos!$C$18)^33))</f>
        <v>1.08616588178305E-008</v>
      </c>
      <c r="AK27" s="29" t="n">
        <f aca="false">AJ27*(1-MIN(1,INDEX(Tabla_Mortalidad!$B$5:$B$75,MIN(71,Cartera_Polizas!$B$29+34-49))*(1+(Cartera_Polizas!$P$29-1)*MAX(0,1-34/Supuestos!$C$20))*(1-Supuestos!$C$18)^34))</f>
        <v>2.35568425668106E-009</v>
      </c>
      <c r="AL27" s="29" t="n">
        <f aca="false">AK27*(1-MIN(1,INDEX(Tabla_Mortalidad!$B$5:$B$75,MIN(71,Cartera_Polizas!$B$29+35-49))*(1+(Cartera_Polizas!$P$29-1)*MAX(0,1-35/Supuestos!$C$20))*(1-Supuestos!$C$18)^35))</f>
        <v>4.8283729482606E-010</v>
      </c>
      <c r="AM27" s="29" t="n">
        <f aca="false">AL27*(1-MIN(1,INDEX(Tabla_Mortalidad!$B$5:$B$75,MIN(71,Cartera_Polizas!$B$29+36-49))*(1+(Cartera_Polizas!$P$29-1)*MAX(0,1-36/Supuestos!$C$20))*(1-Supuestos!$C$18)^36))</f>
        <v>7.9719736449125E-011</v>
      </c>
      <c r="AN27" s="29" t="n">
        <f aca="false">AM27*(1-MIN(1,INDEX(Tabla_Mortalidad!$B$5:$B$75,MIN(71,Cartera_Polizas!$B$29+37-49))*(1+(Cartera_Polizas!$P$29-1)*MAX(0,1-37/Supuestos!$C$20))*(1-Supuestos!$C$18)^37))</f>
        <v>1.349506050361E-011</v>
      </c>
      <c r="AO27" s="29" t="n">
        <f aca="false">AN27*(1-MIN(1,INDEX(Tabla_Mortalidad!$B$5:$B$75,MIN(71,Cartera_Polizas!$B$29+38-49))*(1+(Cartera_Polizas!$P$29-1)*MAX(0,1-38/Supuestos!$C$20))*(1-Supuestos!$C$18)^38))</f>
        <v>2.3405143613182E-012</v>
      </c>
      <c r="AP27" s="29" t="n">
        <f aca="false">AO27*(1-MIN(1,INDEX(Tabla_Mortalidad!$B$5:$B$75,MIN(71,Cartera_Polizas!$B$29+39-49))*(1+(Cartera_Polizas!$P$29-1)*MAX(0,1-39/Supuestos!$C$20))*(1-Supuestos!$C$18)^39))</f>
        <v>4.15599793067731E-013</v>
      </c>
      <c r="AQ27" s="29" t="n">
        <f aca="false">AP27*(1-MIN(1,INDEX(Tabla_Mortalidad!$B$5:$B$75,MIN(71,Cartera_Polizas!$B$29+40-49))*(1+(Cartera_Polizas!$P$29-1)*MAX(0,1-40/Supuestos!$C$20))*(1-Supuestos!$C$18)^40))</f>
        <v>7.5506120107547E-014</v>
      </c>
      <c r="AR27" s="29" t="n">
        <f aca="false">AQ27*(1-MIN(1,INDEX(Tabla_Mortalidad!$B$5:$B$75,MIN(71,Cartera_Polizas!$B$29+41-49))*(1+(Cartera_Polizas!$P$29-1)*MAX(0,1-41/Supuestos!$C$20))*(1-Supuestos!$C$18)^41))</f>
        <v>1.40268836499084E-014</v>
      </c>
      <c r="AS27" s="29" t="n">
        <f aca="false">AR27*(1-MIN(1,INDEX(Tabla_Mortalidad!$B$5:$B$75,MIN(71,Cartera_Polizas!$B$29+42-49))*(1+(Cartera_Polizas!$P$29-1)*MAX(0,1-42/Supuestos!$C$20))*(1-Supuestos!$C$18)^42))</f>
        <v>2.66290037317587E-015</v>
      </c>
      <c r="AT27" s="29" t="n">
        <f aca="false">AS27*(1-MIN(1,INDEX(Tabla_Mortalidad!$B$5:$B$75,MIN(71,Cartera_Polizas!$B$29+43-49))*(1+(Cartera_Polizas!$P$29-1)*MAX(0,1-43/Supuestos!$C$20))*(1-Supuestos!$C$18)^43))</f>
        <v>5.16318831378443E-016</v>
      </c>
      <c r="AU27" s="29" t="n">
        <f aca="false">AT27*(1-MIN(1,INDEX(Tabla_Mortalidad!$B$5:$B$75,MIN(71,Cartera_Polizas!$B$29+44-49))*(1+(Cartera_Polizas!$P$29-1)*MAX(0,1-44/Supuestos!$C$20))*(1-Supuestos!$C$18)^44))</f>
        <v>1.02191858449834E-016</v>
      </c>
    </row>
    <row r="28" customFormat="false" ht="15" hidden="false" customHeight="false" outlineLevel="0" collapsed="false">
      <c r="A28" s="14" t="n">
        <f aca="false">Cartera_Polizas!A30</f>
        <v>25</v>
      </c>
      <c r="B28" s="26" t="n">
        <f aca="false">SUM(C28:AU28)+0.5</f>
        <v>7.14500249346873</v>
      </c>
      <c r="C28" s="29" t="n">
        <f aca="false">1-MIN(1,INDEX(Tabla_Mortalidad!$B$5:$B$75,MIN(71,Cartera_Polizas!$B$30+0-49))*(1+(Cartera_Polizas!$P$30-1)*MAX(0,1-0/Supuestos!$C$20))*(1-Supuestos!$C$18)^0)</f>
        <v>0.9174262945</v>
      </c>
      <c r="D28" s="29" t="n">
        <f aca="false">C28*(1-MIN(1,INDEX(Tabla_Mortalidad!$B$5:$B$75,MIN(71,Cartera_Polizas!$B$30+1-49))*(1+(Cartera_Polizas!$P$30-1)*MAX(0,1-1/Supuestos!$C$20))*(1-Supuestos!$C$18)^1))</f>
        <v>0.835063584913507</v>
      </c>
      <c r="E28" s="29" t="n">
        <f aca="false">D28*(1-MIN(1,INDEX(Tabla_Mortalidad!$B$5:$B$75,MIN(71,Cartera_Polizas!$B$30+2-49))*(1+(Cartera_Polizas!$P$30-1)*MAX(0,1-2/Supuestos!$C$20))*(1-Supuestos!$C$18)^2))</f>
        <v>0.753614789012983</v>
      </c>
      <c r="F28" s="29" t="n">
        <f aca="false">E28*(1-MIN(1,INDEX(Tabla_Mortalidad!$B$5:$B$75,MIN(71,Cartera_Polizas!$B$30+3-49))*(1+(Cartera_Polizas!$P$30-1)*MAX(0,1-3/Supuestos!$C$20))*(1-Supuestos!$C$18)^3))</f>
        <v>0.673821385648333</v>
      </c>
      <c r="G28" s="29" t="n">
        <f aca="false">F28*(1-MIN(1,INDEX(Tabla_Mortalidad!$B$5:$B$75,MIN(71,Cartera_Polizas!$B$30+4-49))*(1+(Cartera_Polizas!$P$30-1)*MAX(0,1-4/Supuestos!$C$20))*(1-Supuestos!$C$18)^4))</f>
        <v>0.596437402009616</v>
      </c>
      <c r="H28" s="29" t="n">
        <f aca="false">G28*(1-MIN(1,INDEX(Tabla_Mortalidad!$B$5:$B$75,MIN(71,Cartera_Polizas!$B$30+5-49))*(1+(Cartera_Polizas!$P$30-1)*MAX(0,1-5/Supuestos!$C$20))*(1-Supuestos!$C$18)^5))</f>
        <v>0.522212291150553</v>
      </c>
      <c r="I28" s="29" t="n">
        <f aca="false">H28*(1-MIN(1,INDEX(Tabla_Mortalidad!$B$5:$B$75,MIN(71,Cartera_Polizas!$B$30+6-49))*(1+(Cartera_Polizas!$P$30-1)*MAX(0,1-6/Supuestos!$C$20))*(1-Supuestos!$C$18)^6))</f>
        <v>0.451860264866149</v>
      </c>
      <c r="J28" s="29" t="n">
        <f aca="false">I28*(1-MIN(1,INDEX(Tabla_Mortalidad!$B$5:$B$75,MIN(71,Cartera_Polizas!$B$30+7-49))*(1+(Cartera_Polizas!$P$30-1)*MAX(0,1-7/Supuestos!$C$20))*(1-Supuestos!$C$18)^7))</f>
        <v>0.386033334851012</v>
      </c>
      <c r="K28" s="29" t="n">
        <f aca="false">J28*(1-MIN(1,INDEX(Tabla_Mortalidad!$B$5:$B$75,MIN(71,Cartera_Polizas!$B$30+8-49))*(1+(Cartera_Polizas!$P$30-1)*MAX(0,1-8/Supuestos!$C$20))*(1-Supuestos!$C$18)^8))</f>
        <v>0.325292526861021</v>
      </c>
      <c r="L28" s="29" t="n">
        <f aca="false">K28*(1-MIN(1,INDEX(Tabla_Mortalidad!$B$5:$B$75,MIN(71,Cartera_Polizas!$B$30+9-49))*(1+(Cartera_Polizas!$P$30-1)*MAX(0,1-9/Supuestos!$C$20))*(1-Supuestos!$C$18)^9))</f>
        <v>0.270081441177148</v>
      </c>
      <c r="M28" s="29" t="n">
        <f aca="false">L28*(1-MIN(1,INDEX(Tabla_Mortalidad!$B$5:$B$75,MIN(71,Cartera_Polizas!$B$30+10-49))*(1+(Cartera_Polizas!$P$30-1)*MAX(0,1-10/Supuestos!$C$20))*(1-Supuestos!$C$18)^10))</f>
        <v>0.220703544154173</v>
      </c>
      <c r="N28" s="29" t="n">
        <f aca="false">M28*(1-MIN(1,INDEX(Tabla_Mortalidad!$B$5:$B$75,MIN(71,Cartera_Polizas!$B$30+11-49))*(1+(Cartera_Polizas!$P$30-1)*MAX(0,1-11/Supuestos!$C$20))*(1-Supuestos!$C$18)^11))</f>
        <v>0.177305251306887</v>
      </c>
      <c r="O28" s="29" t="n">
        <f aca="false">N28*(1-MIN(1,INDEX(Tabla_Mortalidad!$B$5:$B$75,MIN(71,Cartera_Polizas!$B$30+12-49))*(1+(Cartera_Polizas!$P$30-1)*MAX(0,1-12/Supuestos!$C$20))*(1-Supuestos!$C$18)^12))</f>
        <v>0.139869243768055</v>
      </c>
      <c r="P28" s="29" t="n">
        <f aca="false">O28*(1-MIN(1,INDEX(Tabla_Mortalidad!$B$5:$B$75,MIN(71,Cartera_Polizas!$B$30+13-49))*(1+(Cartera_Polizas!$P$30-1)*MAX(0,1-13/Supuestos!$C$20))*(1-Supuestos!$C$18)^13))</f>
        <v>0.108216788950969</v>
      </c>
      <c r="Q28" s="29" t="n">
        <f aca="false">P28*(1-MIN(1,INDEX(Tabla_Mortalidad!$B$5:$B$75,MIN(71,Cartera_Polizas!$B$30+14-49))*(1+(Cartera_Polizas!$P$30-1)*MAX(0,1-14/Supuestos!$C$20))*(1-Supuestos!$C$18)^14))</f>
        <v>0.0820202809786579</v>
      </c>
      <c r="R28" s="29" t="n">
        <f aca="false">Q28*(1-MIN(1,INDEX(Tabla_Mortalidad!$B$5:$B$75,MIN(71,Cartera_Polizas!$B$30+15-49))*(1+(Cartera_Polizas!$P$30-1)*MAX(0,1-15/Supuestos!$C$20))*(1-Supuestos!$C$18)^15))</f>
        <v>0.0608267476517656</v>
      </c>
      <c r="S28" s="29" t="n">
        <f aca="false">R28*(1-MIN(1,INDEX(Tabla_Mortalidad!$B$5:$B$75,MIN(71,Cartera_Polizas!$B$30+16-49))*(1+(Cartera_Polizas!$P$30-1)*MAX(0,1-16/Supuestos!$C$20))*(1-Supuestos!$C$18)^16))</f>
        <v>0.0436792333589306</v>
      </c>
      <c r="T28" s="29" t="n">
        <f aca="false">S28*(1-MIN(1,INDEX(Tabla_Mortalidad!$B$5:$B$75,MIN(71,Cartera_Polizas!$B$30+17-49))*(1+(Cartera_Polizas!$P$30-1)*MAX(0,1-17/Supuestos!$C$20))*(1-Supuestos!$C$18)^17))</f>
        <v>0.0302712092795024</v>
      </c>
      <c r="U28" s="29" t="n">
        <f aca="false">T28*(1-MIN(1,INDEX(Tabla_Mortalidad!$B$5:$B$75,MIN(71,Cartera_Polizas!$B$30+18-49))*(1+(Cartera_Polizas!$P$30-1)*MAX(0,1-18/Supuestos!$C$20))*(1-Supuestos!$C$18)^18))</f>
        <v>0.020174585778013</v>
      </c>
      <c r="V28" s="29" t="n">
        <f aca="false">U28*(1-MIN(1,INDEX(Tabla_Mortalidad!$B$5:$B$75,MIN(71,Cartera_Polizas!$B$30+19-49))*(1+(Cartera_Polizas!$P$30-1)*MAX(0,1-19/Supuestos!$C$20))*(1-Supuestos!$C$18)^19))</f>
        <v>0.0128801233505675</v>
      </c>
      <c r="W28" s="29" t="n">
        <f aca="false">V28*(1-MIN(1,INDEX(Tabla_Mortalidad!$B$5:$B$75,MIN(71,Cartera_Polizas!$B$30+20-49))*(1+(Cartera_Polizas!$P$30-1)*MAX(0,1-20/Supuestos!$C$20))*(1-Supuestos!$C$18)^20))</f>
        <v>0.00784462703321696</v>
      </c>
      <c r="X28" s="29" t="n">
        <f aca="false">W28*(1-MIN(1,INDEX(Tabla_Mortalidad!$B$5:$B$75,MIN(71,Cartera_Polizas!$B$30+21-49))*(1+(Cartera_Polizas!$P$30-1)*MAX(0,1-21/Supuestos!$C$20))*(1-Supuestos!$C$18)^21))</f>
        <v>0.00453774846508943</v>
      </c>
      <c r="Y28" s="29" t="n">
        <f aca="false">X28*(1-MIN(1,INDEX(Tabla_Mortalidad!$B$5:$B$75,MIN(71,Cartera_Polizas!$B$30+22-49))*(1+(Cartera_Polizas!$P$30-1)*MAX(0,1-22/Supuestos!$C$20))*(1-Supuestos!$C$18)^22))</f>
        <v>0.00248141084759819</v>
      </c>
      <c r="Z28" s="29" t="n">
        <f aca="false">Y28*(1-MIN(1,INDEX(Tabla_Mortalidad!$B$5:$B$75,MIN(71,Cartera_Polizas!$B$30+23-49))*(1+(Cartera_Polizas!$P$30-1)*MAX(0,1-23/Supuestos!$C$20))*(1-Supuestos!$C$18)^23))</f>
        <v>0.00127655252987947</v>
      </c>
      <c r="AA28" s="29" t="n">
        <f aca="false">Z28*(1-MIN(1,INDEX(Tabla_Mortalidad!$B$5:$B$75,MIN(71,Cartera_Polizas!$B$30+24-49))*(1+(Cartera_Polizas!$P$30-1)*MAX(0,1-24/Supuestos!$C$20))*(1-Supuestos!$C$18)^24))</f>
        <v>0.000614758642808366</v>
      </c>
      <c r="AB28" s="29" t="n">
        <f aca="false">AA28*(1-MIN(1,INDEX(Tabla_Mortalidad!$B$5:$B$75,MIN(71,Cartera_Polizas!$B$30+25-49))*(1+(Cartera_Polizas!$P$30-1)*MAX(0,1-25/Supuestos!$C$20))*(1-Supuestos!$C$18)^25))</f>
        <v>0.00027576879360938</v>
      </c>
      <c r="AC28" s="29" t="n">
        <f aca="false">AB28*(1-MIN(1,INDEX(Tabla_Mortalidad!$B$5:$B$75,MIN(71,Cartera_Polizas!$B$30+26-49))*(1+(Cartera_Polizas!$P$30-1)*MAX(0,1-26/Supuestos!$C$20))*(1-Supuestos!$C$18)^26))</f>
        <v>0.000114680525938458</v>
      </c>
      <c r="AD28" s="29" t="n">
        <f aca="false">AC28*(1-MIN(1,INDEX(Tabla_Mortalidad!$B$5:$B$75,MIN(71,Cartera_Polizas!$B$30+27-49))*(1+(Cartera_Polizas!$P$30-1)*MAX(0,1-27/Supuestos!$C$20))*(1-Supuestos!$C$18)^27))</f>
        <v>4.40196374501944E-005</v>
      </c>
      <c r="AE28" s="29" t="n">
        <f aca="false">AD28*(1-MIN(1,INDEX(Tabla_Mortalidad!$B$5:$B$75,MIN(71,Cartera_Polizas!$B$30+28-49))*(1+(Cartera_Polizas!$P$30-1)*MAX(0,1-28/Supuestos!$C$20))*(1-Supuestos!$C$18)^28))</f>
        <v>1.55394501812973E-005</v>
      </c>
      <c r="AF28" s="29" t="n">
        <f aca="false">AE28*(1-MIN(1,INDEX(Tabla_Mortalidad!$B$5:$B$75,MIN(71,Cartera_Polizas!$B$30+29-49))*(1+(Cartera_Polizas!$P$30-1)*MAX(0,1-29/Supuestos!$C$20))*(1-Supuestos!$C$18)^29))</f>
        <v>5.03216211862011E-006</v>
      </c>
      <c r="AG28" s="29" t="n">
        <f aca="false">AF28*(1-MIN(1,INDEX(Tabla_Mortalidad!$B$5:$B$75,MIN(71,Cartera_Polizas!$B$30+30-49))*(1+(Cartera_Polizas!$P$30-1)*MAX(0,1-30/Supuestos!$C$20))*(1-Supuestos!$C$18)^30))</f>
        <v>1.49336516461268E-006</v>
      </c>
      <c r="AH28" s="29" t="n">
        <f aca="false">AG28*(1-MIN(1,INDEX(Tabla_Mortalidad!$B$5:$B$75,MIN(71,Cartera_Polizas!$B$30+31-49))*(1+(Cartera_Polizas!$P$30-1)*MAX(0,1-31/Supuestos!$C$20))*(1-Supuestos!$C$18)^31))</f>
        <v>4.06541218353051E-007</v>
      </c>
      <c r="AI28" s="29" t="n">
        <f aca="false">AH28*(1-MIN(1,INDEX(Tabla_Mortalidad!$B$5:$B$75,MIN(71,Cartera_Polizas!$B$30+32-49))*(1+(Cartera_Polizas!$P$30-1)*MAX(0,1-32/Supuestos!$C$20))*(1-Supuestos!$C$18)^32))</f>
        <v>1.01874404134832E-007</v>
      </c>
      <c r="AJ28" s="29" t="n">
        <f aca="false">AI28*(1-MIN(1,INDEX(Tabla_Mortalidad!$B$5:$B$75,MIN(71,Cartera_Polizas!$B$30+33-49))*(1+(Cartera_Polizas!$P$30-1)*MAX(0,1-33/Supuestos!$C$20))*(1-Supuestos!$C$18)^33))</f>
        <v>2.36440896269928E-008</v>
      </c>
      <c r="AK28" s="29" t="n">
        <f aca="false">AJ28*(1-MIN(1,INDEX(Tabla_Mortalidad!$B$5:$B$75,MIN(71,Cartera_Polizas!$B$30+34-49))*(1+(Cartera_Polizas!$P$30-1)*MAX(0,1-34/Supuestos!$C$20))*(1-Supuestos!$C$18)^34))</f>
        <v>5.12794690314055E-009</v>
      </c>
      <c r="AL28" s="29" t="n">
        <f aca="false">AK28*(1-MIN(1,INDEX(Tabla_Mortalidad!$B$5:$B$75,MIN(71,Cartera_Polizas!$B$30+35-49))*(1+(Cartera_Polizas!$P$30-1)*MAX(0,1-35/Supuestos!$C$20))*(1-Supuestos!$C$18)^35))</f>
        <v>1.05105936999064E-009</v>
      </c>
      <c r="AM28" s="29" t="n">
        <f aca="false">AL28*(1-MIN(1,INDEX(Tabla_Mortalidad!$B$5:$B$75,MIN(71,Cartera_Polizas!$B$30+36-49))*(1+(Cartera_Polizas!$P$30-1)*MAX(0,1-36/Supuestos!$C$20))*(1-Supuestos!$C$18)^36))</f>
        <v>1.73537083539129E-010</v>
      </c>
      <c r="AN28" s="29" t="n">
        <f aca="false">AM28*(1-MIN(1,INDEX(Tabla_Mortalidad!$B$5:$B$75,MIN(71,Cartera_Polizas!$B$30+37-49))*(1+(Cartera_Polizas!$P$30-1)*MAX(0,1-37/Supuestos!$C$20))*(1-Supuestos!$C$18)^37))</f>
        <v>2.93765828425073E-011</v>
      </c>
      <c r="AO28" s="29" t="n">
        <f aca="false">AN28*(1-MIN(1,INDEX(Tabla_Mortalidad!$B$5:$B$75,MIN(71,Cartera_Polizas!$B$30+38-49))*(1+(Cartera_Polizas!$P$30-1)*MAX(0,1-38/Supuestos!$C$20))*(1-Supuestos!$C$18)^38))</f>
        <v>5.09492447336189E-012</v>
      </c>
      <c r="AP28" s="29" t="n">
        <f aca="false">AO28*(1-MIN(1,INDEX(Tabla_Mortalidad!$B$5:$B$75,MIN(71,Cartera_Polizas!$B$30+39-49))*(1+(Cartera_Polizas!$P$30-1)*MAX(0,1-39/Supuestos!$C$20))*(1-Supuestos!$C$18)^39))</f>
        <v>9.04694109901702E-013</v>
      </c>
      <c r="AQ28" s="29" t="n">
        <f aca="false">AP28*(1-MIN(1,INDEX(Tabla_Mortalidad!$B$5:$B$75,MIN(71,Cartera_Polizas!$B$30+40-49))*(1+(Cartera_Polizas!$P$30-1)*MAX(0,1-40/Supuestos!$C$20))*(1-Supuestos!$C$18)^40))</f>
        <v>1.64364716398441E-013</v>
      </c>
      <c r="AR28" s="29" t="n">
        <f aca="false">AQ28*(1-MIN(1,INDEX(Tabla_Mortalidad!$B$5:$B$75,MIN(71,Cartera_Polizas!$B$30+41-49))*(1+(Cartera_Polizas!$P$30-1)*MAX(0,1-41/Supuestos!$C$20))*(1-Supuestos!$C$18)^41))</f>
        <v>3.05342765564863E-014</v>
      </c>
      <c r="AS28" s="29" t="n">
        <f aca="false">AR28*(1-MIN(1,INDEX(Tabla_Mortalidad!$B$5:$B$75,MIN(71,Cartera_Polizas!$B$30+42-49))*(1+(Cartera_Polizas!$P$30-1)*MAX(0,1-42/Supuestos!$C$20))*(1-Supuestos!$C$18)^42))</f>
        <v>5.79670712799089E-015</v>
      </c>
      <c r="AT28" s="29" t="n">
        <f aca="false">AS28*(1-MIN(1,INDEX(Tabla_Mortalidad!$B$5:$B$75,MIN(71,Cartera_Polizas!$B$30+43-49))*(1+(Cartera_Polizas!$P$30-1)*MAX(0,1-43/Supuestos!$C$20))*(1-Supuestos!$C$18)^43))</f>
        <v>1.12394330644742E-015</v>
      </c>
      <c r="AU28" s="29" t="n">
        <f aca="false">AT28*(1-MIN(1,INDEX(Tabla_Mortalidad!$B$5:$B$75,MIN(71,Cartera_Polizas!$B$30+44-49))*(1+(Cartera_Polizas!$P$30-1)*MAX(0,1-44/Supuestos!$C$20))*(1-Supuestos!$C$18)^44))</f>
        <v>2.22455289828323E-016</v>
      </c>
    </row>
    <row r="29" customFormat="false" ht="15" hidden="false" customHeight="false" outlineLevel="0" collapsed="false">
      <c r="A29" s="14" t="n">
        <f aca="false">Cartera_Polizas!A31</f>
        <v>26</v>
      </c>
      <c r="B29" s="26" t="n">
        <f aca="false">SUM(C29:AU29)+0.5</f>
        <v>7.72877194048031</v>
      </c>
      <c r="C29" s="29" t="n">
        <f aca="false">1-MIN(1,INDEX(Tabla_Mortalidad!$B$5:$B$75,MIN(71,Cartera_Polizas!$B$31+0-49))*(1+(Cartera_Polizas!$P$31-1)*MAX(0,1-0/Supuestos!$C$20))*(1-Supuestos!$C$18)^0)</f>
        <v>0.9230686675</v>
      </c>
      <c r="D29" s="29" t="n">
        <f aca="false">C29*(1-MIN(1,INDEX(Tabla_Mortalidad!$B$5:$B$75,MIN(71,Cartera_Polizas!$B$31+1-49))*(1+(Cartera_Polizas!$P$31-1)*MAX(0,1-1/Supuestos!$C$20))*(1-Supuestos!$C$18)^1))</f>
        <v>0.846320291588437</v>
      </c>
      <c r="E29" s="29" t="n">
        <f aca="false">D29*(1-MIN(1,INDEX(Tabla_Mortalidad!$B$5:$B$75,MIN(71,Cartera_Polizas!$B$31+2-49))*(1+(Cartera_Polizas!$P$31-1)*MAX(0,1-2/Supuestos!$C$20))*(1-Supuestos!$C$18)^2))</f>
        <v>0.770343079539847</v>
      </c>
      <c r="F29" s="29" t="n">
        <f aca="false">E29*(1-MIN(1,INDEX(Tabla_Mortalidad!$B$5:$B$75,MIN(71,Cartera_Polizas!$B$31+3-49))*(1+(Cartera_Polizas!$P$31-1)*MAX(0,1-3/Supuestos!$C$20))*(1-Supuestos!$C$18)^3))</f>
        <v>0.695749220551855</v>
      </c>
      <c r="G29" s="29" t="n">
        <f aca="false">F29*(1-MIN(1,INDEX(Tabla_Mortalidad!$B$5:$B$75,MIN(71,Cartera_Polizas!$B$31+4-49))*(1+(Cartera_Polizas!$P$31-1)*MAX(0,1-4/Supuestos!$C$20))*(1-Supuestos!$C$18)^4))</f>
        <v>0.623159507252296</v>
      </c>
      <c r="H29" s="29" t="n">
        <f aca="false">G29*(1-MIN(1,INDEX(Tabla_Mortalidad!$B$5:$B$75,MIN(71,Cartera_Polizas!$B$31+5-49))*(1+(Cartera_Polizas!$P$31-1)*MAX(0,1-5/Supuestos!$C$20))*(1-Supuestos!$C$18)^5))</f>
        <v>0.553190426174933</v>
      </c>
      <c r="I29" s="29" t="n">
        <f aca="false">H29*(1-MIN(1,INDEX(Tabla_Mortalidad!$B$5:$B$75,MIN(71,Cartera_Polizas!$B$31+6-49))*(1+(Cartera_Polizas!$P$31-1)*MAX(0,1-6/Supuestos!$C$20))*(1-Supuestos!$C$18)^6))</f>
        <v>0.486429098567342</v>
      </c>
      <c r="J29" s="29" t="n">
        <f aca="false">I29*(1-MIN(1,INDEX(Tabla_Mortalidad!$B$5:$B$75,MIN(71,Cartera_Polizas!$B$31+7-49))*(1+(Cartera_Polizas!$P$31-1)*MAX(0,1-7/Supuestos!$C$20))*(1-Supuestos!$C$18)^7))</f>
        <v>0.423418488072946</v>
      </c>
      <c r="K29" s="29" t="n">
        <f aca="false">J29*(1-MIN(1,INDEX(Tabla_Mortalidad!$B$5:$B$75,MIN(71,Cartera_Polizas!$B$31+8-49))*(1+(Cartera_Polizas!$P$31-1)*MAX(0,1-8/Supuestos!$C$20))*(1-Supuestos!$C$18)^8))</f>
        <v>0.364633453060913</v>
      </c>
      <c r="L29" s="29" t="n">
        <f aca="false">K29*(1-MIN(1,INDEX(Tabla_Mortalidad!$B$5:$B$75,MIN(71,Cartera_Polizas!$B$31+9-49))*(1+(Cartera_Polizas!$P$31-1)*MAX(0,1-9/Supuestos!$C$20))*(1-Supuestos!$C$18)^9))</f>
        <v>0.31046305855712</v>
      </c>
      <c r="M29" s="29" t="n">
        <f aca="false">L29*(1-MIN(1,INDEX(Tabla_Mortalidad!$B$5:$B$75,MIN(71,Cartera_Polizas!$B$31+10-49))*(1+(Cartera_Polizas!$P$31-1)*MAX(0,1-10/Supuestos!$C$20))*(1-Supuestos!$C$18)^10))</f>
        <v>0.26119424651258</v>
      </c>
      <c r="N29" s="29" t="n">
        <f aca="false">M29*(1-MIN(1,INDEX(Tabla_Mortalidad!$B$5:$B$75,MIN(71,Cartera_Polizas!$B$31+11-49))*(1+(Cartera_Polizas!$P$31-1)*MAX(0,1-11/Supuestos!$C$20))*(1-Supuestos!$C$18)^11))</f>
        <v>0.217000088964976</v>
      </c>
      <c r="O29" s="29" t="n">
        <f aca="false">N29*(1-MIN(1,INDEX(Tabla_Mortalidad!$B$5:$B$75,MIN(71,Cartera_Polizas!$B$31+12-49))*(1+(Cartera_Polizas!$P$31-1)*MAX(0,1-12/Supuestos!$C$20))*(1-Supuestos!$C$18)^12))</f>
        <v>0.177933090623574</v>
      </c>
      <c r="P29" s="29" t="n">
        <f aca="false">O29*(1-MIN(1,INDEX(Tabla_Mortalidad!$B$5:$B$75,MIN(71,Cartera_Polizas!$B$31+13-49))*(1+(Cartera_Polizas!$P$31-1)*MAX(0,1-13/Supuestos!$C$20))*(1-Supuestos!$C$18)^13))</f>
        <v>0.1439242435169</v>
      </c>
      <c r="Q29" s="29" t="n">
        <f aca="false">P29*(1-MIN(1,INDEX(Tabla_Mortalidad!$B$5:$B$75,MIN(71,Cartera_Polizas!$B$31+14-49))*(1+(Cartera_Polizas!$P$31-1)*MAX(0,1-14/Supuestos!$C$20))*(1-Supuestos!$C$18)^14))</f>
        <v>0.114790088333077</v>
      </c>
      <c r="R29" s="29" t="n">
        <f aca="false">Q29*(1-MIN(1,INDEX(Tabla_Mortalidad!$B$5:$B$75,MIN(71,Cartera_Polizas!$B$31+15-49))*(1+(Cartera_Polizas!$P$31-1)*MAX(0,1-15/Supuestos!$C$20))*(1-Supuestos!$C$18)^15))</f>
        <v>0.0902454109432854</v>
      </c>
      <c r="S29" s="29" t="n">
        <f aca="false">R29*(1-MIN(1,INDEX(Tabla_Mortalidad!$B$5:$B$75,MIN(71,Cartera_Polizas!$B$31+16-49))*(1+(Cartera_Polizas!$P$31-1)*MAX(0,1-16/Supuestos!$C$20))*(1-Supuestos!$C$18)^16))</f>
        <v>0.069122075036351</v>
      </c>
      <c r="T29" s="29" t="n">
        <f aca="false">S29*(1-MIN(1,INDEX(Tabla_Mortalidad!$B$5:$B$75,MIN(71,Cartera_Polizas!$B$31+17-49))*(1+(Cartera_Polizas!$P$31-1)*MAX(0,1-17/Supuestos!$C$20))*(1-Supuestos!$C$18)^17))</f>
        <v>0.0514395190012139</v>
      </c>
      <c r="U29" s="29" t="n">
        <f aca="false">T29*(1-MIN(1,INDEX(Tabla_Mortalidad!$B$5:$B$75,MIN(71,Cartera_Polizas!$B$31+18-49))*(1+(Cartera_Polizas!$P$31-1)*MAX(0,1-18/Supuestos!$C$20))*(1-Supuestos!$C$18)^18))</f>
        <v>0.0370829838645074</v>
      </c>
      <c r="V29" s="29" t="n">
        <f aca="false">U29*(1-MIN(1,INDEX(Tabla_Mortalidad!$B$5:$B$75,MIN(71,Cartera_Polizas!$B$31+19-49))*(1+(Cartera_Polizas!$P$31-1)*MAX(0,1-19/Supuestos!$C$20))*(1-Supuestos!$C$18)^19))</f>
        <v>0.0258133292123772</v>
      </c>
      <c r="W29" s="29" t="n">
        <f aca="false">V29*(1-MIN(1,INDEX(Tabla_Mortalidad!$B$5:$B$75,MIN(71,Cartera_Polizas!$B$31+20-49))*(1+(Cartera_Polizas!$P$31-1)*MAX(0,1-20/Supuestos!$C$20))*(1-Supuestos!$C$18)^20))</f>
        <v>0.017289464010369</v>
      </c>
      <c r="X29" s="29" t="n">
        <f aca="false">W29*(1-MIN(1,INDEX(Tabla_Mortalidad!$B$5:$B$75,MIN(71,Cartera_Polizas!$B$31+21-49))*(1+(Cartera_Polizas!$P$31-1)*MAX(0,1-21/Supuestos!$C$20))*(1-Supuestos!$C$18)^21))</f>
        <v>0.0111005228114928</v>
      </c>
      <c r="Y29" s="29" t="n">
        <f aca="false">X29*(1-MIN(1,INDEX(Tabla_Mortalidad!$B$5:$B$75,MIN(71,Cartera_Polizas!$B$31+22-49))*(1+(Cartera_Polizas!$P$31-1)*MAX(0,1-22/Supuestos!$C$20))*(1-Supuestos!$C$18)^22))</f>
        <v>0.00680405209996325</v>
      </c>
      <c r="Z29" s="29" t="n">
        <f aca="false">Y29*(1-MIN(1,INDEX(Tabla_Mortalidad!$B$5:$B$75,MIN(71,Cartera_Polizas!$B$31+23-49))*(1+(Cartera_Polizas!$P$31-1)*MAX(0,1-23/Supuestos!$C$20))*(1-Supuestos!$C$18)^23))</f>
        <v>0.00396443528514696</v>
      </c>
      <c r="AA29" s="29" t="n">
        <f aca="false">Z29*(1-MIN(1,INDEX(Tabla_Mortalidad!$B$5:$B$75,MIN(71,Cartera_Polizas!$B$31+24-49))*(1+(Cartera_Polizas!$P$31-1)*MAX(0,1-24/Supuestos!$C$20))*(1-Supuestos!$C$18)^24))</f>
        <v>0.00218582214640749</v>
      </c>
      <c r="AB29" s="29" t="n">
        <f aca="false">AA29*(1-MIN(1,INDEX(Tabla_Mortalidad!$B$5:$B$75,MIN(71,Cartera_Polizas!$B$31+25-49))*(1+(Cartera_Polizas!$P$31-1)*MAX(0,1-25/Supuestos!$C$20))*(1-Supuestos!$C$18)^25))</f>
        <v>0.00113507483590674</v>
      </c>
      <c r="AC29" s="29" t="n">
        <f aca="false">AB29*(1-MIN(1,INDEX(Tabla_Mortalidad!$B$5:$B$75,MIN(71,Cartera_Polizas!$B$31+26-49))*(1+(Cartera_Polizas!$P$31-1)*MAX(0,1-26/Supuestos!$C$20))*(1-Supuestos!$C$18)^26))</f>
        <v>0.000552495980649201</v>
      </c>
      <c r="AD29" s="29" t="n">
        <f aca="false">AC29*(1-MIN(1,INDEX(Tabla_Mortalidad!$B$5:$B$75,MIN(71,Cartera_Polizas!$B$31+27-49))*(1+(Cartera_Polizas!$P$31-1)*MAX(0,1-27/Supuestos!$C$20))*(1-Supuestos!$C$18)^27))</f>
        <v>0.000250877925654706</v>
      </c>
      <c r="AE29" s="29" t="n">
        <f aca="false">AD29*(1-MIN(1,INDEX(Tabla_Mortalidad!$B$5:$B$75,MIN(71,Cartera_Polizas!$B$31+28-49))*(1+(Cartera_Polizas!$P$31-1)*MAX(0,1-28/Supuestos!$C$20))*(1-Supuestos!$C$18)^28))</f>
        <v>0.000105791292211621</v>
      </c>
      <c r="AF29" s="29" t="n">
        <f aca="false">AE29*(1-MIN(1,INDEX(Tabla_Mortalidad!$B$5:$B$75,MIN(71,Cartera_Polizas!$B$31+29-49))*(1+(Cartera_Polizas!$P$31-1)*MAX(0,1-29/Supuestos!$C$20))*(1-Supuestos!$C$18)^29))</f>
        <v>4.12577503824371E-005</v>
      </c>
      <c r="AG29" s="29" t="n">
        <f aca="false">AF29*(1-MIN(1,INDEX(Tabla_Mortalidad!$B$5:$B$75,MIN(71,Cartera_Polizas!$B$31+30-49))*(1+(Cartera_Polizas!$P$31-1)*MAX(0,1-30/Supuestos!$C$20))*(1-Supuestos!$C$18)^30))</f>
        <v>1.48307369923107E-005</v>
      </c>
      <c r="AH29" s="29" t="n">
        <f aca="false">AG29*(1-MIN(1,INDEX(Tabla_Mortalidad!$B$5:$B$75,MIN(71,Cartera_Polizas!$B$31+31-49))*(1+(Cartera_Polizas!$P$31-1)*MAX(0,1-31/Supuestos!$C$20))*(1-Supuestos!$C$18)^31))</f>
        <v>4.90268860751415E-006</v>
      </c>
      <c r="AI29" s="29" t="n">
        <f aca="false">AH29*(1-MIN(1,INDEX(Tabla_Mortalidad!$B$5:$B$75,MIN(71,Cartera_Polizas!$B$31+32-49))*(1+(Cartera_Polizas!$P$31-1)*MAX(0,1-32/Supuestos!$C$20))*(1-Supuestos!$C$18)^32))</f>
        <v>1.48933334367209E-006</v>
      </c>
      <c r="AJ29" s="29" t="n">
        <f aca="false">AI29*(1-MIN(1,INDEX(Tabla_Mortalidad!$B$5:$B$75,MIN(71,Cartera_Polizas!$B$31+33-49))*(1+(Cartera_Polizas!$P$31-1)*MAX(0,1-33/Supuestos!$C$20))*(1-Supuestos!$C$18)^33))</f>
        <v>4.16255429107727E-007</v>
      </c>
      <c r="AK29" s="29" t="n">
        <f aca="false">AJ29*(1-MIN(1,INDEX(Tabla_Mortalidad!$B$5:$B$75,MIN(71,Cartera_Polizas!$B$31+34-49))*(1+(Cartera_Polizas!$P$31-1)*MAX(0,1-34/Supuestos!$C$20))*(1-Supuestos!$C$18)^34))</f>
        <v>1.07420338974828E-007</v>
      </c>
      <c r="AL29" s="29" t="n">
        <f aca="false">AK29*(1-MIN(1,INDEX(Tabla_Mortalidad!$B$5:$B$75,MIN(71,Cartera_Polizas!$B$31+35-49))*(1+(Cartera_Polizas!$P$31-1)*MAX(0,1-35/Supuestos!$C$20))*(1-Supuestos!$C$18)^35))</f>
        <v>2.57540775390759E-008</v>
      </c>
      <c r="AM29" s="29" t="n">
        <f aca="false">AL29*(1-MIN(1,INDEX(Tabla_Mortalidad!$B$5:$B$75,MIN(71,Cartera_Polizas!$B$31+36-49))*(1+(Cartera_Polizas!$P$31-1)*MAX(0,1-36/Supuestos!$C$20))*(1-Supuestos!$C$18)^36))</f>
        <v>5.78674351257348E-009</v>
      </c>
      <c r="AN29" s="29" t="n">
        <f aca="false">AM29*(1-MIN(1,INDEX(Tabla_Mortalidad!$B$5:$B$75,MIN(71,Cartera_Polizas!$B$31+37-49))*(1+(Cartera_Polizas!$P$31-1)*MAX(0,1-37/Supuestos!$C$20))*(1-Supuestos!$C$18)^37))</f>
        <v>1.23198237759271E-009</v>
      </c>
      <c r="AO29" s="29" t="n">
        <f aca="false">AN29*(1-MIN(1,INDEX(Tabla_Mortalidad!$B$5:$B$75,MIN(71,Cartera_Polizas!$B$31+38-49))*(1+(Cartera_Polizas!$P$31-1)*MAX(0,1-38/Supuestos!$C$20))*(1-Supuestos!$C$18)^38))</f>
        <v>2.13668730634836E-010</v>
      </c>
      <c r="AP29" s="29" t="n">
        <f aca="false">AO29*(1-MIN(1,INDEX(Tabla_Mortalidad!$B$5:$B$75,MIN(71,Cartera_Polizas!$B$31+39-49))*(1+(Cartera_Polizas!$P$31-1)*MAX(0,1-39/Supuestos!$C$20))*(1-Supuestos!$C$18)^39))</f>
        <v>3.79406688138711E-011</v>
      </c>
      <c r="AQ29" s="29" t="n">
        <f aca="false">AP29*(1-MIN(1,INDEX(Tabla_Mortalidad!$B$5:$B$75,MIN(71,Cartera_Polizas!$B$31+40-49))*(1+(Cartera_Polizas!$P$31-1)*MAX(0,1-40/Supuestos!$C$20))*(1-Supuestos!$C$18)^40))</f>
        <v>6.89305611842289E-012</v>
      </c>
      <c r="AR29" s="29" t="n">
        <f aca="false">AQ29*(1-MIN(1,INDEX(Tabla_Mortalidad!$B$5:$B$75,MIN(71,Cartera_Polizas!$B$31+41-49))*(1+(Cartera_Polizas!$P$31-1)*MAX(0,1-41/Supuestos!$C$20))*(1-Supuestos!$C$18)^41))</f>
        <v>1.2805332339642E-012</v>
      </c>
      <c r="AS29" s="29" t="n">
        <f aca="false">AR29*(1-MIN(1,INDEX(Tabla_Mortalidad!$B$5:$B$75,MIN(71,Cartera_Polizas!$B$31+42-49))*(1+(Cartera_Polizas!$P$31-1)*MAX(0,1-42/Supuestos!$C$20))*(1-Supuestos!$C$18)^42))</f>
        <v>2.43099786930197E-013</v>
      </c>
      <c r="AT29" s="29" t="n">
        <f aca="false">AS29*(1-MIN(1,INDEX(Tabla_Mortalidad!$B$5:$B$75,MIN(71,Cartera_Polizas!$B$31+43-49))*(1+(Cartera_Polizas!$P$31-1)*MAX(0,1-43/Supuestos!$C$20))*(1-Supuestos!$C$18)^43))</f>
        <v>4.71354464329627E-014</v>
      </c>
      <c r="AU29" s="29" t="n">
        <f aca="false">AT29*(1-MIN(1,INDEX(Tabla_Mortalidad!$B$5:$B$75,MIN(71,Cartera_Polizas!$B$31+44-49))*(1+(Cartera_Polizas!$P$31-1)*MAX(0,1-44/Supuestos!$C$20))*(1-Supuestos!$C$18)^44))</f>
        <v>9.32923336727275E-015</v>
      </c>
    </row>
    <row r="30" customFormat="false" ht="15" hidden="false" customHeight="false" outlineLevel="0" collapsed="false">
      <c r="A30" s="14" t="n">
        <f aca="false">Cartera_Polizas!A32</f>
        <v>27</v>
      </c>
      <c r="B30" s="26" t="n">
        <f aca="false">SUM(C30:AU30)+0.5</f>
        <v>15.3527667210904</v>
      </c>
      <c r="C30" s="29" t="n">
        <f aca="false">1-MIN(1,INDEX(Tabla_Mortalidad!$B$5:$B$75,MIN(71,Cartera_Polizas!$B$32+0-49))*(1+(Cartera_Polizas!$P$32-1)*MAX(0,1-0/Supuestos!$C$20))*(1-Supuestos!$C$18)^0)</f>
        <v>0.970914988</v>
      </c>
      <c r="D30" s="29" t="n">
        <f aca="false">C30*(1-MIN(1,INDEX(Tabla_Mortalidad!$B$5:$B$75,MIN(71,Cartera_Polizas!$B$32+1-49))*(1+(Cartera_Polizas!$P$32-1)*MAX(0,1-1/Supuestos!$C$20))*(1-Supuestos!$C$18)^1))</f>
        <v>0.940704775693611</v>
      </c>
      <c r="E30" s="29" t="n">
        <f aca="false">D30*(1-MIN(1,INDEX(Tabla_Mortalidad!$B$5:$B$75,MIN(71,Cartera_Polizas!$B$32+2-49))*(1+(Cartera_Polizas!$P$32-1)*MAX(0,1-2/Supuestos!$C$20))*(1-Supuestos!$C$18)^2))</f>
        <v>0.909438696759337</v>
      </c>
      <c r="F30" s="29" t="n">
        <f aca="false">E30*(1-MIN(1,INDEX(Tabla_Mortalidad!$B$5:$B$75,MIN(71,Cartera_Polizas!$B$32+3-49))*(1+(Cartera_Polizas!$P$32-1)*MAX(0,1-3/Supuestos!$C$20))*(1-Supuestos!$C$18)^3))</f>
        <v>0.877201074594846</v>
      </c>
      <c r="G30" s="29" t="n">
        <f aca="false">F30*(1-MIN(1,INDEX(Tabla_Mortalidad!$B$5:$B$75,MIN(71,Cartera_Polizas!$B$32+4-49))*(1+(Cartera_Polizas!$P$32-1)*MAX(0,1-4/Supuestos!$C$20))*(1-Supuestos!$C$18)^4))</f>
        <v>0.844097600869625</v>
      </c>
      <c r="H30" s="29" t="n">
        <f aca="false">G30*(1-MIN(1,INDEX(Tabla_Mortalidad!$B$5:$B$75,MIN(71,Cartera_Polizas!$B$32+5-49))*(1+(Cartera_Polizas!$P$32-1)*MAX(0,1-5/Supuestos!$C$20))*(1-Supuestos!$C$18)^5))</f>
        <v>0.810247572646722</v>
      </c>
      <c r="I30" s="29" t="n">
        <f aca="false">H30*(1-MIN(1,INDEX(Tabla_Mortalidad!$B$5:$B$75,MIN(71,Cartera_Polizas!$B$32+6-49))*(1+(Cartera_Polizas!$P$32-1)*MAX(0,1-6/Supuestos!$C$20))*(1-Supuestos!$C$18)^6))</f>
        <v>0.775792806263816</v>
      </c>
      <c r="J30" s="29" t="n">
        <f aca="false">I30*(1-MIN(1,INDEX(Tabla_Mortalidad!$B$5:$B$75,MIN(71,Cartera_Polizas!$B$32+7-49))*(1+(Cartera_Polizas!$P$32-1)*MAX(0,1-7/Supuestos!$C$20))*(1-Supuestos!$C$18)^7))</f>
        <v>0.740890273042611</v>
      </c>
      <c r="K30" s="29" t="n">
        <f aca="false">J30*(1-MIN(1,INDEX(Tabla_Mortalidad!$B$5:$B$75,MIN(71,Cartera_Polizas!$B$32+8-49))*(1+(Cartera_Polizas!$P$32-1)*MAX(0,1-8/Supuestos!$C$20))*(1-Supuestos!$C$18)^8))</f>
        <v>0.705712880018707</v>
      </c>
      <c r="L30" s="29" t="n">
        <f aca="false">K30*(1-MIN(1,INDEX(Tabla_Mortalidad!$B$5:$B$75,MIN(71,Cartera_Polizas!$B$32+9-49))*(1+(Cartera_Polizas!$P$32-1)*MAX(0,1-9/Supuestos!$C$20))*(1-Supuestos!$C$18)^9))</f>
        <v>0.670448247490127</v>
      </c>
      <c r="M30" s="29" t="n">
        <f aca="false">L30*(1-MIN(1,INDEX(Tabla_Mortalidad!$B$5:$B$75,MIN(71,Cartera_Polizas!$B$32+10-49))*(1+(Cartera_Polizas!$P$32-1)*MAX(0,1-10/Supuestos!$C$20))*(1-Supuestos!$C$18)^10))</f>
        <v>0.635296980546978</v>
      </c>
      <c r="N30" s="29" t="n">
        <f aca="false">M30*(1-MIN(1,INDEX(Tabla_Mortalidad!$B$5:$B$75,MIN(71,Cartera_Polizas!$B$32+11-49))*(1+(Cartera_Polizas!$P$32-1)*MAX(0,1-11/Supuestos!$C$20))*(1-Supuestos!$C$18)^11))</f>
        <v>0.600469540844307</v>
      </c>
      <c r="O30" s="29" t="n">
        <f aca="false">N30*(1-MIN(1,INDEX(Tabla_Mortalidad!$B$5:$B$75,MIN(71,Cartera_Polizas!$B$32+12-49))*(1+(Cartera_Polizas!$P$32-1)*MAX(0,1-12/Supuestos!$C$20))*(1-Supuestos!$C$18)^12))</f>
        <v>0.566181588009247</v>
      </c>
      <c r="P30" s="29" t="n">
        <f aca="false">O30*(1-MIN(1,INDEX(Tabla_Mortalidad!$B$5:$B$75,MIN(71,Cartera_Polizas!$B$32+13-49))*(1+(Cartera_Polizas!$P$32-1)*MAX(0,1-13/Supuestos!$C$20))*(1-Supuestos!$C$18)^13))</f>
        <v>0.532651902884497</v>
      </c>
      <c r="Q30" s="29" t="n">
        <f aca="false">P30*(1-MIN(1,INDEX(Tabla_Mortalidad!$B$5:$B$75,MIN(71,Cartera_Polizas!$B$32+14-49))*(1+(Cartera_Polizas!$P$32-1)*MAX(0,1-14/Supuestos!$C$20))*(1-Supuestos!$C$18)^14))</f>
        <v>0.500099555115592</v>
      </c>
      <c r="R30" s="29" t="n">
        <f aca="false">Q30*(1-MIN(1,INDEX(Tabla_Mortalidad!$B$5:$B$75,MIN(71,Cartera_Polizas!$B$32+15-49))*(1+(Cartera_Polizas!$P$32-1)*MAX(0,1-15/Supuestos!$C$20))*(1-Supuestos!$C$18)^15))</f>
        <v>0.468738698238213</v>
      </c>
      <c r="S30" s="29" t="n">
        <f aca="false">R30*(1-MIN(1,INDEX(Tabla_Mortalidad!$B$5:$B$75,MIN(71,Cartera_Polizas!$B$32+16-49))*(1+(Cartera_Polizas!$P$32-1)*MAX(0,1-16/Supuestos!$C$20))*(1-Supuestos!$C$18)^16))</f>
        <v>0.436221301984026</v>
      </c>
      <c r="T30" s="29" t="n">
        <f aca="false">S30*(1-MIN(1,INDEX(Tabla_Mortalidad!$B$5:$B$75,MIN(71,Cartera_Polizas!$B$32+17-49))*(1+(Cartera_Polizas!$P$32-1)*MAX(0,1-17/Supuestos!$C$20))*(1-Supuestos!$C$18)^17))</f>
        <v>0.402760486241248</v>
      </c>
      <c r="U30" s="29" t="n">
        <f aca="false">T30*(1-MIN(1,INDEX(Tabla_Mortalidad!$B$5:$B$75,MIN(71,Cartera_Polizas!$B$32+18-49))*(1+(Cartera_Polizas!$P$32-1)*MAX(0,1-18/Supuestos!$C$20))*(1-Supuestos!$C$18)^18))</f>
        <v>0.368617042984823</v>
      </c>
      <c r="V30" s="29" t="n">
        <f aca="false">U30*(1-MIN(1,INDEX(Tabla_Mortalidad!$B$5:$B$75,MIN(71,Cartera_Polizas!$B$32+19-49))*(1+(Cartera_Polizas!$P$32-1)*MAX(0,1-19/Supuestos!$C$20))*(1-Supuestos!$C$18)^19))</f>
        <v>0.334101618405422</v>
      </c>
      <c r="W30" s="29" t="n">
        <f aca="false">V30*(1-MIN(1,INDEX(Tabla_Mortalidad!$B$5:$B$75,MIN(71,Cartera_Polizas!$B$32+20-49))*(1+(Cartera_Polizas!$P$32-1)*MAX(0,1-20/Supuestos!$C$20))*(1-Supuestos!$C$18)^20))</f>
        <v>0.299569818952664</v>
      </c>
      <c r="X30" s="29" t="n">
        <f aca="false">W30*(1-MIN(1,INDEX(Tabla_Mortalidad!$B$5:$B$75,MIN(71,Cartera_Polizas!$B$32+21-49))*(1+(Cartera_Polizas!$P$32-1)*MAX(0,1-21/Supuestos!$C$20))*(1-Supuestos!$C$18)^21))</f>
        <v>0.265416261134194</v>
      </c>
      <c r="Y30" s="29" t="n">
        <f aca="false">X30*(1-MIN(1,INDEX(Tabla_Mortalidad!$B$5:$B$75,MIN(71,Cartera_Polizas!$B$32+22-49))*(1+(Cartera_Polizas!$P$32-1)*MAX(0,1-22/Supuestos!$C$20))*(1-Supuestos!$C$18)^22))</f>
        <v>0.232064104011367</v>
      </c>
      <c r="Z30" s="29" t="n">
        <f aca="false">Y30*(1-MIN(1,INDEX(Tabla_Mortalidad!$B$5:$B$75,MIN(71,Cartera_Polizas!$B$32+23-49))*(1+(Cartera_Polizas!$P$32-1)*MAX(0,1-23/Supuestos!$C$20))*(1-Supuestos!$C$18)^23))</f>
        <v>0.199950791019869</v>
      </c>
      <c r="AA30" s="29" t="n">
        <f aca="false">Z30*(1-MIN(1,INDEX(Tabla_Mortalidad!$B$5:$B$75,MIN(71,Cartera_Polizas!$B$32+24-49))*(1+(Cartera_Polizas!$P$32-1)*MAX(0,1-24/Supuestos!$C$20))*(1-Supuestos!$C$18)^24))</f>
        <v>0.169509714530682</v>
      </c>
      <c r="AB30" s="29" t="n">
        <f aca="false">AA30*(1-MIN(1,INDEX(Tabla_Mortalidad!$B$5:$B$75,MIN(71,Cartera_Polizas!$B$32+25-49))*(1+(Cartera_Polizas!$P$32-1)*MAX(0,1-25/Supuestos!$C$20))*(1-Supuestos!$C$18)^25))</f>
        <v>0.141148224864683</v>
      </c>
      <c r="AC30" s="29" t="n">
        <f aca="false">AB30*(1-MIN(1,INDEX(Tabla_Mortalidad!$B$5:$B$75,MIN(71,Cartera_Polizas!$B$32+26-49))*(1+(Cartera_Polizas!$P$32-1)*MAX(0,1-26/Supuestos!$C$20))*(1-Supuestos!$C$18)^26))</f>
        <v>0.115224748047518</v>
      </c>
      <c r="AD30" s="29" t="n">
        <f aca="false">AC30*(1-MIN(1,INDEX(Tabla_Mortalidad!$B$5:$B$75,MIN(71,Cartera_Polizas!$B$32+27-49))*(1+(Cartera_Polizas!$P$32-1)*MAX(0,1-27/Supuestos!$C$20))*(1-Supuestos!$C$18)^27))</f>
        <v>0.0920254056737085</v>
      </c>
      <c r="AE30" s="29" t="n">
        <f aca="false">AD30*(1-MIN(1,INDEX(Tabla_Mortalidad!$B$5:$B$75,MIN(71,Cartera_Polizas!$B$32+28-49))*(1+(Cartera_Polizas!$P$32-1)*MAX(0,1-28/Supuestos!$C$20))*(1-Supuestos!$C$18)^28))</f>
        <v>0.0717428774963771</v>
      </c>
      <c r="AF30" s="29" t="n">
        <f aca="false">AE30*(1-MIN(1,INDEX(Tabla_Mortalidad!$B$5:$B$75,MIN(71,Cartera_Polizas!$B$32+29-49))*(1+(Cartera_Polizas!$P$32-1)*MAX(0,1-29/Supuestos!$C$20))*(1-Supuestos!$C$18)^29))</f>
        <v>0.0544612740078803</v>
      </c>
      <c r="AG30" s="29" t="n">
        <f aca="false">AF30*(1-MIN(1,INDEX(Tabla_Mortalidad!$B$5:$B$75,MIN(71,Cartera_Polizas!$B$32+30-49))*(1+(Cartera_Polizas!$P$32-1)*MAX(0,1-30/Supuestos!$C$20))*(1-Supuestos!$C$18)^30))</f>
        <v>0.0401487079299522</v>
      </c>
      <c r="AH30" s="29" t="n">
        <f aca="false">AG30*(1-MIN(1,INDEX(Tabla_Mortalidad!$B$5:$B$75,MIN(71,Cartera_Polizas!$B$32+31-49))*(1+(Cartera_Polizas!$P$32-1)*MAX(0,1-31/Supuestos!$C$20))*(1-Supuestos!$C$18)^31))</f>
        <v>0.0286596484505096</v>
      </c>
      <c r="AI30" s="29" t="n">
        <f aca="false">AH30*(1-MIN(1,INDEX(Tabla_Mortalidad!$B$5:$B$75,MIN(71,Cartera_Polizas!$B$32+32-49))*(1+(Cartera_Polizas!$P$32-1)*MAX(0,1-32/Supuestos!$C$20))*(1-Supuestos!$C$18)^32))</f>
        <v>0.0197483624819133</v>
      </c>
      <c r="AJ30" s="29" t="n">
        <f aca="false">AI30*(1-MIN(1,INDEX(Tabla_Mortalidad!$B$5:$B$75,MIN(71,Cartera_Polizas!$B$32+33-49))*(1+(Cartera_Polizas!$P$32-1)*MAX(0,1-33/Supuestos!$C$20))*(1-Supuestos!$C$18)^33))</f>
        <v>0.013091909241022</v>
      </c>
      <c r="AK30" s="29" t="n">
        <f aca="false">AJ30*(1-MIN(1,INDEX(Tabla_Mortalidad!$B$5:$B$75,MIN(71,Cartera_Polizas!$B$32+34-49))*(1+(Cartera_Polizas!$P$32-1)*MAX(0,1-34/Supuestos!$C$20))*(1-Supuestos!$C$18)^34))</f>
        <v>0.0083204812183612</v>
      </c>
      <c r="AL30" s="29" t="n">
        <f aca="false">AK30*(1-MIN(1,INDEX(Tabla_Mortalidad!$B$5:$B$75,MIN(71,Cartera_Polizas!$B$32+35-49))*(1+(Cartera_Polizas!$P$32-1)*MAX(0,1-35/Supuestos!$C$20))*(1-Supuestos!$C$18)^35))</f>
        <v>0.00505070882838887</v>
      </c>
      <c r="AM30" s="29" t="n">
        <f aca="false">AL30*(1-MIN(1,INDEX(Tabla_Mortalidad!$B$5:$B$75,MIN(71,Cartera_Polizas!$B$32+36-49))*(1+(Cartera_Polizas!$P$32-1)*MAX(0,1-36/Supuestos!$C$20))*(1-Supuestos!$C$18)^36))</f>
        <v>0.00291702795318558</v>
      </c>
      <c r="AN30" s="29" t="n">
        <f aca="false">AM30*(1-MIN(1,INDEX(Tabla_Mortalidad!$B$5:$B$75,MIN(71,Cartera_Polizas!$B$32+37-49))*(1+(Cartera_Polizas!$P$32-1)*MAX(0,1-37/Supuestos!$C$20))*(1-Supuestos!$C$18)^37))</f>
        <v>0.00159664160610439</v>
      </c>
      <c r="AO30" s="29" t="n">
        <f aca="false">AN30*(1-MIN(1,INDEX(Tabla_Mortalidad!$B$5:$B$75,MIN(71,Cartera_Polizas!$B$32+38-49))*(1+(Cartera_Polizas!$P$32-1)*MAX(0,1-38/Supuestos!$C$20))*(1-Supuestos!$C$18)^38))</f>
        <v>0.000825001782185055</v>
      </c>
      <c r="AP30" s="29" t="n">
        <f aca="false">AO30*(1-MIN(1,INDEX(Tabla_Mortalidad!$B$5:$B$75,MIN(71,Cartera_Polizas!$B$32+39-49))*(1+(Cartera_Polizas!$P$32-1)*MAX(0,1-39/Supuestos!$C$20))*(1-Supuestos!$C$18)^39))</f>
        <v>0.000400909794183955</v>
      </c>
      <c r="AQ30" s="29" t="n">
        <f aca="false">AP30*(1-MIN(1,INDEX(Tabla_Mortalidad!$B$5:$B$75,MIN(71,Cartera_Polizas!$B$32+40-49))*(1+(Cartera_Polizas!$P$32-1)*MAX(0,1-40/Supuestos!$C$20))*(1-Supuestos!$C$18)^40))</f>
        <v>0.000182592274561415</v>
      </c>
      <c r="AR30" s="29" t="n">
        <f aca="false">AQ30*(1-MIN(1,INDEX(Tabla_Mortalidad!$B$5:$B$75,MIN(71,Cartera_Polizas!$B$32+41-49))*(1+(Cartera_Polizas!$P$32-1)*MAX(0,1-41/Supuestos!$C$20))*(1-Supuestos!$C$18)^41))</f>
        <v>7.77117267576634E-005</v>
      </c>
      <c r="AS30" s="29" t="n">
        <f aca="false">AR30*(1-MIN(1,INDEX(Tabla_Mortalidad!$B$5:$B$75,MIN(71,Cartera_Polizas!$B$32+42-49))*(1+(Cartera_Polizas!$P$32-1)*MAX(0,1-42/Supuestos!$C$20))*(1-Supuestos!$C$18)^42))</f>
        <v>3.08405271525222E-005</v>
      </c>
      <c r="AT30" s="29" t="n">
        <f aca="false">AS30*(1-MIN(1,INDEX(Tabla_Mortalidad!$B$5:$B$75,MIN(71,Cartera_Polizas!$B$32+43-49))*(1+(Cartera_Polizas!$P$32-1)*MAX(0,1-43/Supuestos!$C$20))*(1-Supuestos!$C$18)^43))</f>
        <v>1.14003636365672E-005</v>
      </c>
      <c r="AU30" s="29" t="n">
        <f aca="false">AT30*(1-MIN(1,INDEX(Tabla_Mortalidad!$B$5:$B$75,MIN(71,Cartera_Polizas!$B$32+44-49))*(1+(Cartera_Polizas!$P$32-1)*MAX(0,1-44/Supuestos!$C$20))*(1-Supuestos!$C$18)^44))</f>
        <v>3.92653982867867E-006</v>
      </c>
    </row>
    <row r="31" customFormat="false" ht="15" hidden="false" customHeight="false" outlineLevel="0" collapsed="false">
      <c r="A31" s="14" t="n">
        <f aca="false">Cartera_Polizas!A33</f>
        <v>28</v>
      </c>
      <c r="B31" s="26" t="n">
        <f aca="false">SUM(C31:AU31)+0.5</f>
        <v>5.82065447971493</v>
      </c>
      <c r="C31" s="29" t="n">
        <f aca="false">1-MIN(1,INDEX(Tabla_Mortalidad!$B$5:$B$75,MIN(71,Cartera_Polizas!$B$33+0-49))*(1+(Cartera_Polizas!$P$33-1)*MAX(0,1-0/Supuestos!$C$20))*(1-Supuestos!$C$18)^0)</f>
        <v>0.87130407475</v>
      </c>
      <c r="D31" s="29" t="n">
        <f aca="false">C31*(1-MIN(1,INDEX(Tabla_Mortalidad!$B$5:$B$75,MIN(71,Cartera_Polizas!$B$33+1-49))*(1+(Cartera_Polizas!$P$33-1)*MAX(0,1-1/Supuestos!$C$20))*(1-Supuestos!$C$18)^1))</f>
        <v>0.752785694044407</v>
      </c>
      <c r="E31" s="29" t="n">
        <f aca="false">D31*(1-MIN(1,INDEX(Tabla_Mortalidad!$B$5:$B$75,MIN(71,Cartera_Polizas!$B$33+2-49))*(1+(Cartera_Polizas!$P$33-1)*MAX(0,1-2/Supuestos!$C$20))*(1-Supuestos!$C$18)^2))</f>
        <v>0.644838678479171</v>
      </c>
      <c r="F31" s="29" t="n">
        <f aca="false">E31*(1-MIN(1,INDEX(Tabla_Mortalidad!$B$5:$B$75,MIN(71,Cartera_Polizas!$B$33+3-49))*(1+(Cartera_Polizas!$P$33-1)*MAX(0,1-3/Supuestos!$C$20))*(1-Supuestos!$C$18)^3))</f>
        <v>0.547639132625603</v>
      </c>
      <c r="G31" s="29" t="n">
        <f aca="false">F31*(1-MIN(1,INDEX(Tabla_Mortalidad!$B$5:$B$75,MIN(71,Cartera_Polizas!$B$33+4-49))*(1+(Cartera_Polizas!$P$33-1)*MAX(0,1-4/Supuestos!$C$20))*(1-Supuestos!$C$18)^4))</f>
        <v>0.461146319777076</v>
      </c>
      <c r="H31" s="29" t="n">
        <f aca="false">G31*(1-MIN(1,INDEX(Tabla_Mortalidad!$B$5:$B$75,MIN(71,Cartera_Polizas!$B$33+5-49))*(1+(Cartera_Polizas!$P$33-1)*MAX(0,1-5/Supuestos!$C$20))*(1-Supuestos!$C$18)^5))</f>
        <v>0.38510693180246</v>
      </c>
      <c r="I31" s="29" t="n">
        <f aca="false">H31*(1-MIN(1,INDEX(Tabla_Mortalidad!$B$5:$B$75,MIN(71,Cartera_Polizas!$B$33+6-49))*(1+(Cartera_Polizas!$P$33-1)*MAX(0,1-6/Supuestos!$C$20))*(1-Supuestos!$C$18)^6))</f>
        <v>0.319074729401604</v>
      </c>
      <c r="J31" s="29" t="n">
        <f aca="false">I31*(1-MIN(1,INDEX(Tabla_Mortalidad!$B$5:$B$75,MIN(71,Cartera_Polizas!$B$33+7-49))*(1+(Cartera_Polizas!$P$33-1)*MAX(0,1-7/Supuestos!$C$20))*(1-Supuestos!$C$18)^7))</f>
        <v>0.262443149400968</v>
      </c>
      <c r="K31" s="29" t="n">
        <f aca="false">J31*(1-MIN(1,INDEX(Tabla_Mortalidad!$B$5:$B$75,MIN(71,Cartera_Polizas!$B$33+8-49))*(1+(Cartera_Polizas!$P$33-1)*MAX(0,1-8/Supuestos!$C$20))*(1-Supuestos!$C$18)^8))</f>
        <v>0.214474811494006</v>
      </c>
      <c r="L31" s="29" t="n">
        <f aca="false">K31*(1-MIN(1,INDEX(Tabla_Mortalidad!$B$5:$B$75,MIN(71,Cartera_Polizas!$B$33+9-49))*(1+(Cartera_Polizas!$P$33-1)*MAX(0,1-9/Supuestos!$C$20))*(1-Supuestos!$C$18)^9))</f>
        <v>0.174345417989931</v>
      </c>
      <c r="M31" s="29" t="n">
        <f aca="false">L31*(1-MIN(1,INDEX(Tabla_Mortalidad!$B$5:$B$75,MIN(71,Cartera_Polizas!$B$33+10-49))*(1+(Cartera_Polizas!$P$33-1)*MAX(0,1-10/Supuestos!$C$20))*(1-Supuestos!$C$18)^10))</f>
        <v>0.141181018427993</v>
      </c>
      <c r="N31" s="29" t="n">
        <f aca="false">M31*(1-MIN(1,INDEX(Tabla_Mortalidad!$B$5:$B$75,MIN(71,Cartera_Polizas!$B$33+11-49))*(1+(Cartera_Polizas!$P$33-1)*MAX(0,1-11/Supuestos!$C$20))*(1-Supuestos!$C$18)^11))</f>
        <v>0.114097636482743</v>
      </c>
      <c r="O31" s="29" t="n">
        <f aca="false">N31*(1-MIN(1,INDEX(Tabla_Mortalidad!$B$5:$B$75,MIN(71,Cartera_Polizas!$B$33+12-49))*(1+(Cartera_Polizas!$P$33-1)*MAX(0,1-12/Supuestos!$C$20))*(1-Supuestos!$C$18)^12))</f>
        <v>0.0922354999430048</v>
      </c>
      <c r="P31" s="29" t="n">
        <f aca="false">O31*(1-MIN(1,INDEX(Tabla_Mortalidad!$B$5:$B$75,MIN(71,Cartera_Polizas!$B$33+13-49))*(1+(Cartera_Polizas!$P$33-1)*MAX(0,1-13/Supuestos!$C$20))*(1-Supuestos!$C$18)^13))</f>
        <v>0.0747873639688253</v>
      </c>
      <c r="Q31" s="29" t="n">
        <f aca="false">P31*(1-MIN(1,INDEX(Tabla_Mortalidad!$B$5:$B$75,MIN(71,Cartera_Polizas!$B$33+14-49))*(1+(Cartera_Polizas!$P$33-1)*MAX(0,1-14/Supuestos!$C$20))*(1-Supuestos!$C$18)^14))</f>
        <v>0.0610194940238658</v>
      </c>
      <c r="R31" s="29" t="n">
        <f aca="false">Q31*(1-MIN(1,INDEX(Tabla_Mortalidad!$B$5:$B$75,MIN(71,Cartera_Polizas!$B$33+15-49))*(1+(Cartera_Polizas!$P$33-1)*MAX(0,1-15/Supuestos!$C$20))*(1-Supuestos!$C$18)^15))</f>
        <v>0.0502852308120785</v>
      </c>
      <c r="S31" s="29" t="n">
        <f aca="false">R31*(1-MIN(1,INDEX(Tabla_Mortalidad!$B$5:$B$75,MIN(71,Cartera_Polizas!$B$33+16-49))*(1+(Cartera_Polizas!$P$33-1)*MAX(0,1-16/Supuestos!$C$20))*(1-Supuestos!$C$18)^16))</f>
        <v>0.0405750466265626</v>
      </c>
      <c r="T31" s="29" t="n">
        <f aca="false">S31*(1-MIN(1,INDEX(Tabla_Mortalidad!$B$5:$B$75,MIN(71,Cartera_Polizas!$B$33+17-49))*(1+(Cartera_Polizas!$P$33-1)*MAX(0,1-17/Supuestos!$C$20))*(1-Supuestos!$C$18)^17))</f>
        <v>0.0319857395959387</v>
      </c>
      <c r="U31" s="29" t="n">
        <f aca="false">T31*(1-MIN(1,INDEX(Tabla_Mortalidad!$B$5:$B$75,MIN(71,Cartera_Polizas!$B$33+18-49))*(1+(Cartera_Polizas!$P$33-1)*MAX(0,1-18/Supuestos!$C$20))*(1-Supuestos!$C$18)^18))</f>
        <v>0.0245736623429691</v>
      </c>
      <c r="V31" s="29" t="n">
        <f aca="false">U31*(1-MIN(1,INDEX(Tabla_Mortalidad!$B$5:$B$75,MIN(71,Cartera_Polizas!$B$33+19-49))*(1+(Cartera_Polizas!$P$33-1)*MAX(0,1-19/Supuestos!$C$20))*(1-Supuestos!$C$18)^19))</f>
        <v>0.0183500243422695</v>
      </c>
      <c r="W31" s="29" t="n">
        <f aca="false">V31*(1-MIN(1,INDEX(Tabla_Mortalidad!$B$5:$B$75,MIN(71,Cartera_Polizas!$B$33+20-49))*(1+(Cartera_Polizas!$P$33-1)*MAX(0,1-20/Supuestos!$C$20))*(1-Supuestos!$C$18)^20))</f>
        <v>0.0132797022889082</v>
      </c>
      <c r="X31" s="29" t="n">
        <f aca="false">W31*(1-MIN(1,INDEX(Tabla_Mortalidad!$B$5:$B$75,MIN(71,Cartera_Polizas!$B$33+21-49))*(1+(Cartera_Polizas!$P$33-1)*MAX(0,1-21/Supuestos!$C$20))*(1-Supuestos!$C$18)^21))</f>
        <v>0.00928420872034495</v>
      </c>
      <c r="Y31" s="29" t="n">
        <f aca="false">X31*(1-MIN(1,INDEX(Tabla_Mortalidad!$B$5:$B$75,MIN(71,Cartera_Polizas!$B$33+22-49))*(1+(Cartera_Polizas!$P$33-1)*MAX(0,1-22/Supuestos!$C$20))*(1-Supuestos!$C$18)^22))</f>
        <v>0.00624903460575775</v>
      </c>
      <c r="Z31" s="29" t="n">
        <f aca="false">Y31*(1-MIN(1,INDEX(Tabla_Mortalidad!$B$5:$B$75,MIN(71,Cartera_Polizas!$B$33+23-49))*(1+(Cartera_Polizas!$P$33-1)*MAX(0,1-23/Supuestos!$C$20))*(1-Supuestos!$C$18)^23))</f>
        <v>0.0040344416318368</v>
      </c>
      <c r="AA31" s="29" t="n">
        <f aca="false">Z31*(1-MIN(1,INDEX(Tabla_Mortalidad!$B$5:$B$75,MIN(71,Cartera_Polizas!$B$33+24-49))*(1+(Cartera_Polizas!$P$33-1)*MAX(0,1-24/Supuestos!$C$20))*(1-Supuestos!$C$18)^24))</f>
        <v>0.00248848246005643</v>
      </c>
      <c r="AB31" s="29" t="n">
        <f aca="false">AA31*(1-MIN(1,INDEX(Tabla_Mortalidad!$B$5:$B$75,MIN(71,Cartera_Polizas!$B$33+25-49))*(1+(Cartera_Polizas!$P$33-1)*MAX(0,1-25/Supuestos!$C$20))*(1-Supuestos!$C$18)^25))</f>
        <v>0.00146029369456537</v>
      </c>
      <c r="AC31" s="29" t="n">
        <f aca="false">AB31*(1-MIN(1,INDEX(Tabla_Mortalidad!$B$5:$B$75,MIN(71,Cartera_Polizas!$B$33+26-49))*(1+(Cartera_Polizas!$P$33-1)*MAX(0,1-26/Supuestos!$C$20))*(1-Supuestos!$C$18)^26))</f>
        <v>0.000811679371579867</v>
      </c>
      <c r="AD31" s="29" t="n">
        <f aca="false">AC31*(1-MIN(1,INDEX(Tabla_Mortalidad!$B$5:$B$75,MIN(71,Cartera_Polizas!$B$33+27-49))*(1+(Cartera_Polizas!$P$33-1)*MAX(0,1-27/Supuestos!$C$20))*(1-Supuestos!$C$18)^27))</f>
        <v>0.000425388775775728</v>
      </c>
      <c r="AE31" s="29" t="n">
        <f aca="false">AD31*(1-MIN(1,INDEX(Tabla_Mortalidad!$B$5:$B$75,MIN(71,Cartera_Polizas!$B$33+28-49))*(1+(Cartera_Polizas!$P$33-1)*MAX(0,1-28/Supuestos!$C$20))*(1-Supuestos!$C$18)^28))</f>
        <v>0.000209235207066597</v>
      </c>
      <c r="AF31" s="29" t="n">
        <f aca="false">AE31*(1-MIN(1,INDEX(Tabla_Mortalidad!$B$5:$B$75,MIN(71,Cartera_Polizas!$B$33+29-49))*(1+(Cartera_Polizas!$P$33-1)*MAX(0,1-29/Supuestos!$C$20))*(1-Supuestos!$C$18)^29))</f>
        <v>9.61491305228933E-005</v>
      </c>
      <c r="AG31" s="29" t="n">
        <f aca="false">AF31*(1-MIN(1,INDEX(Tabla_Mortalidad!$B$5:$B$75,MIN(71,Cartera_Polizas!$B$33+30-49))*(1+(Cartera_Polizas!$P$33-1)*MAX(0,1-30/Supuestos!$C$20))*(1-Supuestos!$C$18)^30))</f>
        <v>4.1099237901668E-005</v>
      </c>
      <c r="AH31" s="29" t="n">
        <f aca="false">AG31*(1-MIN(1,INDEX(Tabla_Mortalidad!$B$5:$B$75,MIN(71,Cartera_Polizas!$B$33+31-49))*(1+(Cartera_Polizas!$P$33-1)*MAX(0,1-31/Supuestos!$C$20))*(1-Supuestos!$C$18)^31))</f>
        <v>1.62784530668989E-005</v>
      </c>
      <c r="AI31" s="29" t="n">
        <f aca="false">AH31*(1-MIN(1,INDEX(Tabla_Mortalidad!$B$5:$B$75,MIN(71,Cartera_Polizas!$B$33+32-49))*(1+(Cartera_Polizas!$P$33-1)*MAX(0,1-32/Supuestos!$C$20))*(1-Supuestos!$C$18)^32))</f>
        <v>5.95555036322857E-006</v>
      </c>
      <c r="AJ31" s="29" t="n">
        <f aca="false">AI31*(1-MIN(1,INDEX(Tabla_Mortalidad!$B$5:$B$75,MIN(71,Cartera_Polizas!$B$33+33-49))*(1+(Cartera_Polizas!$P$33-1)*MAX(0,1-33/Supuestos!$C$20))*(1-Supuestos!$C$18)^33))</f>
        <v>2.00853138178904E-006</v>
      </c>
      <c r="AK31" s="29" t="n">
        <f aca="false">AJ31*(1-MIN(1,INDEX(Tabla_Mortalidad!$B$5:$B$75,MIN(71,Cartera_Polizas!$B$33+34-49))*(1+(Cartera_Polizas!$P$33-1)*MAX(0,1-34/Supuestos!$C$20))*(1-Supuestos!$C$18)^34))</f>
        <v>6.24098310034972E-007</v>
      </c>
      <c r="AL31" s="29" t="n">
        <f aca="false">AK31*(1-MIN(1,INDEX(Tabla_Mortalidad!$B$5:$B$75,MIN(71,Cartera_Polizas!$B$33+35-49))*(1+(Cartera_Polizas!$P$33-1)*MAX(0,1-35/Supuestos!$C$20))*(1-Supuestos!$C$18)^35))</f>
        <v>1.78915371403255E-007</v>
      </c>
      <c r="AM31" s="29" t="n">
        <f aca="false">AL31*(1-MIN(1,INDEX(Tabla_Mortalidad!$B$5:$B$75,MIN(71,Cartera_Polizas!$B$33+36-49))*(1+(Cartera_Polizas!$P$33-1)*MAX(0,1-36/Supuestos!$C$20))*(1-Supuestos!$C$18)^36))</f>
        <v>4.74956493690366E-008</v>
      </c>
      <c r="AN31" s="29" t="n">
        <f aca="false">AM31*(1-MIN(1,INDEX(Tabla_Mortalidad!$B$5:$B$75,MIN(71,Cartera_Polizas!$B$33+37-49))*(1+(Cartera_Polizas!$P$33-1)*MAX(0,1-37/Supuestos!$C$20))*(1-Supuestos!$C$18)^37))</f>
        <v>1.1747287339095E-008</v>
      </c>
      <c r="AO31" s="29" t="n">
        <f aca="false">AN31*(1-MIN(1,INDEX(Tabla_Mortalidad!$B$5:$B$75,MIN(71,Cartera_Polizas!$B$33+38-49))*(1+(Cartera_Polizas!$P$33-1)*MAX(0,1-38/Supuestos!$C$20))*(1-Supuestos!$C$18)^38))</f>
        <v>2.73037520932162E-009</v>
      </c>
      <c r="AP31" s="29" t="n">
        <f aca="false">AO31*(1-MIN(1,INDEX(Tabla_Mortalidad!$B$5:$B$75,MIN(71,Cartera_Polizas!$B$33+39-49))*(1+(Cartera_Polizas!$P$33-1)*MAX(0,1-39/Supuestos!$C$20))*(1-Supuestos!$C$18)^39))</f>
        <v>6.02726783764135E-010</v>
      </c>
      <c r="AQ31" s="29" t="n">
        <f aca="false">AP31*(1-MIN(1,INDEX(Tabla_Mortalidad!$B$5:$B$75,MIN(71,Cartera_Polizas!$B$33+40-49))*(1+(Cartera_Polizas!$P$33-1)*MAX(0,1-40/Supuestos!$C$20))*(1-Supuestos!$C$18)^40))</f>
        <v>1.09503329130661E-010</v>
      </c>
      <c r="AR31" s="29" t="n">
        <f aca="false">AQ31*(1-MIN(1,INDEX(Tabla_Mortalidad!$B$5:$B$75,MIN(71,Cartera_Polizas!$B$33+41-49))*(1+(Cartera_Polizas!$P$33-1)*MAX(0,1-41/Supuestos!$C$20))*(1-Supuestos!$C$18)^41))</f>
        <v>2.03425954718057E-011</v>
      </c>
      <c r="AS31" s="29" t="n">
        <f aca="false">AR31*(1-MIN(1,INDEX(Tabla_Mortalidad!$B$5:$B$75,MIN(71,Cartera_Polizas!$B$33+42-49))*(1+(Cartera_Polizas!$P$33-1)*MAX(0,1-42/Supuestos!$C$20))*(1-Supuestos!$C$18)^42))</f>
        <v>3.86189166640667E-012</v>
      </c>
      <c r="AT31" s="29" t="n">
        <f aca="false">AS31*(1-MIN(1,INDEX(Tabla_Mortalidad!$B$5:$B$75,MIN(71,Cartera_Polizas!$B$33+43-49))*(1+(Cartera_Polizas!$P$33-1)*MAX(0,1-43/Supuestos!$C$20))*(1-Supuestos!$C$18)^43))</f>
        <v>7.48795340672533E-013</v>
      </c>
      <c r="AU31" s="29" t="n">
        <f aca="false">AT31*(1-MIN(1,INDEX(Tabla_Mortalidad!$B$5:$B$75,MIN(71,Cartera_Polizas!$B$33+44-49))*(1+(Cartera_Polizas!$P$33-1)*MAX(0,1-44/Supuestos!$C$20))*(1-Supuestos!$C$18)^44))</f>
        <v>1.48204525598284E-013</v>
      </c>
    </row>
    <row r="32" customFormat="false" ht="15" hidden="false" customHeight="false" outlineLevel="0" collapsed="false">
      <c r="A32" s="14" t="n">
        <f aca="false">Cartera_Polizas!A34</f>
        <v>29</v>
      </c>
      <c r="B32" s="26" t="n">
        <f aca="false">SUM(C32:AU32)+0.5</f>
        <v>6.91439887581658</v>
      </c>
      <c r="C32" s="29" t="n">
        <f aca="false">1-MIN(1,INDEX(Tabla_Mortalidad!$B$5:$B$75,MIN(71,Cartera_Polizas!$B$34+0-49))*(1+(Cartera_Polizas!$P$34-1)*MAX(0,1-0/Supuestos!$C$20))*(1-Supuestos!$C$18)^0)</f>
        <v>0.908661984</v>
      </c>
      <c r="D32" s="29" t="n">
        <f aca="false">C32*(1-MIN(1,INDEX(Tabla_Mortalidad!$B$5:$B$75,MIN(71,Cartera_Polizas!$B$34+1-49))*(1+(Cartera_Polizas!$P$34-1)*MAX(0,1-1/Supuestos!$C$20))*(1-Supuestos!$C$18)^1))</f>
        <v>0.819239134179461</v>
      </c>
      <c r="E32" s="29" t="n">
        <f aca="false">D32*(1-MIN(1,INDEX(Tabla_Mortalidad!$B$5:$B$75,MIN(71,Cartera_Polizas!$B$34+2-49))*(1+(Cartera_Polizas!$P$34-1)*MAX(0,1-2/Supuestos!$C$20))*(1-Supuestos!$C$18)^2))</f>
        <v>0.732471377995078</v>
      </c>
      <c r="F32" s="29" t="n">
        <f aca="false">E32*(1-MIN(1,INDEX(Tabla_Mortalidad!$B$5:$B$75,MIN(71,Cartera_Polizas!$B$34+3-49))*(1+(Cartera_Polizas!$P$34-1)*MAX(0,1-3/Supuestos!$C$20))*(1-Supuestos!$C$18)^3))</f>
        <v>0.649080425719172</v>
      </c>
      <c r="G32" s="29" t="n">
        <f aca="false">F32*(1-MIN(1,INDEX(Tabla_Mortalidad!$B$5:$B$75,MIN(71,Cartera_Polizas!$B$34+4-49))*(1+(Cartera_Polizas!$P$34-1)*MAX(0,1-4/Supuestos!$C$20))*(1-Supuestos!$C$18)^4))</f>
        <v>0.569751834129728</v>
      </c>
      <c r="H32" s="29" t="n">
        <f aca="false">G32*(1-MIN(1,INDEX(Tabla_Mortalidad!$B$5:$B$75,MIN(71,Cartera_Polizas!$B$34+5-49))*(1+(Cartera_Polizas!$P$34-1)*MAX(0,1-5/Supuestos!$C$20))*(1-Supuestos!$C$18)^5))</f>
        <v>0.495104431015938</v>
      </c>
      <c r="I32" s="29" t="n">
        <f aca="false">H32*(1-MIN(1,INDEX(Tabla_Mortalidad!$B$5:$B$75,MIN(71,Cartera_Polizas!$B$34+6-49))*(1+(Cartera_Polizas!$P$34-1)*MAX(0,1-6/Supuestos!$C$20))*(1-Supuestos!$C$18)^6))</f>
        <v>0.425673314587492</v>
      </c>
      <c r="J32" s="29" t="n">
        <f aca="false">I32*(1-MIN(1,INDEX(Tabla_Mortalidad!$B$5:$B$75,MIN(71,Cartera_Polizas!$B$34+7-49))*(1+(Cartera_Polizas!$P$34-1)*MAX(0,1-7/Supuestos!$C$20))*(1-Supuestos!$C$18)^7))</f>
        <v>0.361884478343028</v>
      </c>
      <c r="K32" s="29" t="n">
        <f aca="false">J32*(1-MIN(1,INDEX(Tabla_Mortalidad!$B$5:$B$75,MIN(71,Cartera_Polizas!$B$34+8-49))*(1+(Cartera_Polizas!$P$34-1)*MAX(0,1-8/Supuestos!$C$20))*(1-Supuestos!$C$18)^8))</f>
        <v>0.304038797031327</v>
      </c>
      <c r="L32" s="29" t="n">
        <f aca="false">K32*(1-MIN(1,INDEX(Tabla_Mortalidad!$B$5:$B$75,MIN(71,Cartera_Polizas!$B$34+9-49))*(1+(Cartera_Polizas!$P$34-1)*MAX(0,1-9/Supuestos!$C$20))*(1-Supuestos!$C$18)^9))</f>
        <v>0.252299737902811</v>
      </c>
      <c r="M32" s="29" t="n">
        <f aca="false">L32*(1-MIN(1,INDEX(Tabla_Mortalidad!$B$5:$B$75,MIN(71,Cartera_Polizas!$B$34+10-49))*(1+(Cartera_Polizas!$P$34-1)*MAX(0,1-10/Supuestos!$C$20))*(1-Supuestos!$C$18)^10))</f>
        <v>0.206688137461384</v>
      </c>
      <c r="N32" s="29" t="n">
        <f aca="false">M32*(1-MIN(1,INDEX(Tabla_Mortalidad!$B$5:$B$75,MIN(71,Cartera_Polizas!$B$34+11-49))*(1+(Cartera_Polizas!$P$34-1)*MAX(0,1-11/Supuestos!$C$20))*(1-Supuestos!$C$18)^11))</f>
        <v>0.167084064466907</v>
      </c>
      <c r="O32" s="29" t="n">
        <f aca="false">N32*(1-MIN(1,INDEX(Tabla_Mortalidad!$B$5:$B$75,MIN(71,Cartera_Polizas!$B$34+12-49))*(1+(Cartera_Polizas!$P$34-1)*MAX(0,1-12/Supuestos!$C$20))*(1-Supuestos!$C$18)^12))</f>
        <v>0.133235859274983</v>
      </c>
      <c r="P32" s="29" t="n">
        <f aca="false">O32*(1-MIN(1,INDEX(Tabla_Mortalidad!$B$5:$B$75,MIN(71,Cartera_Polizas!$B$34+13-49))*(1+(Cartera_Polizas!$P$34-1)*MAX(0,1-13/Supuestos!$C$20))*(1-Supuestos!$C$18)^13))</f>
        <v>0.104777752835812</v>
      </c>
      <c r="Q32" s="29" t="n">
        <f aca="false">P32*(1-MIN(1,INDEX(Tabla_Mortalidad!$B$5:$B$75,MIN(71,Cartera_Polizas!$B$34+14-49))*(1+(Cartera_Polizas!$P$34-1)*MAX(0,1-14/Supuestos!$C$20))*(1-Supuestos!$C$18)^14))</f>
        <v>0.0812526190876112</v>
      </c>
      <c r="R32" s="29" t="n">
        <f aca="false">Q32*(1-MIN(1,INDEX(Tabla_Mortalidad!$B$5:$B$75,MIN(71,Cartera_Polizas!$B$34+15-49))*(1+(Cartera_Polizas!$P$34-1)*MAX(0,1-15/Supuestos!$C$20))*(1-Supuestos!$C$18)^15))</f>
        <v>0.0621386153517379</v>
      </c>
      <c r="S32" s="29" t="n">
        <f aca="false">R32*(1-MIN(1,INDEX(Tabla_Mortalidad!$B$5:$B$75,MIN(71,Cartera_Polizas!$B$34+16-49))*(1+(Cartera_Polizas!$P$34-1)*MAX(0,1-16/Supuestos!$C$20))*(1-Supuestos!$C$18)^16))</f>
        <v>0.0461626626284324</v>
      </c>
      <c r="T32" s="29" t="n">
        <f aca="false">S32*(1-MIN(1,INDEX(Tabla_Mortalidad!$B$5:$B$75,MIN(71,Cartera_Polizas!$B$34+17-49))*(1+(Cartera_Polizas!$P$34-1)*MAX(0,1-17/Supuestos!$C$20))*(1-Supuestos!$C$18)^17))</f>
        <v>0.0332141313813006</v>
      </c>
      <c r="U32" s="29" t="n">
        <f aca="false">T32*(1-MIN(1,INDEX(Tabla_Mortalidad!$B$5:$B$75,MIN(71,Cartera_Polizas!$B$34+18-49))*(1+(Cartera_Polizas!$P$34-1)*MAX(0,1-18/Supuestos!$C$20))*(1-Supuestos!$C$18)^18))</f>
        <v>0.0230695120760608</v>
      </c>
      <c r="V32" s="29" t="n">
        <f aca="false">U32*(1-MIN(1,INDEX(Tabla_Mortalidad!$B$5:$B$75,MIN(71,Cartera_Polizas!$B$34+19-49))*(1+(Cartera_Polizas!$P$34-1)*MAX(0,1-19/Supuestos!$C$20))*(1-Supuestos!$C$18)^19))</f>
        <v>0.0154134070699418</v>
      </c>
      <c r="W32" s="29" t="n">
        <f aca="false">V32*(1-MIN(1,INDEX(Tabla_Mortalidad!$B$5:$B$75,MIN(71,Cartera_Polizas!$B$34+20-49))*(1+(Cartera_Polizas!$P$34-1)*MAX(0,1-20/Supuestos!$C$20))*(1-Supuestos!$C$18)^20))</f>
        <v>0.00986829415472246</v>
      </c>
      <c r="X32" s="29" t="n">
        <f aca="false">W32*(1-MIN(1,INDEX(Tabla_Mortalidad!$B$5:$B$75,MIN(71,Cartera_Polizas!$B$34+21-49))*(1+(Cartera_Polizas!$P$34-1)*MAX(0,1-21/Supuestos!$C$20))*(1-Supuestos!$C$18)^21))</f>
        <v>0.00602956538369054</v>
      </c>
      <c r="Y32" s="29" t="n">
        <f aca="false">X32*(1-MIN(1,INDEX(Tabla_Mortalidad!$B$5:$B$75,MIN(71,Cartera_Polizas!$B$34+22-49))*(1+(Cartera_Polizas!$P$34-1)*MAX(0,1-22/Supuestos!$C$20))*(1-Supuestos!$C$18)^22))</f>
        <v>0.00350052923503354</v>
      </c>
      <c r="Z32" s="29" t="n">
        <f aca="false">Y32*(1-MIN(1,INDEX(Tabla_Mortalidad!$B$5:$B$75,MIN(71,Cartera_Polizas!$B$34+23-49))*(1+(Cartera_Polizas!$P$34-1)*MAX(0,1-23/Supuestos!$C$20))*(1-Supuestos!$C$18)^23))</f>
        <v>0.001922152061311</v>
      </c>
      <c r="AA32" s="29" t="n">
        <f aca="false">Z32*(1-MIN(1,INDEX(Tabla_Mortalidad!$B$5:$B$75,MIN(71,Cartera_Polizas!$B$34+24-49))*(1+(Cartera_Polizas!$P$34-1)*MAX(0,1-24/Supuestos!$C$20))*(1-Supuestos!$C$18)^24))</f>
        <v>0.00099351047955673</v>
      </c>
      <c r="AB32" s="29" t="n">
        <f aca="false">AA32*(1-MIN(1,INDEX(Tabla_Mortalidad!$B$5:$B$75,MIN(71,Cartera_Polizas!$B$34+25-49))*(1+(Cartera_Polizas!$P$34-1)*MAX(0,1-25/Supuestos!$C$20))*(1-Supuestos!$C$18)^25))</f>
        <v>0.00048102732591562</v>
      </c>
      <c r="AC32" s="29" t="n">
        <f aca="false">AB32*(1-MIN(1,INDEX(Tabla_Mortalidad!$B$5:$B$75,MIN(71,Cartera_Polizas!$B$34+26-49))*(1+(Cartera_Polizas!$P$34-1)*MAX(0,1-26/Supuestos!$C$20))*(1-Supuestos!$C$18)^26))</f>
        <v>0.000217105759838605</v>
      </c>
      <c r="AD32" s="29" t="n">
        <f aca="false">AC32*(1-MIN(1,INDEX(Tabla_Mortalidad!$B$5:$B$75,MIN(71,Cartera_Polizas!$B$34+27-49))*(1+(Cartera_Polizas!$P$34-1)*MAX(0,1-27/Supuestos!$C$20))*(1-Supuestos!$C$18)^27))</f>
        <v>9.09191658278916E-005</v>
      </c>
      <c r="AE32" s="29" t="n">
        <f aca="false">AD32*(1-MIN(1,INDEX(Tabla_Mortalidad!$B$5:$B$75,MIN(71,Cartera_Polizas!$B$34+28-49))*(1+(Cartera_Polizas!$P$34-1)*MAX(0,1-28/Supuestos!$C$20))*(1-Supuestos!$C$18)^28))</f>
        <v>3.51790404621349E-005</v>
      </c>
      <c r="AF32" s="29" t="n">
        <f aca="false">AE32*(1-MIN(1,INDEX(Tabla_Mortalidad!$B$5:$B$75,MIN(71,Cartera_Polizas!$B$34+29-49))*(1+(Cartera_Polizas!$P$34-1)*MAX(0,1-29/Supuestos!$C$20))*(1-Supuestos!$C$18)^29))</f>
        <v>1.25324175060024E-005</v>
      </c>
      <c r="AG32" s="29" t="n">
        <f aca="false">AF32*(1-MIN(1,INDEX(Tabla_Mortalidad!$B$5:$B$75,MIN(71,Cartera_Polizas!$B$34+30-49))*(1+(Cartera_Polizas!$P$34-1)*MAX(0,1-30/Supuestos!$C$20))*(1-Supuestos!$C$18)^30))</f>
        <v>4.10076061181487E-006</v>
      </c>
      <c r="AH32" s="29" t="n">
        <f aca="false">AG32*(1-MIN(1,INDEX(Tabla_Mortalidad!$B$5:$B$75,MIN(71,Cartera_Polizas!$B$34+31-49))*(1+(Cartera_Polizas!$P$34-1)*MAX(0,1-31/Supuestos!$C$20))*(1-Supuestos!$C$18)^31))</f>
        <v>1.23137762572926E-006</v>
      </c>
      <c r="AI32" s="29" t="n">
        <f aca="false">AH32*(1-MIN(1,INDEX(Tabla_Mortalidad!$B$5:$B$75,MIN(71,Cartera_Polizas!$B$34+32-49))*(1+(Cartera_Polizas!$P$34-1)*MAX(0,1-32/Supuestos!$C$20))*(1-Supuestos!$C$18)^32))</f>
        <v>3.39700714661364E-007</v>
      </c>
      <c r="AJ32" s="29" t="n">
        <f aca="false">AI32*(1-MIN(1,INDEX(Tabla_Mortalidad!$B$5:$B$75,MIN(71,Cartera_Polizas!$B$34+33-49))*(1+(Cartera_Polizas!$P$34-1)*MAX(0,1-33/Supuestos!$C$20))*(1-Supuestos!$C$18)^33))</f>
        <v>8.63978459680269E-008</v>
      </c>
      <c r="AK32" s="29" t="n">
        <f aca="false">AJ32*(1-MIN(1,INDEX(Tabla_Mortalidad!$B$5:$B$75,MIN(71,Cartera_Polizas!$B$34+34-49))*(1+(Cartera_Polizas!$P$34-1)*MAX(0,1-34/Supuestos!$C$20))*(1-Supuestos!$C$18)^34))</f>
        <v>2.03838548514418E-008</v>
      </c>
      <c r="AL32" s="29" t="n">
        <f aca="false">AK32*(1-MIN(1,INDEX(Tabla_Mortalidad!$B$5:$B$75,MIN(71,Cartera_Polizas!$B$34+35-49))*(1+(Cartera_Polizas!$P$34-1)*MAX(0,1-35/Supuestos!$C$20))*(1-Supuestos!$C$18)^35))</f>
        <v>4.50067982598446E-009</v>
      </c>
      <c r="AM32" s="29" t="n">
        <f aca="false">AL32*(1-MIN(1,INDEX(Tabla_Mortalidad!$B$5:$B$75,MIN(71,Cartera_Polizas!$B$34+36-49))*(1+(Cartera_Polizas!$P$34-1)*MAX(0,1-36/Supuestos!$C$20))*(1-Supuestos!$C$18)^36))</f>
        <v>9.40381330165833E-010</v>
      </c>
      <c r="AN32" s="29" t="n">
        <f aca="false">AM32*(1-MIN(1,INDEX(Tabla_Mortalidad!$B$5:$B$75,MIN(71,Cartera_Polizas!$B$34+37-49))*(1+(Cartera_Polizas!$P$34-1)*MAX(0,1-37/Supuestos!$C$20))*(1-Supuestos!$C$18)^37))</f>
        <v>1.59188972672431E-010</v>
      </c>
      <c r="AO32" s="29" t="n">
        <f aca="false">AN32*(1-MIN(1,INDEX(Tabla_Mortalidad!$B$5:$B$75,MIN(71,Cartera_Polizas!$B$34+38-49))*(1+(Cartera_Polizas!$P$34-1)*MAX(0,1-38/Supuestos!$C$20))*(1-Supuestos!$C$18)^38))</f>
        <v>2.76089222870581E-011</v>
      </c>
      <c r="AP32" s="29" t="n">
        <f aca="false">AO32*(1-MIN(1,INDEX(Tabla_Mortalidad!$B$5:$B$75,MIN(71,Cartera_Polizas!$B$34+39-49))*(1+(Cartera_Polizas!$P$34-1)*MAX(0,1-39/Supuestos!$C$20))*(1-Supuestos!$C$18)^39))</f>
        <v>4.90245331494654E-012</v>
      </c>
      <c r="AQ32" s="29" t="n">
        <f aca="false">AP32*(1-MIN(1,INDEX(Tabla_Mortalidad!$B$5:$B$75,MIN(71,Cartera_Polizas!$B$34+40-49))*(1+(Cartera_Polizas!$P$34-1)*MAX(0,1-40/Supuestos!$C$20))*(1-Supuestos!$C$18)^40))</f>
        <v>8.90677124951477E-013</v>
      </c>
      <c r="AR32" s="29" t="n">
        <f aca="false">AQ32*(1-MIN(1,INDEX(Tabla_Mortalidad!$B$5:$B$75,MIN(71,Cartera_Polizas!$B$34+41-49))*(1+(Cartera_Polizas!$P$34-1)*MAX(0,1-41/Supuestos!$C$20))*(1-Supuestos!$C$18)^41))</f>
        <v>1.65462407332469E-013</v>
      </c>
      <c r="AS32" s="29" t="n">
        <f aca="false">AR32*(1-MIN(1,INDEX(Tabla_Mortalidad!$B$5:$B$75,MIN(71,Cartera_Polizas!$B$34+42-49))*(1+(Cartera_Polizas!$P$34-1)*MAX(0,1-42/Supuestos!$C$20))*(1-Supuestos!$C$18)^42))</f>
        <v>3.14118172809602E-014</v>
      </c>
      <c r="AT32" s="29" t="n">
        <f aca="false">AS32*(1-MIN(1,INDEX(Tabla_Mortalidad!$B$5:$B$75,MIN(71,Cartera_Polizas!$B$34+43-49))*(1+(Cartera_Polizas!$P$34-1)*MAX(0,1-43/Supuestos!$C$20))*(1-Supuestos!$C$18)^43))</f>
        <v>6.09054433780253E-015</v>
      </c>
      <c r="AU32" s="29" t="n">
        <f aca="false">AT32*(1-MIN(1,INDEX(Tabla_Mortalidad!$B$5:$B$75,MIN(71,Cartera_Polizas!$B$34+44-49))*(1+(Cartera_Polizas!$P$34-1)*MAX(0,1-44/Supuestos!$C$20))*(1-Supuestos!$C$18)^44))</f>
        <v>1.20546454443563E-015</v>
      </c>
    </row>
    <row r="33" customFormat="false" ht="15" hidden="false" customHeight="false" outlineLevel="0" collapsed="false">
      <c r="A33" s="14" t="n">
        <f aca="false">Cartera_Polizas!A35</f>
        <v>30</v>
      </c>
      <c r="B33" s="26" t="n">
        <f aca="false">SUM(C33:AU33)+0.5</f>
        <v>6.87641339439771</v>
      </c>
      <c r="C33" s="29" t="n">
        <f aca="false">1-MIN(1,INDEX(Tabla_Mortalidad!$B$5:$B$75,MIN(71,Cartera_Polizas!$B$35+0-49))*(1+(Cartera_Polizas!$P$35-1)*MAX(0,1-0/Supuestos!$C$20))*(1-Supuestos!$C$18)^0)</f>
        <v>0.911074471</v>
      </c>
      <c r="D33" s="29" t="n">
        <f aca="false">C33*(1-MIN(1,INDEX(Tabla_Mortalidad!$B$5:$B$75,MIN(71,Cartera_Polizas!$B$35+1-49))*(1+(Cartera_Polizas!$P$35-1)*MAX(0,1-1/Supuestos!$C$20))*(1-Supuestos!$C$18)^1))</f>
        <v>0.823304561093929</v>
      </c>
      <c r="E33" s="29" t="n">
        <f aca="false">D33*(1-MIN(1,INDEX(Tabla_Mortalidad!$B$5:$B$75,MIN(71,Cartera_Polizas!$B$35+2-49))*(1+(Cartera_Polizas!$P$35-1)*MAX(0,1-2/Supuestos!$C$20))*(1-Supuestos!$C$18)^2))</f>
        <v>0.737454000415514</v>
      </c>
      <c r="F33" s="29" t="n">
        <f aca="false">E33*(1-MIN(1,INDEX(Tabla_Mortalidad!$B$5:$B$75,MIN(71,Cartera_Polizas!$B$35+3-49))*(1+(Cartera_Polizas!$P$35-1)*MAX(0,1-3/Supuestos!$C$20))*(1-Supuestos!$C$18)^3))</f>
        <v>0.654298915734313</v>
      </c>
      <c r="G33" s="29" t="n">
        <f aca="false">F33*(1-MIN(1,INDEX(Tabla_Mortalidad!$B$5:$B$75,MIN(71,Cartera_Polizas!$B$35+4-49))*(1+(Cartera_Polizas!$P$35-1)*MAX(0,1-4/Supuestos!$C$20))*(1-Supuestos!$C$18)^4))</f>
        <v>0.574597312952397</v>
      </c>
      <c r="H33" s="29" t="n">
        <f aca="false">G33*(1-MIN(1,INDEX(Tabla_Mortalidad!$B$5:$B$75,MIN(71,Cartera_Polizas!$B$35+5-49))*(1+(Cartera_Polizas!$P$35-1)*MAX(0,1-5/Supuestos!$C$20))*(1-Supuestos!$C$18)^5))</f>
        <v>0.499069430278856</v>
      </c>
      <c r="I33" s="29" t="n">
        <f aca="false">H33*(1-MIN(1,INDEX(Tabla_Mortalidad!$B$5:$B$75,MIN(71,Cartera_Polizas!$B$35+6-49))*(1+(Cartera_Polizas!$P$35-1)*MAX(0,1-6/Supuestos!$C$20))*(1-Supuestos!$C$18)^6))</f>
        <v>0.428365858702149</v>
      </c>
      <c r="J33" s="29" t="n">
        <f aca="false">I33*(1-MIN(1,INDEX(Tabla_Mortalidad!$B$5:$B$75,MIN(71,Cartera_Polizas!$B$35+7-49))*(1+(Cartera_Polizas!$P$35-1)*MAX(0,1-7/Supuestos!$C$20))*(1-Supuestos!$C$18)^7))</f>
        <v>0.363041846920527</v>
      </c>
      <c r="K33" s="29" t="n">
        <f aca="false">J33*(1-MIN(1,INDEX(Tabla_Mortalidad!$B$5:$B$75,MIN(71,Cartera_Polizas!$B$35+8-49))*(1+(Cartera_Polizas!$P$35-1)*MAX(0,1-8/Supuestos!$C$20))*(1-Supuestos!$C$18)^8))</f>
        <v>0.303532204207107</v>
      </c>
      <c r="L33" s="29" t="n">
        <f aca="false">K33*(1-MIN(1,INDEX(Tabla_Mortalidad!$B$5:$B$75,MIN(71,Cartera_Polizas!$B$35+9-49))*(1+(Cartera_Polizas!$P$35-1)*MAX(0,1-9/Supuestos!$C$20))*(1-Supuestos!$C$18)^9))</f>
        <v>0.250131076079268</v>
      </c>
      <c r="M33" s="29" t="n">
        <f aca="false">L33*(1-MIN(1,INDEX(Tabla_Mortalidad!$B$5:$B$75,MIN(71,Cartera_Polizas!$B$35+10-49))*(1+(Cartera_Polizas!$P$35-1)*MAX(0,1-10/Supuestos!$C$20))*(1-Supuestos!$C$18)^10))</f>
        <v>0.202977716839261</v>
      </c>
      <c r="N33" s="29" t="n">
        <f aca="false">M33*(1-MIN(1,INDEX(Tabla_Mortalidad!$B$5:$B$75,MIN(71,Cartera_Polizas!$B$35+11-49))*(1+(Cartera_Polizas!$P$35-1)*MAX(0,1-11/Supuestos!$C$20))*(1-Supuestos!$C$18)^11))</f>
        <v>0.16204977838877</v>
      </c>
      <c r="O33" s="29" t="n">
        <f aca="false">N33*(1-MIN(1,INDEX(Tabla_Mortalidad!$B$5:$B$75,MIN(71,Cartera_Polizas!$B$35+12-49))*(1+(Cartera_Polizas!$P$35-1)*MAX(0,1-12/Supuestos!$C$20))*(1-Supuestos!$C$18)^12))</f>
        <v>0.127167540901998</v>
      </c>
      <c r="P33" s="29" t="n">
        <f aca="false">O33*(1-MIN(1,INDEX(Tabla_Mortalidad!$B$5:$B$75,MIN(71,Cartera_Polizas!$B$35+13-49))*(1+(Cartera_Polizas!$P$35-1)*MAX(0,1-13/Supuestos!$C$20))*(1-Supuestos!$C$18)^13))</f>
        <v>0.0980068034888017</v>
      </c>
      <c r="Q33" s="29" t="n">
        <f aca="false">P33*(1-MIN(1,INDEX(Tabla_Mortalidad!$B$5:$B$75,MIN(71,Cartera_Polizas!$B$35+14-49))*(1+(Cartera_Polizas!$P$35-1)*MAX(0,1-14/Supuestos!$C$20))*(1-Supuestos!$C$18)^14))</f>
        <v>0.0741204454047427</v>
      </c>
      <c r="R33" s="29" t="n">
        <f aca="false">Q33*(1-MIN(1,INDEX(Tabla_Mortalidad!$B$5:$B$75,MIN(71,Cartera_Polizas!$B$35+15-49))*(1+(Cartera_Polizas!$P$35-1)*MAX(0,1-15/Supuestos!$C$20))*(1-Supuestos!$C$18)^15))</f>
        <v>0.0549681807313473</v>
      </c>
      <c r="S33" s="29" t="n">
        <f aca="false">R33*(1-MIN(1,INDEX(Tabla_Mortalidad!$B$5:$B$75,MIN(71,Cartera_Polizas!$B$35+16-49))*(1+(Cartera_Polizas!$P$35-1)*MAX(0,1-16/Supuestos!$C$20))*(1-Supuestos!$C$18)^16))</f>
        <v>0.0394722401931792</v>
      </c>
      <c r="T33" s="29" t="n">
        <f aca="false">S33*(1-MIN(1,INDEX(Tabla_Mortalidad!$B$5:$B$75,MIN(71,Cartera_Polizas!$B$35+17-49))*(1+(Cartera_Polizas!$P$35-1)*MAX(0,1-17/Supuestos!$C$20))*(1-Supuestos!$C$18)^17))</f>
        <v>0.0273556184880753</v>
      </c>
      <c r="U33" s="29" t="n">
        <f aca="false">T33*(1-MIN(1,INDEX(Tabla_Mortalidad!$B$5:$B$75,MIN(71,Cartera_Polizas!$B$35+18-49))*(1+(Cartera_Polizas!$P$35-1)*MAX(0,1-18/Supuestos!$C$20))*(1-Supuestos!$C$18)^18))</f>
        <v>0.0182314577063154</v>
      </c>
      <c r="V33" s="29" t="n">
        <f aca="false">U33*(1-MIN(1,INDEX(Tabla_Mortalidad!$B$5:$B$75,MIN(71,Cartera_Polizas!$B$35+19-49))*(1+(Cartera_Polizas!$P$35-1)*MAX(0,1-19/Supuestos!$C$20))*(1-Supuestos!$C$18)^19))</f>
        <v>0.011639566070988</v>
      </c>
      <c r="W33" s="29" t="n">
        <f aca="false">V33*(1-MIN(1,INDEX(Tabla_Mortalidad!$B$5:$B$75,MIN(71,Cartera_Polizas!$B$35+20-49))*(1+(Cartera_Polizas!$P$35-1)*MAX(0,1-20/Supuestos!$C$20))*(1-Supuestos!$C$18)^20))</f>
        <v>0.00708906678687704</v>
      </c>
      <c r="X33" s="29" t="n">
        <f aca="false">W33*(1-MIN(1,INDEX(Tabla_Mortalidad!$B$5:$B$75,MIN(71,Cartera_Polizas!$B$35+21-49))*(1+(Cartera_Polizas!$P$35-1)*MAX(0,1-21/Supuestos!$C$20))*(1-Supuestos!$C$18)^21))</f>
        <v>0.00410069233309056</v>
      </c>
      <c r="Y33" s="29" t="n">
        <f aca="false">X33*(1-MIN(1,INDEX(Tabla_Mortalidad!$B$5:$B$75,MIN(71,Cartera_Polizas!$B$35+22-49))*(1+(Cartera_Polizas!$P$35-1)*MAX(0,1-22/Supuestos!$C$20))*(1-Supuestos!$C$18)^22))</f>
        <v>0.00224241218222595</v>
      </c>
      <c r="Z33" s="29" t="n">
        <f aca="false">Y33*(1-MIN(1,INDEX(Tabla_Mortalidad!$B$5:$B$75,MIN(71,Cartera_Polizas!$B$35+23-49))*(1+(Cartera_Polizas!$P$35-1)*MAX(0,1-23/Supuestos!$C$20))*(1-Supuestos!$C$18)^23))</f>
        <v>0.00115360056035212</v>
      </c>
      <c r="AA33" s="29" t="n">
        <f aca="false">Z33*(1-MIN(1,INDEX(Tabla_Mortalidad!$B$5:$B$75,MIN(71,Cartera_Polizas!$B$35+24-49))*(1+(Cartera_Polizas!$P$35-1)*MAX(0,1-24/Supuestos!$C$20))*(1-Supuestos!$C$18)^24))</f>
        <v>0.000555547772790827</v>
      </c>
      <c r="AB33" s="29" t="n">
        <f aca="false">AA33*(1-MIN(1,INDEX(Tabla_Mortalidad!$B$5:$B$75,MIN(71,Cartera_Polizas!$B$35+25-49))*(1+(Cartera_Polizas!$P$35-1)*MAX(0,1-25/Supuestos!$C$20))*(1-Supuestos!$C$18)^25))</f>
        <v>0.000249207946707405</v>
      </c>
      <c r="AC33" s="29" t="n">
        <f aca="false">AB33*(1-MIN(1,INDEX(Tabla_Mortalidad!$B$5:$B$75,MIN(71,Cartera_Polizas!$B$35+26-49))*(1+(Cartera_Polizas!$P$35-1)*MAX(0,1-26/Supuestos!$C$20))*(1-Supuestos!$C$18)^26))</f>
        <v>0.000103634998080785</v>
      </c>
      <c r="AD33" s="29" t="n">
        <f aca="false">AC33*(1-MIN(1,INDEX(Tabla_Mortalidad!$B$5:$B$75,MIN(71,Cartera_Polizas!$B$35+27-49))*(1+(Cartera_Polizas!$P$35-1)*MAX(0,1-27/Supuestos!$C$20))*(1-Supuestos!$C$18)^27))</f>
        <v>3.97798580477027E-005</v>
      </c>
      <c r="AE33" s="29" t="n">
        <f aca="false">AD33*(1-MIN(1,INDEX(Tabla_Mortalidad!$B$5:$B$75,MIN(71,Cartera_Polizas!$B$35+28-49))*(1+(Cartera_Polizas!$P$35-1)*MAX(0,1-28/Supuestos!$C$20))*(1-Supuestos!$C$18)^28))</f>
        <v>1.40427581451747E-005</v>
      </c>
      <c r="AF33" s="29" t="n">
        <f aca="false">AE33*(1-MIN(1,INDEX(Tabla_Mortalidad!$B$5:$B$75,MIN(71,Cartera_Polizas!$B$35+29-49))*(1+(Cartera_Polizas!$P$35-1)*MAX(0,1-29/Supuestos!$C$20))*(1-Supuestos!$C$18)^29))</f>
        <v>4.54748622085371E-006</v>
      </c>
      <c r="AG33" s="29" t="n">
        <f aca="false">AF33*(1-MIN(1,INDEX(Tabla_Mortalidad!$B$5:$B$75,MIN(71,Cartera_Polizas!$B$35+30-49))*(1+(Cartera_Polizas!$P$35-1)*MAX(0,1-30/Supuestos!$C$20))*(1-Supuestos!$C$18)^30))</f>
        <v>1.34953074815509E-006</v>
      </c>
      <c r="AH33" s="29" t="n">
        <f aca="false">AG33*(1-MIN(1,INDEX(Tabla_Mortalidad!$B$5:$B$75,MIN(71,Cartera_Polizas!$B$35+31-49))*(1+(Cartera_Polizas!$P$35-1)*MAX(0,1-31/Supuestos!$C$20))*(1-Supuestos!$C$18)^31))</f>
        <v>3.67384942116397E-007</v>
      </c>
      <c r="AI33" s="29" t="n">
        <f aca="false">AH33*(1-MIN(1,INDEX(Tabla_Mortalidad!$B$5:$B$75,MIN(71,Cartera_Polizas!$B$35+32-49))*(1+(Cartera_Polizas!$P$35-1)*MAX(0,1-32/Supuestos!$C$20))*(1-Supuestos!$C$18)^32))</f>
        <v>9.20623060506381E-008</v>
      </c>
      <c r="AJ33" s="29" t="n">
        <f aca="false">AI33*(1-MIN(1,INDEX(Tabla_Mortalidad!$B$5:$B$75,MIN(71,Cartera_Polizas!$B$35+33-49))*(1+(Cartera_Polizas!$P$35-1)*MAX(0,1-33/Supuestos!$C$20))*(1-Supuestos!$C$18)^33))</f>
        <v>2.13667940835069E-008</v>
      </c>
      <c r="AK33" s="29" t="n">
        <f aca="false">AJ33*(1-MIN(1,INDEX(Tabla_Mortalidad!$B$5:$B$75,MIN(71,Cartera_Polizas!$B$35+34-49))*(1+(Cartera_Polizas!$P$35-1)*MAX(0,1-34/Supuestos!$C$20))*(1-Supuestos!$C$18)^34))</f>
        <v>4.63404543287956E-009</v>
      </c>
      <c r="AL33" s="29" t="n">
        <f aca="false">AK33*(1-MIN(1,INDEX(Tabla_Mortalidad!$B$5:$B$75,MIN(71,Cartera_Polizas!$B$35+35-49))*(1+(Cartera_Polizas!$P$35-1)*MAX(0,1-35/Supuestos!$C$20))*(1-Supuestos!$C$18)^35))</f>
        <v>9.49825917699617E-010</v>
      </c>
      <c r="AM33" s="29" t="n">
        <f aca="false">AL33*(1-MIN(1,INDEX(Tabla_Mortalidad!$B$5:$B$75,MIN(71,Cartera_Polizas!$B$35+36-49))*(1+(Cartera_Polizas!$P$35-1)*MAX(0,1-36/Supuestos!$C$20))*(1-Supuestos!$C$18)^36))</f>
        <v>1.56822748869968E-010</v>
      </c>
      <c r="AN33" s="29" t="n">
        <f aca="false">AM33*(1-MIN(1,INDEX(Tabla_Mortalidad!$B$5:$B$75,MIN(71,Cartera_Polizas!$B$35+37-49))*(1+(Cartera_Polizas!$P$35-1)*MAX(0,1-37/Supuestos!$C$20))*(1-Supuestos!$C$18)^37))</f>
        <v>2.65471585658495E-011</v>
      </c>
      <c r="AO33" s="29" t="n">
        <f aca="false">AN33*(1-MIN(1,INDEX(Tabla_Mortalidad!$B$5:$B$75,MIN(71,Cartera_Polizas!$B$35+38-49))*(1+(Cartera_Polizas!$P$35-1)*MAX(0,1-38/Supuestos!$C$20))*(1-Supuestos!$C$18)^38))</f>
        <v>4.60420357944605E-012</v>
      </c>
      <c r="AP33" s="29" t="n">
        <f aca="false">AO33*(1-MIN(1,INDEX(Tabla_Mortalidad!$B$5:$B$75,MIN(71,Cartera_Polizas!$B$35+39-49))*(1+(Cartera_Polizas!$P$35-1)*MAX(0,1-39/Supuestos!$C$20))*(1-Supuestos!$C$18)^39))</f>
        <v>8.17557920807536E-013</v>
      </c>
      <c r="AQ33" s="29" t="n">
        <f aca="false">AP33*(1-MIN(1,INDEX(Tabla_Mortalidad!$B$5:$B$75,MIN(71,Cartera_Polizas!$B$35+40-49))*(1+(Cartera_Polizas!$P$35-1)*MAX(0,1-40/Supuestos!$C$20))*(1-Supuestos!$C$18)^40))</f>
        <v>1.48533824109267E-013</v>
      </c>
      <c r="AR33" s="29" t="n">
        <f aca="false">AQ33*(1-MIN(1,INDEX(Tabla_Mortalidad!$B$5:$B$75,MIN(71,Cartera_Polizas!$B$35+41-49))*(1+(Cartera_Polizas!$P$35-1)*MAX(0,1-41/Supuestos!$C$20))*(1-Supuestos!$C$18)^41))</f>
        <v>2.75933482728163E-014</v>
      </c>
      <c r="AS33" s="29" t="n">
        <f aca="false">AR33*(1-MIN(1,INDEX(Tabla_Mortalidad!$B$5:$B$75,MIN(71,Cartera_Polizas!$B$35+42-49))*(1+(Cartera_Polizas!$P$35-1)*MAX(0,1-42/Supuestos!$C$20))*(1-Supuestos!$C$18)^42))</f>
        <v>5.23839359096234E-015</v>
      </c>
      <c r="AT33" s="29" t="n">
        <f aca="false">AS33*(1-MIN(1,INDEX(Tabla_Mortalidad!$B$5:$B$75,MIN(71,Cartera_Polizas!$B$35+43-49))*(1+(Cartera_Polizas!$P$35-1)*MAX(0,1-43/Supuestos!$C$20))*(1-Supuestos!$C$18)^43))</f>
        <v>1.01568999142101E-015</v>
      </c>
      <c r="AU33" s="29" t="n">
        <f aca="false">AT33*(1-MIN(1,INDEX(Tabla_Mortalidad!$B$5:$B$75,MIN(71,Cartera_Polizas!$B$35+44-49))*(1+(Cartera_Polizas!$P$35-1)*MAX(0,1-44/Supuestos!$C$20))*(1-Supuestos!$C$18)^44))</f>
        <v>2.01029366980671E-016</v>
      </c>
    </row>
    <row r="34" customFormat="false" ht="15" hidden="false" customHeight="false" outlineLevel="0" collapsed="false">
      <c r="A34" s="14" t="n">
        <f aca="false">Cartera_Polizas!A36</f>
        <v>31</v>
      </c>
      <c r="B34" s="26" t="n">
        <f aca="false">SUM(C34:AU34)+0.5</f>
        <v>11.3026044034387</v>
      </c>
      <c r="C34" s="29" t="n">
        <f aca="false">1-MIN(1,INDEX(Tabla_Mortalidad!$B$5:$B$75,MIN(71,Cartera_Polizas!$B$36+0-49))*(1+(Cartera_Polizas!$P$36-1)*MAX(0,1-0/Supuestos!$C$20))*(1-Supuestos!$C$18)^0)</f>
        <v>0.95186312</v>
      </c>
      <c r="D34" s="29" t="n">
        <f aca="false">C34*(1-MIN(1,INDEX(Tabla_Mortalidad!$B$5:$B$75,MIN(71,Cartera_Polizas!$B$36+1-49))*(1+(Cartera_Polizas!$P$36-1)*MAX(0,1-1/Supuestos!$C$20))*(1-Supuestos!$C$18)^1))</f>
        <v>0.902807846880975</v>
      </c>
      <c r="E34" s="29" t="n">
        <f aca="false">D34*(1-MIN(1,INDEX(Tabla_Mortalidad!$B$5:$B$75,MIN(71,Cartera_Polizas!$B$36+2-49))*(1+(Cartera_Polizas!$P$36-1)*MAX(0,1-2/Supuestos!$C$20))*(1-Supuestos!$C$18)^2))</f>
        <v>0.853067276597391</v>
      </c>
      <c r="F34" s="29" t="n">
        <f aca="false">E34*(1-MIN(1,INDEX(Tabla_Mortalidad!$B$5:$B$75,MIN(71,Cartera_Polizas!$B$36+3-49))*(1+(Cartera_Polizas!$P$36-1)*MAX(0,1-3/Supuestos!$C$20))*(1-Supuestos!$C$18)^3))</f>
        <v>0.80289930902409</v>
      </c>
      <c r="G34" s="29" t="n">
        <f aca="false">F34*(1-MIN(1,INDEX(Tabla_Mortalidad!$B$5:$B$75,MIN(71,Cartera_Polizas!$B$36+4-49))*(1+(Cartera_Polizas!$P$36-1)*MAX(0,1-4/Supuestos!$C$20))*(1-Supuestos!$C$18)^4))</f>
        <v>0.752584374885741</v>
      </c>
      <c r="H34" s="29" t="n">
        <f aca="false">G34*(1-MIN(1,INDEX(Tabla_Mortalidad!$B$5:$B$75,MIN(71,Cartera_Polizas!$B$36+5-49))*(1+(Cartera_Polizas!$P$36-1)*MAX(0,1-5/Supuestos!$C$20))*(1-Supuestos!$C$18)^5))</f>
        <v>0.702422144267145</v>
      </c>
      <c r="I34" s="29" t="n">
        <f aca="false">H34*(1-MIN(1,INDEX(Tabla_Mortalidad!$B$5:$B$75,MIN(71,Cartera_Polizas!$B$36+6-49))*(1+(Cartera_Polizas!$P$36-1)*MAX(0,1-6/Supuestos!$C$20))*(1-Supuestos!$C$18)^6))</f>
        <v>0.652725893862049</v>
      </c>
      <c r="J34" s="29" t="n">
        <f aca="false">I34*(1-MIN(1,INDEX(Tabla_Mortalidad!$B$5:$B$75,MIN(71,Cartera_Polizas!$B$36+7-49))*(1+(Cartera_Polizas!$P$36-1)*MAX(0,1-7/Supuestos!$C$20))*(1-Supuestos!$C$18)^7))</f>
        <v>0.603814331248661</v>
      </c>
      <c r="K34" s="29" t="n">
        <f aca="false">J34*(1-MIN(1,INDEX(Tabla_Mortalidad!$B$5:$B$75,MIN(71,Cartera_Polizas!$B$36+8-49))*(1+(Cartera_Polizas!$P$36-1)*MAX(0,1-8/Supuestos!$C$20))*(1-Supuestos!$C$18)^8))</f>
        <v>0.556006762505386</v>
      </c>
      <c r="L34" s="29" t="n">
        <f aca="false">K34*(1-MIN(1,INDEX(Tabla_Mortalidad!$B$5:$B$75,MIN(71,Cartera_Polizas!$B$36+9-49))*(1+(Cartera_Polizas!$P$36-1)*MAX(0,1-9/Supuestos!$C$20))*(1-Supuestos!$C$18)^9))</f>
        <v>0.509616762596471</v>
      </c>
      <c r="M34" s="29" t="n">
        <f aca="false">L34*(1-MIN(1,INDEX(Tabla_Mortalidad!$B$5:$B$75,MIN(71,Cartera_Polizas!$B$36+10-49))*(1+(Cartera_Polizas!$P$36-1)*MAX(0,1-10/Supuestos!$C$20))*(1-Supuestos!$C$18)^10))</f>
        <v>0.464942045969887</v>
      </c>
      <c r="N34" s="29" t="n">
        <f aca="false">M34*(1-MIN(1,INDEX(Tabla_Mortalidad!$B$5:$B$75,MIN(71,Cartera_Polizas!$B$36+11-49))*(1+(Cartera_Polizas!$P$36-1)*MAX(0,1-11/Supuestos!$C$20))*(1-Supuestos!$C$18)^11))</f>
        <v>0.42225634021795</v>
      </c>
      <c r="O34" s="29" t="n">
        <f aca="false">N34*(1-MIN(1,INDEX(Tabla_Mortalidad!$B$5:$B$75,MIN(71,Cartera_Polizas!$B$36+12-49))*(1+(Cartera_Polizas!$P$36-1)*MAX(0,1-12/Supuestos!$C$20))*(1-Supuestos!$C$18)^12))</f>
        <v>0.381804552581267</v>
      </c>
      <c r="P34" s="29" t="n">
        <f aca="false">O34*(1-MIN(1,INDEX(Tabla_Mortalidad!$B$5:$B$75,MIN(71,Cartera_Polizas!$B$36+13-49))*(1+(Cartera_Polizas!$P$36-1)*MAX(0,1-13/Supuestos!$C$20))*(1-Supuestos!$C$18)^13))</f>
        <v>0.343792785542666</v>
      </c>
      <c r="Q34" s="29" t="n">
        <f aca="false">P34*(1-MIN(1,INDEX(Tabla_Mortalidad!$B$5:$B$75,MIN(71,Cartera_Polizas!$B$36+14-49))*(1+(Cartera_Polizas!$P$36-1)*MAX(0,1-14/Supuestos!$C$20))*(1-Supuestos!$C$18)^14))</f>
        <v>0.308386207990787</v>
      </c>
      <c r="R34" s="29" t="n">
        <f aca="false">Q34*(1-MIN(1,INDEX(Tabla_Mortalidad!$B$5:$B$75,MIN(71,Cartera_Polizas!$B$36+15-49))*(1+(Cartera_Polizas!$P$36-1)*MAX(0,1-15/Supuestos!$C$20))*(1-Supuestos!$C$18)^15))</f>
        <v>0.275703338953096</v>
      </c>
      <c r="S34" s="29" t="n">
        <f aca="false">R34*(1-MIN(1,INDEX(Tabla_Mortalidad!$B$5:$B$75,MIN(71,Cartera_Polizas!$B$36+16-49))*(1+(Cartera_Polizas!$P$36-1)*MAX(0,1-16/Supuestos!$C$20))*(1-Supuestos!$C$18)^16))</f>
        <v>0.243473026449841</v>
      </c>
      <c r="T34" s="29" t="n">
        <f aca="false">S34*(1-MIN(1,INDEX(Tabla_Mortalidad!$B$5:$B$75,MIN(71,Cartera_Polizas!$B$36+17-49))*(1+(Cartera_Polizas!$P$36-1)*MAX(0,1-17/Supuestos!$C$20))*(1-Supuestos!$C$18)^17))</f>
        <v>0.212101774439551</v>
      </c>
      <c r="U34" s="29" t="n">
        <f aca="false">T34*(1-MIN(1,INDEX(Tabla_Mortalidad!$B$5:$B$75,MIN(71,Cartera_Polizas!$B$36+18-49))*(1+(Cartera_Polizas!$P$36-1)*MAX(0,1-18/Supuestos!$C$20))*(1-Supuestos!$C$18)^18))</f>
        <v>0.182005964063385</v>
      </c>
      <c r="V34" s="29" t="n">
        <f aca="false">U34*(1-MIN(1,INDEX(Tabla_Mortalidad!$B$5:$B$75,MIN(71,Cartera_Polizas!$B$36+19-49))*(1+(Cartera_Polizas!$P$36-1)*MAX(0,1-19/Supuestos!$C$20))*(1-Supuestos!$C$18)^19))</f>
        <v>0.15359361802038</v>
      </c>
      <c r="W34" s="29" t="n">
        <f aca="false">V34*(1-MIN(1,INDEX(Tabla_Mortalidad!$B$5:$B$75,MIN(71,Cartera_Polizas!$B$36+20-49))*(1+(Cartera_Polizas!$P$36-1)*MAX(0,1-20/Supuestos!$C$20))*(1-Supuestos!$C$18)^20))</f>
        <v>0.127242914627123</v>
      </c>
      <c r="X34" s="29" t="n">
        <f aca="false">W34*(1-MIN(1,INDEX(Tabla_Mortalidad!$B$5:$B$75,MIN(71,Cartera_Polizas!$B$36+21-49))*(1+(Cartera_Polizas!$P$36-1)*MAX(0,1-21/Supuestos!$C$20))*(1-Supuestos!$C$18)^21))</f>
        <v>0.103280199096345</v>
      </c>
      <c r="Y34" s="29" t="n">
        <f aca="false">X34*(1-MIN(1,INDEX(Tabla_Mortalidad!$B$5:$B$75,MIN(71,Cartera_Polizas!$B$36+22-49))*(1+(Cartera_Polizas!$P$36-1)*MAX(0,1-22/Supuestos!$C$20))*(1-Supuestos!$C$18)^22))</f>
        <v>0.081958020839787</v>
      </c>
      <c r="Z34" s="29" t="n">
        <f aca="false">Y34*(1-MIN(1,INDEX(Tabla_Mortalidad!$B$5:$B$75,MIN(71,Cartera_Polizas!$B$36+23-49))*(1+(Cartera_Polizas!$P$36-1)*MAX(0,1-23/Supuestos!$C$20))*(1-Supuestos!$C$18)^23))</f>
        <v>0.0634359131054365</v>
      </c>
      <c r="AA34" s="29" t="n">
        <f aca="false">Z34*(1-MIN(1,INDEX(Tabla_Mortalidad!$B$5:$B$75,MIN(71,Cartera_Polizas!$B$36+24-49))*(1+(Cartera_Polizas!$P$36-1)*MAX(0,1-24/Supuestos!$C$20))*(1-Supuestos!$C$18)^24))</f>
        <v>0.0477674991619768</v>
      </c>
      <c r="AB34" s="29" t="n">
        <f aca="false">AA34*(1-MIN(1,INDEX(Tabla_Mortalidad!$B$5:$B$75,MIN(71,Cartera_Polizas!$B$36+25-49))*(1+(Cartera_Polizas!$P$36-1)*MAX(0,1-25/Supuestos!$C$20))*(1-Supuestos!$C$18)^25))</f>
        <v>0.0348954761019647</v>
      </c>
      <c r="AC34" s="29" t="n">
        <f aca="false">AB34*(1-MIN(1,INDEX(Tabla_Mortalidad!$B$5:$B$75,MIN(71,Cartera_Polizas!$B$36+26-49))*(1+(Cartera_Polizas!$P$36-1)*MAX(0,1-26/Supuestos!$C$20))*(1-Supuestos!$C$18)^26))</f>
        <v>0.0246562618908503</v>
      </c>
      <c r="AD34" s="29" t="n">
        <f aca="false">AC34*(1-MIN(1,INDEX(Tabla_Mortalidad!$B$5:$B$75,MIN(71,Cartera_Polizas!$B$36+27-49))*(1+(Cartera_Polizas!$P$36-1)*MAX(0,1-27/Supuestos!$C$20))*(1-Supuestos!$C$18)^27))</f>
        <v>0.0167951975227205</v>
      </c>
      <c r="AE34" s="29" t="n">
        <f aca="false">AD34*(1-MIN(1,INDEX(Tabla_Mortalidad!$B$5:$B$75,MIN(71,Cartera_Polizas!$B$36+28-49))*(1+(Cartera_Polizas!$P$36-1)*MAX(0,1-28/Supuestos!$C$20))*(1-Supuestos!$C$18)^28))</f>
        <v>0.0109904744235974</v>
      </c>
      <c r="AF34" s="29" t="n">
        <f aca="false">AE34*(1-MIN(1,INDEX(Tabla_Mortalidad!$B$5:$B$75,MIN(71,Cartera_Polizas!$B$36+29-49))*(1+(Cartera_Polizas!$P$36-1)*MAX(0,1-29/Supuestos!$C$20))*(1-Supuestos!$C$18)^29))</f>
        <v>0.00688326897814495</v>
      </c>
      <c r="AG34" s="29" t="n">
        <f aca="false">AF34*(1-MIN(1,INDEX(Tabla_Mortalidad!$B$5:$B$75,MIN(71,Cartera_Polizas!$B$36+30-49))*(1+(Cartera_Polizas!$P$36-1)*MAX(0,1-30/Supuestos!$C$20))*(1-Supuestos!$C$18)^30))</f>
        <v>0.0041096396885804</v>
      </c>
      <c r="AH34" s="29" t="n">
        <f aca="false">AG34*(1-MIN(1,INDEX(Tabla_Mortalidad!$B$5:$B$75,MIN(71,Cartera_Polizas!$B$36+31-49))*(1+(Cartera_Polizas!$P$36-1)*MAX(0,1-31/Supuestos!$C$20))*(1-Supuestos!$C$18)^31))</f>
        <v>0.00232945330276074</v>
      </c>
      <c r="AI34" s="29" t="n">
        <f aca="false">AH34*(1-MIN(1,INDEX(Tabla_Mortalidad!$B$5:$B$75,MIN(71,Cartera_Polizas!$B$36+32-49))*(1+(Cartera_Polizas!$P$36-1)*MAX(0,1-32/Supuestos!$C$20))*(1-Supuestos!$C$18)^32))</f>
        <v>0.00124827072399742</v>
      </c>
      <c r="AJ34" s="29" t="n">
        <f aca="false">AI34*(1-MIN(1,INDEX(Tabla_Mortalidad!$B$5:$B$75,MIN(71,Cartera_Polizas!$B$36+33-49))*(1+(Cartera_Polizas!$P$36-1)*MAX(0,1-33/Supuestos!$C$20))*(1-Supuestos!$C$18)^33))</f>
        <v>0.000629684032218376</v>
      </c>
      <c r="AK34" s="29" t="n">
        <f aca="false">AJ34*(1-MIN(1,INDEX(Tabla_Mortalidad!$B$5:$B$75,MIN(71,Cartera_Polizas!$B$36+34-49))*(1+(Cartera_Polizas!$P$36-1)*MAX(0,1-34/Supuestos!$C$20))*(1-Supuestos!$C$18)^34))</f>
        <v>0.000297780054113505</v>
      </c>
      <c r="AL34" s="29" t="n">
        <f aca="false">AK34*(1-MIN(1,INDEX(Tabla_Mortalidad!$B$5:$B$75,MIN(71,Cartera_Polizas!$B$36+35-49))*(1+(Cartera_Polizas!$P$36-1)*MAX(0,1-35/Supuestos!$C$20))*(1-Supuestos!$C$18)^35))</f>
        <v>0.000131506904612487</v>
      </c>
      <c r="AM34" s="29" t="n">
        <f aca="false">AL34*(1-MIN(1,INDEX(Tabla_Mortalidad!$B$5:$B$75,MIN(71,Cartera_Polizas!$B$36+36-49))*(1+(Cartera_Polizas!$P$36-1)*MAX(0,1-36/Supuestos!$C$20))*(1-Supuestos!$C$18)^36))</f>
        <v>5.40525748533132E-005</v>
      </c>
      <c r="AN34" s="29" t="n">
        <f aca="false">AM34*(1-MIN(1,INDEX(Tabla_Mortalidad!$B$5:$B$75,MIN(71,Cartera_Polizas!$B$36+37-49))*(1+(Cartera_Polizas!$P$36-1)*MAX(0,1-37/Supuestos!$C$20))*(1-Supuestos!$C$18)^37))</f>
        <v>2.0623797486367E-005</v>
      </c>
      <c r="AO34" s="29" t="n">
        <f aca="false">AN34*(1-MIN(1,INDEX(Tabla_Mortalidad!$B$5:$B$75,MIN(71,Cartera_Polizas!$B$36+38-49))*(1+(Cartera_Polizas!$P$36-1)*MAX(0,1-38/Supuestos!$C$20))*(1-Supuestos!$C$18)^38))</f>
        <v>7.29376055719687E-006</v>
      </c>
      <c r="AP34" s="29" t="n">
        <f aca="false">AO34*(1-MIN(1,INDEX(Tabla_Mortalidad!$B$5:$B$75,MIN(71,Cartera_Polizas!$B$36+39-49))*(1+(Cartera_Polizas!$P$36-1)*MAX(0,1-39/Supuestos!$C$20))*(1-Supuestos!$C$18)^39))</f>
        <v>2.39077911562786E-006</v>
      </c>
      <c r="AQ34" s="29" t="n">
        <f aca="false">AP34*(1-MIN(1,INDEX(Tabla_Mortalidad!$B$5:$B$75,MIN(71,Cartera_Polizas!$B$36+40-49))*(1+(Cartera_Polizas!$P$36-1)*MAX(0,1-40/Supuestos!$C$20))*(1-Supuestos!$C$18)^40))</f>
        <v>7.27594870069295E-007</v>
      </c>
      <c r="AR34" s="29" t="n">
        <f aca="false">AQ34*(1-MIN(1,INDEX(Tabla_Mortalidad!$B$5:$B$75,MIN(71,Cartera_Polizas!$B$36+41-49))*(1+(Cartera_Polizas!$P$36-1)*MAX(0,1-41/Supuestos!$C$20))*(1-Supuestos!$C$18)^41))</f>
        <v>2.06378650304639E-007</v>
      </c>
      <c r="AS34" s="29" t="n">
        <f aca="false">AR34*(1-MIN(1,INDEX(Tabla_Mortalidad!$B$5:$B$75,MIN(71,Cartera_Polizas!$B$36+42-49))*(1+(Cartera_Polizas!$P$36-1)*MAX(0,1-42/Supuestos!$C$20))*(1-Supuestos!$C$18)^42))</f>
        <v>5.48891652707001E-008</v>
      </c>
      <c r="AT34" s="29" t="n">
        <f aca="false">AS34*(1-MIN(1,INDEX(Tabla_Mortalidad!$B$5:$B$75,MIN(71,Cartera_Polizas!$B$36+43-49))*(1+(Cartera_Polizas!$P$36-1)*MAX(0,1-43/Supuestos!$C$20))*(1-Supuestos!$C$18)^43))</f>
        <v>1.38004771112002E-008</v>
      </c>
      <c r="AU34" s="29" t="n">
        <f aca="false">AT34*(1-MIN(1,INDEX(Tabla_Mortalidad!$B$5:$B$75,MIN(71,Cartera_Polizas!$B$36+44-49))*(1+(Cartera_Polizas!$P$36-1)*MAX(0,1-44/Supuestos!$C$20))*(1-Supuestos!$C$18)^44))</f>
        <v>3.31261330252105E-009</v>
      </c>
    </row>
    <row r="35" customFormat="false" ht="15" hidden="false" customHeight="false" outlineLevel="0" collapsed="false">
      <c r="A35" s="14" t="n">
        <f aca="false">Cartera_Polizas!A37</f>
        <v>32</v>
      </c>
      <c r="B35" s="26" t="n">
        <f aca="false">SUM(C35:AU35)+0.5</f>
        <v>6.13220580103688</v>
      </c>
      <c r="C35" s="29" t="n">
        <f aca="false">1-MIN(1,INDEX(Tabla_Mortalidad!$B$5:$B$75,MIN(71,Cartera_Polizas!$B$37+0-49))*(1+(Cartera_Polizas!$P$37-1)*MAX(0,1-0/Supuestos!$C$20))*(1-Supuestos!$C$18)^0)</f>
        <v>0.88274454</v>
      </c>
      <c r="D35" s="29" t="n">
        <f aca="false">C35*(1-MIN(1,INDEX(Tabla_Mortalidad!$B$5:$B$75,MIN(71,Cartera_Polizas!$B$37+1-49))*(1+(Cartera_Polizas!$P$37-1)*MAX(0,1-1/Supuestos!$C$20))*(1-Supuestos!$C$18)^1))</f>
        <v>0.772848903034008</v>
      </c>
      <c r="E35" s="29" t="n">
        <f aca="false">D35*(1-MIN(1,INDEX(Tabla_Mortalidad!$B$5:$B$75,MIN(71,Cartera_Polizas!$B$37+2-49))*(1+(Cartera_Polizas!$P$37-1)*MAX(0,1-2/Supuestos!$C$20))*(1-Supuestos!$C$18)^2))</f>
        <v>0.670917383339458</v>
      </c>
      <c r="F35" s="29" t="n">
        <f aca="false">E35*(1-MIN(1,INDEX(Tabla_Mortalidad!$B$5:$B$75,MIN(71,Cartera_Polizas!$B$37+3-49))*(1+(Cartera_Polizas!$P$37-1)*MAX(0,1-3/Supuestos!$C$20))*(1-Supuestos!$C$18)^3))</f>
        <v>0.577397621106689</v>
      </c>
      <c r="G35" s="29" t="n">
        <f aca="false">F35*(1-MIN(1,INDEX(Tabla_Mortalidad!$B$5:$B$75,MIN(71,Cartera_Polizas!$B$37+4-49))*(1+(Cartera_Polizas!$P$37-1)*MAX(0,1-4/Supuestos!$C$20))*(1-Supuestos!$C$18)^4))</f>
        <v>0.492560965398994</v>
      </c>
      <c r="H35" s="29" t="n">
        <f aca="false">G35*(1-MIN(1,INDEX(Tabla_Mortalidad!$B$5:$B$75,MIN(71,Cartera_Polizas!$B$37+5-49))*(1+(Cartera_Polizas!$P$37-1)*MAX(0,1-5/Supuestos!$C$20))*(1-Supuestos!$C$18)^5))</f>
        <v>0.416495613132129</v>
      </c>
      <c r="I35" s="29" t="n">
        <f aca="false">H35*(1-MIN(1,INDEX(Tabla_Mortalidad!$B$5:$B$75,MIN(71,Cartera_Polizas!$B$37+6-49))*(1+(Cartera_Polizas!$P$37-1)*MAX(0,1-6/Supuestos!$C$20))*(1-Supuestos!$C$18)^6))</f>
        <v>0.34911317286785</v>
      </c>
      <c r="J35" s="29" t="n">
        <f aca="false">I35*(1-MIN(1,INDEX(Tabla_Mortalidad!$B$5:$B$75,MIN(71,Cartera_Polizas!$B$37+7-49))*(1+(Cartera_Polizas!$P$37-1)*MAX(0,1-7/Supuestos!$C$20))*(1-Supuestos!$C$18)^7))</f>
        <v>0.290152700583763</v>
      </c>
      <c r="K35" s="29" t="n">
        <f aca="false">J35*(1-MIN(1,INDEX(Tabla_Mortalidad!$B$5:$B$75,MIN(71,Cartera_Polizas!$B$37+8-49))*(1+(Cartera_Polizas!$P$37-1)*MAX(0,1-8/Supuestos!$C$20))*(1-Supuestos!$C$18)^8))</f>
        <v>0.239204678295296</v>
      </c>
      <c r="L35" s="29" t="n">
        <f aca="false">K35*(1-MIN(1,INDEX(Tabla_Mortalidad!$B$5:$B$75,MIN(71,Cartera_Polizas!$B$37+9-49))*(1+(Cartera_Polizas!$P$37-1)*MAX(0,1-9/Supuestos!$C$20))*(1-Supuestos!$C$18)^9))</f>
        <v>0.19573266703154</v>
      </c>
      <c r="M35" s="29" t="n">
        <f aca="false">L35*(1-MIN(1,INDEX(Tabla_Mortalidad!$B$5:$B$75,MIN(71,Cartera_Polizas!$B$37+10-49))*(1+(Cartera_Polizas!$P$37-1)*MAX(0,1-10/Supuestos!$C$20))*(1-Supuestos!$C$18)^10))</f>
        <v>0.159104770223404</v>
      </c>
      <c r="N35" s="29" t="n">
        <f aca="false">M35*(1-MIN(1,INDEX(Tabla_Mortalidad!$B$5:$B$75,MIN(71,Cartera_Polizas!$B$37+11-49))*(1+(Cartera_Polizas!$P$37-1)*MAX(0,1-11/Supuestos!$C$20))*(1-Supuestos!$C$18)^11))</f>
        <v>0.128626402052561</v>
      </c>
      <c r="O35" s="29" t="n">
        <f aca="false">N35*(1-MIN(1,INDEX(Tabla_Mortalidad!$B$5:$B$75,MIN(71,Cartera_Polizas!$B$37+12-49))*(1+(Cartera_Polizas!$P$37-1)*MAX(0,1-12/Supuestos!$C$20))*(1-Supuestos!$C$18)^12))</f>
        <v>0.103573525289327</v>
      </c>
      <c r="P35" s="29" t="n">
        <f aca="false">O35*(1-MIN(1,INDEX(Tabla_Mortalidad!$B$5:$B$75,MIN(71,Cartera_Polizas!$B$37+13-49))*(1+(Cartera_Polizas!$P$37-1)*MAX(0,1-13/Supuestos!$C$20))*(1-Supuestos!$C$18)^13))</f>
        <v>0.0832234528152623</v>
      </c>
      <c r="Q35" s="29" t="n">
        <f aca="false">P35*(1-MIN(1,INDEX(Tabla_Mortalidad!$B$5:$B$75,MIN(71,Cartera_Polizas!$B$37+14-49))*(1+(Cartera_Polizas!$P$37-1)*MAX(0,1-14/Supuestos!$C$20))*(1-Supuestos!$C$18)^14))</f>
        <v>0.0668812714689188</v>
      </c>
      <c r="R35" s="29" t="n">
        <f aca="false">Q35*(1-MIN(1,INDEX(Tabla_Mortalidad!$B$5:$B$75,MIN(71,Cartera_Polizas!$B$37+15-49))*(1+(Cartera_Polizas!$P$37-1)*MAX(0,1-15/Supuestos!$C$20))*(1-Supuestos!$C$18)^15))</f>
        <v>0.0539014577417087</v>
      </c>
      <c r="S35" s="29" t="n">
        <f aca="false">R35*(1-MIN(1,INDEX(Tabla_Mortalidad!$B$5:$B$75,MIN(71,Cartera_Polizas!$B$37+16-49))*(1+(Cartera_Polizas!$P$37-1)*MAX(0,1-16/Supuestos!$C$20))*(1-Supuestos!$C$18)^16))</f>
        <v>0.0424337522910903</v>
      </c>
      <c r="T35" s="29" t="n">
        <f aca="false">S35*(1-MIN(1,INDEX(Tabla_Mortalidad!$B$5:$B$75,MIN(71,Cartera_Polizas!$B$37+17-49))*(1+(Cartera_Polizas!$P$37-1)*MAX(0,1-17/Supuestos!$C$20))*(1-Supuestos!$C$18)^17))</f>
        <v>0.0325511368528421</v>
      </c>
      <c r="U35" s="29" t="n">
        <f aca="false">T35*(1-MIN(1,INDEX(Tabla_Mortalidad!$B$5:$B$75,MIN(71,Cartera_Polizas!$B$37+18-49))*(1+(Cartera_Polizas!$P$37-1)*MAX(0,1-18/Supuestos!$C$20))*(1-Supuestos!$C$18)^18))</f>
        <v>0.0242656598239831</v>
      </c>
      <c r="V35" s="29" t="n">
        <f aca="false">U35*(1-MIN(1,INDEX(Tabla_Mortalidad!$B$5:$B$75,MIN(71,Cartera_Polizas!$B$37+19-49))*(1+(Cartera_Polizas!$P$37-1)*MAX(0,1-19/Supuestos!$C$20))*(1-Supuestos!$C$18)^19))</f>
        <v>0.0175270870181057</v>
      </c>
      <c r="W35" s="29" t="n">
        <f aca="false">V35*(1-MIN(1,INDEX(Tabla_Mortalidad!$B$5:$B$75,MIN(71,Cartera_Polizas!$B$37+20-49))*(1+(Cartera_Polizas!$P$37-1)*MAX(0,1-20/Supuestos!$C$20))*(1-Supuestos!$C$18)^20))</f>
        <v>0.0122271737915643</v>
      </c>
      <c r="X35" s="29" t="n">
        <f aca="false">W35*(1-MIN(1,INDEX(Tabla_Mortalidad!$B$5:$B$75,MIN(71,Cartera_Polizas!$B$37+21-49))*(1+(Cartera_Polizas!$P$37-1)*MAX(0,1-21/Supuestos!$C$20))*(1-Supuestos!$C$18)^21))</f>
        <v>0.0082098048407552</v>
      </c>
      <c r="Y35" s="29" t="n">
        <f aca="false">X35*(1-MIN(1,INDEX(Tabla_Mortalidad!$B$5:$B$75,MIN(71,Cartera_Polizas!$B$37+22-49))*(1+(Cartera_Polizas!$P$37-1)*MAX(0,1-22/Supuestos!$C$20))*(1-Supuestos!$C$18)^22))</f>
        <v>0.00528571480613675</v>
      </c>
      <c r="Z35" s="29" t="n">
        <f aca="false">Y35*(1-MIN(1,INDEX(Tabla_Mortalidad!$B$5:$B$75,MIN(71,Cartera_Polizas!$B$37+23-49))*(1+(Cartera_Polizas!$P$37-1)*MAX(0,1-23/Supuestos!$C$20))*(1-Supuestos!$C$18)^23))</f>
        <v>0.00325010174146203</v>
      </c>
      <c r="AA35" s="29" t="n">
        <f aca="false">Z35*(1-MIN(1,INDEX(Tabla_Mortalidad!$B$5:$B$75,MIN(71,Cartera_Polizas!$B$37+24-49))*(1+(Cartera_Polizas!$P$37-1)*MAX(0,1-24/Supuestos!$C$20))*(1-Supuestos!$C$18)^24))</f>
        <v>0.00190047975117858</v>
      </c>
      <c r="AB35" s="29" t="n">
        <f aca="false">AA35*(1-MIN(1,INDEX(Tabla_Mortalidad!$B$5:$B$75,MIN(71,Cartera_Polizas!$B$37+25-49))*(1+(Cartera_Polizas!$P$37-1)*MAX(0,1-25/Supuestos!$C$20))*(1-Supuestos!$C$18)^25))</f>
        <v>0.00105210743023827</v>
      </c>
      <c r="AC35" s="29" t="n">
        <f aca="false">AB35*(1-MIN(1,INDEX(Tabla_Mortalidad!$B$5:$B$75,MIN(71,Cartera_Polizas!$B$37+26-49))*(1+(Cartera_Polizas!$P$37-1)*MAX(0,1-26/Supuestos!$C$20))*(1-Supuestos!$C$18)^26))</f>
        <v>0.000548877302743604</v>
      </c>
      <c r="AD35" s="29" t="n">
        <f aca="false">AC35*(1-MIN(1,INDEX(Tabla_Mortalidad!$B$5:$B$75,MIN(71,Cartera_Polizas!$B$37+27-49))*(1+(Cartera_Polizas!$P$37-1)*MAX(0,1-27/Supuestos!$C$20))*(1-Supuestos!$C$18)^27))</f>
        <v>0.000268573767601353</v>
      </c>
      <c r="AE35" s="29" t="n">
        <f aca="false">AD35*(1-MIN(1,INDEX(Tabla_Mortalidad!$B$5:$B$75,MIN(71,Cartera_Polizas!$B$37+28-49))*(1+(Cartera_Polizas!$P$37-1)*MAX(0,1-28/Supuestos!$C$20))*(1-Supuestos!$C$18)^28))</f>
        <v>0.000122687341740442</v>
      </c>
      <c r="AF35" s="29" t="n">
        <f aca="false">AE35*(1-MIN(1,INDEX(Tabla_Mortalidad!$B$5:$B$75,MIN(71,Cartera_Polizas!$B$37+29-49))*(1+(Cartera_Polizas!$P$37-1)*MAX(0,1-29/Supuestos!$C$20))*(1-Supuestos!$C$18)^29))</f>
        <v>5.20900906427792E-005</v>
      </c>
      <c r="AG35" s="29" t="n">
        <f aca="false">AF35*(1-MIN(1,INDEX(Tabla_Mortalidad!$B$5:$B$75,MIN(71,Cartera_Polizas!$B$37+30-49))*(1+(Cartera_Polizas!$P$37-1)*MAX(0,1-30/Supuestos!$C$20))*(1-Supuestos!$C$18)^30))</f>
        <v>2.04735919381963E-005</v>
      </c>
      <c r="AH35" s="29" t="n">
        <f aca="false">AG35*(1-MIN(1,INDEX(Tabla_Mortalidad!$B$5:$B$75,MIN(71,Cartera_Polizas!$B$37+31-49))*(1+(Cartera_Polizas!$P$37-1)*MAX(0,1-31/Supuestos!$C$20))*(1-Supuestos!$C$18)^31))</f>
        <v>7.42511973932449E-006</v>
      </c>
      <c r="AI35" s="29" t="n">
        <f aca="false">AH35*(1-MIN(1,INDEX(Tabla_Mortalidad!$B$5:$B$75,MIN(71,Cartera_Polizas!$B$37+32-49))*(1+(Cartera_Polizas!$P$37-1)*MAX(0,1-32/Supuestos!$C$20))*(1-Supuestos!$C$18)^32))</f>
        <v>2.47942059215629E-006</v>
      </c>
      <c r="AJ35" s="29" t="n">
        <f aca="false">AI35*(1-MIN(1,INDEX(Tabla_Mortalidad!$B$5:$B$75,MIN(71,Cartera_Polizas!$B$37+33-49))*(1+(Cartera_Polizas!$P$37-1)*MAX(0,1-33/Supuestos!$C$20))*(1-Supuestos!$C$18)^33))</f>
        <v>7.61826780474831E-007</v>
      </c>
      <c r="AK35" s="29" t="n">
        <f aca="false">AJ35*(1-MIN(1,INDEX(Tabla_Mortalidad!$B$5:$B$75,MIN(71,Cartera_Polizas!$B$37+34-49))*(1+(Cartera_Polizas!$P$37-1)*MAX(0,1-34/Supuestos!$C$20))*(1-Supuestos!$C$18)^34))</f>
        <v>2.15668327202433E-007</v>
      </c>
      <c r="AL35" s="29" t="n">
        <f aca="false">AK35*(1-MIN(1,INDEX(Tabla_Mortalidad!$B$5:$B$75,MIN(71,Cartera_Polizas!$B$37+35-49))*(1+(Cartera_Polizas!$P$37-1)*MAX(0,1-35/Supuestos!$C$20))*(1-Supuestos!$C$18)^35))</f>
        <v>5.6456187492727E-008</v>
      </c>
      <c r="AM35" s="29" t="n">
        <f aca="false">AL35*(1-MIN(1,INDEX(Tabla_Mortalidad!$B$5:$B$75,MIN(71,Cartera_Polizas!$B$37+36-49))*(1+(Cartera_Polizas!$P$37-1)*MAX(0,1-36/Supuestos!$C$20))*(1-Supuestos!$C$18)^36))</f>
        <v>1.37500018449173E-008</v>
      </c>
      <c r="AN35" s="29" t="n">
        <f aca="false">AM35*(1-MIN(1,INDEX(Tabla_Mortalidad!$B$5:$B$75,MIN(71,Cartera_Polizas!$B$37+37-49))*(1+(Cartera_Polizas!$P$37-1)*MAX(0,1-37/Supuestos!$C$20))*(1-Supuestos!$C$18)^37))</f>
        <v>3.1428222676449E-009</v>
      </c>
      <c r="AO35" s="29" t="n">
        <f aca="false">AN35*(1-MIN(1,INDEX(Tabla_Mortalidad!$B$5:$B$75,MIN(71,Cartera_Polizas!$B$37+38-49))*(1+(Cartera_Polizas!$P$37-1)*MAX(0,1-38/Supuestos!$C$20))*(1-Supuestos!$C$18)^38))</f>
        <v>6.81467161050106E-010</v>
      </c>
      <c r="AP35" s="29" t="n">
        <f aca="false">AO35*(1-MIN(1,INDEX(Tabla_Mortalidad!$B$5:$B$75,MIN(71,Cartera_Polizas!$B$37+39-49))*(1+(Cartera_Polizas!$P$37-1)*MAX(0,1-39/Supuestos!$C$20))*(1-Supuestos!$C$18)^39))</f>
        <v>1.21006568383271E-010</v>
      </c>
      <c r="AQ35" s="29" t="n">
        <f aca="false">AP35*(1-MIN(1,INDEX(Tabla_Mortalidad!$B$5:$B$75,MIN(71,Cartera_Polizas!$B$37+40-49))*(1+(Cartera_Polizas!$P$37-1)*MAX(0,1-40/Supuestos!$C$20))*(1-Supuestos!$C$18)^40))</f>
        <v>2.19844586993341E-011</v>
      </c>
      <c r="AR35" s="29" t="n">
        <f aca="false">AQ35*(1-MIN(1,INDEX(Tabla_Mortalidad!$B$5:$B$75,MIN(71,Cartera_Polizas!$B$37+41-49))*(1+(Cartera_Polizas!$P$37-1)*MAX(0,1-41/Supuestos!$C$20))*(1-Supuestos!$C$18)^41))</f>
        <v>4.08408542039433E-012</v>
      </c>
      <c r="AS35" s="29" t="n">
        <f aca="false">AR35*(1-MIN(1,INDEX(Tabla_Mortalidad!$B$5:$B$75,MIN(71,Cartera_Polizas!$B$37+42-49))*(1+(Cartera_Polizas!$P$37-1)*MAX(0,1-42/Supuestos!$C$20))*(1-Supuestos!$C$18)^42))</f>
        <v>7.75333485433256E-013</v>
      </c>
      <c r="AT35" s="29" t="n">
        <f aca="false">AS35*(1-MIN(1,INDEX(Tabla_Mortalidad!$B$5:$B$75,MIN(71,Cartera_Polizas!$B$37+43-49))*(1+(Cartera_Polizas!$P$37-1)*MAX(0,1-43/Supuestos!$C$20))*(1-Supuestos!$C$18)^43))</f>
        <v>1.50332052659574E-013</v>
      </c>
      <c r="AU35" s="29" t="n">
        <f aca="false">AT35*(1-MIN(1,INDEX(Tabla_Mortalidad!$B$5:$B$75,MIN(71,Cartera_Polizas!$B$37+44-49))*(1+(Cartera_Polizas!$P$37-1)*MAX(0,1-44/Supuestos!$C$20))*(1-Supuestos!$C$18)^44))</f>
        <v>2.97543124755792E-014</v>
      </c>
    </row>
    <row r="36" customFormat="false" ht="15" hidden="false" customHeight="false" outlineLevel="0" collapsed="false">
      <c r="A36" s="14" t="n">
        <f aca="false">Cartera_Polizas!A38</f>
        <v>33</v>
      </c>
      <c r="B36" s="26" t="n">
        <f aca="false">SUM(C36:AU36)+0.5</f>
        <v>10.5435458704076</v>
      </c>
      <c r="C36" s="29" t="n">
        <f aca="false">1-MIN(1,INDEX(Tabla_Mortalidad!$B$5:$B$75,MIN(71,Cartera_Polizas!$B$38+0-49))*(1+(Cartera_Polizas!$P$38-1)*MAX(0,1-0/Supuestos!$C$20))*(1-Supuestos!$C$18)^0)</f>
        <v>0.953343467</v>
      </c>
      <c r="D36" s="29" t="n">
        <f aca="false">C36*(1-MIN(1,INDEX(Tabla_Mortalidad!$B$5:$B$75,MIN(71,Cartera_Polizas!$B$38+1-49))*(1+(Cartera_Polizas!$P$38-1)*MAX(0,1-1/Supuestos!$C$20))*(1-Supuestos!$C$18)^1))</f>
        <v>0.905072299307462</v>
      </c>
      <c r="E36" s="29" t="n">
        <f aca="false">D36*(1-MIN(1,INDEX(Tabla_Mortalidad!$B$5:$B$75,MIN(71,Cartera_Polizas!$B$38+2-49))*(1+(Cartera_Polizas!$P$38-1)*MAX(0,1-2/Supuestos!$C$20))*(1-Supuestos!$C$18)^2))</f>
        <v>0.855373263852883</v>
      </c>
      <c r="F36" s="29" t="n">
        <f aca="false">E36*(1-MIN(1,INDEX(Tabla_Mortalidad!$B$5:$B$75,MIN(71,Cartera_Polizas!$B$38+3-49))*(1+(Cartera_Polizas!$P$38-1)*MAX(0,1-3/Supuestos!$C$20))*(1-Supuestos!$C$18)^3))</f>
        <v>0.804472570070432</v>
      </c>
      <c r="G36" s="29" t="n">
        <f aca="false">F36*(1-MIN(1,INDEX(Tabla_Mortalidad!$B$5:$B$75,MIN(71,Cartera_Polizas!$B$38+4-49))*(1+(Cartera_Polizas!$P$38-1)*MAX(0,1-4/Supuestos!$C$20))*(1-Supuestos!$C$18)^4))</f>
        <v>0.752634026171094</v>
      </c>
      <c r="H36" s="29" t="n">
        <f aca="false">G36*(1-MIN(1,INDEX(Tabla_Mortalidad!$B$5:$B$75,MIN(71,Cartera_Polizas!$B$38+5-49))*(1+(Cartera_Polizas!$P$38-1)*MAX(0,1-5/Supuestos!$C$20))*(1-Supuestos!$C$18)^5))</f>
        <v>0.700160095924563</v>
      </c>
      <c r="I36" s="29" t="n">
        <f aca="false">H36*(1-MIN(1,INDEX(Tabla_Mortalidad!$B$5:$B$75,MIN(71,Cartera_Polizas!$B$38+6-49))*(1+(Cartera_Polizas!$P$38-1)*MAX(0,1-6/Supuestos!$C$20))*(1-Supuestos!$C$18)^6))</f>
        <v>0.647390854022725</v>
      </c>
      <c r="J36" s="29" t="n">
        <f aca="false">I36*(1-MIN(1,INDEX(Tabla_Mortalidad!$B$5:$B$75,MIN(71,Cartera_Polizas!$B$38+7-49))*(1+(Cartera_Polizas!$P$38-1)*MAX(0,1-7/Supuestos!$C$20))*(1-Supuestos!$C$18)^7))</f>
        <v>0.594697408072822</v>
      </c>
      <c r="K36" s="29" t="n">
        <f aca="false">J36*(1-MIN(1,INDEX(Tabla_Mortalidad!$B$5:$B$75,MIN(71,Cartera_Polizas!$B$38+8-49))*(1+(Cartera_Polizas!$P$38-1)*MAX(0,1-8/Supuestos!$C$20))*(1-Supuestos!$C$18)^8))</f>
        <v>0.542475379538838</v>
      </c>
      <c r="L36" s="29" t="n">
        <f aca="false">K36*(1-MIN(1,INDEX(Tabla_Mortalidad!$B$5:$B$75,MIN(71,Cartera_Polizas!$B$38+9-49))*(1+(Cartera_Polizas!$P$38-1)*MAX(0,1-9/Supuestos!$C$20))*(1-Supuestos!$C$18)^9))</f>
        <v>0.491140011025727</v>
      </c>
      <c r="M36" s="29" t="n">
        <f aca="false">L36*(1-MIN(1,INDEX(Tabla_Mortalidad!$B$5:$B$75,MIN(71,Cartera_Polizas!$B$38+10-49))*(1+(Cartera_Polizas!$P$38-1)*MAX(0,1-10/Supuestos!$C$20))*(1-Supuestos!$C$18)^10))</f>
        <v>0.44111210029794</v>
      </c>
      <c r="N36" s="29" t="n">
        <f aca="false">M36*(1-MIN(1,INDEX(Tabla_Mortalidad!$B$5:$B$75,MIN(71,Cartera_Polizas!$B$38+11-49))*(1+(Cartera_Polizas!$P$38-1)*MAX(0,1-11/Supuestos!$C$20))*(1-Supuestos!$C$18)^11))</f>
        <v>0.392810410351958</v>
      </c>
      <c r="O36" s="29" t="n">
        <f aca="false">N36*(1-MIN(1,INDEX(Tabla_Mortalidad!$B$5:$B$75,MIN(71,Cartera_Polizas!$B$38+12-49))*(1+(Cartera_Polizas!$P$38-1)*MAX(0,1-12/Supuestos!$C$20))*(1-Supuestos!$C$18)^12))</f>
        <v>0.346636126340664</v>
      </c>
      <c r="P36" s="29" t="n">
        <f aca="false">O36*(1-MIN(1,INDEX(Tabla_Mortalidad!$B$5:$B$75,MIN(71,Cartera_Polizas!$B$38+13-49))*(1+(Cartera_Polizas!$P$38-1)*MAX(0,1-13/Supuestos!$C$20))*(1-Supuestos!$C$18)^13))</f>
        <v>0.302960159901969</v>
      </c>
      <c r="Q36" s="29" t="n">
        <f aca="false">P36*(1-MIN(1,INDEX(Tabla_Mortalidad!$B$5:$B$75,MIN(71,Cartera_Polizas!$B$38+14-49))*(1+(Cartera_Polizas!$P$38-1)*MAX(0,1-14/Supuestos!$C$20))*(1-Supuestos!$C$18)^14))</f>
        <v>0.26210943446605</v>
      </c>
      <c r="R36" s="29" t="n">
        <f aca="false">Q36*(1-MIN(1,INDEX(Tabla_Mortalidad!$B$5:$B$75,MIN(71,Cartera_Polizas!$B$38+15-49))*(1+(Cartera_Polizas!$P$38-1)*MAX(0,1-15/Supuestos!$C$20))*(1-Supuestos!$C$18)^15))</f>
        <v>0.224354375647886</v>
      </c>
      <c r="S36" s="29" t="n">
        <f aca="false">R36*(1-MIN(1,INDEX(Tabla_Mortalidad!$B$5:$B$75,MIN(71,Cartera_Polizas!$B$38+16-49))*(1+(Cartera_Polizas!$P$38-1)*MAX(0,1-16/Supuestos!$C$20))*(1-Supuestos!$C$18)^16))</f>
        <v>0.18880051401387</v>
      </c>
      <c r="T36" s="29" t="n">
        <f aca="false">S36*(1-MIN(1,INDEX(Tabla_Mortalidad!$B$5:$B$75,MIN(71,Cartera_Polizas!$B$38+17-49))*(1+(Cartera_Polizas!$P$38-1)*MAX(0,1-17/Supuestos!$C$20))*(1-Supuestos!$C$18)^17))</f>
        <v>0.155918911736052</v>
      </c>
      <c r="U36" s="29" t="n">
        <f aca="false">T36*(1-MIN(1,INDEX(Tabla_Mortalidad!$B$5:$B$75,MIN(71,Cartera_Polizas!$B$38+18-49))*(1+(Cartera_Polizas!$P$38-1)*MAX(0,1-18/Supuestos!$C$20))*(1-Supuestos!$C$18)^18))</f>
        <v>0.12611097085003</v>
      </c>
      <c r="V36" s="29" t="n">
        <f aca="false">U36*(1-MIN(1,INDEX(Tabla_Mortalidad!$B$5:$B$75,MIN(71,Cartera_Polizas!$B$38+19-49))*(1+(Cartera_Polizas!$P$38-1)*MAX(0,1-19/Supuestos!$C$20))*(1-Supuestos!$C$18)^19))</f>
        <v>0.0996809119990431</v>
      </c>
      <c r="W36" s="29" t="n">
        <f aca="false">V36*(1-MIN(1,INDEX(Tabla_Mortalidad!$B$5:$B$75,MIN(71,Cartera_Polizas!$B$38+20-49))*(1+(Cartera_Polizas!$P$38-1)*MAX(0,1-20/Supuestos!$C$20))*(1-Supuestos!$C$18)^20))</f>
        <v>0.0768122000516125</v>
      </c>
      <c r="X36" s="29" t="n">
        <f aca="false">W36*(1-MIN(1,INDEX(Tabla_Mortalidad!$B$5:$B$75,MIN(71,Cartera_Polizas!$B$38+21-49))*(1+(Cartera_Polizas!$P$38-1)*MAX(0,1-21/Supuestos!$C$20))*(1-Supuestos!$C$18)^21))</f>
        <v>0.0575524430579399</v>
      </c>
      <c r="Y36" s="29" t="n">
        <f aca="false">X36*(1-MIN(1,INDEX(Tabla_Mortalidad!$B$5:$B$75,MIN(71,Cartera_Polizas!$B$38+22-49))*(1+(Cartera_Polizas!$P$38-1)*MAX(0,1-22/Supuestos!$C$20))*(1-Supuestos!$C$18)^22))</f>
        <v>0.0418086698129678</v>
      </c>
      <c r="Z36" s="29" t="n">
        <f aca="false">Y36*(1-MIN(1,INDEX(Tabla_Mortalidad!$B$5:$B$75,MIN(71,Cartera_Polizas!$B$38+23-49))*(1+(Cartera_Polizas!$P$38-1)*MAX(0,1-23/Supuestos!$C$20))*(1-Supuestos!$C$18)^23))</f>
        <v>0.0293550785205384</v>
      </c>
      <c r="AA36" s="29" t="n">
        <f aca="false">Z36*(1-MIN(1,INDEX(Tabla_Mortalidad!$B$5:$B$75,MIN(71,Cartera_Polizas!$B$38+24-49))*(1+(Cartera_Polizas!$P$38-1)*MAX(0,1-24/Supuestos!$C$20))*(1-Supuestos!$C$18)^24))</f>
        <v>0.0198541046827028</v>
      </c>
      <c r="AB36" s="29" t="n">
        <f aca="false">AA36*(1-MIN(1,INDEX(Tabla_Mortalidad!$B$5:$B$75,MIN(71,Cartera_Polizas!$B$38+25-49))*(1+(Cartera_Polizas!$P$38-1)*MAX(0,1-25/Supuestos!$C$20))*(1-Supuestos!$C$18)^25))</f>
        <v>0.0128882011325165</v>
      </c>
      <c r="AC36" s="29" t="n">
        <f aca="false">AB36*(1-MIN(1,INDEX(Tabla_Mortalidad!$B$5:$B$75,MIN(71,Cartera_Polizas!$B$38+26-49))*(1+(Cartera_Polizas!$P$38-1)*MAX(0,1-26/Supuestos!$C$20))*(1-Supuestos!$C$18)^26))</f>
        <v>0.00799882948285993</v>
      </c>
      <c r="AD36" s="29" t="n">
        <f aca="false">AC36*(1-MIN(1,INDEX(Tabla_Mortalidad!$B$5:$B$75,MIN(71,Cartera_Polizas!$B$38+27-49))*(1+(Cartera_Polizas!$P$38-1)*MAX(0,1-27/Supuestos!$C$20))*(1-Supuestos!$C$18)^27))</f>
        <v>0.00472684774957404</v>
      </c>
      <c r="AE36" s="29" t="n">
        <f aca="false">AD36*(1-MIN(1,INDEX(Tabla_Mortalidad!$B$5:$B$75,MIN(71,Cartera_Polizas!$B$38+28-49))*(1+(Cartera_Polizas!$P$38-1)*MAX(0,1-28/Supuestos!$C$20))*(1-Supuestos!$C$18)^28))</f>
        <v>0.00264828040367566</v>
      </c>
      <c r="AF36" s="29" t="n">
        <f aca="false">AE36*(1-MIN(1,INDEX(Tabla_Mortalidad!$B$5:$B$75,MIN(71,Cartera_Polizas!$B$38+29-49))*(1+(Cartera_Polizas!$P$38-1)*MAX(0,1-29/Supuestos!$C$20))*(1-Supuestos!$C$18)^29))</f>
        <v>0.0014004954192964</v>
      </c>
      <c r="AG36" s="29" t="n">
        <f aca="false">AF36*(1-MIN(1,INDEX(Tabla_Mortalidad!$B$5:$B$75,MIN(71,Cartera_Polizas!$B$38+30-49))*(1+(Cartera_Polizas!$P$38-1)*MAX(0,1-30/Supuestos!$C$20))*(1-Supuestos!$C$18)^30))</f>
        <v>0.000695957718415996</v>
      </c>
      <c r="AH36" s="29" t="n">
        <f aca="false">AG36*(1-MIN(1,INDEX(Tabla_Mortalidad!$B$5:$B$75,MIN(71,Cartera_Polizas!$B$38+31-49))*(1+(Cartera_Polizas!$P$38-1)*MAX(0,1-31/Supuestos!$C$20))*(1-Supuestos!$C$18)^31))</f>
        <v>0.000323563104677745</v>
      </c>
      <c r="AI36" s="29" t="n">
        <f aca="false">AH36*(1-MIN(1,INDEX(Tabla_Mortalidad!$B$5:$B$75,MIN(71,Cartera_Polizas!$B$38+32-49))*(1+(Cartera_Polizas!$P$38-1)*MAX(0,1-32/Supuestos!$C$20))*(1-Supuestos!$C$18)^32))</f>
        <v>0.00014015595129045</v>
      </c>
      <c r="AJ36" s="29" t="n">
        <f aca="false">AI36*(1-MIN(1,INDEX(Tabla_Mortalidad!$B$5:$B$75,MIN(71,Cartera_Polizas!$B$38+33-49))*(1+(Cartera_Polizas!$P$38-1)*MAX(0,1-33/Supuestos!$C$20))*(1-Supuestos!$C$18)^33))</f>
        <v>5.63568336292513E-005</v>
      </c>
      <c r="AK36" s="29" t="n">
        <f aca="false">AJ36*(1-MIN(1,INDEX(Tabla_Mortalidad!$B$5:$B$75,MIN(71,Cartera_Polizas!$B$38+34-49))*(1+(Cartera_Polizas!$P$38-1)*MAX(0,1-34/Supuestos!$C$20))*(1-Supuestos!$C$18)^34))</f>
        <v>2.09749093809812E-005</v>
      </c>
      <c r="AL36" s="29" t="n">
        <f aca="false">AK36*(1-MIN(1,INDEX(Tabla_Mortalidad!$B$5:$B$75,MIN(71,Cartera_Polizas!$B$38+35-49))*(1+(Cartera_Polizas!$P$38-1)*MAX(0,1-35/Supuestos!$C$20))*(1-Supuestos!$C$18)^35))</f>
        <v>7.21252865773206E-006</v>
      </c>
      <c r="AM36" s="29" t="n">
        <f aca="false">AL36*(1-MIN(1,INDEX(Tabla_Mortalidad!$B$5:$B$75,MIN(71,Cartera_Polizas!$B$38+36-49))*(1+(Cartera_Polizas!$P$38-1)*MAX(0,1-36/Supuestos!$C$20))*(1-Supuestos!$C$18)^36))</f>
        <v>2.29069358266064E-006</v>
      </c>
      <c r="AN36" s="29" t="n">
        <f aca="false">AM36*(1-MIN(1,INDEX(Tabla_Mortalidad!$B$5:$B$75,MIN(71,Cartera_Polizas!$B$38+37-49))*(1+(Cartera_Polizas!$P$38-1)*MAX(0,1-37/Supuestos!$C$20))*(1-Supuestos!$C$18)^37))</f>
        <v>6.72991047921707E-007</v>
      </c>
      <c r="AO36" s="29" t="n">
        <f aca="false">AN36*(1-MIN(1,INDEX(Tabla_Mortalidad!$B$5:$B$75,MIN(71,Cartera_Polizas!$B$38+38-49))*(1+(Cartera_Polizas!$P$38-1)*MAX(0,1-38/Supuestos!$C$20))*(1-Supuestos!$C$18)^38))</f>
        <v>1.83586119180562E-007</v>
      </c>
      <c r="AP36" s="29" t="n">
        <f aca="false">AO36*(1-MIN(1,INDEX(Tabla_Mortalidad!$B$5:$B$75,MIN(71,Cartera_Polizas!$B$38+39-49))*(1+(Cartera_Polizas!$P$38-1)*MAX(0,1-39/Supuestos!$C$20))*(1-Supuestos!$C$18)^39))</f>
        <v>4.67854188951699E-008</v>
      </c>
      <c r="AQ36" s="29" t="n">
        <f aca="false">AP36*(1-MIN(1,INDEX(Tabla_Mortalidad!$B$5:$B$75,MIN(71,Cartera_Polizas!$B$38+40-49))*(1+(Cartera_Polizas!$P$38-1)*MAX(0,1-40/Supuestos!$C$20))*(1-Supuestos!$C$18)^40))</f>
        <v>1.12323634990195E-008</v>
      </c>
      <c r="AR36" s="29" t="n">
        <f aca="false">AQ36*(1-MIN(1,INDEX(Tabla_Mortalidad!$B$5:$B$75,MIN(71,Cartera_Polizas!$B$38+41-49))*(1+(Cartera_Polizas!$P$38-1)*MAX(0,1-41/Supuestos!$C$20))*(1-Supuestos!$C$18)^41))</f>
        <v>2.56683918167493E-009</v>
      </c>
      <c r="AS36" s="29" t="n">
        <f aca="false">AR36*(1-MIN(1,INDEX(Tabla_Mortalidad!$B$5:$B$75,MIN(71,Cartera_Polizas!$B$38+42-49))*(1+(Cartera_Polizas!$P$38-1)*MAX(0,1-42/Supuestos!$C$20))*(1-Supuestos!$C$18)^42))</f>
        <v>4.87295480975154E-010</v>
      </c>
      <c r="AT36" s="29" t="n">
        <f aca="false">AS36*(1-MIN(1,INDEX(Tabla_Mortalidad!$B$5:$B$75,MIN(71,Cartera_Polizas!$B$38+43-49))*(1+(Cartera_Polizas!$P$38-1)*MAX(0,1-43/Supuestos!$C$20))*(1-Supuestos!$C$18)^43))</f>
        <v>9.44833820324344E-011</v>
      </c>
      <c r="AU36" s="29" t="n">
        <f aca="false">AT36*(1-MIN(1,INDEX(Tabla_Mortalidad!$B$5:$B$75,MIN(71,Cartera_Polizas!$B$38+44-49))*(1+(Cartera_Polizas!$P$38-1)*MAX(0,1-44/Supuestos!$C$20))*(1-Supuestos!$C$18)^44))</f>
        <v>1.87005234280192E-011</v>
      </c>
    </row>
    <row r="37" customFormat="false" ht="15" hidden="false" customHeight="false" outlineLevel="0" collapsed="false">
      <c r="A37" s="14" t="n">
        <f aca="false">Cartera_Polizas!A39</f>
        <v>34</v>
      </c>
      <c r="B37" s="26" t="n">
        <f aca="false">SUM(C37:AU37)+0.5</f>
        <v>6.43575236981919</v>
      </c>
      <c r="C37" s="29" t="n">
        <f aca="false">1-MIN(1,INDEX(Tabla_Mortalidad!$B$5:$B$75,MIN(71,Cartera_Polizas!$B$39+0-49))*(1+(Cartera_Polizas!$P$39-1)*MAX(0,1-0/Supuestos!$C$20))*(1-Supuestos!$C$18)^0)</f>
        <v>0.88522841</v>
      </c>
      <c r="D37" s="29" t="n">
        <f aca="false">C37*(1-MIN(1,INDEX(Tabla_Mortalidad!$B$5:$B$75,MIN(71,Cartera_Polizas!$B$39+1-49))*(1+(Cartera_Polizas!$P$39-1)*MAX(0,1-1/Supuestos!$C$20))*(1-Supuestos!$C$18)^1))</f>
        <v>0.777801065439916</v>
      </c>
      <c r="E37" s="29" t="n">
        <f aca="false">D37*(1-MIN(1,INDEX(Tabla_Mortalidad!$B$5:$B$75,MIN(71,Cartera_Polizas!$B$39+2-49))*(1+(Cartera_Polizas!$P$39-1)*MAX(0,1-2/Supuestos!$C$20))*(1-Supuestos!$C$18)^2))</f>
        <v>0.678253914195162</v>
      </c>
      <c r="F37" s="29" t="n">
        <f aca="false">E37*(1-MIN(1,INDEX(Tabla_Mortalidad!$B$5:$B$75,MIN(71,Cartera_Polizas!$B$39+3-49))*(1+(Cartera_Polizas!$P$39-1)*MAX(0,1-3/Supuestos!$C$20))*(1-Supuestos!$C$18)^3))</f>
        <v>0.586963224704469</v>
      </c>
      <c r="G37" s="29" t="n">
        <f aca="false">F37*(1-MIN(1,INDEX(Tabla_Mortalidad!$B$5:$B$75,MIN(71,Cartera_Polizas!$B$39+4-49))*(1+(Cartera_Polizas!$P$39-1)*MAX(0,1-4/Supuestos!$C$20))*(1-Supuestos!$C$18)^4))</f>
        <v>0.504139630907033</v>
      </c>
      <c r="H37" s="29" t="n">
        <f aca="false">G37*(1-MIN(1,INDEX(Tabla_Mortalidad!$B$5:$B$75,MIN(71,Cartera_Polizas!$B$39+5-49))*(1+(Cartera_Polizas!$P$39-1)*MAX(0,1-5/Supuestos!$C$20))*(1-Supuestos!$C$18)^5))</f>
        <v>0.429826433647361</v>
      </c>
      <c r="I37" s="29" t="n">
        <f aca="false">H37*(1-MIN(1,INDEX(Tabla_Mortalidad!$B$5:$B$75,MIN(71,Cartera_Polizas!$B$39+6-49))*(1+(Cartera_Polizas!$P$39-1)*MAX(0,1-6/Supuestos!$C$20))*(1-Supuestos!$C$18)^6))</f>
        <v>0.363899731315623</v>
      </c>
      <c r="J37" s="29" t="n">
        <f aca="false">I37*(1-MIN(1,INDEX(Tabla_Mortalidad!$B$5:$B$75,MIN(71,Cartera_Polizas!$B$39+7-49))*(1+(Cartera_Polizas!$P$39-1)*MAX(0,1-7/Supuestos!$C$20))*(1-Supuestos!$C$18)^7))</f>
        <v>0.306080694675656</v>
      </c>
      <c r="K37" s="29" t="n">
        <f aca="false">J37*(1-MIN(1,INDEX(Tabla_Mortalidad!$B$5:$B$75,MIN(71,Cartera_Polizas!$B$39+8-49))*(1+(Cartera_Polizas!$P$39-1)*MAX(0,1-8/Supuestos!$C$20))*(1-Supuestos!$C$18)^8))</f>
        <v>0.255958516388857</v>
      </c>
      <c r="L37" s="29" t="n">
        <f aca="false">K37*(1-MIN(1,INDEX(Tabla_Mortalidad!$B$5:$B$75,MIN(71,Cartera_Polizas!$B$39+9-49))*(1+(Cartera_Polizas!$P$39-1)*MAX(0,1-9/Supuestos!$C$20))*(1-Supuestos!$C$18)^9))</f>
        <v>0.213010466467023</v>
      </c>
      <c r="M37" s="29" t="n">
        <f aca="false">L37*(1-MIN(1,INDEX(Tabla_Mortalidad!$B$5:$B$75,MIN(71,Cartera_Polizas!$B$39+10-49))*(1+(Cartera_Polizas!$P$39-1)*MAX(0,1-10/Supuestos!$C$20))*(1-Supuestos!$C$18)^10))</f>
        <v>0.176634758045519</v>
      </c>
      <c r="N37" s="29" t="n">
        <f aca="false">M37*(1-MIN(1,INDEX(Tabla_Mortalidad!$B$5:$B$75,MIN(71,Cartera_Polizas!$B$39+11-49))*(1+(Cartera_Polizas!$P$39-1)*MAX(0,1-11/Supuestos!$C$20))*(1-Supuestos!$C$18)^11))</f>
        <v>0.146178328570429</v>
      </c>
      <c r="O37" s="29" t="n">
        <f aca="false">N37*(1-MIN(1,INDEX(Tabla_Mortalidad!$B$5:$B$75,MIN(71,Cartera_Polizas!$B$39+12-49))*(1+(Cartera_Polizas!$P$39-1)*MAX(0,1-12/Supuestos!$C$20))*(1-Supuestos!$C$18)^12))</f>
        <v>0.120967828958561</v>
      </c>
      <c r="P37" s="29" t="n">
        <f aca="false">O37*(1-MIN(1,INDEX(Tabla_Mortalidad!$B$5:$B$75,MIN(71,Cartera_Polizas!$B$39+13-49))*(1+(Cartera_Polizas!$P$39-1)*MAX(0,1-13/Supuestos!$C$20))*(1-Supuestos!$C$18)^13))</f>
        <v>0.100337310723151</v>
      </c>
      <c r="Q37" s="29" t="n">
        <f aca="false">P37*(1-MIN(1,INDEX(Tabla_Mortalidad!$B$5:$B$75,MIN(71,Cartera_Polizas!$B$39+14-49))*(1+(Cartera_Polizas!$P$39-1)*MAX(0,1-14/Supuestos!$C$20))*(1-Supuestos!$C$18)^14))</f>
        <v>0.0836523229715784</v>
      </c>
      <c r="R37" s="29" t="n">
        <f aca="false">Q37*(1-MIN(1,INDEX(Tabla_Mortalidad!$B$5:$B$75,MIN(71,Cartera_Polizas!$B$39+15-49))*(1+(Cartera_Polizas!$P$39-1)*MAX(0,1-15/Supuestos!$C$20))*(1-Supuestos!$C$18)^15))</f>
        <v>0.0703291655739942</v>
      </c>
      <c r="S37" s="29" t="n">
        <f aca="false">R37*(1-MIN(1,INDEX(Tabla_Mortalidad!$B$5:$B$75,MIN(71,Cartera_Polizas!$B$39+16-49))*(1+(Cartera_Polizas!$P$39-1)*MAX(0,1-16/Supuestos!$C$20))*(1-Supuestos!$C$18)^16))</f>
        <v>0.0580190484896219</v>
      </c>
      <c r="T37" s="29" t="n">
        <f aca="false">S37*(1-MIN(1,INDEX(Tabla_Mortalidad!$B$5:$B$75,MIN(71,Cartera_Polizas!$B$39+17-49))*(1+(Cartera_Polizas!$P$39-1)*MAX(0,1-17/Supuestos!$C$20))*(1-Supuestos!$C$18)^17))</f>
        <v>0.0468714657935821</v>
      </c>
      <c r="U37" s="29" t="n">
        <f aca="false">T37*(1-MIN(1,INDEX(Tabla_Mortalidad!$B$5:$B$75,MIN(71,Cartera_Polizas!$B$39+18-49))*(1+(Cartera_Polizas!$P$39-1)*MAX(0,1-18/Supuestos!$C$20))*(1-Supuestos!$C$18)^18))</f>
        <v>0.036998884566261</v>
      </c>
      <c r="V37" s="29" t="n">
        <f aca="false">U37*(1-MIN(1,INDEX(Tabla_Mortalidad!$B$5:$B$75,MIN(71,Cartera_Polizas!$B$39+19-49))*(1+(Cartera_Polizas!$P$39-1)*MAX(0,1-19/Supuestos!$C$20))*(1-Supuestos!$C$18)^19))</f>
        <v>0.0284679766938014</v>
      </c>
      <c r="W37" s="29" t="n">
        <f aca="false">V37*(1-MIN(1,INDEX(Tabla_Mortalidad!$B$5:$B$75,MIN(71,Cartera_Polizas!$B$39+20-49))*(1+(Cartera_Polizas!$P$39-1)*MAX(0,1-20/Supuestos!$C$20))*(1-Supuestos!$C$18)^20))</f>
        <v>0.0212940964969312</v>
      </c>
      <c r="X37" s="29" t="n">
        <f aca="false">W37*(1-MIN(1,INDEX(Tabla_Mortalidad!$B$5:$B$75,MIN(71,Cartera_Polizas!$B$39+21-49))*(1+(Cartera_Polizas!$P$39-1)*MAX(0,1-21/Supuestos!$C$20))*(1-Supuestos!$C$18)^21))</f>
        <v>0.0154397125770169</v>
      </c>
      <c r="Y37" s="29" t="n">
        <f aca="false">X37*(1-MIN(1,INDEX(Tabla_Mortalidad!$B$5:$B$75,MIN(71,Cartera_Polizas!$B$39+22-49))*(1+(Cartera_Polizas!$P$39-1)*MAX(0,1-22/Supuestos!$C$20))*(1-Supuestos!$C$18)^22))</f>
        <v>0.0108175588114393</v>
      </c>
      <c r="Z37" s="29" t="n">
        <f aca="false">Y37*(1-MIN(1,INDEX(Tabla_Mortalidad!$B$5:$B$75,MIN(71,Cartera_Polizas!$B$39+23-49))*(1+(Cartera_Polizas!$P$39-1)*MAX(0,1-23/Supuestos!$C$20))*(1-Supuestos!$C$18)^23))</f>
        <v>0.00729878735776887</v>
      </c>
      <c r="AA37" s="29" t="n">
        <f aca="false">Z37*(1-MIN(1,INDEX(Tabla_Mortalidad!$B$5:$B$75,MIN(71,Cartera_Polizas!$B$39+24-49))*(1+(Cartera_Polizas!$P$39-1)*MAX(0,1-24/Supuestos!$C$20))*(1-Supuestos!$C$18)^24))</f>
        <v>0.00472510598147499</v>
      </c>
      <c r="AB37" s="29" t="n">
        <f aca="false">AA37*(1-MIN(1,INDEX(Tabla_Mortalidad!$B$5:$B$75,MIN(71,Cartera_Polizas!$B$39+25-49))*(1+(Cartera_Polizas!$P$39-1)*MAX(0,1-25/Supuestos!$C$20))*(1-Supuestos!$C$18)^25))</f>
        <v>0.00292354395918891</v>
      </c>
      <c r="AC37" s="29" t="n">
        <f aca="false">AB37*(1-MIN(1,INDEX(Tabla_Mortalidad!$B$5:$B$75,MIN(71,Cartera_Polizas!$B$39+26-49))*(1+(Cartera_Polizas!$P$39-1)*MAX(0,1-26/Supuestos!$C$20))*(1-Supuestos!$C$18)^26))</f>
        <v>0.00172163664137797</v>
      </c>
      <c r="AD37" s="29" t="n">
        <f aca="false">AC37*(1-MIN(1,INDEX(Tabla_Mortalidad!$B$5:$B$75,MIN(71,Cartera_Polizas!$B$39+27-49))*(1+(Cartera_Polizas!$P$39-1)*MAX(0,1-27/Supuestos!$C$20))*(1-Supuestos!$C$18)^27))</f>
        <v>0.000960765867377786</v>
      </c>
      <c r="AE37" s="29" t="n">
        <f aca="false">AD37*(1-MIN(1,INDEX(Tabla_Mortalidad!$B$5:$B$75,MIN(71,Cartera_Polizas!$B$39+28-49))*(1+(Cartera_Polizas!$P$39-1)*MAX(0,1-28/Supuestos!$C$20))*(1-Supuestos!$C$18)^28))</f>
        <v>0.000505808949448252</v>
      </c>
      <c r="AF37" s="29" t="n">
        <f aca="false">AE37*(1-MIN(1,INDEX(Tabla_Mortalidad!$B$5:$B$75,MIN(71,Cartera_Polizas!$B$39+29-49))*(1+(Cartera_Polizas!$P$39-1)*MAX(0,1-29/Supuestos!$C$20))*(1-Supuestos!$C$18)^29))</f>
        <v>0.000250076420393305</v>
      </c>
      <c r="AG37" s="29" t="n">
        <f aca="false">AF37*(1-MIN(1,INDEX(Tabla_Mortalidad!$B$5:$B$75,MIN(71,Cartera_Polizas!$B$39+30-49))*(1+(Cartera_Polizas!$P$39-1)*MAX(0,1-30/Supuestos!$C$20))*(1-Supuestos!$C$18)^30))</f>
        <v>0.000115592550270412</v>
      </c>
      <c r="AH37" s="29" t="n">
        <f aca="false">AG37*(1-MIN(1,INDEX(Tabla_Mortalidad!$B$5:$B$75,MIN(71,Cartera_Polizas!$B$39+31-49))*(1+(Cartera_Polizas!$P$39-1)*MAX(0,1-31/Supuestos!$C$20))*(1-Supuestos!$C$18)^31))</f>
        <v>4.97412975511665E-005</v>
      </c>
      <c r="AI37" s="29" t="n">
        <f aca="false">AH37*(1-MIN(1,INDEX(Tabla_Mortalidad!$B$5:$B$75,MIN(71,Cartera_Polizas!$B$39+32-49))*(1+(Cartera_Polizas!$P$39-1)*MAX(0,1-32/Supuestos!$C$20))*(1-Supuestos!$C$18)^32))</f>
        <v>1.98515716969001E-005</v>
      </c>
      <c r="AJ37" s="29" t="n">
        <f aca="false">AI37*(1-MIN(1,INDEX(Tabla_Mortalidad!$B$5:$B$75,MIN(71,Cartera_Polizas!$B$39+33-49))*(1+(Cartera_Polizas!$P$39-1)*MAX(0,1-33/Supuestos!$C$20))*(1-Supuestos!$C$18)^33))</f>
        <v>7.32573689623686E-006</v>
      </c>
      <c r="AK37" s="29" t="n">
        <f aca="false">AJ37*(1-MIN(1,INDEX(Tabla_Mortalidad!$B$5:$B$75,MIN(71,Cartera_Polizas!$B$39+34-49))*(1+(Cartera_Polizas!$P$39-1)*MAX(0,1-34/Supuestos!$C$20))*(1-Supuestos!$C$18)^34))</f>
        <v>2.49490738177201E-006</v>
      </c>
      <c r="AL37" s="29" t="n">
        <f aca="false">AK37*(1-MIN(1,INDEX(Tabla_Mortalidad!$B$5:$B$75,MIN(71,Cartera_Polizas!$B$39+35-49))*(1+(Cartera_Polizas!$P$39-1)*MAX(0,1-35/Supuestos!$C$20))*(1-Supuestos!$C$18)^35))</f>
        <v>7.83825264759787E-007</v>
      </c>
      <c r="AM37" s="29" t="n">
        <f aca="false">AL37*(1-MIN(1,INDEX(Tabla_Mortalidad!$B$5:$B$75,MIN(71,Cartera_Polizas!$B$39+36-49))*(1+(Cartera_Polizas!$P$39-1)*MAX(0,1-36/Supuestos!$C$20))*(1-Supuestos!$C$18)^36))</f>
        <v>2.27501203336849E-007</v>
      </c>
      <c r="AN37" s="29" t="n">
        <f aca="false">AM37*(1-MIN(1,INDEX(Tabla_Mortalidad!$B$5:$B$75,MIN(71,Cartera_Polizas!$B$39+37-49))*(1+(Cartera_Polizas!$P$39-1)*MAX(0,1-37/Supuestos!$C$20))*(1-Supuestos!$C$18)^37))</f>
        <v>6.12289934806935E-008</v>
      </c>
      <c r="AO37" s="29" t="n">
        <f aca="false">AN37*(1-MIN(1,INDEX(Tabla_Mortalidad!$B$5:$B$75,MIN(71,Cartera_Polizas!$B$39+38-49))*(1+(Cartera_Polizas!$P$39-1)*MAX(0,1-38/Supuestos!$C$20))*(1-Supuestos!$C$18)^38))</f>
        <v>1.5374434726767E-008</v>
      </c>
      <c r="AP37" s="29" t="n">
        <f aca="false">AO37*(1-MIN(1,INDEX(Tabla_Mortalidad!$B$5:$B$75,MIN(71,Cartera_Polizas!$B$39+39-49))*(1+(Cartera_Polizas!$P$39-1)*MAX(0,1-39/Supuestos!$C$20))*(1-Supuestos!$C$18)^39))</f>
        <v>3.63242371097618E-009</v>
      </c>
      <c r="AQ37" s="29" t="n">
        <f aca="false">AP37*(1-MIN(1,INDEX(Tabla_Mortalidad!$B$5:$B$75,MIN(71,Cartera_Polizas!$B$39+40-49))*(1+(Cartera_Polizas!$P$39-1)*MAX(0,1-40/Supuestos!$C$20))*(1-Supuestos!$C$18)^40))</f>
        <v>8.16005674211677E-010</v>
      </c>
      <c r="AR37" s="29" t="n">
        <f aca="false">AQ37*(1-MIN(1,INDEX(Tabla_Mortalidad!$B$5:$B$75,MIN(71,Cartera_Polizas!$B$39+41-49))*(1+(Cartera_Polizas!$P$39-1)*MAX(0,1-41/Supuestos!$C$20))*(1-Supuestos!$C$18)^41))</f>
        <v>1.51590581445969E-010</v>
      </c>
      <c r="AS37" s="29" t="n">
        <f aca="false">AR37*(1-MIN(1,INDEX(Tabla_Mortalidad!$B$5:$B$75,MIN(71,Cartera_Polizas!$B$39+42-49))*(1+(Cartera_Polizas!$P$39-1)*MAX(0,1-42/Supuestos!$C$20))*(1-Supuestos!$C$18)^42))</f>
        <v>2.87783534801799E-011</v>
      </c>
      <c r="AT37" s="29" t="n">
        <f aca="false">AS37*(1-MIN(1,INDEX(Tabla_Mortalidad!$B$5:$B$75,MIN(71,Cartera_Polizas!$B$39+43-49))*(1+(Cartera_Polizas!$P$39-1)*MAX(0,1-43/Supuestos!$C$20))*(1-Supuestos!$C$18)^43))</f>
        <v>5.5799330637973E-012</v>
      </c>
      <c r="AU37" s="29" t="n">
        <f aca="false">AT37*(1-MIN(1,INDEX(Tabla_Mortalidad!$B$5:$B$75,MIN(71,Cartera_Polizas!$B$39+44-49))*(1+(Cartera_Polizas!$P$39-1)*MAX(0,1-44/Supuestos!$C$20))*(1-Supuestos!$C$18)^44))</f>
        <v>1.10440234824046E-012</v>
      </c>
    </row>
    <row r="38" customFormat="false" ht="15" hidden="false" customHeight="false" outlineLevel="0" collapsed="false">
      <c r="A38" s="14" t="n">
        <f aca="false">Cartera_Polizas!A40</f>
        <v>35</v>
      </c>
      <c r="B38" s="26" t="n">
        <f aca="false">SUM(C38:AU38)+0.5</f>
        <v>5.66303663770295</v>
      </c>
      <c r="C38" s="29" t="n">
        <f aca="false">1-MIN(1,INDEX(Tabla_Mortalidad!$B$5:$B$75,MIN(71,Cartera_Polizas!$B$40+0-49))*(1+(Cartera_Polizas!$P$40-1)*MAX(0,1-0/Supuestos!$C$20))*(1-Supuestos!$C$18)^0)</f>
        <v>0.889826125</v>
      </c>
      <c r="D38" s="29" t="n">
        <f aca="false">C38*(1-MIN(1,INDEX(Tabla_Mortalidad!$B$5:$B$75,MIN(71,Cartera_Polizas!$B$40+1-49))*(1+(Cartera_Polizas!$P$40-1)*MAX(0,1-1/Supuestos!$C$20))*(1-Supuestos!$C$18)^1))</f>
        <v>0.782682737117481</v>
      </c>
      <c r="E38" s="29" t="n">
        <f aca="false">D38*(1-MIN(1,INDEX(Tabla_Mortalidad!$B$5:$B$75,MIN(71,Cartera_Polizas!$B$40+2-49))*(1+(Cartera_Polizas!$P$40-1)*MAX(0,1-2/Supuestos!$C$20))*(1-Supuestos!$C$18)^2))</f>
        <v>0.679761761610708</v>
      </c>
      <c r="F38" s="29" t="n">
        <f aca="false">E38*(1-MIN(1,INDEX(Tabla_Mortalidad!$B$5:$B$75,MIN(71,Cartera_Polizas!$B$40+3-49))*(1+(Cartera_Polizas!$P$40-1)*MAX(0,1-3/Supuestos!$C$20))*(1-Supuestos!$C$18)^3))</f>
        <v>0.582223050588397</v>
      </c>
      <c r="G38" s="29" t="n">
        <f aca="false">F38*(1-MIN(1,INDEX(Tabla_Mortalidad!$B$5:$B$75,MIN(71,Cartera_Polizas!$B$40+4-49))*(1+(Cartera_Polizas!$P$40-1)*MAX(0,1-4/Supuestos!$C$20))*(1-Supuestos!$C$18)^4))</f>
        <v>0.491143317678174</v>
      </c>
      <c r="H38" s="29" t="n">
        <f aca="false">G38*(1-MIN(1,INDEX(Tabla_Mortalidad!$B$5:$B$75,MIN(71,Cartera_Polizas!$B$40+5-49))*(1+(Cartera_Polizas!$P$40-1)*MAX(0,1-5/Supuestos!$C$20))*(1-Supuestos!$C$18)^5))</f>
        <v>0.407463167227006</v>
      </c>
      <c r="I38" s="29" t="n">
        <f aca="false">H38*(1-MIN(1,INDEX(Tabla_Mortalidad!$B$5:$B$75,MIN(71,Cartera_Polizas!$B$40+6-49))*(1+(Cartera_Polizas!$P$40-1)*MAX(0,1-6/Supuestos!$C$20))*(1-Supuestos!$C$18)^6))</f>
        <v>0.331934851053603</v>
      </c>
      <c r="J38" s="29" t="n">
        <f aca="false">I38*(1-MIN(1,INDEX(Tabla_Mortalidad!$B$5:$B$75,MIN(71,Cartera_Polizas!$B$40+7-49))*(1+(Cartera_Polizas!$P$40-1)*MAX(0,1-7/Supuestos!$C$20))*(1-Supuestos!$C$18)^7))</f>
        <v>0.265075134620894</v>
      </c>
      <c r="K38" s="29" t="n">
        <f aca="false">J38*(1-MIN(1,INDEX(Tabla_Mortalidad!$B$5:$B$75,MIN(71,Cartera_Polizas!$B$40+8-49))*(1+(Cartera_Polizas!$P$40-1)*MAX(0,1-8/Supuestos!$C$20))*(1-Supuestos!$C$18)^8))</f>
        <v>0.207132180897627</v>
      </c>
      <c r="L38" s="29" t="n">
        <f aca="false">K38*(1-MIN(1,INDEX(Tabla_Mortalidad!$B$5:$B$75,MIN(71,Cartera_Polizas!$B$40+9-49))*(1+(Cartera_Polizas!$P$40-1)*MAX(0,1-9/Supuestos!$C$20))*(1-Supuestos!$C$18)^9))</f>
        <v>0.158067328602453</v>
      </c>
      <c r="M38" s="29" t="n">
        <f aca="false">L38*(1-MIN(1,INDEX(Tabla_Mortalidad!$B$5:$B$75,MIN(71,Cartera_Polizas!$B$40+10-49))*(1+(Cartera_Polizas!$P$40-1)*MAX(0,1-10/Supuestos!$C$20))*(1-Supuestos!$C$18)^10))</f>
        <v>0.117556610067966</v>
      </c>
      <c r="N38" s="29" t="n">
        <f aca="false">M38*(1-MIN(1,INDEX(Tabla_Mortalidad!$B$5:$B$75,MIN(71,Cartera_Polizas!$B$40+11-49))*(1+(Cartera_Polizas!$P$40-1)*MAX(0,1-11/Supuestos!$C$20))*(1-Supuestos!$C$18)^11))</f>
        <v>0.0850159660054619</v>
      </c>
      <c r="O38" s="29" t="n">
        <f aca="false">N38*(1-MIN(1,INDEX(Tabla_Mortalidad!$B$5:$B$75,MIN(71,Cartera_Polizas!$B$40+12-49))*(1+(Cartera_Polizas!$P$40-1)*MAX(0,1-12/Supuestos!$C$20))*(1-Supuestos!$C$18)^12))</f>
        <v>0.0596469948848751</v>
      </c>
      <c r="P38" s="29" t="n">
        <f aca="false">O38*(1-MIN(1,INDEX(Tabla_Mortalidad!$B$5:$B$75,MIN(71,Cartera_Polizas!$B$40+13-49))*(1+(Cartera_Polizas!$P$40-1)*MAX(0,1-13/Supuestos!$C$20))*(1-Supuestos!$C$18)^13))</f>
        <v>0.0404995916007682</v>
      </c>
      <c r="Q38" s="29" t="n">
        <f aca="false">P38*(1-MIN(1,INDEX(Tabla_Mortalidad!$B$5:$B$75,MIN(71,Cartera_Polizas!$B$40+14-49))*(1+(Cartera_Polizas!$P$40-1)*MAX(0,1-14/Supuestos!$C$20))*(1-Supuestos!$C$18)^14))</f>
        <v>0.0265455586543275</v>
      </c>
      <c r="R38" s="29" t="n">
        <f aca="false">Q38*(1-MIN(1,INDEX(Tabla_Mortalidad!$B$5:$B$75,MIN(71,Cartera_Polizas!$B$40+15-49))*(1+(Cartera_Polizas!$P$40-1)*MAX(0,1-15/Supuestos!$C$20))*(1-Supuestos!$C$18)^15))</f>
        <v>0.0167531797053051</v>
      </c>
      <c r="S38" s="29" t="n">
        <f aca="false">R38*(1-MIN(1,INDEX(Tabla_Mortalidad!$B$5:$B$75,MIN(71,Cartera_Polizas!$B$40+16-49))*(1+(Cartera_Polizas!$P$40-1)*MAX(0,1-16/Supuestos!$C$20))*(1-Supuestos!$C$18)^16))</f>
        <v>0.0100708610064117</v>
      </c>
      <c r="T38" s="29" t="n">
        <f aca="false">S38*(1-MIN(1,INDEX(Tabla_Mortalidad!$B$5:$B$75,MIN(71,Cartera_Polizas!$B$40+17-49))*(1+(Cartera_Polizas!$P$40-1)*MAX(0,1-17/Supuestos!$C$20))*(1-Supuestos!$C$18)^17))</f>
        <v>0.00573954144971579</v>
      </c>
      <c r="U38" s="29" t="n">
        <f aca="false">T38*(1-MIN(1,INDEX(Tabla_Mortalidad!$B$5:$B$75,MIN(71,Cartera_Polizas!$B$40+18-49))*(1+(Cartera_Polizas!$P$40-1)*MAX(0,1-18/Supuestos!$C$20))*(1-Supuestos!$C$18)^18))</f>
        <v>0.00308592057193058</v>
      </c>
      <c r="V38" s="29" t="n">
        <f aca="false">U38*(1-MIN(1,INDEX(Tabla_Mortalidad!$B$5:$B$75,MIN(71,Cartera_Polizas!$B$40+19-49))*(1+(Cartera_Polizas!$P$40-1)*MAX(0,1-19/Supuestos!$C$20))*(1-Supuestos!$C$18)^19))</f>
        <v>0.00155719431708301</v>
      </c>
      <c r="W38" s="29" t="n">
        <f aca="false">V38*(1-MIN(1,INDEX(Tabla_Mortalidad!$B$5:$B$75,MIN(71,Cartera_Polizas!$B$40+20-49))*(1+(Cartera_Polizas!$P$40-1)*MAX(0,1-20/Supuestos!$C$20))*(1-Supuestos!$C$18)^20))</f>
        <v>0.000733559783041364</v>
      </c>
      <c r="X38" s="29" t="n">
        <f aca="false">W38*(1-MIN(1,INDEX(Tabla_Mortalidad!$B$5:$B$75,MIN(71,Cartera_Polizas!$B$40+21-49))*(1+(Cartera_Polizas!$P$40-1)*MAX(0,1-21/Supuestos!$C$20))*(1-Supuestos!$C$18)^21))</f>
        <v>0.000320868551952487</v>
      </c>
      <c r="Y38" s="29" t="n">
        <f aca="false">X38*(1-MIN(1,INDEX(Tabla_Mortalidad!$B$5:$B$75,MIN(71,Cartera_Polizas!$B$40+22-49))*(1+(Cartera_Polizas!$P$40-1)*MAX(0,1-22/Supuestos!$C$20))*(1-Supuestos!$C$18)^22))</f>
        <v>0.000129639609483858</v>
      </c>
      <c r="Z38" s="29" t="n">
        <f aca="false">Y38*(1-MIN(1,INDEX(Tabla_Mortalidad!$B$5:$B$75,MIN(71,Cartera_Polizas!$B$40+23-49))*(1+(Cartera_Polizas!$P$40-1)*MAX(0,1-23/Supuestos!$C$20))*(1-Supuestos!$C$18)^23))</f>
        <v>4.8143887971151E-005</v>
      </c>
      <c r="AA38" s="29" t="n">
        <f aca="false">Z38*(1-MIN(1,INDEX(Tabla_Mortalidad!$B$5:$B$75,MIN(71,Cartera_Polizas!$B$40+24-49))*(1+(Cartera_Polizas!$P$40-1)*MAX(0,1-24/Supuestos!$C$20))*(1-Supuestos!$C$18)^24))</f>
        <v>1.63645228957643E-005</v>
      </c>
      <c r="AB38" s="29" t="n">
        <f aca="false">AA38*(1-MIN(1,INDEX(Tabla_Mortalidad!$B$5:$B$75,MIN(71,Cartera_Polizas!$B$40+25-49))*(1+(Cartera_Polizas!$P$40-1)*MAX(0,1-25/Supuestos!$C$20))*(1-Supuestos!$C$18)^25))</f>
        <v>5.07524885476542E-006</v>
      </c>
      <c r="AC38" s="29" t="n">
        <f aca="false">AB38*(1-MIN(1,INDEX(Tabla_Mortalidad!$B$5:$B$75,MIN(71,Cartera_Polizas!$B$40+26-49))*(1+(Cartera_Polizas!$P$40-1)*MAX(0,1-26/Supuestos!$C$20))*(1-Supuestos!$C$18)^26))</f>
        <v>1.43386854438851E-006</v>
      </c>
      <c r="AD38" s="29" t="n">
        <f aca="false">AC38*(1-MIN(1,INDEX(Tabla_Mortalidad!$B$5:$B$75,MIN(71,Cartera_Polizas!$B$40+27-49))*(1+(Cartera_Polizas!$P$40-1)*MAX(0,1-27/Supuestos!$C$20))*(1-Supuestos!$C$18)^27))</f>
        <v>3.69210360415857E-007</v>
      </c>
      <c r="AE38" s="29" t="n">
        <f aca="false">AD38*(1-MIN(1,INDEX(Tabla_Mortalidad!$B$5:$B$75,MIN(71,Cartera_Polizas!$B$40+28-49))*(1+(Cartera_Polizas!$P$40-1)*MAX(0,1-28/Supuestos!$C$20))*(1-Supuestos!$C$18)^28))</f>
        <v>8.69160512022208E-008</v>
      </c>
      <c r="AF38" s="29" t="n">
        <f aca="false">AE38*(1-MIN(1,INDEX(Tabla_Mortalidad!$B$5:$B$75,MIN(71,Cartera_Polizas!$B$40+29-49))*(1+(Cartera_Polizas!$P$40-1)*MAX(0,1-29/Supuestos!$C$20))*(1-Supuestos!$C$18)^29))</f>
        <v>1.88206694742253E-008</v>
      </c>
      <c r="AG38" s="29" t="n">
        <f aca="false">AF38*(1-MIN(1,INDEX(Tabla_Mortalidad!$B$5:$B$75,MIN(71,Cartera_Polizas!$B$40+30-49))*(1+(Cartera_Polizas!$P$40-1)*MAX(0,1-30/Supuestos!$C$20))*(1-Supuestos!$C$18)^30))</f>
        <v>3.78334165802585E-009</v>
      </c>
      <c r="AH38" s="29" t="n">
        <f aca="false">AG38*(1-MIN(1,INDEX(Tabla_Mortalidad!$B$5:$B$75,MIN(71,Cartera_Polizas!$B$40+31-49))*(1+(Cartera_Polizas!$P$40-1)*MAX(0,1-31/Supuestos!$C$20))*(1-Supuestos!$C$18)^31))</f>
        <v>7.14542610246934E-010</v>
      </c>
      <c r="AI38" s="29" t="n">
        <f aca="false">AH38*(1-MIN(1,INDEX(Tabla_Mortalidad!$B$5:$B$75,MIN(71,Cartera_Polizas!$B$40+32-49))*(1+(Cartera_Polizas!$P$40-1)*MAX(0,1-32/Supuestos!$C$20))*(1-Supuestos!$C$18)^32))</f>
        <v>1.0589388607491E-010</v>
      </c>
      <c r="AJ38" s="29" t="n">
        <f aca="false">AI38*(1-MIN(1,INDEX(Tabla_Mortalidad!$B$5:$B$75,MIN(71,Cartera_Polizas!$B$40+33-49))*(1+(Cartera_Polizas!$P$40-1)*MAX(0,1-33/Supuestos!$C$20))*(1-Supuestos!$C$18)^33))</f>
        <v>1.61442800413889E-011</v>
      </c>
      <c r="AK38" s="29" t="n">
        <f aca="false">AJ38*(1-MIN(1,INDEX(Tabla_Mortalidad!$B$5:$B$75,MIN(71,Cartera_Polizas!$B$40+34-49))*(1+(Cartera_Polizas!$P$40-1)*MAX(0,1-34/Supuestos!$C$20))*(1-Supuestos!$C$18)^34))</f>
        <v>2.52972576464268E-012</v>
      </c>
      <c r="AL38" s="29" t="n">
        <f aca="false">AK38*(1-MIN(1,INDEX(Tabla_Mortalidad!$B$5:$B$75,MIN(71,Cartera_Polizas!$B$40+35-49))*(1+(Cartera_Polizas!$P$40-1)*MAX(0,1-35/Supuestos!$C$20))*(1-Supuestos!$C$18)^35))</f>
        <v>4.07061688170002E-013</v>
      </c>
      <c r="AM38" s="29" t="n">
        <f aca="false">AL38*(1-MIN(1,INDEX(Tabla_Mortalidad!$B$5:$B$75,MIN(71,Cartera_Polizas!$B$40+36-49))*(1+(Cartera_Polizas!$P$40-1)*MAX(0,1-36/Supuestos!$C$20))*(1-Supuestos!$C$18)^36))</f>
        <v>6.72086660396414E-014</v>
      </c>
      <c r="AN38" s="29" t="n">
        <f aca="false">AM38*(1-MIN(1,INDEX(Tabla_Mortalidad!$B$5:$B$75,MIN(71,Cartera_Polizas!$B$40+37-49))*(1+(Cartera_Polizas!$P$40-1)*MAX(0,1-37/Supuestos!$C$20))*(1-Supuestos!$C$18)^37))</f>
        <v>1.13771702588442E-014</v>
      </c>
      <c r="AO38" s="29" t="n">
        <f aca="false">AN38*(1-MIN(1,INDEX(Tabla_Mortalidad!$B$5:$B$75,MIN(71,Cartera_Polizas!$B$40+38-49))*(1+(Cartera_Polizas!$P$40-1)*MAX(0,1-38/Supuestos!$C$20))*(1-Supuestos!$C$18)^38))</f>
        <v>1.97319829539584E-015</v>
      </c>
      <c r="AP38" s="29" t="n">
        <f aca="false">AO38*(1-MIN(1,INDEX(Tabla_Mortalidad!$B$5:$B$75,MIN(71,Cartera_Polizas!$B$40+39-49))*(1+(Cartera_Polizas!$P$40-1)*MAX(0,1-39/Supuestos!$C$20))*(1-Supuestos!$C$18)^39))</f>
        <v>3.50376317616887E-016</v>
      </c>
      <c r="AQ38" s="29" t="n">
        <f aca="false">AP38*(1-MIN(1,INDEX(Tabla_Mortalidad!$B$5:$B$75,MIN(71,Cartera_Polizas!$B$40+40-49))*(1+(Cartera_Polizas!$P$40-1)*MAX(0,1-40/Supuestos!$C$20))*(1-Supuestos!$C$18)^40))</f>
        <v>6.36563269811572E-017</v>
      </c>
      <c r="AR38" s="29" t="n">
        <f aca="false">AQ38*(1-MIN(1,INDEX(Tabla_Mortalidad!$B$5:$B$75,MIN(71,Cartera_Polizas!$B$40+41-49))*(1+(Cartera_Polizas!$P$40-1)*MAX(0,1-41/Supuestos!$C$20))*(1-Supuestos!$C$18)^41))</f>
        <v>1.18255300480731E-017</v>
      </c>
      <c r="AS38" s="29" t="n">
        <f aca="false">AR38*(1-MIN(1,INDEX(Tabla_Mortalidad!$B$5:$B$75,MIN(71,Cartera_Polizas!$B$40+42-49))*(1+(Cartera_Polizas!$P$40-1)*MAX(0,1-42/Supuestos!$C$20))*(1-Supuestos!$C$18)^42))</f>
        <v>2.24498963304811E-018</v>
      </c>
      <c r="AT38" s="29" t="n">
        <f aca="false">AS38*(1-MIN(1,INDEX(Tabla_Mortalidad!$B$5:$B$75,MIN(71,Cartera_Polizas!$B$40+43-49))*(1+(Cartera_Polizas!$P$40-1)*MAX(0,1-43/Supuestos!$C$20))*(1-Supuestos!$C$18)^43))</f>
        <v>4.35288693286599E-019</v>
      </c>
      <c r="AU38" s="29" t="n">
        <f aca="false">AT38*(1-MIN(1,INDEX(Tabla_Mortalidad!$B$5:$B$75,MIN(71,Cartera_Polizas!$B$40+44-49))*(1+(Cartera_Polizas!$P$40-1)*MAX(0,1-44/Supuestos!$C$20))*(1-Supuestos!$C$18)^44))</f>
        <v>8.61540540956035E-020</v>
      </c>
    </row>
    <row r="39" customFormat="false" ht="15" hidden="false" customHeight="false" outlineLevel="0" collapsed="false">
      <c r="A39" s="14" t="n">
        <f aca="false">Cartera_Polizas!A41</f>
        <v>36</v>
      </c>
      <c r="B39" s="26" t="n">
        <f aca="false">SUM(C39:AU39)+0.5</f>
        <v>10.4236767902378</v>
      </c>
      <c r="C39" s="29" t="n">
        <f aca="false">1-MIN(1,INDEX(Tabla_Mortalidad!$B$5:$B$75,MIN(71,Cartera_Polizas!$B$41+0-49))*(1+(Cartera_Polizas!$P$41-1)*MAX(0,1-0/Supuestos!$C$20))*(1-Supuestos!$C$18)^0)</f>
        <v>0.955441618</v>
      </c>
      <c r="D39" s="29" t="n">
        <f aca="false">C39*(1-MIN(1,INDEX(Tabla_Mortalidad!$B$5:$B$75,MIN(71,Cartera_Polizas!$B$41+1-49))*(1+(Cartera_Polizas!$P$41-1)*MAX(0,1-1/Supuestos!$C$20))*(1-Supuestos!$C$18)^1))</f>
        <v>0.908891790628183</v>
      </c>
      <c r="E39" s="29" t="n">
        <f aca="false">D39*(1-MIN(1,INDEX(Tabla_Mortalidad!$B$5:$B$75,MIN(71,Cartera_Polizas!$B$41+2-49))*(1+(Cartera_Polizas!$P$41-1)*MAX(0,1-2/Supuestos!$C$20))*(1-Supuestos!$C$18)^2))</f>
        <v>0.860494943227448</v>
      </c>
      <c r="F39" s="29" t="n">
        <f aca="false">E39*(1-MIN(1,INDEX(Tabla_Mortalidad!$B$5:$B$75,MIN(71,Cartera_Polizas!$B$41+3-49))*(1+(Cartera_Polizas!$P$41-1)*MAX(0,1-3/Supuestos!$C$20))*(1-Supuestos!$C$18)^3))</f>
        <v>0.810439525130849</v>
      </c>
      <c r="G39" s="29" t="n">
        <f aca="false">F39*(1-MIN(1,INDEX(Tabla_Mortalidad!$B$5:$B$75,MIN(71,Cartera_Polizas!$B$41+4-49))*(1+(Cartera_Polizas!$P$41-1)*MAX(0,1-4/Supuestos!$C$20))*(1-Supuestos!$C$18)^4))</f>
        <v>0.758962840971827</v>
      </c>
      <c r="H39" s="29" t="n">
        <f aca="false">G39*(1-MIN(1,INDEX(Tabla_Mortalidad!$B$5:$B$75,MIN(71,Cartera_Polizas!$B$41+5-49))*(1+(Cartera_Polizas!$P$41-1)*MAX(0,1-5/Supuestos!$C$20))*(1-Supuestos!$C$18)^5))</f>
        <v>0.706354285363119</v>
      </c>
      <c r="I39" s="29" t="n">
        <f aca="false">H39*(1-MIN(1,INDEX(Tabla_Mortalidad!$B$5:$B$75,MIN(71,Cartera_Polizas!$B$41+6-49))*(1+(Cartera_Polizas!$P$41-1)*MAX(0,1-6/Supuestos!$C$20))*(1-Supuestos!$C$18)^6))</f>
        <v>0.652953264500415</v>
      </c>
      <c r="J39" s="29" t="n">
        <f aca="false">I39*(1-MIN(1,INDEX(Tabla_Mortalidad!$B$5:$B$75,MIN(71,Cartera_Polizas!$B$41+7-49))*(1+(Cartera_Polizas!$P$41-1)*MAX(0,1-7/Supuestos!$C$20))*(1-Supuestos!$C$18)^7))</f>
        <v>0.599146892001234</v>
      </c>
      <c r="K39" s="29" t="n">
        <f aca="false">J39*(1-MIN(1,INDEX(Tabla_Mortalidad!$B$5:$B$75,MIN(71,Cartera_Polizas!$B$41+8-49))*(1+(Cartera_Polizas!$P$41-1)*MAX(0,1-8/Supuestos!$C$20))*(1-Supuestos!$C$18)^8))</f>
        <v>0.545368951056653</v>
      </c>
      <c r="L39" s="29" t="n">
        <f aca="false">K39*(1-MIN(1,INDEX(Tabla_Mortalidad!$B$5:$B$75,MIN(71,Cartera_Polizas!$B$41+9-49))*(1+(Cartera_Polizas!$P$41-1)*MAX(0,1-9/Supuestos!$C$20))*(1-Supuestos!$C$18)^9))</f>
        <v>0.492088601029197</v>
      </c>
      <c r="M39" s="29" t="n">
        <f aca="false">L39*(1-MIN(1,INDEX(Tabla_Mortalidad!$B$5:$B$75,MIN(71,Cartera_Polizas!$B$41+10-49))*(1+(Cartera_Polizas!$P$41-1)*MAX(0,1-10/Supuestos!$C$20))*(1-Supuestos!$C$18)^10))</f>
        <v>0.439804495654302</v>
      </c>
      <c r="N39" s="29" t="n">
        <f aca="false">M39*(1-MIN(1,INDEX(Tabla_Mortalidad!$B$5:$B$75,MIN(71,Cartera_Polizas!$B$41+11-49))*(1+(Cartera_Polizas!$P$41-1)*MAX(0,1-11/Supuestos!$C$20))*(1-Supuestos!$C$18)^11))</f>
        <v>0.389028859953376</v>
      </c>
      <c r="O39" s="29" t="n">
        <f aca="false">N39*(1-MIN(1,INDEX(Tabla_Mortalidad!$B$5:$B$75,MIN(71,Cartera_Polizas!$B$41+12-49))*(1+(Cartera_Polizas!$P$41-1)*MAX(0,1-12/Supuestos!$C$20))*(1-Supuestos!$C$18)^12))</f>
        <v>0.340272412695564</v>
      </c>
      <c r="P39" s="29" t="n">
        <f aca="false">O39*(1-MIN(1,INDEX(Tabla_Mortalidad!$B$5:$B$75,MIN(71,Cartera_Polizas!$B$41+13-49))*(1+(Cartera_Polizas!$P$41-1)*MAX(0,1-13/Supuestos!$C$20))*(1-Supuestos!$C$18)^13))</f>
        <v>0.294025797928942</v>
      </c>
      <c r="Q39" s="29" t="n">
        <f aca="false">P39*(1-MIN(1,INDEX(Tabla_Mortalidad!$B$5:$B$75,MIN(71,Cartera_Polizas!$B$41+14-49))*(1+(Cartera_Polizas!$P$41-1)*MAX(0,1-14/Supuestos!$C$20))*(1-Supuestos!$C$18)^14))</f>
        <v>0.250739809672109</v>
      </c>
      <c r="R39" s="29" t="n">
        <f aca="false">Q39*(1-MIN(1,INDEX(Tabla_Mortalidad!$B$5:$B$75,MIN(71,Cartera_Polizas!$B$41+15-49))*(1+(Cartera_Polizas!$P$41-1)*MAX(0,1-15/Supuestos!$C$20))*(1-Supuestos!$C$18)^15))</f>
        <v>0.210804924047512</v>
      </c>
      <c r="S39" s="29" t="n">
        <f aca="false">R39*(1-MIN(1,INDEX(Tabla_Mortalidad!$B$5:$B$75,MIN(71,Cartera_Polizas!$B$41+16-49))*(1+(Cartera_Polizas!$P$41-1)*MAX(0,1-16/Supuestos!$C$20))*(1-Supuestos!$C$18)^16))</f>
        <v>0.173906529536393</v>
      </c>
      <c r="T39" s="29" t="n">
        <f aca="false">S39*(1-MIN(1,INDEX(Tabla_Mortalidad!$B$5:$B$75,MIN(71,Cartera_Polizas!$B$41+17-49))*(1+(Cartera_Polizas!$P$41-1)*MAX(0,1-17/Supuestos!$C$20))*(1-Supuestos!$C$18)^17))</f>
        <v>0.140492720281403</v>
      </c>
      <c r="U39" s="29" t="n">
        <f aca="false">T39*(1-MIN(1,INDEX(Tabla_Mortalidad!$B$5:$B$75,MIN(71,Cartera_Polizas!$B$41+18-49))*(1+(Cartera_Polizas!$P$41-1)*MAX(0,1-18/Supuestos!$C$20))*(1-Supuestos!$C$18)^18))</f>
        <v>0.110900605562102</v>
      </c>
      <c r="V39" s="29" t="n">
        <f aca="false">U39*(1-MIN(1,INDEX(Tabla_Mortalidad!$B$5:$B$75,MIN(71,Cartera_Polizas!$B$41+19-49))*(1+(Cartera_Polizas!$P$41-1)*MAX(0,1-19/Supuestos!$C$20))*(1-Supuestos!$C$18)^19))</f>
        <v>0.0853300279584466</v>
      </c>
      <c r="W39" s="29" t="n">
        <f aca="false">V39*(1-MIN(1,INDEX(Tabla_Mortalidad!$B$5:$B$75,MIN(71,Cartera_Polizas!$B$41+20-49))*(1+(Cartera_Polizas!$P$41-1)*MAX(0,1-20/Supuestos!$C$20))*(1-Supuestos!$C$18)^20))</f>
        <v>0.0638270105732046</v>
      </c>
      <c r="X39" s="29" t="n">
        <f aca="false">W39*(1-MIN(1,INDEX(Tabla_Mortalidad!$B$5:$B$75,MIN(71,Cartera_Polizas!$B$41+21-49))*(1+(Cartera_Polizas!$P$41-1)*MAX(0,1-21/Supuestos!$C$20))*(1-Supuestos!$C$18)^21))</f>
        <v>0.0462790566410045</v>
      </c>
      <c r="Y39" s="29" t="n">
        <f aca="false">X39*(1-MIN(1,INDEX(Tabla_Mortalidad!$B$5:$B$75,MIN(71,Cartera_Polizas!$B$41+22-49))*(1+(Cartera_Polizas!$P$41-1)*MAX(0,1-22/Supuestos!$C$20))*(1-Supuestos!$C$18)^22))</f>
        <v>0.0324245943345612</v>
      </c>
      <c r="Z39" s="29" t="n">
        <f aca="false">Y39*(1-MIN(1,INDEX(Tabla_Mortalidad!$B$5:$B$75,MIN(71,Cartera_Polizas!$B$41+23-49))*(1+(Cartera_Polizas!$P$41-1)*MAX(0,1-23/Supuestos!$C$20))*(1-Supuestos!$C$18)^23))</f>
        <v>0.0218774146122153</v>
      </c>
      <c r="AA39" s="29" t="n">
        <f aca="false">Z39*(1-MIN(1,INDEX(Tabla_Mortalidad!$B$5:$B$75,MIN(71,Cartera_Polizas!$B$41+24-49))*(1+(Cartera_Polizas!$P$41-1)*MAX(0,1-24/Supuestos!$C$20))*(1-Supuestos!$C$18)^24))</f>
        <v>0.0141630516928755</v>
      </c>
      <c r="AB39" s="29" t="n">
        <f aca="false">AA39*(1-MIN(1,INDEX(Tabla_Mortalidad!$B$5:$B$75,MIN(71,Cartera_Polizas!$B$41+25-49))*(1+(Cartera_Polizas!$P$41-1)*MAX(0,1-25/Supuestos!$C$20))*(1-Supuestos!$C$18)^25))</f>
        <v>0.00876304243390982</v>
      </c>
      <c r="AC39" s="29" t="n">
        <f aca="false">AB39*(1-MIN(1,INDEX(Tabla_Mortalidad!$B$5:$B$75,MIN(71,Cartera_Polizas!$B$41+26-49))*(1+(Cartera_Polizas!$P$41-1)*MAX(0,1-26/Supuestos!$C$20))*(1-Supuestos!$C$18)^26))</f>
        <v>0.00516044060043985</v>
      </c>
      <c r="AD39" s="29" t="n">
        <f aca="false">AC39*(1-MIN(1,INDEX(Tabla_Mortalidad!$B$5:$B$75,MIN(71,Cartera_Polizas!$B$41+27-49))*(1+(Cartera_Polizas!$P$41-1)*MAX(0,1-27/Supuestos!$C$20))*(1-Supuestos!$C$18)^27))</f>
        <v>0.00287980347906912</v>
      </c>
      <c r="AE39" s="29" t="n">
        <f aca="false">AD39*(1-MIN(1,INDEX(Tabla_Mortalidad!$B$5:$B$75,MIN(71,Cartera_Polizas!$B$41+28-49))*(1+(Cartera_Polizas!$P$41-1)*MAX(0,1-28/Supuestos!$C$20))*(1-Supuestos!$C$18)^28))</f>
        <v>0.0015161137815407</v>
      </c>
      <c r="AF39" s="29" t="n">
        <f aca="false">AE39*(1-MIN(1,INDEX(Tabla_Mortalidad!$B$5:$B$75,MIN(71,Cartera_Polizas!$B$41+29-49))*(1+(Cartera_Polizas!$P$41-1)*MAX(0,1-29/Supuestos!$C$20))*(1-Supuestos!$C$18)^29))</f>
        <v>0.000749580069332968</v>
      </c>
      <c r="AG39" s="29" t="n">
        <f aca="false">AF39*(1-MIN(1,INDEX(Tabla_Mortalidad!$B$5:$B$75,MIN(71,Cartera_Polizas!$B$41+30-49))*(1+(Cartera_Polizas!$P$41-1)*MAX(0,1-30/Supuestos!$C$20))*(1-Supuestos!$C$18)^30))</f>
        <v>0.000346477575573893</v>
      </c>
      <c r="AH39" s="29" t="n">
        <f aca="false">AG39*(1-MIN(1,INDEX(Tabla_Mortalidad!$B$5:$B$75,MIN(71,Cartera_Polizas!$B$41+31-49))*(1+(Cartera_Polizas!$P$41-1)*MAX(0,1-31/Supuestos!$C$20))*(1-Supuestos!$C$18)^31))</f>
        <v>0.00014909476554597</v>
      </c>
      <c r="AI39" s="29" t="n">
        <f aca="false">AH39*(1-MIN(1,INDEX(Tabla_Mortalidad!$B$5:$B$75,MIN(71,Cartera_Polizas!$B$41+32-49))*(1+(Cartera_Polizas!$P$41-1)*MAX(0,1-32/Supuestos!$C$20))*(1-Supuestos!$C$18)^32))</f>
        <v>5.95031809297648E-005</v>
      </c>
      <c r="AJ39" s="29" t="n">
        <f aca="false">AI39*(1-MIN(1,INDEX(Tabla_Mortalidad!$B$5:$B$75,MIN(71,Cartera_Polizas!$B$41+33-49))*(1+(Cartera_Polizas!$P$41-1)*MAX(0,1-33/Supuestos!$C$20))*(1-Supuestos!$C$18)^33))</f>
        <v>2.19581932673222E-005</v>
      </c>
      <c r="AK39" s="29" t="n">
        <f aca="false">AJ39*(1-MIN(1,INDEX(Tabla_Mortalidad!$B$5:$B$75,MIN(71,Cartera_Polizas!$B$41+34-49))*(1+(Cartera_Polizas!$P$41-1)*MAX(0,1-34/Supuestos!$C$20))*(1-Supuestos!$C$18)^34))</f>
        <v>7.47824543100373E-006</v>
      </c>
      <c r="AL39" s="29" t="n">
        <f aca="false">AK39*(1-MIN(1,INDEX(Tabla_Mortalidad!$B$5:$B$75,MIN(71,Cartera_Polizas!$B$41+35-49))*(1+(Cartera_Polizas!$P$41-1)*MAX(0,1-35/Supuestos!$C$20))*(1-Supuestos!$C$18)^35))</f>
        <v>2.34944100439188E-006</v>
      </c>
      <c r="AM39" s="29" t="n">
        <f aca="false">AL39*(1-MIN(1,INDEX(Tabla_Mortalidad!$B$5:$B$75,MIN(71,Cartera_Polizas!$B$41+36-49))*(1+(Cartera_Polizas!$P$41-1)*MAX(0,1-36/Supuestos!$C$20))*(1-Supuestos!$C$18)^36))</f>
        <v>6.81913022836656E-007</v>
      </c>
      <c r="AN39" s="29" t="n">
        <f aca="false">AM39*(1-MIN(1,INDEX(Tabla_Mortalidad!$B$5:$B$75,MIN(71,Cartera_Polizas!$B$41+37-49))*(1+(Cartera_Polizas!$P$41-1)*MAX(0,1-37/Supuestos!$C$20))*(1-Supuestos!$C$18)^37))</f>
        <v>1.83528031576362E-007</v>
      </c>
      <c r="AO39" s="29" t="n">
        <f aca="false">AN39*(1-MIN(1,INDEX(Tabla_Mortalidad!$B$5:$B$75,MIN(71,Cartera_Polizas!$B$41+38-49))*(1+(Cartera_Polizas!$P$41-1)*MAX(0,1-38/Supuestos!$C$20))*(1-Supuestos!$C$18)^38))</f>
        <v>4.60833925498469E-008</v>
      </c>
      <c r="AP39" s="29" t="n">
        <f aca="false">AO39*(1-MIN(1,INDEX(Tabla_Mortalidad!$B$5:$B$75,MIN(71,Cartera_Polizas!$B$41+39-49))*(1+(Cartera_Polizas!$P$41-1)*MAX(0,1-39/Supuestos!$C$20))*(1-Supuestos!$C$18)^39))</f>
        <v>1.08878414559758E-008</v>
      </c>
      <c r="AQ39" s="29" t="n">
        <f aca="false">AP39*(1-MIN(1,INDEX(Tabla_Mortalidad!$B$5:$B$75,MIN(71,Cartera_Polizas!$B$41+40-49))*(1+(Cartera_Polizas!$P$41-1)*MAX(0,1-40/Supuestos!$C$20))*(1-Supuestos!$C$18)^40))</f>
        <v>2.44589869324625E-009</v>
      </c>
      <c r="AR39" s="29" t="n">
        <f aca="false">AQ39*(1-MIN(1,INDEX(Tabla_Mortalidad!$B$5:$B$75,MIN(71,Cartera_Polizas!$B$41+41-49))*(1+(Cartera_Polizas!$P$41-1)*MAX(0,1-41/Supuestos!$C$20))*(1-Supuestos!$C$18)^41))</f>
        <v>4.5437821915311E-010</v>
      </c>
      <c r="AS39" s="29" t="n">
        <f aca="false">AR39*(1-MIN(1,INDEX(Tabla_Mortalidad!$B$5:$B$75,MIN(71,Cartera_Polizas!$B$41+42-49))*(1+(Cartera_Polizas!$P$41-1)*MAX(0,1-42/Supuestos!$C$20))*(1-Supuestos!$C$18)^42))</f>
        <v>8.62603525875621E-011</v>
      </c>
      <c r="AT39" s="29" t="n">
        <f aca="false">AS39*(1-MIN(1,INDEX(Tabla_Mortalidad!$B$5:$B$75,MIN(71,Cartera_Polizas!$B$41+43-49))*(1+(Cartera_Polizas!$P$41-1)*MAX(0,1-43/Supuestos!$C$20))*(1-Supuestos!$C$18)^43))</f>
        <v>1.67253138310935E-011</v>
      </c>
      <c r="AU39" s="29" t="n">
        <f aca="false">AT39*(1-MIN(1,INDEX(Tabla_Mortalidad!$B$5:$B$75,MIN(71,Cartera_Polizas!$B$41+44-49))*(1+(Cartera_Polizas!$P$41-1)*MAX(0,1-44/Supuestos!$C$20))*(1-Supuestos!$C$18)^44))</f>
        <v>3.31034004510941E-012</v>
      </c>
    </row>
    <row r="40" customFormat="false" ht="15" hidden="false" customHeight="false" outlineLevel="0" collapsed="false">
      <c r="A40" s="14" t="n">
        <f aca="false">Cartera_Polizas!A42</f>
        <v>37</v>
      </c>
      <c r="B40" s="26" t="n">
        <f aca="false">SUM(C40:AU40)+0.5</f>
        <v>7.41975713786944</v>
      </c>
      <c r="C40" s="29" t="n">
        <f aca="false">1-MIN(1,INDEX(Tabla_Mortalidad!$B$5:$B$75,MIN(71,Cartera_Polizas!$B$42+0-49))*(1+(Cartera_Polizas!$P$42-1)*MAX(0,1-0/Supuestos!$C$20))*(1-Supuestos!$C$18)^0)</f>
        <v>0.920079236</v>
      </c>
      <c r="D40" s="29" t="n">
        <f aca="false">C40*(1-MIN(1,INDEX(Tabla_Mortalidad!$B$5:$B$75,MIN(71,Cartera_Polizas!$B$42+1-49))*(1+(Cartera_Polizas!$P$42-1)*MAX(0,1-1/Supuestos!$C$20))*(1-Supuestos!$C$18)^1))</f>
        <v>0.840387388533935</v>
      </c>
      <c r="E40" s="29" t="n">
        <f aca="false">D40*(1-MIN(1,INDEX(Tabla_Mortalidad!$B$5:$B$75,MIN(71,Cartera_Polizas!$B$42+2-49))*(1+(Cartera_Polizas!$P$42-1)*MAX(0,1-2/Supuestos!$C$20))*(1-Supuestos!$C$18)^2))</f>
        <v>0.761568243415722</v>
      </c>
      <c r="F40" s="29" t="n">
        <f aca="false">E40*(1-MIN(1,INDEX(Tabla_Mortalidad!$B$5:$B$75,MIN(71,Cartera_Polizas!$B$42+3-49))*(1+(Cartera_Polizas!$P$42-1)*MAX(0,1-3/Supuestos!$C$20))*(1-Supuestos!$C$18)^3))</f>
        <v>0.684292875736635</v>
      </c>
      <c r="G40" s="29" t="n">
        <f aca="false">F40*(1-MIN(1,INDEX(Tabla_Mortalidad!$B$5:$B$75,MIN(71,Cartera_Polizas!$B$42+4-49))*(1+(Cartera_Polizas!$P$42-1)*MAX(0,1-4/Supuestos!$C$20))*(1-Supuestos!$C$18)^4))</f>
        <v>0.609247290492478</v>
      </c>
      <c r="H40" s="29" t="n">
        <f aca="false">G40*(1-MIN(1,INDEX(Tabla_Mortalidad!$B$5:$B$75,MIN(71,Cartera_Polizas!$B$42+5-49))*(1+(Cartera_Polizas!$P$42-1)*MAX(0,1-5/Supuestos!$C$20))*(1-Supuestos!$C$18)^5))</f>
        <v>0.537106141181732</v>
      </c>
      <c r="I40" s="29" t="n">
        <f aca="false">H40*(1-MIN(1,INDEX(Tabla_Mortalidad!$B$5:$B$75,MIN(71,Cartera_Polizas!$B$42+6-49))*(1+(Cartera_Polizas!$P$42-1)*MAX(0,1-6/Supuestos!$C$20))*(1-Supuestos!$C$18)^6))</f>
        <v>0.468516147743598</v>
      </c>
      <c r="J40" s="29" t="n">
        <f aca="false">I40*(1-MIN(1,INDEX(Tabla_Mortalidad!$B$5:$B$75,MIN(71,Cartera_Polizas!$B$42+7-49))*(1+(Cartera_Polizas!$P$42-1)*MAX(0,1-7/Supuestos!$C$20))*(1-Supuestos!$C$18)^7))</f>
        <v>0.404068305797114</v>
      </c>
      <c r="K40" s="29" t="n">
        <f aca="false">J40*(1-MIN(1,INDEX(Tabla_Mortalidad!$B$5:$B$75,MIN(71,Cartera_Polizas!$B$42+8-49))*(1+(Cartera_Polizas!$P$42-1)*MAX(0,1-8/Supuestos!$C$20))*(1-Supuestos!$C$18)^8))</f>
        <v>0.344275350976238</v>
      </c>
      <c r="L40" s="29" t="n">
        <f aca="false">K40*(1-MIN(1,INDEX(Tabla_Mortalidad!$B$5:$B$75,MIN(71,Cartera_Polizas!$B$42+9-49))*(1+(Cartera_Polizas!$P$42-1)*MAX(0,1-9/Supuestos!$C$20))*(1-Supuestos!$C$18)^9))</f>
        <v>0.289549323537681</v>
      </c>
      <c r="M40" s="29" t="n">
        <f aca="false">L40*(1-MIN(1,INDEX(Tabla_Mortalidad!$B$5:$B$75,MIN(71,Cartera_Polizas!$B$42+10-49))*(1+(Cartera_Polizas!$P$42-1)*MAX(0,1-10/Supuestos!$C$20))*(1-Supuestos!$C$18)^10))</f>
        <v>0.240182988590738</v>
      </c>
      <c r="N40" s="29" t="n">
        <f aca="false">M40*(1-MIN(1,INDEX(Tabla_Mortalidad!$B$5:$B$75,MIN(71,Cartera_Polizas!$B$42+11-49))*(1+(Cartera_Polizas!$P$42-1)*MAX(0,1-11/Supuestos!$C$20))*(1-Supuestos!$C$18)^11))</f>
        <v>0.196336051034535</v>
      </c>
      <c r="O40" s="29" t="n">
        <f aca="false">N40*(1-MIN(1,INDEX(Tabla_Mortalidad!$B$5:$B$75,MIN(71,Cartera_Polizas!$B$42+12-49))*(1+(Cartera_Polizas!$P$42-1)*MAX(0,1-12/Supuestos!$C$20))*(1-Supuestos!$C$18)^12))</f>
        <v>0.15802750723154</v>
      </c>
      <c r="P40" s="29" t="n">
        <f aca="false">O40*(1-MIN(1,INDEX(Tabla_Mortalidad!$B$5:$B$75,MIN(71,Cartera_Polizas!$B$42+13-49))*(1+(Cartera_Polizas!$P$42-1)*MAX(0,1-13/Supuestos!$C$20))*(1-Supuestos!$C$18)^13))</f>
        <v>0.125137352283743</v>
      </c>
      <c r="Q40" s="29" t="n">
        <f aca="false">P40*(1-MIN(1,INDEX(Tabla_Mortalidad!$B$5:$B$75,MIN(71,Cartera_Polizas!$B$42+14-49))*(1+(Cartera_Polizas!$P$42-1)*MAX(0,1-14/Supuestos!$C$20))*(1-Supuestos!$C$18)^14))</f>
        <v>0.0974156869710325</v>
      </c>
      <c r="R40" s="29" t="n">
        <f aca="false">Q40*(1-MIN(1,INDEX(Tabla_Mortalidad!$B$5:$B$75,MIN(71,Cartera_Polizas!$B$42+15-49))*(1+(Cartera_Polizas!$P$42-1)*MAX(0,1-15/Supuestos!$C$20))*(1-Supuestos!$C$18)^15))</f>
        <v>0.0744994557700511</v>
      </c>
      <c r="S40" s="29" t="n">
        <f aca="false">R40*(1-MIN(1,INDEX(Tabla_Mortalidad!$B$5:$B$75,MIN(71,Cartera_Polizas!$B$42+16-49))*(1+(Cartera_Polizas!$P$42-1)*MAX(0,1-16/Supuestos!$C$20))*(1-Supuestos!$C$18)^16))</f>
        <v>0.055345508155397</v>
      </c>
      <c r="T40" s="29" t="n">
        <f aca="false">S40*(1-MIN(1,INDEX(Tabla_Mortalidad!$B$5:$B$75,MIN(71,Cartera_Polizas!$B$42+17-49))*(1+(Cartera_Polizas!$P$42-1)*MAX(0,1-17/Supuestos!$C$20))*(1-Supuestos!$C$18)^17))</f>
        <v>0.03982120775906</v>
      </c>
      <c r="U40" s="29" t="n">
        <f aca="false">T40*(1-MIN(1,INDEX(Tabla_Mortalidad!$B$5:$B$75,MIN(71,Cartera_Polizas!$B$42+18-49))*(1+(Cartera_Polizas!$P$42-1)*MAX(0,1-18/Supuestos!$C$20))*(1-Supuestos!$C$18)^18))</f>
        <v>0.0276585837135022</v>
      </c>
      <c r="V40" s="29" t="n">
        <f aca="false">U40*(1-MIN(1,INDEX(Tabla_Mortalidad!$B$5:$B$75,MIN(71,Cartera_Polizas!$B$42+19-49))*(1+(Cartera_Polizas!$P$42-1)*MAX(0,1-19/Supuestos!$C$20))*(1-Supuestos!$C$18)^19))</f>
        <v>0.0184794983243991</v>
      </c>
      <c r="W40" s="29" t="n">
        <f aca="false">V40*(1-MIN(1,INDEX(Tabla_Mortalidad!$B$5:$B$75,MIN(71,Cartera_Polizas!$B$42+20-49))*(1+(Cartera_Polizas!$P$42-1)*MAX(0,1-20/Supuestos!$C$20))*(1-Supuestos!$C$18)^20))</f>
        <v>0.0118313312864162</v>
      </c>
      <c r="X40" s="29" t="n">
        <f aca="false">W40*(1-MIN(1,INDEX(Tabla_Mortalidad!$B$5:$B$75,MIN(71,Cartera_Polizas!$B$42+21-49))*(1+(Cartera_Polizas!$P$42-1)*MAX(0,1-21/Supuestos!$C$20))*(1-Supuestos!$C$18)^21))</f>
        <v>0.00722898856165647</v>
      </c>
      <c r="Y40" s="29" t="n">
        <f aca="false">X40*(1-MIN(1,INDEX(Tabla_Mortalidad!$B$5:$B$75,MIN(71,Cartera_Polizas!$B$42+22-49))*(1+(Cartera_Polizas!$P$42-1)*MAX(0,1-22/Supuestos!$C$20))*(1-Supuestos!$C$18)^22))</f>
        <v>0.0041968673012901</v>
      </c>
      <c r="Z40" s="29" t="n">
        <f aca="false">Y40*(1-MIN(1,INDEX(Tabla_Mortalidad!$B$5:$B$75,MIN(71,Cartera_Polizas!$B$42+23-49))*(1+(Cartera_Polizas!$P$42-1)*MAX(0,1-23/Supuestos!$C$20))*(1-Supuestos!$C$18)^23))</f>
        <v>0.00230451357283014</v>
      </c>
      <c r="AA40" s="29" t="n">
        <f aca="false">Z40*(1-MIN(1,INDEX(Tabla_Mortalidad!$B$5:$B$75,MIN(71,Cartera_Polizas!$B$42+24-49))*(1+(Cartera_Polizas!$P$42-1)*MAX(0,1-24/Supuestos!$C$20))*(1-Supuestos!$C$18)^24))</f>
        <v>0.00119114321440619</v>
      </c>
      <c r="AB40" s="29" t="n">
        <f aca="false">AA40*(1-MIN(1,INDEX(Tabla_Mortalidad!$B$5:$B$75,MIN(71,Cartera_Polizas!$B$42+25-49))*(1+(Cartera_Polizas!$P$42-1)*MAX(0,1-25/Supuestos!$C$20))*(1-Supuestos!$C$18)^25))</f>
        <v>0.00057671503924547</v>
      </c>
      <c r="AC40" s="29" t="n">
        <f aca="false">AB40*(1-MIN(1,INDEX(Tabla_Mortalidad!$B$5:$B$75,MIN(71,Cartera_Polizas!$B$42+26-49))*(1+(Cartera_Polizas!$P$42-1)*MAX(0,1-26/Supuestos!$C$20))*(1-Supuestos!$C$18)^26))</f>
        <v>0.000260293230883316</v>
      </c>
      <c r="AD40" s="29" t="n">
        <f aca="false">AC40*(1-MIN(1,INDEX(Tabla_Mortalidad!$B$5:$B$75,MIN(71,Cartera_Polizas!$B$42+27-49))*(1+(Cartera_Polizas!$P$42-1)*MAX(0,1-27/Supuestos!$C$20))*(1-Supuestos!$C$18)^27))</f>
        <v>0.000109005138510147</v>
      </c>
      <c r="AE40" s="29" t="n">
        <f aca="false">AD40*(1-MIN(1,INDEX(Tabla_Mortalidad!$B$5:$B$75,MIN(71,Cartera_Polizas!$B$42+28-49))*(1+(Cartera_Polizas!$P$42-1)*MAX(0,1-28/Supuestos!$C$20))*(1-Supuestos!$C$18)^28))</f>
        <v>4.21769837339698E-005</v>
      </c>
      <c r="AF40" s="29" t="n">
        <f aca="false">AE40*(1-MIN(1,INDEX(Tabla_Mortalidad!$B$5:$B$75,MIN(71,Cartera_Polizas!$B$42+29-49))*(1+(Cartera_Polizas!$P$42-1)*MAX(0,1-29/Supuestos!$C$20))*(1-Supuestos!$C$18)^29))</f>
        <v>1.50254117893557E-005</v>
      </c>
      <c r="AG40" s="29" t="n">
        <f aca="false">AF40*(1-MIN(1,INDEX(Tabla_Mortalidad!$B$5:$B$75,MIN(71,Cartera_Polizas!$B$42+30-49))*(1+(Cartera_Polizas!$P$42-1)*MAX(0,1-30/Supuestos!$C$20))*(1-Supuestos!$C$18)^30))</f>
        <v>4.91649889676734E-006</v>
      </c>
      <c r="AH40" s="29" t="n">
        <f aca="false">AG40*(1-MIN(1,INDEX(Tabla_Mortalidad!$B$5:$B$75,MIN(71,Cartera_Polizas!$B$42+31-49))*(1+(Cartera_Polizas!$P$42-1)*MAX(0,1-31/Supuestos!$C$20))*(1-Supuestos!$C$18)^31))</f>
        <v>1.47632776245443E-006</v>
      </c>
      <c r="AI40" s="29" t="n">
        <f aca="false">AH40*(1-MIN(1,INDEX(Tabla_Mortalidad!$B$5:$B$75,MIN(71,Cartera_Polizas!$B$42+32-49))*(1+(Cartera_Polizas!$P$42-1)*MAX(0,1-32/Supuestos!$C$20))*(1-Supuestos!$C$18)^32))</f>
        <v>4.07275222077526E-007</v>
      </c>
      <c r="AJ40" s="29" t="n">
        <f aca="false">AI40*(1-MIN(1,INDEX(Tabla_Mortalidad!$B$5:$B$75,MIN(71,Cartera_Polizas!$B$42+33-49))*(1+(Cartera_Polizas!$P$42-1)*MAX(0,1-33/Supuestos!$C$20))*(1-Supuestos!$C$18)^33))</f>
        <v>1.03584421182998E-007</v>
      </c>
      <c r="AK40" s="29" t="n">
        <f aca="false">AJ40*(1-MIN(1,INDEX(Tabla_Mortalidad!$B$5:$B$75,MIN(71,Cartera_Polizas!$B$42+34-49))*(1+(Cartera_Polizas!$P$42-1)*MAX(0,1-34/Supuestos!$C$20))*(1-Supuestos!$C$18)^34))</f>
        <v>2.44386857404548E-008</v>
      </c>
      <c r="AL40" s="29" t="n">
        <f aca="false">AK40*(1-MIN(1,INDEX(Tabla_Mortalidad!$B$5:$B$75,MIN(71,Cartera_Polizas!$B$42+35-49))*(1+(Cartera_Polizas!$P$42-1)*MAX(0,1-35/Supuestos!$C$20))*(1-Supuestos!$C$18)^35))</f>
        <v>5.39597150231177E-009</v>
      </c>
      <c r="AM40" s="29" t="n">
        <f aca="false">AL40*(1-MIN(1,INDEX(Tabla_Mortalidad!$B$5:$B$75,MIN(71,Cartera_Polizas!$B$42+36-49))*(1+(Cartera_Polizas!$P$42-1)*MAX(0,1-36/Supuestos!$C$20))*(1-Supuestos!$C$18)^36))</f>
        <v>1.12744542048621E-009</v>
      </c>
      <c r="AN40" s="29" t="n">
        <f aca="false">AM40*(1-MIN(1,INDEX(Tabla_Mortalidad!$B$5:$B$75,MIN(71,Cartera_Polizas!$B$42+37-49))*(1+(Cartera_Polizas!$P$42-1)*MAX(0,1-37/Supuestos!$C$20))*(1-Supuestos!$C$18)^37))</f>
        <v>1.90855424787929E-010</v>
      </c>
      <c r="AO40" s="29" t="n">
        <f aca="false">AN40*(1-MIN(1,INDEX(Tabla_Mortalidad!$B$5:$B$75,MIN(71,Cartera_Polizas!$B$42+38-49))*(1+(Cartera_Polizas!$P$42-1)*MAX(0,1-38/Supuestos!$C$20))*(1-Supuestos!$C$18)^38))</f>
        <v>3.3100989990533E-011</v>
      </c>
      <c r="AP40" s="29" t="n">
        <f aca="false">AO40*(1-MIN(1,INDEX(Tabla_Mortalidad!$B$5:$B$75,MIN(71,Cartera_Polizas!$B$42+39-49))*(1+(Cartera_Polizas!$P$42-1)*MAX(0,1-39/Supuestos!$C$20))*(1-Supuestos!$C$18)^39))</f>
        <v>5.87766724176588E-012</v>
      </c>
      <c r="AQ40" s="29" t="n">
        <f aca="false">AP40*(1-MIN(1,INDEX(Tabla_Mortalidad!$B$5:$B$75,MIN(71,Cartera_Polizas!$B$42+40-49))*(1+(Cartera_Polizas!$P$42-1)*MAX(0,1-40/Supuestos!$C$20))*(1-Supuestos!$C$18)^40))</f>
        <v>1.06785387315302E-012</v>
      </c>
      <c r="AR40" s="29" t="n">
        <f aca="false">AQ40*(1-MIN(1,INDEX(Tabla_Mortalidad!$B$5:$B$75,MIN(71,Cartera_Polizas!$B$42+41-49))*(1+(Cartera_Polizas!$P$42-1)*MAX(0,1-41/Supuestos!$C$20))*(1-Supuestos!$C$18)^41))</f>
        <v>1.98376793993474E-013</v>
      </c>
      <c r="AS40" s="29" t="n">
        <f aca="false">AR40*(1-MIN(1,INDEX(Tabla_Mortalidad!$B$5:$B$75,MIN(71,Cartera_Polizas!$B$42+42-49))*(1+(Cartera_Polizas!$P$42-1)*MAX(0,1-42/Supuestos!$C$20))*(1-Supuestos!$C$18)^42))</f>
        <v>3.76603707522808E-014</v>
      </c>
      <c r="AT40" s="29" t="n">
        <f aca="false">AS40*(1-MIN(1,INDEX(Tabla_Mortalidad!$B$5:$B$75,MIN(71,Cartera_Polizas!$B$42+43-49))*(1+(Cartera_Polizas!$P$42-1)*MAX(0,1-43/Supuestos!$C$20))*(1-Supuestos!$C$18)^43))</f>
        <v>7.30209767213559E-015</v>
      </c>
      <c r="AU40" s="29" t="n">
        <f aca="false">AT40*(1-MIN(1,INDEX(Tabla_Mortalidad!$B$5:$B$75,MIN(71,Cartera_Polizas!$B$42+44-49))*(1+(Cartera_Polizas!$P$42-1)*MAX(0,1-44/Supuestos!$C$20))*(1-Supuestos!$C$18)^44))</f>
        <v>1.44525995634428E-015</v>
      </c>
    </row>
    <row r="41" customFormat="false" ht="15" hidden="false" customHeight="false" outlineLevel="0" collapsed="false">
      <c r="A41" s="14" t="n">
        <f aca="false">Cartera_Polizas!A43</f>
        <v>38</v>
      </c>
      <c r="B41" s="26" t="n">
        <f aca="false">SUM(C41:AU41)+0.5</f>
        <v>3.74484139584194</v>
      </c>
      <c r="C41" s="29" t="n">
        <f aca="false">1-MIN(1,INDEX(Tabla_Mortalidad!$B$5:$B$75,MIN(71,Cartera_Polizas!$B$43+0-49))*(1+(Cartera_Polizas!$P$43-1)*MAX(0,1-0/Supuestos!$C$20))*(1-Supuestos!$C$18)^0)</f>
        <v>0.7995304</v>
      </c>
      <c r="D41" s="29" t="n">
        <f aca="false">C41*(1-MIN(1,INDEX(Tabla_Mortalidad!$B$5:$B$75,MIN(71,Cartera_Polizas!$B$43+1-49))*(1+(Cartera_Polizas!$P$43-1)*MAX(0,1-1/Supuestos!$C$20))*(1-Supuestos!$C$18)^1))</f>
        <v>0.629280091308636</v>
      </c>
      <c r="E41" s="29" t="n">
        <f aca="false">D41*(1-MIN(1,INDEX(Tabla_Mortalidad!$B$5:$B$75,MIN(71,Cartera_Polizas!$B$43+2-49))*(1+(Cartera_Polizas!$P$43-1)*MAX(0,1-2/Supuestos!$C$20))*(1-Supuestos!$C$18)^2))</f>
        <v>0.487264425836067</v>
      </c>
      <c r="F41" s="29" t="n">
        <f aca="false">E41*(1-MIN(1,INDEX(Tabla_Mortalidad!$B$5:$B$75,MIN(71,Cartera_Polizas!$B$43+3-49))*(1+(Cartera_Polizas!$P$43-1)*MAX(0,1-3/Supuestos!$C$20))*(1-Supuestos!$C$18)^3))</f>
        <v>0.370999471734316</v>
      </c>
      <c r="G41" s="29" t="n">
        <f aca="false">F41*(1-MIN(1,INDEX(Tabla_Mortalidad!$B$5:$B$75,MIN(71,Cartera_Polizas!$B$43+4-49))*(1+(Cartera_Polizas!$P$43-1)*MAX(0,1-4/Supuestos!$C$20))*(1-Supuestos!$C$18)^4))</f>
        <v>0.277652305708171</v>
      </c>
      <c r="H41" s="29" t="n">
        <f aca="false">G41*(1-MIN(1,INDEX(Tabla_Mortalidad!$B$5:$B$75,MIN(71,Cartera_Polizas!$B$43+5-49))*(1+(Cartera_Polizas!$P$43-1)*MAX(0,1-5/Supuestos!$C$20))*(1-Supuestos!$C$18)^5))</f>
        <v>0.20419888061126</v>
      </c>
      <c r="I41" s="29" t="n">
        <f aca="false">H41*(1-MIN(1,INDEX(Tabla_Mortalidad!$B$5:$B$75,MIN(71,Cartera_Polizas!$B$43+6-49))*(1+(Cartera_Polizas!$P$43-1)*MAX(0,1-6/Supuestos!$C$20))*(1-Supuestos!$C$18)^6))</f>
        <v>0.147580694572122</v>
      </c>
      <c r="J41" s="29" t="n">
        <f aca="false">I41*(1-MIN(1,INDEX(Tabla_Mortalidad!$B$5:$B$75,MIN(71,Cartera_Polizas!$B$43+7-49))*(1+(Cartera_Polizas!$P$43-1)*MAX(0,1-7/Supuestos!$C$20))*(1-Supuestos!$C$18)^7))</f>
        <v>0.104845657077762</v>
      </c>
      <c r="K41" s="29" t="n">
        <f aca="false">J41*(1-MIN(1,INDEX(Tabla_Mortalidad!$B$5:$B$75,MIN(71,Cartera_Polizas!$B$43+8-49))*(1+(Cartera_Polizas!$P$43-1)*MAX(0,1-8/Supuestos!$C$20))*(1-Supuestos!$C$18)^8))</f>
        <v>0.0732626890610707</v>
      </c>
      <c r="L41" s="29" t="n">
        <f aca="false">K41*(1-MIN(1,INDEX(Tabla_Mortalidad!$B$5:$B$75,MIN(71,Cartera_Polizas!$B$43+9-49))*(1+(Cartera_Polizas!$P$43-1)*MAX(0,1-9/Supuestos!$C$20))*(1-Supuestos!$C$18)^9))</f>
        <v>0.0504049690755766</v>
      </c>
      <c r="M41" s="29" t="n">
        <f aca="false">L41*(1-MIN(1,INDEX(Tabla_Mortalidad!$B$5:$B$75,MIN(71,Cartera_Polizas!$B$43+10-49))*(1+(Cartera_Polizas!$P$43-1)*MAX(0,1-10/Supuestos!$C$20))*(1-Supuestos!$C$18)^10))</f>
        <v>0.0341964883544096</v>
      </c>
      <c r="N41" s="29" t="n">
        <f aca="false">M41*(1-MIN(1,INDEX(Tabla_Mortalidad!$B$5:$B$75,MIN(71,Cartera_Polizas!$B$43+11-49))*(1+(Cartera_Polizas!$P$43-1)*MAX(0,1-11/Supuestos!$C$20))*(1-Supuestos!$C$18)^11))</f>
        <v>0.0229250472381738</v>
      </c>
      <c r="O41" s="29" t="n">
        <f aca="false">N41*(1-MIN(1,INDEX(Tabla_Mortalidad!$B$5:$B$75,MIN(71,Cartera_Polizas!$B$43+12-49))*(1+(Cartera_Polizas!$P$43-1)*MAX(0,1-12/Supuestos!$C$20))*(1-Supuestos!$C$18)^12))</f>
        <v>0.0152278417467154</v>
      </c>
      <c r="P41" s="29" t="n">
        <f aca="false">O41*(1-MIN(1,INDEX(Tabla_Mortalidad!$B$5:$B$75,MIN(71,Cartera_Polizas!$B$43+13-49))*(1+(Cartera_Polizas!$P$43-1)*MAX(0,1-13/Supuestos!$C$20))*(1-Supuestos!$C$18)^13))</f>
        <v>0.0100564857749185</v>
      </c>
      <c r="Q41" s="29" t="n">
        <f aca="false">P41*(1-MIN(1,INDEX(Tabla_Mortalidad!$B$5:$B$75,MIN(71,Cartera_Polizas!$B$43+14-49))*(1+(Cartera_Polizas!$P$43-1)*MAX(0,1-14/Supuestos!$C$20))*(1-Supuestos!$C$18)^14))</f>
        <v>0.00663023328293809</v>
      </c>
      <c r="R41" s="29" t="n">
        <f aca="false">Q41*(1-MIN(1,INDEX(Tabla_Mortalidad!$B$5:$B$75,MIN(71,Cartera_Polizas!$B$43+15-49))*(1+(Cartera_Polizas!$P$43-1)*MAX(0,1-15/Supuestos!$C$20))*(1-Supuestos!$C$18)^15))</f>
        <v>0.00438528697599417</v>
      </c>
      <c r="S41" s="29" t="n">
        <f aca="false">R41*(1-MIN(1,INDEX(Tabla_Mortalidad!$B$5:$B$75,MIN(71,Cartera_Polizas!$B$43+16-49))*(1+(Cartera_Polizas!$P$43-1)*MAX(0,1-16/Supuestos!$C$20))*(1-Supuestos!$C$18)^16))</f>
        <v>0.00277568890852853</v>
      </c>
      <c r="T41" s="29" t="n">
        <f aca="false">S41*(1-MIN(1,INDEX(Tabla_Mortalidad!$B$5:$B$75,MIN(71,Cartera_Polizas!$B$43+17-49))*(1+(Cartera_Polizas!$P$43-1)*MAX(0,1-17/Supuestos!$C$20))*(1-Supuestos!$C$18)^17))</f>
        <v>0.00167408921038595</v>
      </c>
      <c r="U41" s="29" t="n">
        <f aca="false">T41*(1-MIN(1,INDEX(Tabla_Mortalidad!$B$5:$B$75,MIN(71,Cartera_Polizas!$B$43+18-49))*(1+(Cartera_Polizas!$P$43-1)*MAX(0,1-18/Supuestos!$C$20))*(1-Supuestos!$C$18)^18))</f>
        <v>0.000957689663681659</v>
      </c>
      <c r="V41" s="29" t="n">
        <f aca="false">U41*(1-MIN(1,INDEX(Tabla_Mortalidad!$B$5:$B$75,MIN(71,Cartera_Polizas!$B$43+19-49))*(1+(Cartera_Polizas!$P$43-1)*MAX(0,1-19/Supuestos!$C$20))*(1-Supuestos!$C$18)^19))</f>
        <v>0.000517125102608573</v>
      </c>
      <c r="W41" s="29" t="n">
        <f aca="false">V41*(1-MIN(1,INDEX(Tabla_Mortalidad!$B$5:$B$75,MIN(71,Cartera_Polizas!$B$43+20-49))*(1+(Cartera_Polizas!$P$43-1)*MAX(0,1-20/Supuestos!$C$20))*(1-Supuestos!$C$18)^20))</f>
        <v>0.000262228714494676</v>
      </c>
      <c r="X41" s="29" t="n">
        <f aca="false">W41*(1-MIN(1,INDEX(Tabla_Mortalidad!$B$5:$B$75,MIN(71,Cartera_Polizas!$B$43+21-49))*(1+(Cartera_Polizas!$P$43-1)*MAX(0,1-21/Supuestos!$C$20))*(1-Supuestos!$C$18)^21))</f>
        <v>0.000124223637291244</v>
      </c>
      <c r="Y41" s="29" t="n">
        <f aca="false">X41*(1-MIN(1,INDEX(Tabla_Mortalidad!$B$5:$B$75,MIN(71,Cartera_Polizas!$B$43+22-49))*(1+(Cartera_Polizas!$P$43-1)*MAX(0,1-22/Supuestos!$C$20))*(1-Supuestos!$C$18)^22))</f>
        <v>5.46864612432966E-005</v>
      </c>
      <c r="Z41" s="29" t="n">
        <f aca="false">Y41*(1-MIN(1,INDEX(Tabla_Mortalidad!$B$5:$B$75,MIN(71,Cartera_Polizas!$B$43+23-49))*(1+(Cartera_Polizas!$P$43-1)*MAX(0,1-23/Supuestos!$C$20))*(1-Supuestos!$C$18)^23))</f>
        <v>2.22577738046674E-005</v>
      </c>
      <c r="AA41" s="29" t="n">
        <f aca="false">Z41*(1-MIN(1,INDEX(Tabla_Mortalidad!$B$5:$B$75,MIN(71,Cartera_Polizas!$B$43+24-49))*(1+(Cartera_Polizas!$P$43-1)*MAX(0,1-24/Supuestos!$C$20))*(1-Supuestos!$C$18)^24))</f>
        <v>8.33576512239552E-006</v>
      </c>
      <c r="AB41" s="29" t="n">
        <f aca="false">AA41*(1-MIN(1,INDEX(Tabla_Mortalidad!$B$5:$B$75,MIN(71,Cartera_Polizas!$B$43+25-49))*(1+(Cartera_Polizas!$P$43-1)*MAX(0,1-25/Supuestos!$C$20))*(1-Supuestos!$C$18)^25))</f>
        <v>2.86091031735381E-006</v>
      </c>
      <c r="AC41" s="29" t="n">
        <f aca="false">AB41*(1-MIN(1,INDEX(Tabla_Mortalidad!$B$5:$B$75,MIN(71,Cartera_Polizas!$B$43+26-49))*(1+(Cartera_Polizas!$P$43-1)*MAX(0,1-26/Supuestos!$C$20))*(1-Supuestos!$C$18)^26))</f>
        <v>8.97143161957573E-007</v>
      </c>
      <c r="AD41" s="29" t="n">
        <f aca="false">AC41*(1-MIN(1,INDEX(Tabla_Mortalidad!$B$5:$B$75,MIN(71,Cartera_Polizas!$B$43+27-49))*(1+(Cartera_Polizas!$P$43-1)*MAX(0,1-27/Supuestos!$C$20))*(1-Supuestos!$C$18)^27))</f>
        <v>2.56680922305658E-007</v>
      </c>
      <c r="AE41" s="29" t="n">
        <f aca="false">AD41*(1-MIN(1,INDEX(Tabla_Mortalidad!$B$5:$B$75,MIN(71,Cartera_Polizas!$B$43+28-49))*(1+(Cartera_Polizas!$P$43-1)*MAX(0,1-28/Supuestos!$C$20))*(1-Supuestos!$C$18)^28))</f>
        <v>6.70463435686542E-008</v>
      </c>
      <c r="AF41" s="29" t="n">
        <f aca="false">AE41*(1-MIN(1,INDEX(Tabla_Mortalidad!$B$5:$B$75,MIN(71,Cartera_Polizas!$B$43+29-49))*(1+(Cartera_Polizas!$P$43-1)*MAX(0,1-29/Supuestos!$C$20))*(1-Supuestos!$C$18)^29))</f>
        <v>1.60397379696487E-008</v>
      </c>
      <c r="AG41" s="29" t="n">
        <f aca="false">AF41*(1-MIN(1,INDEX(Tabla_Mortalidad!$B$5:$B$75,MIN(71,Cartera_Polizas!$B$43+30-49))*(1+(Cartera_Polizas!$P$43-1)*MAX(0,1-30/Supuestos!$C$20))*(1-Supuestos!$C$18)^30))</f>
        <v>3.53605304116012E-009</v>
      </c>
      <c r="AH41" s="29" t="n">
        <f aca="false">AG41*(1-MIN(1,INDEX(Tabla_Mortalidad!$B$5:$B$75,MIN(71,Cartera_Polizas!$B$43+31-49))*(1+(Cartera_Polizas!$P$43-1)*MAX(0,1-31/Supuestos!$C$20))*(1-Supuestos!$C$18)^31))</f>
        <v>7.24945557227509E-010</v>
      </c>
      <c r="AI41" s="29" t="n">
        <f aca="false">AH41*(1-MIN(1,INDEX(Tabla_Mortalidad!$B$5:$B$75,MIN(71,Cartera_Polizas!$B$43+32-49))*(1+(Cartera_Polizas!$P$43-1)*MAX(0,1-32/Supuestos!$C$20))*(1-Supuestos!$C$18)^32))</f>
        <v>1.39857327134161E-010</v>
      </c>
      <c r="AJ41" s="29" t="n">
        <f aca="false">AI41*(1-MIN(1,INDEX(Tabla_Mortalidad!$B$5:$B$75,MIN(71,Cartera_Polizas!$B$43+33-49))*(1+(Cartera_Polizas!$P$43-1)*MAX(0,1-33/Supuestos!$C$20))*(1-Supuestos!$C$18)^33))</f>
        <v>2.13222494592066E-011</v>
      </c>
      <c r="AK41" s="29" t="n">
        <f aca="false">AJ41*(1-MIN(1,INDEX(Tabla_Mortalidad!$B$5:$B$75,MIN(71,Cartera_Polizas!$B$43+34-49))*(1+(Cartera_Polizas!$P$43-1)*MAX(0,1-34/Supuestos!$C$20))*(1-Supuestos!$C$18)^34))</f>
        <v>3.34108697810057E-012</v>
      </c>
      <c r="AL41" s="29" t="n">
        <f aca="false">AK41*(1-MIN(1,INDEX(Tabla_Mortalidad!$B$5:$B$75,MIN(71,Cartera_Polizas!$B$43+35-49))*(1+(Cartera_Polizas!$P$43-1)*MAX(0,1-35/Supuestos!$C$20))*(1-Supuestos!$C$18)^35))</f>
        <v>5.37618948518925E-013</v>
      </c>
      <c r="AM41" s="29" t="n">
        <f aca="false">AL41*(1-MIN(1,INDEX(Tabla_Mortalidad!$B$5:$B$75,MIN(71,Cartera_Polizas!$B$43+36-49))*(1+(Cartera_Polizas!$P$43-1)*MAX(0,1-36/Supuestos!$C$20))*(1-Supuestos!$C$18)^36))</f>
        <v>8.87645617793963E-014</v>
      </c>
      <c r="AN41" s="29" t="n">
        <f aca="false">AM41*(1-MIN(1,INDEX(Tabla_Mortalidad!$B$5:$B$75,MIN(71,Cartera_Polizas!$B$43+37-49))*(1+(Cartera_Polizas!$P$43-1)*MAX(0,1-37/Supuestos!$C$20))*(1-Supuestos!$C$18)^37))</f>
        <v>1.50261802803857E-014</v>
      </c>
      <c r="AO41" s="29" t="n">
        <f aca="false">AN41*(1-MIN(1,INDEX(Tabla_Mortalidad!$B$5:$B$75,MIN(71,Cartera_Polizas!$B$43+38-49))*(1+(Cartera_Polizas!$P$43-1)*MAX(0,1-38/Supuestos!$C$20))*(1-Supuestos!$C$18)^38))</f>
        <v>2.60606395448105E-015</v>
      </c>
      <c r="AP41" s="29" t="n">
        <f aca="false">AO41*(1-MIN(1,INDEX(Tabla_Mortalidad!$B$5:$B$75,MIN(71,Cartera_Polizas!$B$43+39-49))*(1+(Cartera_Polizas!$P$43-1)*MAX(0,1-39/Supuestos!$C$20))*(1-Supuestos!$C$18)^39))</f>
        <v>4.62752828226013E-016</v>
      </c>
      <c r="AQ41" s="29" t="n">
        <f aca="false">AP41*(1-MIN(1,INDEX(Tabla_Mortalidad!$B$5:$B$75,MIN(71,Cartera_Polizas!$B$43+40-49))*(1+(Cartera_Polizas!$P$43-1)*MAX(0,1-40/Supuestos!$C$20))*(1-Supuestos!$C$18)^40))</f>
        <v>8.40728778285172E-017</v>
      </c>
      <c r="AR41" s="29" t="n">
        <f aca="false">AQ41*(1-MIN(1,INDEX(Tabla_Mortalidad!$B$5:$B$75,MIN(71,Cartera_Polizas!$B$43+41-49))*(1+(Cartera_Polizas!$P$43-1)*MAX(0,1-41/Supuestos!$C$20))*(1-Supuestos!$C$18)^41))</f>
        <v>1.56183429069573E-017</v>
      </c>
      <c r="AS41" s="29" t="n">
        <f aca="false">AR41*(1-MIN(1,INDEX(Tabla_Mortalidad!$B$5:$B$75,MIN(71,Cartera_Polizas!$B$43+42-49))*(1+(Cartera_Polizas!$P$43-1)*MAX(0,1-42/Supuestos!$C$20))*(1-Supuestos!$C$18)^42))</f>
        <v>2.96502717163388E-018</v>
      </c>
      <c r="AT41" s="29" t="n">
        <f aca="false">AS41*(1-MIN(1,INDEX(Tabla_Mortalidad!$B$5:$B$75,MIN(71,Cartera_Polizas!$B$43+43-49))*(1+(Cartera_Polizas!$P$43-1)*MAX(0,1-43/Supuestos!$C$20))*(1-Supuestos!$C$18)^43))</f>
        <v>5.74899226303959E-019</v>
      </c>
      <c r="AU41" s="29" t="n">
        <f aca="false">AT41*(1-MIN(1,INDEX(Tabla_Mortalidad!$B$5:$B$75,MIN(71,Cartera_Polizas!$B$43+44-49))*(1+(Cartera_Polizas!$P$43-1)*MAX(0,1-44/Supuestos!$C$20))*(1-Supuestos!$C$18)^44))</f>
        <v>1.13786321139063E-019</v>
      </c>
    </row>
    <row r="42" customFormat="false" ht="15" hidden="false" customHeight="false" outlineLevel="0" collapsed="false">
      <c r="A42" s="14" t="n">
        <f aca="false">Cartera_Polizas!A44</f>
        <v>39</v>
      </c>
      <c r="B42" s="26" t="n">
        <f aca="false">SUM(C42:AU42)+0.5</f>
        <v>6.40575426590413</v>
      </c>
      <c r="C42" s="29" t="n">
        <f aca="false">1-MIN(1,INDEX(Tabla_Mortalidad!$B$5:$B$75,MIN(71,Cartera_Polizas!$B$44+0-49))*(1+(Cartera_Polizas!$P$44-1)*MAX(0,1-0/Supuestos!$C$20))*(1-Supuestos!$C$18)^0)</f>
        <v>0.8871913</v>
      </c>
      <c r="D42" s="29" t="n">
        <f aca="false">C42*(1-MIN(1,INDEX(Tabla_Mortalidad!$B$5:$B$75,MIN(71,Cartera_Polizas!$B$44+1-49))*(1+(Cartera_Polizas!$P$44-1)*MAX(0,1-1/Supuestos!$C$20))*(1-Supuestos!$C$18)^1))</f>
        <v>0.781089233577328</v>
      </c>
      <c r="E42" s="29" t="n">
        <f aca="false">D42*(1-MIN(1,INDEX(Tabla_Mortalidad!$B$5:$B$75,MIN(71,Cartera_Polizas!$B$44+2-49))*(1+(Cartera_Polizas!$P$44-1)*MAX(0,1-2/Supuestos!$C$20))*(1-Supuestos!$C$18)^2))</f>
        <v>0.682285740798138</v>
      </c>
      <c r="F42" s="29" t="n">
        <f aca="false">E42*(1-MIN(1,INDEX(Tabla_Mortalidad!$B$5:$B$75,MIN(71,Cartera_Polizas!$B$44+3-49))*(1+(Cartera_Polizas!$P$44-1)*MAX(0,1-3/Supuestos!$C$20))*(1-Supuestos!$C$18)^3))</f>
        <v>0.591231009148858</v>
      </c>
      <c r="G42" s="29" t="n">
        <f aca="false">F42*(1-MIN(1,INDEX(Tabla_Mortalidad!$B$5:$B$75,MIN(71,Cartera_Polizas!$B$44+4-49))*(1+(Cartera_Polizas!$P$44-1)*MAX(0,1-4/Supuestos!$C$20))*(1-Supuestos!$C$18)^4))</f>
        <v>0.508221123157475</v>
      </c>
      <c r="H42" s="29" t="n">
        <f aca="false">G42*(1-MIN(1,INDEX(Tabla_Mortalidad!$B$5:$B$75,MIN(71,Cartera_Polizas!$B$44+5-49))*(1+(Cartera_Polizas!$P$44-1)*MAX(0,1-5/Supuestos!$C$20))*(1-Supuestos!$C$18)^5))</f>
        <v>0.433385754157798</v>
      </c>
      <c r="I42" s="29" t="n">
        <f aca="false">H42*(1-MIN(1,INDEX(Tabla_Mortalidad!$B$5:$B$75,MIN(71,Cartera_Polizas!$B$44+6-49))*(1+(Cartera_Polizas!$P$44-1)*MAX(0,1-6/Supuestos!$C$20))*(1-Supuestos!$C$18)^6))</f>
        <v>0.366687996552675</v>
      </c>
      <c r="J42" s="29" t="n">
        <f aca="false">I42*(1-MIN(1,INDEX(Tabla_Mortalidad!$B$5:$B$75,MIN(71,Cartera_Polizas!$B$44+7-49))*(1+(Cartera_Polizas!$P$44-1)*MAX(0,1-7/Supuestos!$C$20))*(1-Supuestos!$C$18)^7))</f>
        <v>0.307936281883629</v>
      </c>
      <c r="K42" s="29" t="n">
        <f aca="false">J42*(1-MIN(1,INDEX(Tabla_Mortalidad!$B$5:$B$75,MIN(71,Cartera_Polizas!$B$44+8-49))*(1+(Cartera_Polizas!$P$44-1)*MAX(0,1-8/Supuestos!$C$20))*(1-Supuestos!$C$18)^8))</f>
        <v>0.256793886309381</v>
      </c>
      <c r="L42" s="29" t="n">
        <f aca="false">K42*(1-MIN(1,INDEX(Tabla_Mortalidad!$B$5:$B$75,MIN(71,Cartera_Polizas!$B$44+9-49))*(1+(Cartera_Polizas!$P$44-1)*MAX(0,1-9/Supuestos!$C$20))*(1-Supuestos!$C$18)^9))</f>
        <v>0.212805206316472</v>
      </c>
      <c r="M42" s="29" t="n">
        <f aca="false">L42*(1-MIN(1,INDEX(Tabla_Mortalidad!$B$5:$B$75,MIN(71,Cartera_Polizas!$B$44+10-49))*(1+(Cartera_Polizas!$P$44-1)*MAX(0,1-10/Supuestos!$C$20))*(1-Supuestos!$C$18)^10))</f>
        <v>0.175418900347395</v>
      </c>
      <c r="N42" s="29" t="n">
        <f aca="false">M42*(1-MIN(1,INDEX(Tabla_Mortalidad!$B$5:$B$75,MIN(71,Cartera_Polizas!$B$44+11-49))*(1+(Cartera_Polizas!$P$44-1)*MAX(0,1-11/Supuestos!$C$20))*(1-Supuestos!$C$18)^11))</f>
        <v>0.144018135219868</v>
      </c>
      <c r="O42" s="29" t="n">
        <f aca="false">N42*(1-MIN(1,INDEX(Tabla_Mortalidad!$B$5:$B$75,MIN(71,Cartera_Polizas!$B$44+12-49))*(1+(Cartera_Polizas!$P$44-1)*MAX(0,1-12/Supuestos!$C$20))*(1-Supuestos!$C$18)^12))</f>
        <v>0.117950397421328</v>
      </c>
      <c r="P42" s="29" t="n">
        <f aca="false">O42*(1-MIN(1,INDEX(Tabla_Mortalidad!$B$5:$B$75,MIN(71,Cartera_Polizas!$B$44+13-49))*(1+(Cartera_Polizas!$P$44-1)*MAX(0,1-13/Supuestos!$C$20))*(1-Supuestos!$C$18)^13))</f>
        <v>0.0965561954061538</v>
      </c>
      <c r="Q42" s="29" t="n">
        <f aca="false">P42*(1-MIN(1,INDEX(Tabla_Mortalidad!$B$5:$B$75,MIN(71,Cartera_Polizas!$B$44+14-49))*(1+(Cartera_Polizas!$P$44-1)*MAX(0,1-14/Supuestos!$C$20))*(1-Supuestos!$C$18)^14))</f>
        <v>0.0791943908330864</v>
      </c>
      <c r="R42" s="29" t="n">
        <f aca="false">Q42*(1-MIN(1,INDEX(Tabla_Mortalidad!$B$5:$B$75,MIN(71,Cartera_Polizas!$B$44+15-49))*(1+(Cartera_Polizas!$P$44-1)*MAX(0,1-15/Supuestos!$C$20))*(1-Supuestos!$C$18)^15))</f>
        <v>0.0652628850135361</v>
      </c>
      <c r="S42" s="29" t="n">
        <f aca="false">R42*(1-MIN(1,INDEX(Tabla_Mortalidad!$B$5:$B$75,MIN(71,Cartera_Polizas!$B$44+16-49))*(1+(Cartera_Polizas!$P$44-1)*MAX(0,1-16/Supuestos!$C$20))*(1-Supuestos!$C$18)^16))</f>
        <v>0.0526604841947381</v>
      </c>
      <c r="T42" s="29" t="n">
        <f aca="false">S42*(1-MIN(1,INDEX(Tabla_Mortalidad!$B$5:$B$75,MIN(71,Cartera_Polizas!$B$44+17-49))*(1+(Cartera_Polizas!$P$44-1)*MAX(0,1-17/Supuestos!$C$20))*(1-Supuestos!$C$18)^17))</f>
        <v>0.041512818209462</v>
      </c>
      <c r="U42" s="29" t="n">
        <f aca="false">T42*(1-MIN(1,INDEX(Tabla_Mortalidad!$B$5:$B$75,MIN(71,Cartera_Polizas!$B$44+18-49))*(1+(Cartera_Polizas!$P$44-1)*MAX(0,1-18/Supuestos!$C$20))*(1-Supuestos!$C$18)^18))</f>
        <v>0.0318930245312791</v>
      </c>
      <c r="V42" s="29" t="n">
        <f aca="false">U42*(1-MIN(1,INDEX(Tabla_Mortalidad!$B$5:$B$75,MIN(71,Cartera_Polizas!$B$44+19-49))*(1+(Cartera_Polizas!$P$44-1)*MAX(0,1-19/Supuestos!$C$20))*(1-Supuestos!$C$18)^19))</f>
        <v>0.0238156514210026</v>
      </c>
      <c r="W42" s="29" t="n">
        <f aca="false">V42*(1-MIN(1,INDEX(Tabla_Mortalidad!$B$5:$B$75,MIN(71,Cartera_Polizas!$B$44+20-49))*(1+(Cartera_Polizas!$P$44-1)*MAX(0,1-20/Supuestos!$C$20))*(1-Supuestos!$C$18)^20))</f>
        <v>0.017235113958885</v>
      </c>
      <c r="X42" s="29" t="n">
        <f aca="false">W42*(1-MIN(1,INDEX(Tabla_Mortalidad!$B$5:$B$75,MIN(71,Cartera_Polizas!$B$44+21-49))*(1+(Cartera_Polizas!$P$44-1)*MAX(0,1-21/Supuestos!$C$20))*(1-Supuestos!$C$18)^21))</f>
        <v>0.0120495468823025</v>
      </c>
      <c r="Y42" s="29" t="n">
        <f aca="false">X42*(1-MIN(1,INDEX(Tabla_Mortalidad!$B$5:$B$75,MIN(71,Cartera_Polizas!$B$44+22-49))*(1+(Cartera_Polizas!$P$44-1)*MAX(0,1-22/Supuestos!$C$20))*(1-Supuestos!$C$18)^22))</f>
        <v>0.00811033419425442</v>
      </c>
      <c r="Z42" s="29" t="n">
        <f aca="false">Y42*(1-MIN(1,INDEX(Tabla_Mortalidad!$B$5:$B$75,MIN(71,Cartera_Polizas!$B$44+23-49))*(1+(Cartera_Polizas!$P$44-1)*MAX(0,1-23/Supuestos!$C$20))*(1-Supuestos!$C$18)^23))</f>
        <v>0.00523611597401963</v>
      </c>
      <c r="AA42" s="29" t="n">
        <f aca="false">Z42*(1-MIN(1,INDEX(Tabla_Mortalidad!$B$5:$B$75,MIN(71,Cartera_Polizas!$B$44+24-49))*(1+(Cartera_Polizas!$P$44-1)*MAX(0,1-24/Supuestos!$C$20))*(1-Supuestos!$C$18)^24))</f>
        <v>0.00322968676937751</v>
      </c>
      <c r="AB42" s="29" t="n">
        <f aca="false">AA42*(1-MIN(1,INDEX(Tabla_Mortalidad!$B$5:$B$75,MIN(71,Cartera_Polizas!$B$44+25-49))*(1+(Cartera_Polizas!$P$44-1)*MAX(0,1-25/Supuestos!$C$20))*(1-Supuestos!$C$18)^25))</f>
        <v>0.0018952479273799</v>
      </c>
      <c r="AC42" s="29" t="n">
        <f aca="false">AB42*(1-MIN(1,INDEX(Tabla_Mortalidad!$B$5:$B$75,MIN(71,Cartera_Polizas!$B$44+26-49))*(1+(Cartera_Polizas!$P$44-1)*MAX(0,1-26/Supuestos!$C$20))*(1-Supuestos!$C$18)^26))</f>
        <v>0.00105344127171734</v>
      </c>
      <c r="AD42" s="29" t="n">
        <f aca="false">AC42*(1-MIN(1,INDEX(Tabla_Mortalidad!$B$5:$B$75,MIN(71,Cartera_Polizas!$B$44+27-49))*(1+(Cartera_Polizas!$P$44-1)*MAX(0,1-27/Supuestos!$C$20))*(1-Supuestos!$C$18)^27))</f>
        <v>0.000552092499351355</v>
      </c>
      <c r="AE42" s="29" t="n">
        <f aca="false">AD42*(1-MIN(1,INDEX(Tabla_Mortalidad!$B$5:$B$75,MIN(71,Cartera_Polizas!$B$44+28-49))*(1+(Cartera_Polizas!$P$44-1)*MAX(0,1-28/Supuestos!$C$20))*(1-Supuestos!$C$18)^28))</f>
        <v>0.000271556738212102</v>
      </c>
      <c r="AF42" s="29" t="n">
        <f aca="false">AE42*(1-MIN(1,INDEX(Tabla_Mortalidad!$B$5:$B$75,MIN(71,Cartera_Polizas!$B$44+29-49))*(1+(Cartera_Polizas!$P$44-1)*MAX(0,1-29/Supuestos!$C$20))*(1-Supuestos!$C$18)^29))</f>
        <v>0.000124787528030195</v>
      </c>
      <c r="AG42" s="29" t="n">
        <f aca="false">AF42*(1-MIN(1,INDEX(Tabla_Mortalidad!$B$5:$B$75,MIN(71,Cartera_Polizas!$B$44+30-49))*(1+(Cartera_Polizas!$P$44-1)*MAX(0,1-30/Supuestos!$C$20))*(1-Supuestos!$C$18)^30))</f>
        <v>5.33408079072841E-005</v>
      </c>
      <c r="AH42" s="29" t="n">
        <f aca="false">AG42*(1-MIN(1,INDEX(Tabla_Mortalidad!$B$5:$B$75,MIN(71,Cartera_Polizas!$B$44+31-49))*(1+(Cartera_Polizas!$P$44-1)*MAX(0,1-31/Supuestos!$C$20))*(1-Supuestos!$C$18)^31))</f>
        <v>2.11270544759652E-005</v>
      </c>
      <c r="AI42" s="29" t="n">
        <f aca="false">AH42*(1-MIN(1,INDEX(Tabla_Mortalidad!$B$5:$B$75,MIN(71,Cartera_Polizas!$B$44+32-49))*(1+(Cartera_Polizas!$P$44-1)*MAX(0,1-32/Supuestos!$C$20))*(1-Supuestos!$C$18)^32))</f>
        <v>7.72943451329151E-006</v>
      </c>
      <c r="AJ42" s="29" t="n">
        <f aca="false">AI42*(1-MIN(1,INDEX(Tabla_Mortalidad!$B$5:$B$75,MIN(71,Cartera_Polizas!$B$44+33-49))*(1+(Cartera_Polizas!$P$44-1)*MAX(0,1-33/Supuestos!$C$20))*(1-Supuestos!$C$18)^33))</f>
        <v>2.60678037067478E-006</v>
      </c>
      <c r="AK42" s="29" t="n">
        <f aca="false">AJ42*(1-MIN(1,INDEX(Tabla_Mortalidad!$B$5:$B$75,MIN(71,Cartera_Polizas!$B$44+34-49))*(1+(Cartera_Polizas!$P$44-1)*MAX(0,1-34/Supuestos!$C$20))*(1-Supuestos!$C$18)^34))</f>
        <v>8.09988451622482E-007</v>
      </c>
      <c r="AL42" s="29" t="n">
        <f aca="false">AK42*(1-MIN(1,INDEX(Tabla_Mortalidad!$B$5:$B$75,MIN(71,Cartera_Polizas!$B$44+35-49))*(1+(Cartera_Polizas!$P$44-1)*MAX(0,1-35/Supuestos!$C$20))*(1-Supuestos!$C$18)^35))</f>
        <v>2.32206019987882E-007</v>
      </c>
      <c r="AM42" s="29" t="n">
        <f aca="false">AL42*(1-MIN(1,INDEX(Tabla_Mortalidad!$B$5:$B$75,MIN(71,Cartera_Polizas!$B$44+36-49))*(1+(Cartera_Polizas!$P$44-1)*MAX(0,1-36/Supuestos!$C$20))*(1-Supuestos!$C$18)^36))</f>
        <v>6.16424157422803E-008</v>
      </c>
      <c r="AN42" s="29" t="n">
        <f aca="false">AM42*(1-MIN(1,INDEX(Tabla_Mortalidad!$B$5:$B$75,MIN(71,Cartera_Polizas!$B$44+37-49))*(1+(Cartera_Polizas!$P$44-1)*MAX(0,1-37/Supuestos!$C$20))*(1-Supuestos!$C$18)^37))</f>
        <v>1.52462631761088E-008</v>
      </c>
      <c r="AO42" s="29" t="n">
        <f aca="false">AN42*(1-MIN(1,INDEX(Tabla_Mortalidad!$B$5:$B$75,MIN(71,Cartera_Polizas!$B$44+38-49))*(1+(Cartera_Polizas!$P$44-1)*MAX(0,1-38/Supuestos!$C$20))*(1-Supuestos!$C$18)^38))</f>
        <v>3.54362822745491E-009</v>
      </c>
      <c r="AP42" s="29" t="n">
        <f aca="false">AO42*(1-MIN(1,INDEX(Tabla_Mortalidad!$B$5:$B$75,MIN(71,Cartera_Polizas!$B$44+39-49))*(1+(Cartera_Polizas!$P$44-1)*MAX(0,1-39/Supuestos!$C$20))*(1-Supuestos!$C$18)^39))</f>
        <v>7.82251332013948E-010</v>
      </c>
      <c r="AQ42" s="29" t="n">
        <f aca="false">AP42*(1-MIN(1,INDEX(Tabla_Mortalidad!$B$5:$B$75,MIN(71,Cartera_Polizas!$B$44+40-49))*(1+(Cartera_Polizas!$P$44-1)*MAX(0,1-40/Supuestos!$C$20))*(1-Supuestos!$C$18)^40))</f>
        <v>1.42119327330146E-010</v>
      </c>
      <c r="AR42" s="29" t="n">
        <f aca="false">AQ42*(1-MIN(1,INDEX(Tabla_Mortalidad!$B$5:$B$75,MIN(71,Cartera_Polizas!$B$44+41-49))*(1+(Cartera_Polizas!$P$44-1)*MAX(0,1-41/Supuestos!$C$20))*(1-Supuestos!$C$18)^41))</f>
        <v>2.64017177153822E-011</v>
      </c>
      <c r="AS42" s="29" t="n">
        <f aca="false">AR42*(1-MIN(1,INDEX(Tabla_Mortalidad!$B$5:$B$75,MIN(71,Cartera_Polizas!$B$44+42-49))*(1+(Cartera_Polizas!$P$44-1)*MAX(0,1-42/Supuestos!$C$20))*(1-Supuestos!$C$18)^42))</f>
        <v>5.01217132126383E-012</v>
      </c>
      <c r="AT42" s="29" t="n">
        <f aca="false">AS42*(1-MIN(1,INDEX(Tabla_Mortalidad!$B$5:$B$75,MIN(71,Cartera_Polizas!$B$44+43-49))*(1+(Cartera_Polizas!$P$44-1)*MAX(0,1-43/Supuestos!$C$20))*(1-Supuestos!$C$18)^43))</f>
        <v>9.71826984340796E-013</v>
      </c>
      <c r="AU42" s="29" t="n">
        <f aca="false">AT42*(1-MIN(1,INDEX(Tabla_Mortalidad!$B$5:$B$75,MIN(71,Cartera_Polizas!$B$44+44-49))*(1+(Cartera_Polizas!$P$44-1)*MAX(0,1-44/Supuestos!$C$20))*(1-Supuestos!$C$18)^44))</f>
        <v>1.92347827710143E-013</v>
      </c>
    </row>
    <row r="43" customFormat="false" ht="15" hidden="false" customHeight="false" outlineLevel="0" collapsed="false">
      <c r="A43" s="14" t="n">
        <f aca="false">Cartera_Polizas!A45</f>
        <v>40</v>
      </c>
      <c r="B43" s="26" t="n">
        <f aca="false">SUM(C43:AU43)+0.5</f>
        <v>9.62191016629205</v>
      </c>
      <c r="C43" s="29" t="n">
        <f aca="false">1-MIN(1,INDEX(Tabla_Mortalidad!$B$5:$B$75,MIN(71,Cartera_Polizas!$B$45+0-49))*(1+(Cartera_Polizas!$P$45-1)*MAX(0,1-0/Supuestos!$C$20))*(1-Supuestos!$C$18)^0)</f>
        <v>0.9557062025</v>
      </c>
      <c r="D43" s="29" t="n">
        <f aca="false">C43*(1-MIN(1,INDEX(Tabla_Mortalidad!$B$5:$B$75,MIN(71,Cartera_Polizas!$B$45+1-49))*(1+(Cartera_Polizas!$P$45-1)*MAX(0,1-1/Supuestos!$C$20))*(1-Supuestos!$C$18)^1))</f>
        <v>0.908486127854241</v>
      </c>
      <c r="E43" s="29" t="n">
        <f aca="false">D43*(1-MIN(1,INDEX(Tabla_Mortalidad!$B$5:$B$75,MIN(71,Cartera_Polizas!$B$45+2-49))*(1+(Cartera_Polizas!$P$45-1)*MAX(0,1-2/Supuestos!$C$20))*(1-Supuestos!$C$18)^2))</f>
        <v>0.858436028765734</v>
      </c>
      <c r="F43" s="29" t="n">
        <f aca="false">E43*(1-MIN(1,INDEX(Tabla_Mortalidad!$B$5:$B$75,MIN(71,Cartera_Polizas!$B$45+3-49))*(1+(Cartera_Polizas!$P$45-1)*MAX(0,1-3/Supuestos!$C$20))*(1-Supuestos!$C$18)^3))</f>
        <v>0.805725989328203</v>
      </c>
      <c r="G43" s="29" t="n">
        <f aca="false">F43*(1-MIN(1,INDEX(Tabla_Mortalidad!$B$5:$B$75,MIN(71,Cartera_Polizas!$B$45+4-49))*(1+(Cartera_Polizas!$P$45-1)*MAX(0,1-4/Supuestos!$C$20))*(1-Supuestos!$C$18)^4))</f>
        <v>0.750610043420358</v>
      </c>
      <c r="H43" s="29" t="n">
        <f aca="false">G43*(1-MIN(1,INDEX(Tabla_Mortalidad!$B$5:$B$75,MIN(71,Cartera_Polizas!$B$45+5-49))*(1+(Cartera_Polizas!$P$45-1)*MAX(0,1-5/Supuestos!$C$20))*(1-Supuestos!$C$18)^5))</f>
        <v>0.693438664405332</v>
      </c>
      <c r="I43" s="29" t="n">
        <f aca="false">H43*(1-MIN(1,INDEX(Tabla_Mortalidad!$B$5:$B$75,MIN(71,Cartera_Polizas!$B$45+6-49))*(1+(Cartera_Polizas!$P$45-1)*MAX(0,1-6/Supuestos!$C$20))*(1-Supuestos!$C$18)^6))</f>
        <v>0.634661061803003</v>
      </c>
      <c r="J43" s="29" t="n">
        <f aca="false">I43*(1-MIN(1,INDEX(Tabla_Mortalidad!$B$5:$B$75,MIN(71,Cartera_Polizas!$B$45+7-49))*(1+(Cartera_Polizas!$P$45-1)*MAX(0,1-7/Supuestos!$C$20))*(1-Supuestos!$C$18)^7))</f>
        <v>0.574832159951839</v>
      </c>
      <c r="K43" s="29" t="n">
        <f aca="false">J43*(1-MIN(1,INDEX(Tabla_Mortalidad!$B$5:$B$75,MIN(71,Cartera_Polizas!$B$45+8-49))*(1+(Cartera_Polizas!$P$45-1)*MAX(0,1-8/Supuestos!$C$20))*(1-Supuestos!$C$18)^8))</f>
        <v>0.514606626996139</v>
      </c>
      <c r="L43" s="29" t="n">
        <f aca="false">K43*(1-MIN(1,INDEX(Tabla_Mortalidad!$B$5:$B$75,MIN(71,Cartera_Polizas!$B$45+9-49))*(1+(Cartera_Polizas!$P$45-1)*MAX(0,1-9/Supuestos!$C$20))*(1-Supuestos!$C$18)^9))</f>
        <v>0.454729674573308</v>
      </c>
      <c r="M43" s="29" t="n">
        <f aca="false">L43*(1-MIN(1,INDEX(Tabla_Mortalidad!$B$5:$B$75,MIN(71,Cartera_Polizas!$B$45+10-49))*(1+(Cartera_Polizas!$P$45-1)*MAX(0,1-10/Supuestos!$C$20))*(1-Supuestos!$C$18)^10))</f>
        <v>0.396018103495715</v>
      </c>
      <c r="N43" s="29" t="n">
        <f aca="false">M43*(1-MIN(1,INDEX(Tabla_Mortalidad!$B$5:$B$75,MIN(71,Cartera_Polizas!$B$45+11-49))*(1+(Cartera_Polizas!$P$45-1)*MAX(0,1-11/Supuestos!$C$20))*(1-Supuestos!$C$18)^11))</f>
        <v>0.339332317701113</v>
      </c>
      <c r="O43" s="29" t="n">
        <f aca="false">N43*(1-MIN(1,INDEX(Tabla_Mortalidad!$B$5:$B$75,MIN(71,Cartera_Polizas!$B$45+12-49))*(1+(Cartera_Polizas!$P$45-1)*MAX(0,1-12/Supuestos!$C$20))*(1-Supuestos!$C$18)^12))</f>
        <v>0.285538454743366</v>
      </c>
      <c r="P43" s="29" t="n">
        <f aca="false">O43*(1-MIN(1,INDEX(Tabla_Mortalidad!$B$5:$B$75,MIN(71,Cartera_Polizas!$B$45+13-49))*(1+(Cartera_Polizas!$P$45-1)*MAX(0,1-13/Supuestos!$C$20))*(1-Supuestos!$C$18)^13))</f>
        <v>0.235461347408835</v>
      </c>
      <c r="Q43" s="29" t="n">
        <f aca="false">P43*(1-MIN(1,INDEX(Tabla_Mortalidad!$B$5:$B$75,MIN(71,Cartera_Polizas!$B$45+14-49))*(1+(Cartera_Polizas!$P$45-1)*MAX(0,1-14/Supuestos!$C$20))*(1-Supuestos!$C$18)^14))</f>
        <v>0.189833670801633</v>
      </c>
      <c r="R43" s="29" t="n">
        <f aca="false">Q43*(1-MIN(1,INDEX(Tabla_Mortalidad!$B$5:$B$75,MIN(71,Cartera_Polizas!$B$45+15-49))*(1+(Cartera_Polizas!$P$45-1)*MAX(0,1-15/Supuestos!$C$20))*(1-Supuestos!$C$18)^15))</f>
        <v>0.149243004175206</v>
      </c>
      <c r="S43" s="29" t="n">
        <f aca="false">R43*(1-MIN(1,INDEX(Tabla_Mortalidad!$B$5:$B$75,MIN(71,Cartera_Polizas!$B$45+16-49))*(1+(Cartera_Polizas!$P$45-1)*MAX(0,1-16/Supuestos!$C$20))*(1-Supuestos!$C$18)^16))</f>
        <v>0.114310367977959</v>
      </c>
      <c r="T43" s="29" t="n">
        <f aca="false">S43*(1-MIN(1,INDEX(Tabla_Mortalidad!$B$5:$B$75,MIN(71,Cartera_Polizas!$B$45+17-49))*(1+(Cartera_Polizas!$P$45-1)*MAX(0,1-17/Supuestos!$C$20))*(1-Supuestos!$C$18)^17))</f>
        <v>0.0850679083714667</v>
      </c>
      <c r="U43" s="29" t="n">
        <f aca="false">T43*(1-MIN(1,INDEX(Tabla_Mortalidad!$B$5:$B$75,MIN(71,Cartera_Polizas!$B$45+18-49))*(1+(Cartera_Polizas!$P$45-1)*MAX(0,1-18/Supuestos!$C$20))*(1-Supuestos!$C$18)^18))</f>
        <v>0.0613258431411857</v>
      </c>
      <c r="V43" s="29" t="n">
        <f aca="false">U43*(1-MIN(1,INDEX(Tabla_Mortalidad!$B$5:$B$75,MIN(71,Cartera_Polizas!$B$45+19-49))*(1+(Cartera_Polizas!$P$45-1)*MAX(0,1-19/Supuestos!$C$20))*(1-Supuestos!$C$18)^19))</f>
        <v>0.042688694739723</v>
      </c>
      <c r="W43" s="29" t="n">
        <f aca="false">V43*(1-MIN(1,INDEX(Tabla_Mortalidad!$B$5:$B$75,MIN(71,Cartera_Polizas!$B$45+20-49))*(1+(Cartera_Polizas!$P$45-1)*MAX(0,1-20/Supuestos!$C$20))*(1-Supuestos!$C$18)^20))</f>
        <v>0.0285923851696812</v>
      </c>
      <c r="X43" s="29" t="n">
        <f aca="false">W43*(1-MIN(1,INDEX(Tabla_Mortalidad!$B$5:$B$75,MIN(71,Cartera_Polizas!$B$45+21-49))*(1+(Cartera_Polizas!$P$45-1)*MAX(0,1-21/Supuestos!$C$20))*(1-Supuestos!$C$18)^21))</f>
        <v>0.018357447265033</v>
      </c>
      <c r="Y43" s="29" t="n">
        <f aca="false">X43*(1-MIN(1,INDEX(Tabla_Mortalidad!$B$5:$B$75,MIN(71,Cartera_Polizas!$B$45+22-49))*(1+(Cartera_Polizas!$P$45-1)*MAX(0,1-22/Supuestos!$C$20))*(1-Supuestos!$C$18)^22))</f>
        <v>0.0112521752114498</v>
      </c>
      <c r="Z43" s="29" t="n">
        <f aca="false">Y43*(1-MIN(1,INDEX(Tabla_Mortalidad!$B$5:$B$75,MIN(71,Cartera_Polizas!$B$45+23-49))*(1+(Cartera_Polizas!$P$45-1)*MAX(0,1-23/Supuestos!$C$20))*(1-Supuestos!$C$18)^23))</f>
        <v>0.00655616973349872</v>
      </c>
      <c r="AA43" s="29" t="n">
        <f aca="false">Z43*(1-MIN(1,INDEX(Tabla_Mortalidad!$B$5:$B$75,MIN(71,Cartera_Polizas!$B$45+24-49))*(1+(Cartera_Polizas!$P$45-1)*MAX(0,1-24/Supuestos!$C$20))*(1-Supuestos!$C$18)^24))</f>
        <v>0.00361479503847084</v>
      </c>
      <c r="AB43" s="29" t="n">
        <f aca="false">AA43*(1-MIN(1,INDEX(Tabla_Mortalidad!$B$5:$B$75,MIN(71,Cartera_Polizas!$B$45+25-49))*(1+(Cartera_Polizas!$P$45-1)*MAX(0,1-25/Supuestos!$C$20))*(1-Supuestos!$C$18)^25))</f>
        <v>0.00187712568100401</v>
      </c>
      <c r="AC43" s="29" t="n">
        <f aca="false">AB43*(1-MIN(1,INDEX(Tabla_Mortalidad!$B$5:$B$75,MIN(71,Cartera_Polizas!$B$45+26-49))*(1+(Cartera_Polizas!$P$45-1)*MAX(0,1-26/Supuestos!$C$20))*(1-Supuestos!$C$18)^26))</f>
        <v>0.000913688120924316</v>
      </c>
      <c r="AD43" s="29" t="n">
        <f aca="false">AC43*(1-MIN(1,INDEX(Tabla_Mortalidad!$B$5:$B$75,MIN(71,Cartera_Polizas!$B$45+27-49))*(1+(Cartera_Polizas!$P$45-1)*MAX(0,1-27/Supuestos!$C$20))*(1-Supuestos!$C$18)^27))</f>
        <v>0.000414888412769071</v>
      </c>
      <c r="AE43" s="29" t="n">
        <f aca="false">AD43*(1-MIN(1,INDEX(Tabla_Mortalidad!$B$5:$B$75,MIN(71,Cartera_Polizas!$B$45+28-49))*(1+(Cartera_Polizas!$P$45-1)*MAX(0,1-28/Supuestos!$C$20))*(1-Supuestos!$C$18)^28))</f>
        <v>0.000174951946034815</v>
      </c>
      <c r="AF43" s="29" t="n">
        <f aca="false">AE43*(1-MIN(1,INDEX(Tabla_Mortalidad!$B$5:$B$75,MIN(71,Cartera_Polizas!$B$45+29-49))*(1+(Cartera_Polizas!$P$45-1)*MAX(0,1-29/Supuestos!$C$20))*(1-Supuestos!$C$18)^29))</f>
        <v>6.82298473487509E-005</v>
      </c>
      <c r="AG43" s="29" t="n">
        <f aca="false">AF43*(1-MIN(1,INDEX(Tabla_Mortalidad!$B$5:$B$75,MIN(71,Cartera_Polizas!$B$45+30-49))*(1+(Cartera_Polizas!$P$45-1)*MAX(0,1-30/Supuestos!$C$20))*(1-Supuestos!$C$18)^30))</f>
        <v>2.45262747405051E-005</v>
      </c>
      <c r="AH43" s="29" t="n">
        <f aca="false">AG43*(1-MIN(1,INDEX(Tabla_Mortalidad!$B$5:$B$75,MIN(71,Cartera_Polizas!$B$45+31-49))*(1+(Cartera_Polizas!$P$45-1)*MAX(0,1-31/Supuestos!$C$20))*(1-Supuestos!$C$18)^31))</f>
        <v>8.10780258711215E-006</v>
      </c>
      <c r="AI43" s="29" t="n">
        <f aca="false">AH43*(1-MIN(1,INDEX(Tabla_Mortalidad!$B$5:$B$75,MIN(71,Cartera_Polizas!$B$45+32-49))*(1+(Cartera_Polizas!$P$45-1)*MAX(0,1-32/Supuestos!$C$20))*(1-Supuestos!$C$18)^32))</f>
        <v>2.46297933717221E-006</v>
      </c>
      <c r="AJ43" s="29" t="n">
        <f aca="false">AI43*(1-MIN(1,INDEX(Tabla_Mortalidad!$B$5:$B$75,MIN(71,Cartera_Polizas!$B$45+33-49))*(1+(Cartera_Polizas!$P$45-1)*MAX(0,1-33/Supuestos!$C$20))*(1-Supuestos!$C$18)^33))</f>
        <v>6.88380828398221E-007</v>
      </c>
      <c r="AK43" s="29" t="n">
        <f aca="false">AJ43*(1-MIN(1,INDEX(Tabla_Mortalidad!$B$5:$B$75,MIN(71,Cartera_Polizas!$B$45+34-49))*(1+(Cartera_Polizas!$P$45-1)*MAX(0,1-34/Supuestos!$C$20))*(1-Supuestos!$C$18)^34))</f>
        <v>1.77645975906713E-007</v>
      </c>
      <c r="AL43" s="29" t="n">
        <f aca="false">AK43*(1-MIN(1,INDEX(Tabla_Mortalidad!$B$5:$B$75,MIN(71,Cartera_Polizas!$B$45+35-49))*(1+(Cartera_Polizas!$P$45-1)*MAX(0,1-35/Supuestos!$C$20))*(1-Supuestos!$C$18)^35))</f>
        <v>4.25907075109713E-008</v>
      </c>
      <c r="AM43" s="29" t="n">
        <f aca="false">AL43*(1-MIN(1,INDEX(Tabla_Mortalidad!$B$5:$B$75,MIN(71,Cartera_Polizas!$B$45+36-49))*(1+(Cartera_Polizas!$P$45-1)*MAX(0,1-36/Supuestos!$C$20))*(1-Supuestos!$C$18)^36))</f>
        <v>9.56980501480122E-009</v>
      </c>
      <c r="AN43" s="29" t="n">
        <f aca="false">AM43*(1-MIN(1,INDEX(Tabla_Mortalidad!$B$5:$B$75,MIN(71,Cartera_Polizas!$B$45+37-49))*(1+(Cartera_Polizas!$P$45-1)*MAX(0,1-37/Supuestos!$C$20))*(1-Supuestos!$C$18)^37))</f>
        <v>2.03738615848731E-009</v>
      </c>
      <c r="AO43" s="29" t="n">
        <f aca="false">AN43*(1-MIN(1,INDEX(Tabla_Mortalidad!$B$5:$B$75,MIN(71,Cartera_Polizas!$B$45+38-49))*(1+(Cartera_Polizas!$P$45-1)*MAX(0,1-38/Supuestos!$C$20))*(1-Supuestos!$C$18)^38))</f>
        <v>3.53353848411042E-010</v>
      </c>
      <c r="AP43" s="29" t="n">
        <f aca="false">AO43*(1-MIN(1,INDEX(Tabla_Mortalidad!$B$5:$B$75,MIN(71,Cartera_Polizas!$B$45+39-49))*(1+(Cartera_Polizas!$P$45-1)*MAX(0,1-39/Supuestos!$C$20))*(1-Supuestos!$C$18)^39))</f>
        <v>6.27442363552112E-011</v>
      </c>
      <c r="AQ43" s="29" t="n">
        <f aca="false">AP43*(1-MIN(1,INDEX(Tabla_Mortalidad!$B$5:$B$75,MIN(71,Cartera_Polizas!$B$45+40-49))*(1+(Cartera_Polizas!$P$45-1)*MAX(0,1-40/Supuestos!$C$20))*(1-Supuestos!$C$18)^40))</f>
        <v>1.13993652675395E-011</v>
      </c>
      <c r="AR43" s="29" t="n">
        <f aca="false">AQ43*(1-MIN(1,INDEX(Tabla_Mortalidad!$B$5:$B$75,MIN(71,Cartera_Polizas!$B$45+41-49))*(1+(Cartera_Polizas!$P$45-1)*MAX(0,1-41/Supuestos!$C$20))*(1-Supuestos!$C$18)^41))</f>
        <v>2.11767695205148E-012</v>
      </c>
      <c r="AS43" s="29" t="n">
        <f aca="false">AR43*(1-MIN(1,INDEX(Tabla_Mortalidad!$B$5:$B$75,MIN(71,Cartera_Polizas!$B$45+42-49))*(1+(Cartera_Polizas!$P$45-1)*MAX(0,1-42/Supuestos!$C$20))*(1-Supuestos!$C$18)^42))</f>
        <v>4.0202534551719E-013</v>
      </c>
      <c r="AT43" s="29" t="n">
        <f aca="false">AS43*(1-MIN(1,INDEX(Tabla_Mortalidad!$B$5:$B$75,MIN(71,Cartera_Polizas!$B$45+43-49))*(1+(Cartera_Polizas!$P$45-1)*MAX(0,1-43/Supuestos!$C$20))*(1-Supuestos!$C$18)^43))</f>
        <v>7.79500647763215E-014</v>
      </c>
      <c r="AU43" s="29" t="n">
        <f aca="false">AT43*(1-MIN(1,INDEX(Tabla_Mortalidad!$B$5:$B$75,MIN(71,Cartera_Polizas!$B$45+44-49))*(1+(Cartera_Polizas!$P$45-1)*MAX(0,1-44/Supuestos!$C$20))*(1-Supuestos!$C$18)^44))</f>
        <v>1.54281841018859E-014</v>
      </c>
    </row>
    <row r="44" customFormat="false" ht="15" hidden="false" customHeight="false" outlineLevel="0" collapsed="false">
      <c r="A44" s="14" t="n">
        <f aca="false">Cartera_Polizas!A46</f>
        <v>41</v>
      </c>
      <c r="B44" s="26" t="n">
        <f aca="false">SUM(C44:AU44)+0.5</f>
        <v>7.79078858307723</v>
      </c>
      <c r="C44" s="29" t="n">
        <f aca="false">1-MIN(1,INDEX(Tabla_Mortalidad!$B$5:$B$75,MIN(71,Cartera_Polizas!$B$46+0-49))*(1+(Cartera_Polizas!$P$46-1)*MAX(0,1-0/Supuestos!$C$20))*(1-Supuestos!$C$18)^0)</f>
        <v>0.931429178125</v>
      </c>
      <c r="D44" s="29" t="n">
        <f aca="false">C44*(1-MIN(1,INDEX(Tabla_Mortalidad!$B$5:$B$75,MIN(71,Cartera_Polizas!$B$46+1-49))*(1+(Cartera_Polizas!$P$46-1)*MAX(0,1-1/Supuestos!$C$20))*(1-Supuestos!$C$18)^1))</f>
        <v>0.861281292508252</v>
      </c>
      <c r="E44" s="29" t="n">
        <f aca="false">D44*(1-MIN(1,INDEX(Tabla_Mortalidad!$B$5:$B$75,MIN(71,Cartera_Polizas!$B$46+2-49))*(1+(Cartera_Polizas!$P$46-1)*MAX(0,1-2/Supuestos!$C$20))*(1-Supuestos!$C$18)^2))</f>
        <v>0.790071915902383</v>
      </c>
      <c r="F44" s="29" t="n">
        <f aca="false">E44*(1-MIN(1,INDEX(Tabla_Mortalidad!$B$5:$B$75,MIN(71,Cartera_Polizas!$B$46+3-49))*(1+(Cartera_Polizas!$P$46-1)*MAX(0,1-3/Supuestos!$C$20))*(1-Supuestos!$C$18)^3))</f>
        <v>0.718399548966179</v>
      </c>
      <c r="G44" s="29" t="n">
        <f aca="false">F44*(1-MIN(1,INDEX(Tabla_Mortalidad!$B$5:$B$75,MIN(71,Cartera_Polizas!$B$46+4-49))*(1+(Cartera_Polizas!$P$46-1)*MAX(0,1-4/Supuestos!$C$20))*(1-Supuestos!$C$18)^4))</f>
        <v>0.646932777828382</v>
      </c>
      <c r="H44" s="29" t="n">
        <f aca="false">G44*(1-MIN(1,INDEX(Tabla_Mortalidad!$B$5:$B$75,MIN(71,Cartera_Polizas!$B$46+5-49))*(1+(Cartera_Polizas!$P$46-1)*MAX(0,1-5/Supuestos!$C$20))*(1-Supuestos!$C$18)^5))</f>
        <v>0.576403356514097</v>
      </c>
      <c r="I44" s="29" t="n">
        <f aca="false">H44*(1-MIN(1,INDEX(Tabla_Mortalidad!$B$5:$B$75,MIN(71,Cartera_Polizas!$B$46+6-49))*(1+(Cartera_Polizas!$P$46-1)*MAX(0,1-6/Supuestos!$C$20))*(1-Supuestos!$C$18)^6))</f>
        <v>0.507584207801221</v>
      </c>
      <c r="J44" s="29" t="n">
        <f aca="false">I44*(1-MIN(1,INDEX(Tabla_Mortalidad!$B$5:$B$75,MIN(71,Cartera_Polizas!$B$46+7-49))*(1+(Cartera_Polizas!$P$46-1)*MAX(0,1-7/Supuestos!$C$20))*(1-Supuestos!$C$18)^7))</f>
        <v>0.441266478944902</v>
      </c>
      <c r="K44" s="29" t="n">
        <f aca="false">J44*(1-MIN(1,INDEX(Tabla_Mortalidad!$B$5:$B$75,MIN(71,Cartera_Polizas!$B$46+8-49))*(1+(Cartera_Polizas!$P$46-1)*MAX(0,1-8/Supuestos!$C$20))*(1-Supuestos!$C$18)^8))</f>
        <v>0.378229599170317</v>
      </c>
      <c r="L44" s="29" t="n">
        <f aca="false">K44*(1-MIN(1,INDEX(Tabla_Mortalidad!$B$5:$B$75,MIN(71,Cartera_Polizas!$B$46+9-49))*(1+(Cartera_Polizas!$P$46-1)*MAX(0,1-9/Supuestos!$C$20))*(1-Supuestos!$C$18)^9))</f>
        <v>0.319207379979109</v>
      </c>
      <c r="M44" s="29" t="n">
        <f aca="false">L44*(1-MIN(1,INDEX(Tabla_Mortalidad!$B$5:$B$75,MIN(71,Cartera_Polizas!$B$46+10-49))*(1+(Cartera_Polizas!$P$46-1)*MAX(0,1-10/Supuestos!$C$20))*(1-Supuestos!$C$18)^10))</f>
        <v>0.264851126236026</v>
      </c>
      <c r="N44" s="29" t="n">
        <f aca="false">M44*(1-MIN(1,INDEX(Tabla_Mortalidad!$B$5:$B$75,MIN(71,Cartera_Polizas!$B$46+11-49))*(1+(Cartera_Polizas!$P$46-1)*MAX(0,1-11/Supuestos!$C$20))*(1-Supuestos!$C$18)^11))</f>
        <v>0.215692054375597</v>
      </c>
      <c r="O44" s="29" t="n">
        <f aca="false">N44*(1-MIN(1,INDEX(Tabla_Mortalidad!$B$5:$B$75,MIN(71,Cartera_Polizas!$B$46+12-49))*(1+(Cartera_Polizas!$P$46-1)*MAX(0,1-12/Supuestos!$C$20))*(1-Supuestos!$C$18)^12))</f>
        <v>0.172109022161188</v>
      </c>
      <c r="P44" s="29" t="n">
        <f aca="false">O44*(1-MIN(1,INDEX(Tabla_Mortalidad!$B$5:$B$75,MIN(71,Cartera_Polizas!$B$46+13-49))*(1+(Cartera_Polizas!$P$46-1)*MAX(0,1-13/Supuestos!$C$20))*(1-Supuestos!$C$18)^13))</f>
        <v>0.134302480567029</v>
      </c>
      <c r="Q44" s="29" t="n">
        <f aca="false">P44*(1-MIN(1,INDEX(Tabla_Mortalidad!$B$5:$B$75,MIN(71,Cartera_Polizas!$B$46+14-49))*(1+(Cartera_Polizas!$P$46-1)*MAX(0,1-14/Supuestos!$C$20))*(1-Supuestos!$C$18)^14))</f>
        <v>0.102278958439691</v>
      </c>
      <c r="R44" s="29" t="n">
        <f aca="false">Q44*(1-MIN(1,INDEX(Tabla_Mortalidad!$B$5:$B$75,MIN(71,Cartera_Polizas!$B$46+15-49))*(1+(Cartera_Polizas!$P$46-1)*MAX(0,1-15/Supuestos!$C$20))*(1-Supuestos!$C$18)^15))</f>
        <v>0.0758507081524789</v>
      </c>
      <c r="S44" s="29" t="n">
        <f aca="false">R44*(1-MIN(1,INDEX(Tabla_Mortalidad!$B$5:$B$75,MIN(71,Cartera_Polizas!$B$46+16-49))*(1+(Cartera_Polizas!$P$46-1)*MAX(0,1-16/Supuestos!$C$20))*(1-Supuestos!$C$18)^16))</f>
        <v>0.0544678272262695</v>
      </c>
      <c r="T44" s="29" t="n">
        <f aca="false">S44*(1-MIN(1,INDEX(Tabla_Mortalidad!$B$5:$B$75,MIN(71,Cartera_Polizas!$B$46+17-49))*(1+(Cartera_Polizas!$P$46-1)*MAX(0,1-17/Supuestos!$C$20))*(1-Supuestos!$C$18)^17))</f>
        <v>0.037748075462251</v>
      </c>
      <c r="U44" s="29" t="n">
        <f aca="false">T44*(1-MIN(1,INDEX(Tabla_Mortalidad!$B$5:$B$75,MIN(71,Cartera_Polizas!$B$46+18-49))*(1+(Cartera_Polizas!$P$46-1)*MAX(0,1-18/Supuestos!$C$20))*(1-Supuestos!$C$18)^18))</f>
        <v>0.0251576268174975</v>
      </c>
      <c r="V44" s="29" t="n">
        <f aca="false">U44*(1-MIN(1,INDEX(Tabla_Mortalidad!$B$5:$B$75,MIN(71,Cartera_Polizas!$B$46+19-49))*(1+(Cartera_Polizas!$P$46-1)*MAX(0,1-19/Supuestos!$C$20))*(1-Supuestos!$C$18)^19))</f>
        <v>0.0160614616915732</v>
      </c>
      <c r="W44" s="29" t="n">
        <f aca="false">V44*(1-MIN(1,INDEX(Tabla_Mortalidad!$B$5:$B$75,MIN(71,Cartera_Polizas!$B$46+20-49))*(1+(Cartera_Polizas!$P$46-1)*MAX(0,1-20/Supuestos!$C$20))*(1-Supuestos!$C$18)^20))</f>
        <v>0.00978221816277421</v>
      </c>
      <c r="X44" s="29" t="n">
        <f aca="false">W44*(1-MIN(1,INDEX(Tabla_Mortalidad!$B$5:$B$75,MIN(71,Cartera_Polizas!$B$46+21-49))*(1+(Cartera_Polizas!$P$46-1)*MAX(0,1-21/Supuestos!$C$20))*(1-Supuestos!$C$18)^21))</f>
        <v>0.00565855397144296</v>
      </c>
      <c r="Y44" s="29" t="n">
        <f aca="false">X44*(1-MIN(1,INDEX(Tabla_Mortalidad!$B$5:$B$75,MIN(71,Cartera_Polizas!$B$46+22-49))*(1+(Cartera_Polizas!$P$46-1)*MAX(0,1-22/Supuestos!$C$20))*(1-Supuestos!$C$18)^22))</f>
        <v>0.00309430928454552</v>
      </c>
      <c r="Z44" s="29" t="n">
        <f aca="false">Y44*(1-MIN(1,INDEX(Tabla_Mortalidad!$B$5:$B$75,MIN(71,Cartera_Polizas!$B$46+23-49))*(1+(Cartera_Polizas!$P$46-1)*MAX(0,1-23/Supuestos!$C$20))*(1-Supuestos!$C$18)^23))</f>
        <v>0.00159185583847973</v>
      </c>
      <c r="AA44" s="29" t="n">
        <f aca="false">Z44*(1-MIN(1,INDEX(Tabla_Mortalidad!$B$5:$B$75,MIN(71,Cartera_Polizas!$B$46+24-49))*(1+(Cartera_Polizas!$P$46-1)*MAX(0,1-24/Supuestos!$C$20))*(1-Supuestos!$C$18)^24))</f>
        <v>0.000766601539619188</v>
      </c>
      <c r="AB44" s="29" t="n">
        <f aca="false">AA44*(1-MIN(1,INDEX(Tabla_Mortalidad!$B$5:$B$75,MIN(71,Cartera_Polizas!$B$46+25-49))*(1+(Cartera_Polizas!$P$46-1)*MAX(0,1-25/Supuestos!$C$20))*(1-Supuestos!$C$18)^25))</f>
        <v>0.00034388256957906</v>
      </c>
      <c r="AC44" s="29" t="n">
        <f aca="false">AB44*(1-MIN(1,INDEX(Tabla_Mortalidad!$B$5:$B$75,MIN(71,Cartera_Polizas!$B$46+26-49))*(1+(Cartera_Polizas!$P$46-1)*MAX(0,1-26/Supuestos!$C$20))*(1-Supuestos!$C$18)^26))</f>
        <v>0.000143006151726711</v>
      </c>
      <c r="AD44" s="29" t="n">
        <f aca="false">AC44*(1-MIN(1,INDEX(Tabla_Mortalidad!$B$5:$B$75,MIN(71,Cartera_Polizas!$B$46+27-49))*(1+(Cartera_Polizas!$P$46-1)*MAX(0,1-27/Supuestos!$C$20))*(1-Supuestos!$C$18)^27))</f>
        <v>5.48923097504409E-005</v>
      </c>
      <c r="AE44" s="29" t="n">
        <f aca="false">AD44*(1-MIN(1,INDEX(Tabla_Mortalidad!$B$5:$B$75,MIN(71,Cartera_Polizas!$B$46+28-49))*(1+(Cartera_Polizas!$P$46-1)*MAX(0,1-28/Supuestos!$C$20))*(1-Supuestos!$C$18)^28))</f>
        <v>1.93776314870478E-005</v>
      </c>
      <c r="AF44" s="29" t="n">
        <f aca="false">AE44*(1-MIN(1,INDEX(Tabla_Mortalidad!$B$5:$B$75,MIN(71,Cartera_Polizas!$B$46+29-49))*(1+(Cartera_Polizas!$P$46-1)*MAX(0,1-29/Supuestos!$C$20))*(1-Supuestos!$C$18)^29))</f>
        <v>6.27508579647582E-006</v>
      </c>
      <c r="AG44" s="29" t="n">
        <f aca="false">AF44*(1-MIN(1,INDEX(Tabla_Mortalidad!$B$5:$B$75,MIN(71,Cartera_Polizas!$B$46+30-49))*(1+(Cartera_Polizas!$P$46-1)*MAX(0,1-30/Supuestos!$C$20))*(1-Supuestos!$C$18)^30))</f>
        <v>1.8622203165391E-006</v>
      </c>
      <c r="AH44" s="29" t="n">
        <f aca="false">AG44*(1-MIN(1,INDEX(Tabla_Mortalidad!$B$5:$B$75,MIN(71,Cartera_Polizas!$B$46+31-49))*(1+(Cartera_Polizas!$P$46-1)*MAX(0,1-31/Supuestos!$C$20))*(1-Supuestos!$C$18)^31))</f>
        <v>5.06955253991051E-007</v>
      </c>
      <c r="AI44" s="29" t="n">
        <f aca="false">AH44*(1-MIN(1,INDEX(Tabla_Mortalidad!$B$5:$B$75,MIN(71,Cartera_Polizas!$B$46+32-49))*(1+(Cartera_Polizas!$P$46-1)*MAX(0,1-32/Supuestos!$C$20))*(1-Supuestos!$C$18)^32))</f>
        <v>1.27036969664686E-007</v>
      </c>
      <c r="AJ44" s="29" t="n">
        <f aca="false">AI44*(1-MIN(1,INDEX(Tabla_Mortalidad!$B$5:$B$75,MIN(71,Cartera_Polizas!$B$46+33-49))*(1+(Cartera_Polizas!$P$46-1)*MAX(0,1-33/Supuestos!$C$20))*(1-Supuestos!$C$18)^33))</f>
        <v>2.94840840758979E-008</v>
      </c>
      <c r="AK44" s="29" t="n">
        <f aca="false">AJ44*(1-MIN(1,INDEX(Tabla_Mortalidad!$B$5:$B$75,MIN(71,Cartera_Polizas!$B$46+34-49))*(1+(Cartera_Polizas!$P$46-1)*MAX(0,1-34/Supuestos!$C$20))*(1-Supuestos!$C$18)^34))</f>
        <v>6.39452903512639E-009</v>
      </c>
      <c r="AL44" s="29" t="n">
        <f aca="false">AK44*(1-MIN(1,INDEX(Tabla_Mortalidad!$B$5:$B$75,MIN(71,Cartera_Polizas!$B$46+35-49))*(1+(Cartera_Polizas!$P$46-1)*MAX(0,1-35/Supuestos!$C$20))*(1-Supuestos!$C$18)^35))</f>
        <v>1.31066678068187E-009</v>
      </c>
      <c r="AM44" s="29" t="n">
        <f aca="false">AL44*(1-MIN(1,INDEX(Tabla_Mortalidad!$B$5:$B$75,MIN(71,Cartera_Polizas!$B$46+36-49))*(1+(Cartera_Polizas!$P$46-1)*MAX(0,1-36/Supuestos!$C$20))*(1-Supuestos!$C$18)^36))</f>
        <v>2.16400040858945E-010</v>
      </c>
      <c r="AN44" s="29" t="n">
        <f aca="false">AM44*(1-MIN(1,INDEX(Tabla_Mortalidad!$B$5:$B$75,MIN(71,Cartera_Polizas!$B$46+37-49))*(1+(Cartera_Polizas!$P$46-1)*MAX(0,1-37/Supuestos!$C$20))*(1-Supuestos!$C$18)^37))</f>
        <v>3.66324799159217E-011</v>
      </c>
      <c r="AO44" s="29" t="n">
        <f aca="false">AN44*(1-MIN(1,INDEX(Tabla_Mortalidad!$B$5:$B$75,MIN(71,Cartera_Polizas!$B$46+38-49))*(1+(Cartera_Polizas!$P$46-1)*MAX(0,1-38/Supuestos!$C$20))*(1-Supuestos!$C$18)^38))</f>
        <v>6.35335019883604E-012</v>
      </c>
      <c r="AP44" s="29" t="n">
        <f aca="false">AO44*(1-MIN(1,INDEX(Tabla_Mortalidad!$B$5:$B$75,MIN(71,Cartera_Polizas!$B$46+39-49))*(1+(Cartera_Polizas!$P$46-1)*MAX(0,1-39/Supuestos!$C$20))*(1-Supuestos!$C$18)^39))</f>
        <v>1.12814989369942E-012</v>
      </c>
      <c r="AQ44" s="29" t="n">
        <f aca="false">AP44*(1-MIN(1,INDEX(Tabla_Mortalidad!$B$5:$B$75,MIN(71,Cartera_Polizas!$B$46+40-49))*(1+(Cartera_Polizas!$P$46-1)*MAX(0,1-40/Supuestos!$C$20))*(1-Supuestos!$C$18)^40))</f>
        <v>2.04962136155593E-013</v>
      </c>
      <c r="AR44" s="29" t="n">
        <f aca="false">AQ44*(1-MIN(1,INDEX(Tabla_Mortalidad!$B$5:$B$75,MIN(71,Cartera_Polizas!$B$46+41-49))*(1+(Cartera_Polizas!$P$46-1)*MAX(0,1-41/Supuestos!$C$20))*(1-Supuestos!$C$18)^41))</f>
        <v>3.80761192920018E-014</v>
      </c>
      <c r="AS44" s="29" t="n">
        <f aca="false">AR44*(1-MIN(1,INDEX(Tabla_Mortalidad!$B$5:$B$75,MIN(71,Cartera_Polizas!$B$46+42-49))*(1+(Cartera_Polizas!$P$46-1)*MAX(0,1-42/Supuestos!$C$20))*(1-Supuestos!$C$18)^42))</f>
        <v>7.22847032900448E-015</v>
      </c>
      <c r="AT44" s="29" t="n">
        <f aca="false">AS44*(1-MIN(1,INDEX(Tabla_Mortalidad!$B$5:$B$75,MIN(71,Cartera_Polizas!$B$46+43-49))*(1+(Cartera_Polizas!$P$46-1)*MAX(0,1-43/Supuestos!$C$20))*(1-Supuestos!$C$18)^43))</f>
        <v>1.40155275447808E-015</v>
      </c>
      <c r="AU44" s="29" t="n">
        <f aca="false">AT44*(1-MIN(1,INDEX(Tabla_Mortalidad!$B$5:$B$75,MIN(71,Cartera_Polizas!$B$46+44-49))*(1+(Cartera_Polizas!$P$46-1)*MAX(0,1-44/Supuestos!$C$20))*(1-Supuestos!$C$18)^44))</f>
        <v>2.77400846126834E-016</v>
      </c>
    </row>
    <row r="45" customFormat="false" ht="15" hidden="false" customHeight="false" outlineLevel="0" collapsed="false">
      <c r="A45" s="14" t="n">
        <f aca="false">Cartera_Polizas!A47</f>
        <v>42</v>
      </c>
      <c r="B45" s="26" t="n">
        <f aca="false">SUM(C45:AU45)+0.5</f>
        <v>6.24304462428534</v>
      </c>
      <c r="C45" s="29" t="n">
        <f aca="false">1-MIN(1,INDEX(Tabla_Mortalidad!$B$5:$B$75,MIN(71,Cartera_Polizas!$B$47+0-49))*(1+(Cartera_Polizas!$P$47-1)*MAX(0,1-0/Supuestos!$C$20))*(1-Supuestos!$C$18)^0)</f>
        <v>0.891536106</v>
      </c>
      <c r="D45" s="29" t="n">
        <f aca="false">C45*(1-MIN(1,INDEX(Tabla_Mortalidad!$B$5:$B$75,MIN(71,Cartera_Polizas!$B$47+1-49))*(1+(Cartera_Polizas!$P$47-1)*MAX(0,1-1/Supuestos!$C$20))*(1-Supuestos!$C$18)^1))</f>
        <v>0.788021857021728</v>
      </c>
      <c r="E45" s="29" t="n">
        <f aca="false">D45*(1-MIN(1,INDEX(Tabla_Mortalidad!$B$5:$B$75,MIN(71,Cartera_Polizas!$B$47+2-49))*(1+(Cartera_Polizas!$P$47-1)*MAX(0,1-2/Supuestos!$C$20))*(1-Supuestos!$C$18)^2))</f>
        <v>0.690229971467098</v>
      </c>
      <c r="F45" s="29" t="n">
        <f aca="false">E45*(1-MIN(1,INDEX(Tabla_Mortalidad!$B$5:$B$75,MIN(71,Cartera_Polizas!$B$47+3-49))*(1+(Cartera_Polizas!$P$47-1)*MAX(0,1-3/Supuestos!$C$20))*(1-Supuestos!$C$18)^3))</f>
        <v>0.598830564323252</v>
      </c>
      <c r="G45" s="29" t="n">
        <f aca="false">F45*(1-MIN(1,INDEX(Tabla_Mortalidad!$B$5:$B$75,MIN(71,Cartera_Polizas!$B$47+4-49))*(1+(Cartera_Polizas!$P$47-1)*MAX(0,1-4/Supuestos!$C$20))*(1-Supuestos!$C$18)^4))</f>
        <v>0.5143720928239</v>
      </c>
      <c r="H45" s="29" t="n">
        <f aca="false">G45*(1-MIN(1,INDEX(Tabla_Mortalidad!$B$5:$B$75,MIN(71,Cartera_Polizas!$B$47+5-49))*(1+(Cartera_Polizas!$P$47-1)*MAX(0,1-5/Supuestos!$C$20))*(1-Supuestos!$C$18)^5))</f>
        <v>0.437253283368762</v>
      </c>
      <c r="I45" s="29" t="n">
        <f aca="false">H45*(1-MIN(1,INDEX(Tabla_Mortalidad!$B$5:$B$75,MIN(71,Cartera_Polizas!$B$47+6-49))*(1+(Cartera_Polizas!$P$47-1)*MAX(0,1-6/Supuestos!$C$20))*(1-Supuestos!$C$18)^6))</f>
        <v>0.367715170345388</v>
      </c>
      <c r="J45" s="29" t="n">
        <f aca="false">I45*(1-MIN(1,INDEX(Tabla_Mortalidad!$B$5:$B$75,MIN(71,Cartera_Polizas!$B$47+7-49))*(1+(Cartera_Polizas!$P$47-1)*MAX(0,1-7/Supuestos!$C$20))*(1-Supuestos!$C$18)^7))</f>
        <v>0.305829114007294</v>
      </c>
      <c r="K45" s="29" t="n">
        <f aca="false">J45*(1-MIN(1,INDEX(Tabla_Mortalidad!$B$5:$B$75,MIN(71,Cartera_Polizas!$B$47+8-49))*(1+(Cartera_Polizas!$P$47-1)*MAX(0,1-8/Supuestos!$C$20))*(1-Supuestos!$C$18)^8))</f>
        <v>0.251499104646614</v>
      </c>
      <c r="L45" s="29" t="n">
        <f aca="false">K45*(1-MIN(1,INDEX(Tabla_Mortalidad!$B$5:$B$75,MIN(71,Cartera_Polizas!$B$47+9-49))*(1+(Cartera_Polizas!$P$47-1)*MAX(0,1-9/Supuestos!$C$20))*(1-Supuestos!$C$18)^9))</f>
        <v>0.204470956999306</v>
      </c>
      <c r="M45" s="29" t="n">
        <f aca="false">L45*(1-MIN(1,INDEX(Tabla_Mortalidad!$B$5:$B$75,MIN(71,Cartera_Polizas!$B$47+10-49))*(1+(Cartera_Polizas!$P$47-1)*MAX(0,1-10/Supuestos!$C$20))*(1-Supuestos!$C$18)^10))</f>
        <v>0.164350092489637</v>
      </c>
      <c r="N45" s="29" t="n">
        <f aca="false">M45*(1-MIN(1,INDEX(Tabla_Mortalidad!$B$5:$B$75,MIN(71,Cartera_Polizas!$B$47+11-49))*(1+(Cartera_Polizas!$P$47-1)*MAX(0,1-11/Supuestos!$C$20))*(1-Supuestos!$C$18)^11))</f>
        <v>0.130625915791974</v>
      </c>
      <c r="O45" s="29" t="n">
        <f aca="false">N45*(1-MIN(1,INDEX(Tabla_Mortalidad!$B$5:$B$75,MIN(71,Cartera_Polizas!$B$47+12-49))*(1+(Cartera_Polizas!$P$47-1)*MAX(0,1-12/Supuestos!$C$20))*(1-Supuestos!$C$18)^12))</f>
        <v>0.102700851932484</v>
      </c>
      <c r="P45" s="29" t="n">
        <f aca="false">O45*(1-MIN(1,INDEX(Tabla_Mortalidad!$B$5:$B$75,MIN(71,Cartera_Polizas!$B$47+13-49))*(1+(Cartera_Polizas!$P$47-1)*MAX(0,1-13/Supuestos!$C$20))*(1-Supuestos!$C$18)^13))</f>
        <v>0.0799232500292819</v>
      </c>
      <c r="Q45" s="29" t="n">
        <f aca="false">P45*(1-MIN(1,INDEX(Tabla_Mortalidad!$B$5:$B$75,MIN(71,Cartera_Polizas!$B$47+14-49))*(1+(Cartera_Polizas!$P$47-1)*MAX(0,1-14/Supuestos!$C$20))*(1-Supuestos!$C$18)^14))</f>
        <v>0.0616195892244855</v>
      </c>
      <c r="R45" s="29" t="n">
        <f aca="false">Q45*(1-MIN(1,INDEX(Tabla_Mortalidad!$B$5:$B$75,MIN(71,Cartera_Polizas!$B$47+15-49))*(1+(Cartera_Polizas!$P$47-1)*MAX(0,1-15/Supuestos!$C$20))*(1-Supuestos!$C$18)^15))</f>
        <v>0.0471240926870776</v>
      </c>
      <c r="S45" s="29" t="n">
        <f aca="false">R45*(1-MIN(1,INDEX(Tabla_Mortalidad!$B$5:$B$75,MIN(71,Cartera_Polizas!$B$47+16-49))*(1+(Cartera_Polizas!$P$47-1)*MAX(0,1-16/Supuestos!$C$20))*(1-Supuestos!$C$18)^16))</f>
        <v>0.0350084014597164</v>
      </c>
      <c r="T45" s="29" t="n">
        <f aca="false">S45*(1-MIN(1,INDEX(Tabla_Mortalidad!$B$5:$B$75,MIN(71,Cartera_Polizas!$B$47+17-49))*(1+(Cartera_Polizas!$P$47-1)*MAX(0,1-17/Supuestos!$C$20))*(1-Supuestos!$C$18)^17))</f>
        <v>0.0251886173657619</v>
      </c>
      <c r="U45" s="29" t="n">
        <f aca="false">T45*(1-MIN(1,INDEX(Tabla_Mortalidad!$B$5:$B$75,MIN(71,Cartera_Polizas!$B$47+18-49))*(1+(Cartera_Polizas!$P$47-1)*MAX(0,1-18/Supuestos!$C$20))*(1-Supuestos!$C$18)^18))</f>
        <v>0.017495237368329</v>
      </c>
      <c r="V45" s="29" t="n">
        <f aca="false">U45*(1-MIN(1,INDEX(Tabla_Mortalidad!$B$5:$B$75,MIN(71,Cartera_Polizas!$B$47+19-49))*(1+(Cartera_Polizas!$P$47-1)*MAX(0,1-19/Supuestos!$C$20))*(1-Supuestos!$C$18)^19))</f>
        <v>0.0116890731999113</v>
      </c>
      <c r="W45" s="29" t="n">
        <f aca="false">V45*(1-MIN(1,INDEX(Tabla_Mortalidad!$B$5:$B$75,MIN(71,Cartera_Polizas!$B$47+20-49))*(1+(Cartera_Polizas!$P$47-1)*MAX(0,1-20/Supuestos!$C$20))*(1-Supuestos!$C$18)^20))</f>
        <v>0.0074838231553462</v>
      </c>
      <c r="X45" s="29" t="n">
        <f aca="false">W45*(1-MIN(1,INDEX(Tabla_Mortalidad!$B$5:$B$75,MIN(71,Cartera_Polizas!$B$47+21-49))*(1+(Cartera_Polizas!$P$47-1)*MAX(0,1-21/Supuestos!$C$20))*(1-Supuestos!$C$18)^21))</f>
        <v>0.00457264450447528</v>
      </c>
      <c r="Y45" s="29" t="n">
        <f aca="false">X45*(1-MIN(1,INDEX(Tabla_Mortalidad!$B$5:$B$75,MIN(71,Cartera_Polizas!$B$47+22-49))*(1+(Cartera_Polizas!$P$47-1)*MAX(0,1-22/Supuestos!$C$20))*(1-Supuestos!$C$18)^22))</f>
        <v>0.00265469810023586</v>
      </c>
      <c r="Z45" s="29" t="n">
        <f aca="false">Y45*(1-MIN(1,INDEX(Tabla_Mortalidad!$B$5:$B$75,MIN(71,Cartera_Polizas!$B$47+23-49))*(1+(Cartera_Polizas!$P$47-1)*MAX(0,1-23/Supuestos!$C$20))*(1-Supuestos!$C$18)^23))</f>
        <v>0.0014577034165172</v>
      </c>
      <c r="AA45" s="29" t="n">
        <f aca="false">Z45*(1-MIN(1,INDEX(Tabla_Mortalidad!$B$5:$B$75,MIN(71,Cartera_Polizas!$B$47+24-49))*(1+(Cartera_Polizas!$P$47-1)*MAX(0,1-24/Supuestos!$C$20))*(1-Supuestos!$C$18)^24))</f>
        <v>0.000753449037433449</v>
      </c>
      <c r="AB45" s="29" t="n">
        <f aca="false">AA45*(1-MIN(1,INDEX(Tabla_Mortalidad!$B$5:$B$75,MIN(71,Cartera_Polizas!$B$47+25-49))*(1+(Cartera_Polizas!$P$47-1)*MAX(0,1-25/Supuestos!$C$20))*(1-Supuestos!$C$18)^25))</f>
        <v>0.000364796932843641</v>
      </c>
      <c r="AC45" s="29" t="n">
        <f aca="false">AB45*(1-MIN(1,INDEX(Tabla_Mortalidad!$B$5:$B$75,MIN(71,Cartera_Polizas!$B$47+26-49))*(1+(Cartera_Polizas!$P$47-1)*MAX(0,1-26/Supuestos!$C$20))*(1-Supuestos!$C$18)^26))</f>
        <v>0.000164646603269487</v>
      </c>
      <c r="AD45" s="29" t="n">
        <f aca="false">AC45*(1-MIN(1,INDEX(Tabla_Mortalidad!$B$5:$B$75,MIN(71,Cartera_Polizas!$B$47+27-49))*(1+(Cartera_Polizas!$P$47-1)*MAX(0,1-27/Supuestos!$C$20))*(1-Supuestos!$C$18)^27))</f>
        <v>6.89504130926135E-005</v>
      </c>
      <c r="AE45" s="29" t="n">
        <f aca="false">AD45*(1-MIN(1,INDEX(Tabla_Mortalidad!$B$5:$B$75,MIN(71,Cartera_Polizas!$B$47+28-49))*(1+(Cartera_Polizas!$P$47-1)*MAX(0,1-28/Supuestos!$C$20))*(1-Supuestos!$C$18)^28))</f>
        <v>2.66787464444802E-005</v>
      </c>
      <c r="AF45" s="29" t="n">
        <f aca="false">AE45*(1-MIN(1,INDEX(Tabla_Mortalidad!$B$5:$B$75,MIN(71,Cartera_Polizas!$B$47+29-49))*(1+(Cartera_Polizas!$P$47-1)*MAX(0,1-29/Supuestos!$C$20))*(1-Supuestos!$C$18)^29))</f>
        <v>9.50421570875082E-006</v>
      </c>
      <c r="AG45" s="29" t="n">
        <f aca="false">AF45*(1-MIN(1,INDEX(Tabla_Mortalidad!$B$5:$B$75,MIN(71,Cartera_Polizas!$B$47+30-49))*(1+(Cartera_Polizas!$P$47-1)*MAX(0,1-30/Supuestos!$C$20))*(1-Supuestos!$C$18)^30))</f>
        <v>3.1098958685322E-006</v>
      </c>
      <c r="AH45" s="29" t="n">
        <f aca="false">AG45*(1-MIN(1,INDEX(Tabla_Mortalidad!$B$5:$B$75,MIN(71,Cartera_Polizas!$B$47+31-49))*(1+(Cartera_Polizas!$P$47-1)*MAX(0,1-31/Supuestos!$C$20))*(1-Supuestos!$C$18)^31))</f>
        <v>9.33840463602095E-007</v>
      </c>
      <c r="AI45" s="29" t="n">
        <f aca="false">AH45*(1-MIN(1,INDEX(Tabla_Mortalidad!$B$5:$B$75,MIN(71,Cartera_Polizas!$B$47+32-49))*(1+(Cartera_Polizas!$P$47-1)*MAX(0,1-32/Supuestos!$C$20))*(1-Supuestos!$C$18)^32))</f>
        <v>2.57619000245729E-007</v>
      </c>
      <c r="AJ45" s="29" t="n">
        <f aca="false">AI45*(1-MIN(1,INDEX(Tabla_Mortalidad!$B$5:$B$75,MIN(71,Cartera_Polizas!$B$47+33-49))*(1+(Cartera_Polizas!$P$47-1)*MAX(0,1-33/Supuestos!$C$20))*(1-Supuestos!$C$18)^33))</f>
        <v>6.5521577497579E-008</v>
      </c>
      <c r="AK45" s="29" t="n">
        <f aca="false">AJ45*(1-MIN(1,INDEX(Tabla_Mortalidad!$B$5:$B$75,MIN(71,Cartera_Polizas!$B$47+34-49))*(1+(Cartera_Polizas!$P$47-1)*MAX(0,1-34/Supuestos!$C$20))*(1-Supuestos!$C$18)^34))</f>
        <v>1.54585141606702E-008</v>
      </c>
      <c r="AL45" s="29" t="n">
        <f aca="false">AK45*(1-MIN(1,INDEX(Tabla_Mortalidad!$B$5:$B$75,MIN(71,Cartera_Polizas!$B$47+35-49))*(1+(Cartera_Polizas!$P$47-1)*MAX(0,1-35/Supuestos!$C$20))*(1-Supuestos!$C$18)^35))</f>
        <v>3.41318280225599E-009</v>
      </c>
      <c r="AM45" s="29" t="n">
        <f aca="false">AL45*(1-MIN(1,INDEX(Tabla_Mortalidad!$B$5:$B$75,MIN(71,Cartera_Polizas!$B$47+36-49))*(1+(Cartera_Polizas!$P$47-1)*MAX(0,1-36/Supuestos!$C$20))*(1-Supuestos!$C$18)^36))</f>
        <v>7.13157457936382E-010</v>
      </c>
      <c r="AN45" s="29" t="n">
        <f aca="false">AM45*(1-MIN(1,INDEX(Tabla_Mortalidad!$B$5:$B$75,MIN(71,Cartera_Polizas!$B$47+37-49))*(1+(Cartera_Polizas!$P$47-1)*MAX(0,1-37/Supuestos!$C$20))*(1-Supuestos!$C$18)^37))</f>
        <v>1.20724220527172E-010</v>
      </c>
      <c r="AO45" s="29" t="n">
        <f aca="false">AN45*(1-MIN(1,INDEX(Tabla_Mortalidad!$B$5:$B$75,MIN(71,Cartera_Polizas!$B$47+38-49))*(1+(Cartera_Polizas!$P$47-1)*MAX(0,1-38/Supuestos!$C$20))*(1-Supuestos!$C$18)^38))</f>
        <v>2.09377921519659E-011</v>
      </c>
      <c r="AP45" s="29" t="n">
        <f aca="false">AO45*(1-MIN(1,INDEX(Tabla_Mortalidad!$B$5:$B$75,MIN(71,Cartera_Polizas!$B$47+39-49))*(1+(Cartera_Polizas!$P$47-1)*MAX(0,1-39/Supuestos!$C$20))*(1-Supuestos!$C$18)^39))</f>
        <v>3.71787596327813E-012</v>
      </c>
      <c r="AQ45" s="29" t="n">
        <f aca="false">AP45*(1-MIN(1,INDEX(Tabla_Mortalidad!$B$5:$B$75,MIN(71,Cartera_Polizas!$B$47+40-49))*(1+(Cartera_Polizas!$P$47-1)*MAX(0,1-40/Supuestos!$C$20))*(1-Supuestos!$C$18)^40))</f>
        <v>6.75463255061079E-013</v>
      </c>
      <c r="AR45" s="29" t="n">
        <f aca="false">AQ45*(1-MIN(1,INDEX(Tabla_Mortalidad!$B$5:$B$75,MIN(71,Cartera_Polizas!$B$47+41-49))*(1+(Cartera_Polizas!$P$47-1)*MAX(0,1-41/Supuestos!$C$20))*(1-Supuestos!$C$18)^41))</f>
        <v>1.25481808296267E-013</v>
      </c>
      <c r="AS45" s="29" t="n">
        <f aca="false">AR45*(1-MIN(1,INDEX(Tabla_Mortalidad!$B$5:$B$75,MIN(71,Cartera_Polizas!$B$47+42-49))*(1+(Cartera_Polizas!$P$47-1)*MAX(0,1-42/Supuestos!$C$20))*(1-Supuestos!$C$18)^42))</f>
        <v>2.38217955234195E-014</v>
      </c>
      <c r="AT45" s="29" t="n">
        <f aca="false">AS45*(1-MIN(1,INDEX(Tabla_Mortalidad!$B$5:$B$75,MIN(71,Cartera_Polizas!$B$47+43-49))*(1+(Cartera_Polizas!$P$47-1)*MAX(0,1-43/Supuestos!$C$20))*(1-Supuestos!$C$18)^43))</f>
        <v>4.61888914429013E-015</v>
      </c>
      <c r="AU45" s="29" t="n">
        <f aca="false">AT45*(1-MIN(1,INDEX(Tabla_Mortalidad!$B$5:$B$75,MIN(71,Cartera_Polizas!$B$47+44-49))*(1+(Cartera_Polizas!$P$47-1)*MAX(0,1-44/Supuestos!$C$20))*(1-Supuestos!$C$18)^44))</f>
        <v>9.14188747229329E-016</v>
      </c>
    </row>
    <row r="46" customFormat="false" ht="15" hidden="false" customHeight="false" outlineLevel="0" collapsed="false">
      <c r="A46" s="14" t="n">
        <f aca="false">Cartera_Polizas!A48</f>
        <v>43</v>
      </c>
      <c r="B46" s="26" t="n">
        <f aca="false">SUM(C46:AU46)+0.5</f>
        <v>12.0011920269901</v>
      </c>
      <c r="C46" s="29" t="n">
        <f aca="false">1-MIN(1,INDEX(Tabla_Mortalidad!$B$5:$B$75,MIN(71,Cartera_Polizas!$B$48+0-49))*(1+(Cartera_Polizas!$P$48-1)*MAX(0,1-0/Supuestos!$C$20))*(1-Supuestos!$C$18)^0)</f>
        <v>0.966357139375</v>
      </c>
      <c r="D46" s="29" t="n">
        <f aca="false">C46*(1-MIN(1,INDEX(Tabla_Mortalidad!$B$5:$B$75,MIN(71,Cartera_Polizas!$B$48+1-49))*(1+(Cartera_Polizas!$P$48-1)*MAX(0,1-1/Supuestos!$C$20))*(1-Supuestos!$C$18)^1))</f>
        <v>0.930666792825725</v>
      </c>
      <c r="E46" s="29" t="n">
        <f aca="false">D46*(1-MIN(1,INDEX(Tabla_Mortalidad!$B$5:$B$75,MIN(71,Cartera_Polizas!$B$48+2-49))*(1+(Cartera_Polizas!$P$48-1)*MAX(0,1-2/Supuestos!$C$20))*(1-Supuestos!$C$18)^2))</f>
        <v>0.892944049600664</v>
      </c>
      <c r="F46" s="29" t="n">
        <f aca="false">E46*(1-MIN(1,INDEX(Tabla_Mortalidad!$B$5:$B$75,MIN(71,Cartera_Polizas!$B$48+3-49))*(1+(Cartera_Polizas!$P$48-1)*MAX(0,1-3/Supuestos!$C$20))*(1-Supuestos!$C$18)^3))</f>
        <v>0.853235272367649</v>
      </c>
      <c r="G46" s="29" t="n">
        <f aca="false">F46*(1-MIN(1,INDEX(Tabla_Mortalidad!$B$5:$B$75,MIN(71,Cartera_Polizas!$B$48+4-49))*(1+(Cartera_Polizas!$P$48-1)*MAX(0,1-4/Supuestos!$C$20))*(1-Supuestos!$C$18)^4))</f>
        <v>0.811622528205526</v>
      </c>
      <c r="H46" s="29" t="n">
        <f aca="false">G46*(1-MIN(1,INDEX(Tabla_Mortalidad!$B$5:$B$75,MIN(71,Cartera_Polizas!$B$48+5-49))*(1+(Cartera_Polizas!$P$48-1)*MAX(0,1-5/Supuestos!$C$20))*(1-Supuestos!$C$18)^5))</f>
        <v>0.76822642089088</v>
      </c>
      <c r="I46" s="29" t="n">
        <f aca="false">H46*(1-MIN(1,INDEX(Tabla_Mortalidad!$B$5:$B$75,MIN(71,Cartera_Polizas!$B$48+6-49))*(1+(Cartera_Polizas!$P$48-1)*MAX(0,1-6/Supuestos!$C$20))*(1-Supuestos!$C$18)^6))</f>
        <v>0.723211896840441</v>
      </c>
      <c r="J46" s="29" t="n">
        <f aca="false">I46*(1-MIN(1,INDEX(Tabla_Mortalidad!$B$5:$B$75,MIN(71,Cartera_Polizas!$B$48+7-49))*(1+(Cartera_Polizas!$P$48-1)*MAX(0,1-7/Supuestos!$C$20))*(1-Supuestos!$C$18)^7))</f>
        <v>0.676793062127984</v>
      </c>
      <c r="K46" s="29" t="n">
        <f aca="false">J46*(1-MIN(1,INDEX(Tabla_Mortalidad!$B$5:$B$75,MIN(71,Cartera_Polizas!$B$48+8-49))*(1+(Cartera_Polizas!$P$48-1)*MAX(0,1-8/Supuestos!$C$20))*(1-Supuestos!$C$18)^8))</f>
        <v>0.629233667129719</v>
      </c>
      <c r="L46" s="29" t="n">
        <f aca="false">K46*(1-MIN(1,INDEX(Tabla_Mortalidad!$B$5:$B$75,MIN(71,Cartera_Polizas!$B$48+9-49))*(1+(Cartera_Polizas!$P$48-1)*MAX(0,1-9/Supuestos!$C$20))*(1-Supuestos!$C$18)^9))</f>
        <v>0.580847571826885</v>
      </c>
      <c r="M46" s="29" t="n">
        <f aca="false">L46*(1-MIN(1,INDEX(Tabla_Mortalidad!$B$5:$B$75,MIN(71,Cartera_Polizas!$B$48+10-49))*(1+(Cartera_Polizas!$P$48-1)*MAX(0,1-10/Supuestos!$C$20))*(1-Supuestos!$C$18)^10))</f>
        <v>0.532000534806429</v>
      </c>
      <c r="N46" s="29" t="n">
        <f aca="false">M46*(1-MIN(1,INDEX(Tabla_Mortalidad!$B$5:$B$75,MIN(71,Cartera_Polizas!$B$48+11-49))*(1+(Cartera_Polizas!$P$48-1)*MAX(0,1-11/Supuestos!$C$20))*(1-Supuestos!$C$18)^11))</f>
        <v>0.4831028263994</v>
      </c>
      <c r="O46" s="29" t="n">
        <f aca="false">N46*(1-MIN(1,INDEX(Tabla_Mortalidad!$B$5:$B$75,MIN(71,Cartera_Polizas!$B$48+12-49))*(1+(Cartera_Polizas!$P$48-1)*MAX(0,1-12/Supuestos!$C$20))*(1-Supuestos!$C$18)^12))</f>
        <v>0.434606524799254</v>
      </c>
      <c r="P46" s="29" t="n">
        <f aca="false">O46*(1-MIN(1,INDEX(Tabla_Mortalidad!$B$5:$B$75,MIN(71,Cartera_Polizas!$B$48+13-49))*(1+(Cartera_Polizas!$P$48-1)*MAX(0,1-13/Supuestos!$C$20))*(1-Supuestos!$C$18)^13))</f>
        <v>0.386993278505197</v>
      </c>
      <c r="Q46" s="29" t="n">
        <f aca="false">P46*(1-MIN(1,INDEX(Tabla_Mortalidad!$B$5:$B$75,MIN(71,Cartera_Polizas!$B$48+14-49))*(1+(Cartera_Polizas!$P$48-1)*MAX(0,1-14/Supuestos!$C$20))*(1-Supuestos!$C$18)^14))</f>
        <v>0.34076208785844</v>
      </c>
      <c r="R46" s="29" t="n">
        <f aca="false">Q46*(1-MIN(1,INDEX(Tabla_Mortalidad!$B$5:$B$75,MIN(71,Cartera_Polizas!$B$48+15-49))*(1+(Cartera_Polizas!$P$48-1)*MAX(0,1-15/Supuestos!$C$20))*(1-Supuestos!$C$18)^15))</f>
        <v>0.296412855570908</v>
      </c>
      <c r="S46" s="29" t="n">
        <f aca="false">R46*(1-MIN(1,INDEX(Tabla_Mortalidad!$B$5:$B$75,MIN(71,Cartera_Polizas!$B$48+16-49))*(1+(Cartera_Polizas!$P$48-1)*MAX(0,1-16/Supuestos!$C$20))*(1-Supuestos!$C$18)^16))</f>
        <v>0.253930106351139</v>
      </c>
      <c r="T46" s="29" t="n">
        <f aca="false">S46*(1-MIN(1,INDEX(Tabla_Mortalidad!$B$5:$B$75,MIN(71,Cartera_Polizas!$B$48+17-49))*(1+(Cartera_Polizas!$P$48-1)*MAX(0,1-17/Supuestos!$C$20))*(1-Supuestos!$C$18)^17))</f>
        <v>0.213890526732294</v>
      </c>
      <c r="U46" s="29" t="n">
        <f aca="false">T46*(1-MIN(1,INDEX(Tabla_Mortalidad!$B$5:$B$75,MIN(71,Cartera_Polizas!$B$48+18-49))*(1+(Cartera_Polizas!$P$48-1)*MAX(0,1-18/Supuestos!$C$20))*(1-Supuestos!$C$18)^18))</f>
        <v>0.176825490382153</v>
      </c>
      <c r="V46" s="29" t="n">
        <f aca="false">U46*(1-MIN(1,INDEX(Tabla_Mortalidad!$B$5:$B$75,MIN(71,Cartera_Polizas!$B$48+19-49))*(1+(Cartera_Polizas!$P$48-1)*MAX(0,1-19/Supuestos!$C$20))*(1-Supuestos!$C$18)^19))</f>
        <v>0.143189739033985</v>
      </c>
      <c r="W46" s="29" t="n">
        <f aca="false">V46*(1-MIN(1,INDEX(Tabla_Mortalidad!$B$5:$B$75,MIN(71,Cartera_Polizas!$B$48+20-49))*(1+(Cartera_Polizas!$P$48-1)*MAX(0,1-20/Supuestos!$C$20))*(1-Supuestos!$C$18)^20))</f>
        <v>0.113330396599329</v>
      </c>
      <c r="X46" s="29" t="n">
        <f aca="false">W46*(1-MIN(1,INDEX(Tabla_Mortalidad!$B$5:$B$75,MIN(71,Cartera_Polizas!$B$48+21-49))*(1+(Cartera_Polizas!$P$48-1)*MAX(0,1-21/Supuestos!$C$20))*(1-Supuestos!$C$18)^21))</f>
        <v>0.0874602320710459</v>
      </c>
      <c r="Y46" s="29" t="n">
        <f aca="false">X46*(1-MIN(1,INDEX(Tabla_Mortalidad!$B$5:$B$75,MIN(71,Cartera_Polizas!$B$48+22-49))*(1+(Cartera_Polizas!$P$48-1)*MAX(0,1-22/Supuestos!$C$20))*(1-Supuestos!$C$18)^22))</f>
        <v>0.06564025424082</v>
      </c>
      <c r="Z46" s="29" t="n">
        <f aca="false">Y46*(1-MIN(1,INDEX(Tabla_Mortalidad!$B$5:$B$75,MIN(71,Cartera_Polizas!$B$48+23-49))*(1+(Cartera_Polizas!$P$48-1)*MAX(0,1-23/Supuestos!$C$20))*(1-Supuestos!$C$18)^23))</f>
        <v>0.0477737989266285</v>
      </c>
      <c r="AA46" s="29" t="n">
        <f aca="false">Z46*(1-MIN(1,INDEX(Tabla_Mortalidad!$B$5:$B$75,MIN(71,Cartera_Polizas!$B$48+24-49))*(1+(Cartera_Polizas!$P$48-1)*MAX(0,1-24/Supuestos!$C$20))*(1-Supuestos!$C$18)^24))</f>
        <v>0.0336145206684207</v>
      </c>
      <c r="AB46" s="29" t="n">
        <f aca="false">AA46*(1-MIN(1,INDEX(Tabla_Mortalidad!$B$5:$B$75,MIN(71,Cartera_Polizas!$B$48+25-49))*(1+(Cartera_Polizas!$P$48-1)*MAX(0,1-25/Supuestos!$C$20))*(1-Supuestos!$C$18)^25))</f>
        <v>0.0227893468296757</v>
      </c>
      <c r="AC46" s="29" t="n">
        <f aca="false">AB46*(1-MIN(1,INDEX(Tabla_Mortalidad!$B$5:$B$75,MIN(71,Cartera_Polizas!$B$48+26-49))*(1+(Cartera_Polizas!$P$48-1)*MAX(0,1-26/Supuestos!$C$20))*(1-Supuestos!$C$18)^26))</f>
        <v>0.0148335788637225</v>
      </c>
      <c r="AD46" s="29" t="n">
        <f aca="false">AC46*(1-MIN(1,INDEX(Tabla_Mortalidad!$B$5:$B$75,MIN(71,Cartera_Polizas!$B$48+27-49))*(1+(Cartera_Polizas!$P$48-1)*MAX(0,1-27/Supuestos!$C$20))*(1-Supuestos!$C$18)^27))</f>
        <v>0.00923432999900966</v>
      </c>
      <c r="AE46" s="29" t="n">
        <f aca="false">AD46*(1-MIN(1,INDEX(Tabla_Mortalidad!$B$5:$B$75,MIN(71,Cartera_Polizas!$B$48+28-49))*(1+(Cartera_Polizas!$P$48-1)*MAX(0,1-28/Supuestos!$C$20))*(1-Supuestos!$C$18)^28))</f>
        <v>0.00547584429245288</v>
      </c>
      <c r="AF46" s="29" t="n">
        <f aca="false">AE46*(1-MIN(1,INDEX(Tabla_Mortalidad!$B$5:$B$75,MIN(71,Cartera_Polizas!$B$48+29-49))*(1+(Cartera_Polizas!$P$48-1)*MAX(0,1-29/Supuestos!$C$20))*(1-Supuestos!$C$18)^29))</f>
        <v>0.00307995549259687</v>
      </c>
      <c r="AG46" s="29" t="n">
        <f aca="false">AF46*(1-MIN(1,INDEX(Tabla_Mortalidad!$B$5:$B$75,MIN(71,Cartera_Polizas!$B$48+30-49))*(1+(Cartera_Polizas!$P$48-1)*MAX(0,1-30/Supuestos!$C$20))*(1-Supuestos!$C$18)^30))</f>
        <v>0.00163603490177487</v>
      </c>
      <c r="AH46" s="29" t="n">
        <f aca="false">AG46*(1-MIN(1,INDEX(Tabla_Mortalidad!$B$5:$B$75,MIN(71,Cartera_Polizas!$B$48+31-49))*(1+(Cartera_Polizas!$P$48-1)*MAX(0,1-31/Supuestos!$C$20))*(1-Supuestos!$C$18)^31))</f>
        <v>0.000817121100906123</v>
      </c>
      <c r="AI46" s="29" t="n">
        <f aca="false">AH46*(1-MIN(1,INDEX(Tabla_Mortalidad!$B$5:$B$75,MIN(71,Cartera_Polizas!$B$48+32-49))*(1+(Cartera_Polizas!$P$48-1)*MAX(0,1-32/Supuestos!$C$20))*(1-Supuestos!$C$18)^32))</f>
        <v>0.000382080248202211</v>
      </c>
      <c r="AJ46" s="29" t="n">
        <f aca="false">AI46*(1-MIN(1,INDEX(Tabla_Mortalidad!$B$5:$B$75,MIN(71,Cartera_Polizas!$B$48+33-49))*(1+(Cartera_Polizas!$P$48-1)*MAX(0,1-33/Supuestos!$C$20))*(1-Supuestos!$C$18)^33))</f>
        <v>0.000166586366400448</v>
      </c>
      <c r="AK46" s="29" t="n">
        <f aca="false">AJ46*(1-MIN(1,INDEX(Tabla_Mortalidad!$B$5:$B$75,MIN(71,Cartera_Polizas!$B$48+34-49))*(1+(Cartera_Polizas!$P$48-1)*MAX(0,1-34/Supuestos!$C$20))*(1-Supuestos!$C$18)^34))</f>
        <v>6.74825364291881E-005</v>
      </c>
      <c r="AL46" s="29" t="n">
        <f aca="false">AK46*(1-MIN(1,INDEX(Tabla_Mortalidad!$B$5:$B$75,MIN(71,Cartera_Polizas!$B$48+35-49))*(1+(Cartera_Polizas!$P$48-1)*MAX(0,1-35/Supuestos!$C$20))*(1-Supuestos!$C$18)^35))</f>
        <v>2.53275122898355E-005</v>
      </c>
      <c r="AM46" s="29" t="n">
        <f aca="false">AL46*(1-MIN(1,INDEX(Tabla_Mortalidad!$B$5:$B$75,MIN(71,Cartera_Polizas!$B$48+36-49))*(1+(Cartera_Polizas!$P$48-1)*MAX(0,1-36/Supuestos!$C$20))*(1-Supuestos!$C$18)^36))</f>
        <v>8.79232606941541E-006</v>
      </c>
      <c r="AN46" s="29" t="n">
        <f aca="false">AM46*(1-MIN(1,INDEX(Tabla_Mortalidad!$B$5:$B$75,MIN(71,Cartera_Polizas!$B$48+37-49))*(1+(Cartera_Polizas!$P$48-1)*MAX(0,1-37/Supuestos!$C$20))*(1-Supuestos!$C$18)^37))</f>
        <v>2.82243548193684E-006</v>
      </c>
      <c r="AO46" s="29" t="n">
        <f aca="false">AN46*(1-MIN(1,INDEX(Tabla_Mortalidad!$B$5:$B$75,MIN(71,Cartera_Polizas!$B$48+38-49))*(1+(Cartera_Polizas!$P$48-1)*MAX(0,1-38/Supuestos!$C$20))*(1-Supuestos!$C$18)^38))</f>
        <v>8.3917950982063E-007</v>
      </c>
      <c r="AP46" s="29" t="n">
        <f aca="false">AO46*(1-MIN(1,INDEX(Tabla_Mortalidad!$B$5:$B$75,MIN(71,Cartera_Polizas!$B$48+39-49))*(1+(Cartera_Polizas!$P$48-1)*MAX(0,1-39/Supuestos!$C$20))*(1-Supuestos!$C$18)^39))</f>
        <v>2.31972182879618E-007</v>
      </c>
      <c r="AQ46" s="29" t="n">
        <f aca="false">AP46*(1-MIN(1,INDEX(Tabla_Mortalidad!$B$5:$B$75,MIN(71,Cartera_Polizas!$B$48+40-49))*(1+(Cartera_Polizas!$P$48-1)*MAX(0,1-40/Supuestos!$C$20))*(1-Supuestos!$C$18)^40))</f>
        <v>5.99804908046614E-008</v>
      </c>
      <c r="AR46" s="29" t="n">
        <f aca="false">AQ46*(1-MIN(1,INDEX(Tabla_Mortalidad!$B$5:$B$75,MIN(71,Cartera_Polizas!$B$48+41-49))*(1+(Cartera_Polizas!$P$48-1)*MAX(0,1-41/Supuestos!$C$20))*(1-Supuestos!$C$18)^41))</f>
        <v>1.46281713467685E-008</v>
      </c>
      <c r="AS46" s="29" t="n">
        <f aca="false">AR46*(1-MIN(1,INDEX(Tabla_Mortalidad!$B$5:$B$75,MIN(71,Cartera_Polizas!$B$48+42-49))*(1+(Cartera_Polizas!$P$48-1)*MAX(0,1-42/Supuestos!$C$20))*(1-Supuestos!$C$18)^42))</f>
        <v>3.39928166009687E-009</v>
      </c>
      <c r="AT46" s="29" t="n">
        <f aca="false">AS46*(1-MIN(1,INDEX(Tabla_Mortalidad!$B$5:$B$75,MIN(71,Cartera_Polizas!$B$48+43-49))*(1+(Cartera_Polizas!$P$48-1)*MAX(0,1-43/Supuestos!$C$20))*(1-Supuestos!$C$18)^43))</f>
        <v>6.59098309477562E-010</v>
      </c>
      <c r="AU46" s="29" t="n">
        <f aca="false">AT46*(1-MIN(1,INDEX(Tabla_Mortalidad!$B$5:$B$75,MIN(71,Cartera_Polizas!$B$48+44-49))*(1+(Cartera_Polizas!$P$48-1)*MAX(0,1-44/Supuestos!$C$20))*(1-Supuestos!$C$18)^44))</f>
        <v>1.30451335595946E-010</v>
      </c>
    </row>
    <row r="47" customFormat="false" ht="15" hidden="false" customHeight="false" outlineLevel="0" collapsed="false">
      <c r="A47" s="14" t="n">
        <f aca="false">Cartera_Polizas!A49</f>
        <v>44</v>
      </c>
      <c r="B47" s="26" t="n">
        <f aca="false">SUM(C47:AU47)+0.5</f>
        <v>9.21164043328035</v>
      </c>
      <c r="C47" s="29" t="n">
        <f aca="false">1-MIN(1,INDEX(Tabla_Mortalidad!$B$5:$B$75,MIN(71,Cartera_Polizas!$B$49+0-49))*(1+(Cartera_Polizas!$P$49-1)*MAX(0,1-0/Supuestos!$C$20))*(1-Supuestos!$C$18)^0)</f>
        <v>0.95329306</v>
      </c>
      <c r="D47" s="29" t="n">
        <f aca="false">C47*(1-MIN(1,INDEX(Tabla_Mortalidad!$B$5:$B$75,MIN(71,Cartera_Polizas!$B$49+1-49))*(1+(Cartera_Polizas!$P$49-1)*MAX(0,1-1/Supuestos!$C$20))*(1-Supuestos!$C$18)^1))</f>
        <v>0.903441315512448</v>
      </c>
      <c r="E47" s="29" t="n">
        <f aca="false">D47*(1-MIN(1,INDEX(Tabla_Mortalidad!$B$5:$B$75,MIN(71,Cartera_Polizas!$B$49+2-49))*(1+(Cartera_Polizas!$P$49-1)*MAX(0,1-2/Supuestos!$C$20))*(1-Supuestos!$C$18)^2))</f>
        <v>0.850571428052681</v>
      </c>
      <c r="F47" s="29" t="n">
        <f aca="false">E47*(1-MIN(1,INDEX(Tabla_Mortalidad!$B$5:$B$75,MIN(71,Cartera_Polizas!$B$49+3-49))*(1+(Cartera_Polizas!$P$49-1)*MAX(0,1-3/Supuestos!$C$20))*(1-Supuestos!$C$18)^3))</f>
        <v>0.794898000568085</v>
      </c>
      <c r="G47" s="29" t="n">
        <f aca="false">F47*(1-MIN(1,INDEX(Tabla_Mortalidad!$B$5:$B$75,MIN(71,Cartera_Polizas!$B$49+4-49))*(1+(Cartera_Polizas!$P$49-1)*MAX(0,1-4/Supuestos!$C$20))*(1-Supuestos!$C$18)^4))</f>
        <v>0.736739048992413</v>
      </c>
      <c r="H47" s="29" t="n">
        <f aca="false">G47*(1-MIN(1,INDEX(Tabla_Mortalidad!$B$5:$B$75,MIN(71,Cartera_Polizas!$B$49+5-49))*(1+(Cartera_Polizas!$P$49-1)*MAX(0,1-5/Supuestos!$C$20))*(1-Supuestos!$C$18)^5))</f>
        <v>0.67652163024577</v>
      </c>
      <c r="I47" s="29" t="n">
        <f aca="false">H47*(1-MIN(1,INDEX(Tabla_Mortalidad!$B$5:$B$75,MIN(71,Cartera_Polizas!$B$49+6-49))*(1+(Cartera_Polizas!$P$49-1)*MAX(0,1-6/Supuestos!$C$20))*(1-Supuestos!$C$18)^6))</f>
        <v>0.614792490638058</v>
      </c>
      <c r="J47" s="29" t="n">
        <f aca="false">I47*(1-MIN(1,INDEX(Tabla_Mortalidad!$B$5:$B$75,MIN(71,Cartera_Polizas!$B$49+7-49))*(1+(Cartera_Polizas!$P$49-1)*MAX(0,1-7/Supuestos!$C$20))*(1-Supuestos!$C$18)^7))</f>
        <v>0.5522156019645</v>
      </c>
      <c r="K47" s="29" t="n">
        <f aca="false">J47*(1-MIN(1,INDEX(Tabla_Mortalidad!$B$5:$B$75,MIN(71,Cartera_Polizas!$B$49+8-49))*(1+(Cartera_Polizas!$P$49-1)*MAX(0,1-8/Supuestos!$C$20))*(1-Supuestos!$C$18)^8))</f>
        <v>0.489566084672958</v>
      </c>
      <c r="L47" s="29" t="n">
        <f aca="false">K47*(1-MIN(1,INDEX(Tabla_Mortalidad!$B$5:$B$75,MIN(71,Cartera_Polizas!$B$49+9-49))*(1+(Cartera_Polizas!$P$49-1)*MAX(0,1-9/Supuestos!$C$20))*(1-Supuestos!$C$18)^9))</f>
        <v>0.427713396671378</v>
      </c>
      <c r="M47" s="29" t="n">
        <f aca="false">L47*(1-MIN(1,INDEX(Tabla_Mortalidad!$B$5:$B$75,MIN(71,Cartera_Polizas!$B$49+10-49))*(1+(Cartera_Polizas!$P$49-1)*MAX(0,1-10/Supuestos!$C$20))*(1-Supuestos!$C$18)^10))</f>
        <v>0.367593973472274</v>
      </c>
      <c r="N47" s="29" t="n">
        <f aca="false">M47*(1-MIN(1,INDEX(Tabla_Mortalidad!$B$5:$B$75,MIN(71,Cartera_Polizas!$B$49+11-49))*(1+(Cartera_Polizas!$P$49-1)*MAX(0,1-11/Supuestos!$C$20))*(1-Supuestos!$C$18)^11))</f>
        <v>0.310171854569011</v>
      </c>
      <c r="O47" s="29" t="n">
        <f aca="false">N47*(1-MIN(1,INDEX(Tabla_Mortalidad!$B$5:$B$75,MIN(71,Cartera_Polizas!$B$49+12-49))*(1+(Cartera_Polizas!$P$49-1)*MAX(0,1-12/Supuestos!$C$20))*(1-Supuestos!$C$18)^12))</f>
        <v>0.256387493647587</v>
      </c>
      <c r="P47" s="29" t="n">
        <f aca="false">O47*(1-MIN(1,INDEX(Tabla_Mortalidad!$B$5:$B$75,MIN(71,Cartera_Polizas!$B$49+13-49))*(1+(Cartera_Polizas!$P$49-1)*MAX(0,1-13/Supuestos!$C$20))*(1-Supuestos!$C$18)^13))</f>
        <v>0.207100080112033</v>
      </c>
      <c r="Q47" s="29" t="n">
        <f aca="false">P47*(1-MIN(1,INDEX(Tabla_Mortalidad!$B$5:$B$75,MIN(71,Cartera_Polizas!$B$49+14-49))*(1+(Cartera_Polizas!$P$49-1)*MAX(0,1-14/Supuestos!$C$20))*(1-Supuestos!$C$18)^14))</f>
        <v>0.16302516126344</v>
      </c>
      <c r="R47" s="29" t="n">
        <f aca="false">Q47*(1-MIN(1,INDEX(Tabla_Mortalidad!$B$5:$B$75,MIN(71,Cartera_Polizas!$B$49+15-49))*(1+(Cartera_Polizas!$P$49-1)*MAX(0,1-15/Supuestos!$C$20))*(1-Supuestos!$C$18)^15))</f>
        <v>0.124674846203801</v>
      </c>
      <c r="S47" s="29" t="n">
        <f aca="false">R47*(1-MIN(1,INDEX(Tabla_Mortalidad!$B$5:$B$75,MIN(71,Cartera_Polizas!$B$49+16-49))*(1+(Cartera_Polizas!$P$49-1)*MAX(0,1-16/Supuestos!$C$20))*(1-Supuestos!$C$18)^16))</f>
        <v>0.0926207130780036</v>
      </c>
      <c r="T47" s="29" t="n">
        <f aca="false">S47*(1-MIN(1,INDEX(Tabla_Mortalidad!$B$5:$B$75,MIN(71,Cartera_Polizas!$B$49+17-49))*(1+(Cartera_Polizas!$P$49-1)*MAX(0,1-17/Supuestos!$C$20))*(1-Supuestos!$C$18)^17))</f>
        <v>0.0666407949117694</v>
      </c>
      <c r="U47" s="29" t="n">
        <f aca="false">T47*(1-MIN(1,INDEX(Tabla_Mortalidad!$B$5:$B$75,MIN(71,Cartera_Polizas!$B$49+18-49))*(1+(Cartera_Polizas!$P$49-1)*MAX(0,1-18/Supuestos!$C$20))*(1-Supuestos!$C$18)^18))</f>
        <v>0.046286642433193</v>
      </c>
      <c r="V47" s="29" t="n">
        <f aca="false">U47*(1-MIN(1,INDEX(Tabla_Mortalidad!$B$5:$B$75,MIN(71,Cartera_Polizas!$B$49+19-49))*(1+(Cartera_Polizas!$P$49-1)*MAX(0,1-19/Supuestos!$C$20))*(1-Supuestos!$C$18)^19))</f>
        <v>0.0309254421754318</v>
      </c>
      <c r="W47" s="29" t="n">
        <f aca="false">V47*(1-MIN(1,INDEX(Tabla_Mortalidad!$B$5:$B$75,MIN(71,Cartera_Polizas!$B$49+20-49))*(1+(Cartera_Polizas!$P$49-1)*MAX(0,1-20/Supuestos!$C$20))*(1-Supuestos!$C$18)^20))</f>
        <v>0.0197997340151462</v>
      </c>
      <c r="X47" s="29" t="n">
        <f aca="false">W47*(1-MIN(1,INDEX(Tabla_Mortalidad!$B$5:$B$75,MIN(71,Cartera_Polizas!$B$49+21-49))*(1+(Cartera_Polizas!$P$49-1)*MAX(0,1-21/Supuestos!$C$20))*(1-Supuestos!$C$18)^21))</f>
        <v>0.0120977130345141</v>
      </c>
      <c r="Y47" s="29" t="n">
        <f aca="false">X47*(1-MIN(1,INDEX(Tabla_Mortalidad!$B$5:$B$75,MIN(71,Cartera_Polizas!$B$49+22-49))*(1+(Cartera_Polizas!$P$49-1)*MAX(0,1-22/Supuestos!$C$20))*(1-Supuestos!$C$18)^22))</f>
        <v>0.00702345782150597</v>
      </c>
      <c r="Z47" s="29" t="n">
        <f aca="false">Y47*(1-MIN(1,INDEX(Tabla_Mortalidad!$B$5:$B$75,MIN(71,Cartera_Polizas!$B$49+23-49))*(1+(Cartera_Polizas!$P$49-1)*MAX(0,1-23/Supuestos!$C$20))*(1-Supuestos!$C$18)^23))</f>
        <v>0.00385660367981735</v>
      </c>
      <c r="AA47" s="29" t="n">
        <f aca="false">Z47*(1-MIN(1,INDEX(Tabla_Mortalidad!$B$5:$B$75,MIN(71,Cartera_Polizas!$B$49+24-49))*(1+(Cartera_Polizas!$P$49-1)*MAX(0,1-24/Supuestos!$C$20))*(1-Supuestos!$C$18)^24))</f>
        <v>0.00199337828079131</v>
      </c>
      <c r="AB47" s="29" t="n">
        <f aca="false">AA47*(1-MIN(1,INDEX(Tabla_Mortalidad!$B$5:$B$75,MIN(71,Cartera_Polizas!$B$49+25-49))*(1+(Cartera_Polizas!$P$49-1)*MAX(0,1-25/Supuestos!$C$20))*(1-Supuestos!$C$18)^25))</f>
        <v>0.000965132672153729</v>
      </c>
      <c r="AC47" s="29" t="n">
        <f aca="false">AB47*(1-MIN(1,INDEX(Tabla_Mortalidad!$B$5:$B$75,MIN(71,Cartera_Polizas!$B$49+26-49))*(1+(Cartera_Polizas!$P$49-1)*MAX(0,1-26/Supuestos!$C$20))*(1-Supuestos!$C$18)^26))</f>
        <v>0.000435600746244829</v>
      </c>
      <c r="AD47" s="29" t="n">
        <f aca="false">AC47*(1-MIN(1,INDEX(Tabla_Mortalidad!$B$5:$B$75,MIN(71,Cartera_Polizas!$B$49+27-49))*(1+(Cartera_Polizas!$P$49-1)*MAX(0,1-27/Supuestos!$C$20))*(1-Supuestos!$C$18)^27))</f>
        <v>0.000182420109498839</v>
      </c>
      <c r="AE47" s="29" t="n">
        <f aca="false">AD47*(1-MIN(1,INDEX(Tabla_Mortalidad!$B$5:$B$75,MIN(71,Cartera_Polizas!$B$49+28-49))*(1+(Cartera_Polizas!$P$49-1)*MAX(0,1-28/Supuestos!$C$20))*(1-Supuestos!$C$18)^28))</f>
        <v>7.05831862262649E-005</v>
      </c>
      <c r="AF47" s="29" t="n">
        <f aca="false">AE47*(1-MIN(1,INDEX(Tabla_Mortalidad!$B$5:$B$75,MIN(71,Cartera_Polizas!$B$49+29-49))*(1+(Cartera_Polizas!$P$49-1)*MAX(0,1-29/Supuestos!$C$20))*(1-Supuestos!$C$18)^29))</f>
        <v>2.51450280357587E-005</v>
      </c>
      <c r="AG47" s="29" t="n">
        <f aca="false">AF47*(1-MIN(1,INDEX(Tabla_Mortalidad!$B$5:$B$75,MIN(71,Cartera_Polizas!$B$49+30-49))*(1+(Cartera_Polizas!$P$49-1)*MAX(0,1-30/Supuestos!$C$20))*(1-Supuestos!$C$18)^30))</f>
        <v>8.22776136388955E-006</v>
      </c>
      <c r="AH47" s="29" t="n">
        <f aca="false">AG47*(1-MIN(1,INDEX(Tabla_Mortalidad!$B$5:$B$75,MIN(71,Cartera_Polizas!$B$49+31-49))*(1+(Cartera_Polizas!$P$49-1)*MAX(0,1-31/Supuestos!$C$20))*(1-Supuestos!$C$18)^31))</f>
        <v>2.47063464864128E-006</v>
      </c>
      <c r="AI47" s="29" t="n">
        <f aca="false">AH47*(1-MIN(1,INDEX(Tabla_Mortalidad!$B$5:$B$75,MIN(71,Cartera_Polizas!$B$49+32-49))*(1+(Cartera_Polizas!$P$49-1)*MAX(0,1-32/Supuestos!$C$20))*(1-Supuestos!$C$18)^32))</f>
        <v>6.8157512226481E-007</v>
      </c>
      <c r="AJ47" s="29" t="n">
        <f aca="false">AI47*(1-MIN(1,INDEX(Tabla_Mortalidad!$B$5:$B$75,MIN(71,Cartera_Polizas!$B$49+33-49))*(1+(Cartera_Polizas!$P$49-1)*MAX(0,1-33/Supuestos!$C$20))*(1-Supuestos!$C$18)^33))</f>
        <v>1.73348538544513E-007</v>
      </c>
      <c r="AK47" s="29" t="n">
        <f aca="false">AJ47*(1-MIN(1,INDEX(Tabla_Mortalidad!$B$5:$B$75,MIN(71,Cartera_Polizas!$B$49+34-49))*(1+(Cartera_Polizas!$P$49-1)*MAX(0,1-34/Supuestos!$C$20))*(1-Supuestos!$C$18)^34))</f>
        <v>4.08981428739387E-008</v>
      </c>
      <c r="AL47" s="29" t="n">
        <f aca="false">AK47*(1-MIN(1,INDEX(Tabla_Mortalidad!$B$5:$B$75,MIN(71,Cartera_Polizas!$B$49+35-49))*(1+(Cartera_Polizas!$P$49-1)*MAX(0,1-35/Supuestos!$C$20))*(1-Supuestos!$C$18)^35))</f>
        <v>9.03015881414339E-009</v>
      </c>
      <c r="AM47" s="29" t="n">
        <f aca="false">AL47*(1-MIN(1,INDEX(Tabla_Mortalidad!$B$5:$B$75,MIN(71,Cartera_Polizas!$B$49+36-49))*(1+(Cartera_Polizas!$P$49-1)*MAX(0,1-36/Supuestos!$C$20))*(1-Supuestos!$C$18)^36))</f>
        <v>1.88678001670457E-009</v>
      </c>
      <c r="AN47" s="29" t="n">
        <f aca="false">AM47*(1-MIN(1,INDEX(Tabla_Mortalidad!$B$5:$B$75,MIN(71,Cartera_Polizas!$B$49+37-49))*(1+(Cartera_Polizas!$P$49-1)*MAX(0,1-37/Supuestos!$C$20))*(1-Supuestos!$C$18)^37))</f>
        <v>3.19396571245313E-010</v>
      </c>
      <c r="AO47" s="29" t="n">
        <f aca="false">AN47*(1-MIN(1,INDEX(Tabla_Mortalidad!$B$5:$B$75,MIN(71,Cartera_Polizas!$B$49+38-49))*(1+(Cartera_Polizas!$P$49-1)*MAX(0,1-38/Supuestos!$C$20))*(1-Supuestos!$C$18)^38))</f>
        <v>5.53945098471748E-011</v>
      </c>
      <c r="AP47" s="29" t="n">
        <f aca="false">AO47*(1-MIN(1,INDEX(Tabla_Mortalidad!$B$5:$B$75,MIN(71,Cartera_Polizas!$B$49+39-49))*(1+(Cartera_Polizas!$P$49-1)*MAX(0,1-39/Supuestos!$C$20))*(1-Supuestos!$C$18)^39))</f>
        <v>9.83627667920313E-012</v>
      </c>
      <c r="AQ47" s="29" t="n">
        <f aca="false">AP47*(1-MIN(1,INDEX(Tabla_Mortalidad!$B$5:$B$75,MIN(71,Cartera_Polizas!$B$49+40-49))*(1+(Cartera_Polizas!$P$49-1)*MAX(0,1-40/Supuestos!$C$20))*(1-Supuestos!$C$18)^40))</f>
        <v>1.78705355666512E-012</v>
      </c>
      <c r="AR47" s="29" t="n">
        <f aca="false">AQ47*(1-MIN(1,INDEX(Tabla_Mortalidad!$B$5:$B$75,MIN(71,Cartera_Polizas!$B$49+41-49))*(1+(Cartera_Polizas!$P$49-1)*MAX(0,1-41/Supuestos!$C$20))*(1-Supuestos!$C$18)^41))</f>
        <v>3.31983583314739E-013</v>
      </c>
      <c r="AS47" s="29" t="n">
        <f aca="false">AR47*(1-MIN(1,INDEX(Tabla_Mortalidad!$B$5:$B$75,MIN(71,Cartera_Polizas!$B$49+42-49))*(1+(Cartera_Polizas!$P$49-1)*MAX(0,1-42/Supuestos!$C$20))*(1-Supuestos!$C$18)^42))</f>
        <v>6.30246339786854E-014</v>
      </c>
      <c r="AT47" s="29" t="n">
        <f aca="false">AS47*(1-MIN(1,INDEX(Tabla_Mortalidad!$B$5:$B$75,MIN(71,Cartera_Polizas!$B$49+43-49))*(1+(Cartera_Polizas!$P$49-1)*MAX(0,1-43/Supuestos!$C$20))*(1-Supuestos!$C$18)^43))</f>
        <v>1.22200611377434E-014</v>
      </c>
      <c r="AU47" s="29" t="n">
        <f aca="false">AT47*(1-MIN(1,INDEX(Tabla_Mortalidad!$B$5:$B$75,MIN(71,Cartera_Polizas!$B$49+44-49))*(1+(Cartera_Polizas!$P$49-1)*MAX(0,1-44/Supuestos!$C$20))*(1-Supuestos!$C$18)^44))</f>
        <v>2.41864267220823E-015</v>
      </c>
    </row>
    <row r="48" customFormat="false" ht="15" hidden="false" customHeight="false" outlineLevel="0" collapsed="false">
      <c r="A48" s="14" t="n">
        <f aca="false">Cartera_Polizas!A50</f>
        <v>45</v>
      </c>
      <c r="B48" s="26" t="n">
        <f aca="false">SUM(C48:AU48)+0.5</f>
        <v>2.54858097954137</v>
      </c>
      <c r="C48" s="29" t="n">
        <f aca="false">1-MIN(1,INDEX(Tabla_Mortalidad!$B$5:$B$75,MIN(71,Cartera_Polizas!$B$50+0-49))*(1+(Cartera_Polizas!$P$50-1)*MAX(0,1-0/Supuestos!$C$20))*(1-Supuestos!$C$18)^0)</f>
        <v>0.7029344</v>
      </c>
      <c r="D48" s="29" t="n">
        <f aca="false">C48*(1-MIN(1,INDEX(Tabla_Mortalidad!$B$5:$B$75,MIN(71,Cartera_Polizas!$B$50+1-49))*(1+(Cartera_Polizas!$P$50-1)*MAX(0,1-1/Supuestos!$C$20))*(1-Supuestos!$C$18)^1))</f>
        <v>0.482046757601036</v>
      </c>
      <c r="E48" s="29" t="n">
        <f aca="false">D48*(1-MIN(1,INDEX(Tabla_Mortalidad!$B$5:$B$75,MIN(71,Cartera_Polizas!$B$50+2-49))*(1+(Cartera_Polizas!$P$50-1)*MAX(0,1-2/Supuestos!$C$20))*(1-Supuestos!$C$18)^2))</f>
        <v>0.322232427122721</v>
      </c>
      <c r="F48" s="29" t="n">
        <f aca="false">E48*(1-MIN(1,INDEX(Tabla_Mortalidad!$B$5:$B$75,MIN(71,Cartera_Polizas!$B$50+3-49))*(1+(Cartera_Polizas!$P$50-1)*MAX(0,1-3/Supuestos!$C$20))*(1-Supuestos!$C$18)^3))</f>
        <v>0.209844511080796</v>
      </c>
      <c r="G48" s="29" t="n">
        <f aca="false">F48*(1-MIN(1,INDEX(Tabla_Mortalidad!$B$5:$B$75,MIN(71,Cartera_Polizas!$B$50+4-49))*(1+(Cartera_Polizas!$P$50-1)*MAX(0,1-4/Supuestos!$C$20))*(1-Supuestos!$C$18)^4))</f>
        <v>0.133090828864457</v>
      </c>
      <c r="H48" s="29" t="n">
        <f aca="false">G48*(1-MIN(1,INDEX(Tabla_Mortalidad!$B$5:$B$75,MIN(71,Cartera_Polizas!$B$50+5-49))*(1+(Cartera_Polizas!$P$50-1)*MAX(0,1-5/Supuestos!$C$20))*(1-Supuestos!$C$18)^5))</f>
        <v>0.0822173548743288</v>
      </c>
      <c r="I48" s="29" t="n">
        <f aca="false">H48*(1-MIN(1,INDEX(Tabla_Mortalidad!$B$5:$B$75,MIN(71,Cartera_Polizas!$B$50+6-49))*(1+(Cartera_Polizas!$P$50-1)*MAX(0,1-6/Supuestos!$C$20))*(1-Supuestos!$C$18)^6))</f>
        <v>0.0495001808382287</v>
      </c>
      <c r="J48" s="29" t="n">
        <f aca="false">I48*(1-MIN(1,INDEX(Tabla_Mortalidad!$B$5:$B$75,MIN(71,Cartera_Polizas!$B$50+7-49))*(1+(Cartera_Polizas!$P$50-1)*MAX(0,1-7/Supuestos!$C$20))*(1-Supuestos!$C$18)^7))</f>
        <v>0.0290814560985269</v>
      </c>
      <c r="K48" s="29" t="n">
        <f aca="false">J48*(1-MIN(1,INDEX(Tabla_Mortalidad!$B$5:$B$75,MIN(71,Cartera_Polizas!$B$50+8-49))*(1+(Cartera_Polizas!$P$50-1)*MAX(0,1-8/Supuestos!$C$20))*(1-Supuestos!$C$18)^8))</f>
        <v>0.0167054956593877</v>
      </c>
      <c r="L48" s="29" t="n">
        <f aca="false">K48*(1-MIN(1,INDEX(Tabla_Mortalidad!$B$5:$B$75,MIN(71,Cartera_Polizas!$B$50+9-49))*(1+(Cartera_Polizas!$P$50-1)*MAX(0,1-9/Supuestos!$C$20))*(1-Supuestos!$C$18)^9))</f>
        <v>0.00941013370756224</v>
      </c>
      <c r="M48" s="29" t="n">
        <f aca="false">L48*(1-MIN(1,INDEX(Tabla_Mortalidad!$B$5:$B$75,MIN(71,Cartera_Polizas!$B$50+10-49))*(1+(Cartera_Polizas!$P$50-1)*MAX(0,1-10/Supuestos!$C$20))*(1-Supuestos!$C$18)^10))</f>
        <v>0.0052183345643689</v>
      </c>
      <c r="N48" s="29" t="n">
        <f aca="false">M48*(1-MIN(1,INDEX(Tabla_Mortalidad!$B$5:$B$75,MIN(71,Cartera_Polizas!$B$50+11-49))*(1+(Cartera_Polizas!$P$50-1)*MAX(0,1-11/Supuestos!$C$20))*(1-Supuestos!$C$18)^11))</f>
        <v>0.00286325424318856</v>
      </c>
      <c r="O48" s="29" t="n">
        <f aca="false">N48*(1-MIN(1,INDEX(Tabla_Mortalidad!$B$5:$B$75,MIN(71,Cartera_Polizas!$B$50+12-49))*(1+(Cartera_Polizas!$P$50-1)*MAX(0,1-12/Supuestos!$C$20))*(1-Supuestos!$C$18)^12))</f>
        <v>0.00156415673105432</v>
      </c>
      <c r="P48" s="29" t="n">
        <f aca="false">O48*(1-MIN(1,INDEX(Tabla_Mortalidad!$B$5:$B$75,MIN(71,Cartera_Polizas!$B$50+13-49))*(1+(Cartera_Polizas!$P$50-1)*MAX(0,1-13/Supuestos!$C$20))*(1-Supuestos!$C$18)^13))</f>
        <v>0.000857008307696015</v>
      </c>
      <c r="Q48" s="29" t="n">
        <f aca="false">P48*(1-MIN(1,INDEX(Tabla_Mortalidad!$B$5:$B$75,MIN(71,Cartera_Polizas!$B$50+14-49))*(1+(Cartera_Polizas!$P$50-1)*MAX(0,1-14/Supuestos!$C$20))*(1-Supuestos!$C$18)^14))</f>
        <v>0.000474900741866188</v>
      </c>
      <c r="R48" s="29" t="n">
        <f aca="false">Q48*(1-MIN(1,INDEX(Tabla_Mortalidad!$B$5:$B$75,MIN(71,Cartera_Polizas!$B$50+15-49))*(1+(Cartera_Polizas!$P$50-1)*MAX(0,1-15/Supuestos!$C$20))*(1-Supuestos!$C$18)^15))</f>
        <v>0.000268595477194729</v>
      </c>
      <c r="S48" s="29" t="n">
        <f aca="false">R48*(1-MIN(1,INDEX(Tabla_Mortalidad!$B$5:$B$75,MIN(71,Cartera_Polizas!$B$50+16-49))*(1+(Cartera_Polizas!$P$50-1)*MAX(0,1-16/Supuestos!$C$20))*(1-Supuestos!$C$18)^16))</f>
        <v>0.000143161783085523</v>
      </c>
      <c r="T48" s="29" t="n">
        <f aca="false">S48*(1-MIN(1,INDEX(Tabla_Mortalidad!$B$5:$B$75,MIN(71,Cartera_Polizas!$B$50+17-49))*(1+(Cartera_Polizas!$P$50-1)*MAX(0,1-17/Supuestos!$C$20))*(1-Supuestos!$C$18)^17))</f>
        <v>7.15266753892332E-005</v>
      </c>
      <c r="U48" s="29" t="n">
        <f aca="false">T48*(1-MIN(1,INDEX(Tabla_Mortalidad!$B$5:$B$75,MIN(71,Cartera_Polizas!$B$50+18-49))*(1+(Cartera_Polizas!$P$50-1)*MAX(0,1-18/Supuestos!$C$20))*(1-Supuestos!$C$18)^18))</f>
        <v>3.33134570826627E-005</v>
      </c>
      <c r="V48" s="29" t="n">
        <f aca="false">U48*(1-MIN(1,INDEX(Tabla_Mortalidad!$B$5:$B$75,MIN(71,Cartera_Polizas!$B$50+19-49))*(1+(Cartera_Polizas!$P$50-1)*MAX(0,1-19/Supuestos!$C$20))*(1-Supuestos!$C$18)^19))</f>
        <v>1.43829054321512E-005</v>
      </c>
      <c r="W48" s="29" t="n">
        <f aca="false">V48*(1-MIN(1,INDEX(Tabla_Mortalidad!$B$5:$B$75,MIN(71,Cartera_Polizas!$B$50+20-49))*(1+(Cartera_Polizas!$P$50-1)*MAX(0,1-20/Supuestos!$C$20))*(1-Supuestos!$C$18)^20))</f>
        <v>5.72471901153984E-006</v>
      </c>
      <c r="X48" s="29" t="n">
        <f aca="false">W48*(1-MIN(1,INDEX(Tabla_Mortalidad!$B$5:$B$75,MIN(71,Cartera_Polizas!$B$50+21-49))*(1+(Cartera_Polizas!$P$50-1)*MAX(0,1-21/Supuestos!$C$20))*(1-Supuestos!$C$18)^21))</f>
        <v>2.08971320978742E-006</v>
      </c>
      <c r="Y48" s="29" t="n">
        <f aca="false">X48*(1-MIN(1,INDEX(Tabla_Mortalidad!$B$5:$B$75,MIN(71,Cartera_Polizas!$B$50+22-49))*(1+(Cartera_Polizas!$P$50-1)*MAX(0,1-22/Supuestos!$C$20))*(1-Supuestos!$C$18)^22))</f>
        <v>6.96413383806563E-007</v>
      </c>
      <c r="Z48" s="29" t="n">
        <f aca="false">Y48*(1-MIN(1,INDEX(Tabla_Mortalidad!$B$5:$B$75,MIN(71,Cartera_Polizas!$B$50+23-49))*(1+(Cartera_Polizas!$P$50-1)*MAX(0,1-23/Supuestos!$C$20))*(1-Supuestos!$C$18)^23))</f>
        <v>2.11143192467457E-007</v>
      </c>
      <c r="AA48" s="29" t="n">
        <f aca="false">Z48*(1-MIN(1,INDEX(Tabla_Mortalidad!$B$5:$B$75,MIN(71,Cartera_Polizas!$B$50+24-49))*(1+(Cartera_Polizas!$P$50-1)*MAX(0,1-24/Supuestos!$C$20))*(1-Supuestos!$C$18)^24))</f>
        <v>5.81262147044027E-008</v>
      </c>
      <c r="AB48" s="29" t="n">
        <f aca="false">AA48*(1-MIN(1,INDEX(Tabla_Mortalidad!$B$5:$B$75,MIN(71,Cartera_Polizas!$B$50+25-49))*(1+(Cartera_Polizas!$P$50-1)*MAX(0,1-25/Supuestos!$C$20))*(1-Supuestos!$C$18)^25))</f>
        <v>1.45322127207475E-008</v>
      </c>
      <c r="AC48" s="29" t="n">
        <f aca="false">AB48*(1-MIN(1,INDEX(Tabla_Mortalidad!$B$5:$B$75,MIN(71,Cartera_Polizas!$B$50+26-49))*(1+(Cartera_Polizas!$P$50-1)*MAX(0,1-26/Supuestos!$C$20))*(1-Supuestos!$C$18)^26))</f>
        <v>3.30908697383081E-009</v>
      </c>
      <c r="AD48" s="29" t="n">
        <f aca="false">AC48*(1-MIN(1,INDEX(Tabla_Mortalidad!$B$5:$B$75,MIN(71,Cartera_Polizas!$B$50+27-49))*(1+(Cartera_Polizas!$P$50-1)*MAX(0,1-27/Supuestos!$C$20))*(1-Supuestos!$C$18)^27))</f>
        <v>6.90423489891853E-010</v>
      </c>
      <c r="AE48" s="29" t="n">
        <f aca="false">AD48*(1-MIN(1,INDEX(Tabla_Mortalidad!$B$5:$B$75,MIN(71,Cartera_Polizas!$B$50+28-49))*(1+(Cartera_Polizas!$P$50-1)*MAX(0,1-28/Supuestos!$C$20))*(1-Supuestos!$C$18)^28))</f>
        <v>1.33231329942753E-010</v>
      </c>
      <c r="AF48" s="29" t="n">
        <f aca="false">AE48*(1-MIN(1,INDEX(Tabla_Mortalidad!$B$5:$B$75,MIN(71,Cartera_Polizas!$B$50+29-49))*(1+(Cartera_Polizas!$P$50-1)*MAX(0,1-29/Supuestos!$C$20))*(1-Supuestos!$C$18)^29))</f>
        <v>2.40739532622575E-011</v>
      </c>
      <c r="AG48" s="29" t="n">
        <f aca="false">AF48*(1-MIN(1,INDEX(Tabla_Mortalidad!$B$5:$B$75,MIN(71,Cartera_Polizas!$B$50+30-49))*(1+(Cartera_Polizas!$P$50-1)*MAX(0,1-30/Supuestos!$C$20))*(1-Supuestos!$C$18)^30))</f>
        <v>3.36110443851792E-012</v>
      </c>
      <c r="AH48" s="29" t="n">
        <f aca="false">AG48*(1-MIN(1,INDEX(Tabla_Mortalidad!$B$5:$B$75,MIN(71,Cartera_Polizas!$B$50+31-49))*(1+(Cartera_Polizas!$P$50-1)*MAX(0,1-31/Supuestos!$C$20))*(1-Supuestos!$C$18)^31))</f>
        <v>4.83722517874157E-013</v>
      </c>
      <c r="AI48" s="29" t="n">
        <f aca="false">AH48*(1-MIN(1,INDEX(Tabla_Mortalidad!$B$5:$B$75,MIN(71,Cartera_Polizas!$B$50+32-49))*(1+(Cartera_Polizas!$P$50-1)*MAX(0,1-32/Supuestos!$C$20))*(1-Supuestos!$C$18)^32))</f>
        <v>7.1686777618388E-014</v>
      </c>
      <c r="AJ48" s="29" t="n">
        <f aca="false">AI48*(1-MIN(1,INDEX(Tabla_Mortalidad!$B$5:$B$75,MIN(71,Cartera_Polizas!$B$50+33-49))*(1+(Cartera_Polizas!$P$50-1)*MAX(0,1-33/Supuestos!$C$20))*(1-Supuestos!$C$18)^33))</f>
        <v>1.09291617867091E-014</v>
      </c>
      <c r="AK48" s="29" t="n">
        <f aca="false">AJ48*(1-MIN(1,INDEX(Tabla_Mortalidad!$B$5:$B$75,MIN(71,Cartera_Polizas!$B$50+34-49))*(1+(Cartera_Polizas!$P$50-1)*MAX(0,1-34/Supuestos!$C$20))*(1-Supuestos!$C$18)^34))</f>
        <v>1.71254351924681E-015</v>
      </c>
      <c r="AL48" s="29" t="n">
        <f aca="false">AK48*(1-MIN(1,INDEX(Tabla_Mortalidad!$B$5:$B$75,MIN(71,Cartera_Polizas!$B$50+35-49))*(1+(Cartera_Polizas!$P$50-1)*MAX(0,1-35/Supuestos!$C$20))*(1-Supuestos!$C$18)^35))</f>
        <v>2.75567757482862E-016</v>
      </c>
      <c r="AM48" s="29" t="n">
        <f aca="false">AL48*(1-MIN(1,INDEX(Tabla_Mortalidad!$B$5:$B$75,MIN(71,Cartera_Polizas!$B$50+36-49))*(1+(Cartera_Polizas!$P$50-1)*MAX(0,1-36/Supuestos!$C$20))*(1-Supuestos!$C$18)^36))</f>
        <v>4.54981196270767E-017</v>
      </c>
      <c r="AN48" s="29" t="n">
        <f aca="false">AM48*(1-MIN(1,INDEX(Tabla_Mortalidad!$B$5:$B$75,MIN(71,Cartera_Polizas!$B$50+37-49))*(1+(Cartera_Polizas!$P$50-1)*MAX(0,1-37/Supuestos!$C$20))*(1-Supuestos!$C$18)^37))</f>
        <v>7.70198077059281E-018</v>
      </c>
      <c r="AO48" s="29" t="n">
        <f aca="false">AN48*(1-MIN(1,INDEX(Tabla_Mortalidad!$B$5:$B$75,MIN(71,Cartera_Polizas!$B$50+38-49))*(1+(Cartera_Polizas!$P$50-1)*MAX(0,1-38/Supuestos!$C$20))*(1-Supuestos!$C$18)^38))</f>
        <v>1.33579220332853E-018</v>
      </c>
      <c r="AP48" s="29" t="n">
        <f aca="false">AO48*(1-MIN(1,INDEX(Tabla_Mortalidad!$B$5:$B$75,MIN(71,Cartera_Polizas!$B$50+39-49))*(1+(Cartera_Polizas!$P$50-1)*MAX(0,1-39/Supuestos!$C$20))*(1-Supuestos!$C$18)^39))</f>
        <v>2.37193572686372E-019</v>
      </c>
      <c r="AQ48" s="29" t="n">
        <f aca="false">AP48*(1-MIN(1,INDEX(Tabla_Mortalidad!$B$5:$B$75,MIN(71,Cartera_Polizas!$B$50+40-49))*(1+(Cartera_Polizas!$P$50-1)*MAX(0,1-40/Supuestos!$C$20))*(1-Supuestos!$C$18)^40))</f>
        <v>4.30932995798596E-020</v>
      </c>
      <c r="AR48" s="29" t="n">
        <f aca="false">AQ48*(1-MIN(1,INDEX(Tabla_Mortalidad!$B$5:$B$75,MIN(71,Cartera_Polizas!$B$50+41-49))*(1+(Cartera_Polizas!$P$50-1)*MAX(0,1-41/Supuestos!$C$20))*(1-Supuestos!$C$18)^41))</f>
        <v>8.00550602303981E-021</v>
      </c>
      <c r="AS48" s="29" t="n">
        <f aca="false">AR48*(1-MIN(1,INDEX(Tabla_Mortalidad!$B$5:$B$75,MIN(71,Cartera_Polizas!$B$50+42-49))*(1+(Cartera_Polizas!$P$50-1)*MAX(0,1-42/Supuestos!$C$20))*(1-Supuestos!$C$18)^42))</f>
        <v>1.5197862553279E-021</v>
      </c>
      <c r="AT48" s="29" t="n">
        <f aca="false">AS48*(1-MIN(1,INDEX(Tabla_Mortalidad!$B$5:$B$75,MIN(71,Cartera_Polizas!$B$50+43-49))*(1+(Cartera_Polizas!$P$50-1)*MAX(0,1-43/Supuestos!$C$20))*(1-Supuestos!$C$18)^43))</f>
        <v>2.94676538108734E-022</v>
      </c>
      <c r="AU48" s="29" t="n">
        <f aca="false">AT48*(1-MIN(1,INDEX(Tabla_Mortalidad!$B$5:$B$75,MIN(71,Cartera_Polizas!$B$50+44-49))*(1+(Cartera_Polizas!$P$50-1)*MAX(0,1-44/Supuestos!$C$20))*(1-Supuestos!$C$18)^44))</f>
        <v>5.83235420457145E-023</v>
      </c>
    </row>
    <row r="49" customFormat="false" ht="15" hidden="false" customHeight="false" outlineLevel="0" collapsed="false">
      <c r="A49" s="14" t="n">
        <f aca="false">Cartera_Polizas!A51</f>
        <v>46</v>
      </c>
      <c r="B49" s="26" t="n">
        <f aca="false">SUM(C49:AU49)+0.5</f>
        <v>11.5245531677877</v>
      </c>
      <c r="C49" s="29" t="n">
        <f aca="false">1-MIN(1,INDEX(Tabla_Mortalidad!$B$5:$B$75,MIN(71,Cartera_Polizas!$B$51+0-49))*(1+(Cartera_Polizas!$P$51-1)*MAX(0,1-0/Supuestos!$C$20))*(1-Supuestos!$C$18)^0)</f>
        <v>0.954269964</v>
      </c>
      <c r="D49" s="29" t="n">
        <f aca="false">C49*(1-MIN(1,INDEX(Tabla_Mortalidad!$B$5:$B$75,MIN(71,Cartera_Polizas!$B$51+1-49))*(1+(Cartera_Polizas!$P$51-1)*MAX(0,1-1/Supuestos!$C$20))*(1-Supuestos!$C$18)^1))</f>
        <v>0.907468355990767</v>
      </c>
      <c r="E49" s="29" t="n">
        <f aca="false">D49*(1-MIN(1,INDEX(Tabla_Mortalidad!$B$5:$B$75,MIN(71,Cartera_Polizas!$B$51+2-49))*(1+(Cartera_Polizas!$P$51-1)*MAX(0,1-2/Supuestos!$C$20))*(1-Supuestos!$C$18)^2))</f>
        <v>0.859799480312294</v>
      </c>
      <c r="F49" s="29" t="n">
        <f aca="false">E49*(1-MIN(1,INDEX(Tabla_Mortalidad!$B$5:$B$75,MIN(71,Cartera_Polizas!$B$51+3-49))*(1+(Cartera_Polizas!$P$51-1)*MAX(0,1-3/Supuestos!$C$20))*(1-Supuestos!$C$18)^3))</f>
        <v>0.81149368694873</v>
      </c>
      <c r="G49" s="29" t="n">
        <f aca="false">F49*(1-MIN(1,INDEX(Tabla_Mortalidad!$B$5:$B$75,MIN(71,Cartera_Polizas!$B$51+4-49))*(1+(Cartera_Polizas!$P$51-1)*MAX(0,1-4/Supuestos!$C$20))*(1-Supuestos!$C$18)^4))</f>
        <v>0.762806016193584</v>
      </c>
      <c r="H49" s="29" t="n">
        <f aca="false">G49*(1-MIN(1,INDEX(Tabla_Mortalidad!$B$5:$B$75,MIN(71,Cartera_Polizas!$B$51+5-49))*(1+(Cartera_Polizas!$P$51-1)*MAX(0,1-5/Supuestos!$C$20))*(1-Supuestos!$C$18)^5))</f>
        <v>0.714013888577881</v>
      </c>
      <c r="I49" s="29" t="n">
        <f aca="false">H49*(1-MIN(1,INDEX(Tabla_Mortalidad!$B$5:$B$75,MIN(71,Cartera_Polizas!$B$51+6-49))*(1+(Cartera_Polizas!$P$51-1)*MAX(0,1-6/Supuestos!$C$20))*(1-Supuestos!$C$18)^6))</f>
        <v>0.665412503654636</v>
      </c>
      <c r="J49" s="29" t="n">
        <f aca="false">I49*(1-MIN(1,INDEX(Tabla_Mortalidad!$B$5:$B$75,MIN(71,Cartera_Polizas!$B$51+7-49))*(1+(Cartera_Polizas!$P$51-1)*MAX(0,1-7/Supuestos!$C$20))*(1-Supuestos!$C$18)^7))</f>
        <v>0.617307648879855</v>
      </c>
      <c r="K49" s="29" t="n">
        <f aca="false">J49*(1-MIN(1,INDEX(Tabla_Mortalidad!$B$5:$B$75,MIN(71,Cartera_Polizas!$B$51+8-49))*(1+(Cartera_Polizas!$P$51-1)*MAX(0,1-8/Supuestos!$C$20))*(1-Supuestos!$C$18)^8))</f>
        <v>0.570011616088106</v>
      </c>
      <c r="L49" s="29" t="n">
        <f aca="false">K49*(1-MIN(1,INDEX(Tabla_Mortalidad!$B$5:$B$75,MIN(71,Cartera_Polizas!$B$51+9-49))*(1+(Cartera_Polizas!$P$51-1)*MAX(0,1-9/Supuestos!$C$20))*(1-Supuestos!$C$18)^9))</f>
        <v>0.523837494470201</v>
      </c>
      <c r="M49" s="29" t="n">
        <f aca="false">L49*(1-MIN(1,INDEX(Tabla_Mortalidad!$B$5:$B$75,MIN(71,Cartera_Polizas!$B$51+10-49))*(1+(Cartera_Polizas!$P$51-1)*MAX(0,1-10/Supuestos!$C$20))*(1-Supuestos!$C$18)^10))</f>
        <v>0.479089436938216</v>
      </c>
      <c r="N49" s="29" t="n">
        <f aca="false">M49*(1-MIN(1,INDEX(Tabla_Mortalidad!$B$5:$B$75,MIN(71,Cartera_Polizas!$B$51+11-49))*(1+(Cartera_Polizas!$P$51-1)*MAX(0,1-11/Supuestos!$C$20))*(1-Supuestos!$C$18)^11))</f>
        <v>0.436054544802435</v>
      </c>
      <c r="O49" s="29" t="n">
        <f aca="false">N49*(1-MIN(1,INDEX(Tabla_Mortalidad!$B$5:$B$75,MIN(71,Cartera_Polizas!$B$51+12-49))*(1+(Cartera_Polizas!$P$51-1)*MAX(0,1-12/Supuestos!$C$20))*(1-Supuestos!$C$18)^12))</f>
        <v>0.394997706791287</v>
      </c>
      <c r="P49" s="29" t="n">
        <f aca="false">O49*(1-MIN(1,INDEX(Tabla_Mortalidad!$B$5:$B$75,MIN(71,Cartera_Polizas!$B$51+13-49))*(1+(Cartera_Polizas!$P$51-1)*MAX(0,1-13/Supuestos!$C$20))*(1-Supuestos!$C$18)^13))</f>
        <v>0.356150857148394</v>
      </c>
      <c r="Q49" s="29" t="n">
        <f aca="false">P49*(1-MIN(1,INDEX(Tabla_Mortalidad!$B$5:$B$75,MIN(71,Cartera_Polizas!$B$51+14-49))*(1+(Cartera_Polizas!$P$51-1)*MAX(0,1-14/Supuestos!$C$20))*(1-Supuestos!$C$18)^14))</f>
        <v>0.319709766619891</v>
      </c>
      <c r="R49" s="29" t="n">
        <f aca="false">Q49*(1-MIN(1,INDEX(Tabla_Mortalidad!$B$5:$B$75,MIN(71,Cartera_Polizas!$B$51+15-49))*(1+(Cartera_Polizas!$P$51-1)*MAX(0,1-15/Supuestos!$C$20))*(1-Supuestos!$C$18)^15))</f>
        <v>0.285826823214</v>
      </c>
      <c r="S49" s="29" t="n">
        <f aca="false">R49*(1-MIN(1,INDEX(Tabla_Mortalidad!$B$5:$B$75,MIN(71,Cartera_Polizas!$B$51+16-49))*(1+(Cartera_Polizas!$P$51-1)*MAX(0,1-16/Supuestos!$C$20))*(1-Supuestos!$C$18)^16))</f>
        <v>0.252413053656545</v>
      </c>
      <c r="T49" s="29" t="n">
        <f aca="false">S49*(1-MIN(1,INDEX(Tabla_Mortalidad!$B$5:$B$75,MIN(71,Cartera_Polizas!$B$51+17-49))*(1+(Cartera_Polizas!$P$51-1)*MAX(0,1-17/Supuestos!$C$20))*(1-Supuestos!$C$18)^17))</f>
        <v>0.219889888226646</v>
      </c>
      <c r="U49" s="29" t="n">
        <f aca="false">T49*(1-MIN(1,INDEX(Tabla_Mortalidad!$B$5:$B$75,MIN(71,Cartera_Polizas!$B$51+18-49))*(1+(Cartera_Polizas!$P$51-1)*MAX(0,1-18/Supuestos!$C$20))*(1-Supuestos!$C$18)^18))</f>
        <v>0.188688997063939</v>
      </c>
      <c r="V49" s="29" t="n">
        <f aca="false">U49*(1-MIN(1,INDEX(Tabla_Mortalidad!$B$5:$B$75,MIN(71,Cartera_Polizas!$B$51+19-49))*(1+(Cartera_Polizas!$P$51-1)*MAX(0,1-19/Supuestos!$C$20))*(1-Supuestos!$C$18)^19))</f>
        <v>0.159233384954321</v>
      </c>
      <c r="W49" s="29" t="n">
        <f aca="false">V49*(1-MIN(1,INDEX(Tabla_Mortalidad!$B$5:$B$75,MIN(71,Cartera_Polizas!$B$51+20-49))*(1+(Cartera_Polizas!$P$51-1)*MAX(0,1-20/Supuestos!$C$20))*(1-Supuestos!$C$18)^20))</f>
        <v>0.131915116452573</v>
      </c>
      <c r="X49" s="29" t="n">
        <f aca="false">W49*(1-MIN(1,INDEX(Tabla_Mortalidad!$B$5:$B$75,MIN(71,Cartera_Polizas!$B$51+21-49))*(1+(Cartera_Polizas!$P$51-1)*MAX(0,1-21/Supuestos!$C$20))*(1-Supuestos!$C$18)^21))</f>
        <v>0.10707251976241</v>
      </c>
      <c r="Y49" s="29" t="n">
        <f aca="false">X49*(1-MIN(1,INDEX(Tabla_Mortalidad!$B$5:$B$75,MIN(71,Cartera_Polizas!$B$51+22-49))*(1+(Cartera_Polizas!$P$51-1)*MAX(0,1-22/Supuestos!$C$20))*(1-Supuestos!$C$18)^22))</f>
        <v>0.084967417596377</v>
      </c>
      <c r="Z49" s="29" t="n">
        <f aca="false">Y49*(1-MIN(1,INDEX(Tabla_Mortalidad!$B$5:$B$75,MIN(71,Cartera_Polizas!$B$51+23-49))*(1+(Cartera_Polizas!$P$51-1)*MAX(0,1-23/Supuestos!$C$20))*(1-Supuestos!$C$18)^23))</f>
        <v>0.0657652010652325</v>
      </c>
      <c r="AA49" s="29" t="n">
        <f aca="false">Z49*(1-MIN(1,INDEX(Tabla_Mortalidad!$B$5:$B$75,MIN(71,Cartera_Polizas!$B$51+24-49))*(1+(Cartera_Polizas!$P$51-1)*MAX(0,1-24/Supuestos!$C$20))*(1-Supuestos!$C$18)^24))</f>
        <v>0.049521462417501</v>
      </c>
      <c r="AB49" s="29" t="n">
        <f aca="false">AA49*(1-MIN(1,INDEX(Tabla_Mortalidad!$B$5:$B$75,MIN(71,Cartera_Polizas!$B$51+25-49))*(1+(Cartera_Polizas!$P$51-1)*MAX(0,1-25/Supuestos!$C$20))*(1-Supuestos!$C$18)^25))</f>
        <v>0.0361767946541319</v>
      </c>
      <c r="AC49" s="29" t="n">
        <f aca="false">AB49*(1-MIN(1,INDEX(Tabla_Mortalidad!$B$5:$B$75,MIN(71,Cartera_Polizas!$B$51+26-49))*(1+(Cartera_Polizas!$P$51-1)*MAX(0,1-26/Supuestos!$C$20))*(1-Supuestos!$C$18)^26))</f>
        <v>0.0255616092113891</v>
      </c>
      <c r="AD49" s="29" t="n">
        <f aca="false">AC49*(1-MIN(1,INDEX(Tabla_Mortalidad!$B$5:$B$75,MIN(71,Cartera_Polizas!$B$51+27-49))*(1+(Cartera_Polizas!$P$51-1)*MAX(0,1-27/Supuestos!$C$20))*(1-Supuestos!$C$18)^27))</f>
        <v>0.0174118963208768</v>
      </c>
      <c r="AE49" s="29" t="n">
        <f aca="false">AD49*(1-MIN(1,INDEX(Tabla_Mortalidad!$B$5:$B$75,MIN(71,Cartera_Polizas!$B$51+28-49))*(1+(Cartera_Polizas!$P$51-1)*MAX(0,1-28/Supuestos!$C$20))*(1-Supuestos!$C$18)^28))</f>
        <v>0.0113940309973758</v>
      </c>
      <c r="AF49" s="29" t="n">
        <f aca="false">AE49*(1-MIN(1,INDEX(Tabla_Mortalidad!$B$5:$B$75,MIN(71,Cartera_Polizas!$B$51+29-49))*(1+(Cartera_Polizas!$P$51-1)*MAX(0,1-29/Supuestos!$C$20))*(1-Supuestos!$C$18)^29))</f>
        <v>0.00713601406795208</v>
      </c>
      <c r="AG49" s="29" t="n">
        <f aca="false">AF49*(1-MIN(1,INDEX(Tabla_Mortalidad!$B$5:$B$75,MIN(71,Cartera_Polizas!$B$51+30-49))*(1+(Cartera_Polizas!$P$51-1)*MAX(0,1-30/Supuestos!$C$20))*(1-Supuestos!$C$18)^30))</f>
        <v>0.00426054055493665</v>
      </c>
      <c r="AH49" s="29" t="n">
        <f aca="false">AG49*(1-MIN(1,INDEX(Tabla_Mortalidad!$B$5:$B$75,MIN(71,Cartera_Polizas!$B$51+31-49))*(1+(Cartera_Polizas!$P$51-1)*MAX(0,1-31/Supuestos!$C$20))*(1-Supuestos!$C$18)^31))</f>
        <v>0.00241498793551694</v>
      </c>
      <c r="AI49" s="29" t="n">
        <f aca="false">AH49*(1-MIN(1,INDEX(Tabla_Mortalidad!$B$5:$B$75,MIN(71,Cartera_Polizas!$B$51+32-49))*(1+(Cartera_Polizas!$P$51-1)*MAX(0,1-32/Supuestos!$C$20))*(1-Supuestos!$C$18)^32))</f>
        <v>0.00129410567498394</v>
      </c>
      <c r="AJ49" s="29" t="n">
        <f aca="false">AI49*(1-MIN(1,INDEX(Tabla_Mortalidad!$B$5:$B$75,MIN(71,Cartera_Polizas!$B$51+33-49))*(1+(Cartera_Polizas!$P$51-1)*MAX(0,1-33/Supuestos!$C$20))*(1-Supuestos!$C$18)^33))</f>
        <v>0.000652805247992228</v>
      </c>
      <c r="AK49" s="29" t="n">
        <f aca="false">AJ49*(1-MIN(1,INDEX(Tabla_Mortalidad!$B$5:$B$75,MIN(71,Cartera_Polizas!$B$51+34-49))*(1+(Cartera_Polizas!$P$51-1)*MAX(0,1-34/Supuestos!$C$20))*(1-Supuestos!$C$18)^34))</f>
        <v>0.000308714167942073</v>
      </c>
      <c r="AL49" s="29" t="n">
        <f aca="false">AK49*(1-MIN(1,INDEX(Tabla_Mortalidad!$B$5:$B$75,MIN(71,Cartera_Polizas!$B$51+35-49))*(1+(Cartera_Polizas!$P$51-1)*MAX(0,1-35/Supuestos!$C$20))*(1-Supuestos!$C$18)^35))</f>
        <v>0.000136335674855532</v>
      </c>
      <c r="AM49" s="29" t="n">
        <f aca="false">AL49*(1-MIN(1,INDEX(Tabla_Mortalidad!$B$5:$B$75,MIN(71,Cartera_Polizas!$B$51+36-49))*(1+(Cartera_Polizas!$P$51-1)*MAX(0,1-36/Supuestos!$C$20))*(1-Supuestos!$C$18)^36))</f>
        <v>5.60373182839395E-005</v>
      </c>
      <c r="AN49" s="29" t="n">
        <f aca="false">AM49*(1-MIN(1,INDEX(Tabla_Mortalidad!$B$5:$B$75,MIN(71,Cartera_Polizas!$B$51+37-49))*(1+(Cartera_Polizas!$P$51-1)*MAX(0,1-37/Supuestos!$C$20))*(1-Supuestos!$C$18)^37))</f>
        <v>2.13810777211517E-005</v>
      </c>
      <c r="AO49" s="29" t="n">
        <f aca="false">AN49*(1-MIN(1,INDEX(Tabla_Mortalidad!$B$5:$B$75,MIN(71,Cartera_Polizas!$B$51+38-49))*(1+(Cartera_Polizas!$P$51-1)*MAX(0,1-38/Supuestos!$C$20))*(1-Supuestos!$C$18)^38))</f>
        <v>7.56157838807251E-006</v>
      </c>
      <c r="AP49" s="29" t="n">
        <f aca="false">AO49*(1-MIN(1,INDEX(Tabla_Mortalidad!$B$5:$B$75,MIN(71,Cartera_Polizas!$B$51+39-49))*(1+(Cartera_Polizas!$P$51-1)*MAX(0,1-39/Supuestos!$C$20))*(1-Supuestos!$C$18)^39))</f>
        <v>2.47856555608325E-006</v>
      </c>
      <c r="AQ49" s="29" t="n">
        <f aca="false">AP49*(1-MIN(1,INDEX(Tabla_Mortalidad!$B$5:$B$75,MIN(71,Cartera_Polizas!$B$51+40-49))*(1+(Cartera_Polizas!$P$51-1)*MAX(0,1-40/Supuestos!$C$20))*(1-Supuestos!$C$18)^40))</f>
        <v>7.54311250231506E-007</v>
      </c>
      <c r="AR49" s="29" t="n">
        <f aca="false">AQ49*(1-MIN(1,INDEX(Tabla_Mortalidad!$B$5:$B$75,MIN(71,Cartera_Polizas!$B$51+41-49))*(1+(Cartera_Polizas!$P$51-1)*MAX(0,1-41/Supuestos!$C$20))*(1-Supuestos!$C$18)^41))</f>
        <v>2.1395661808E-007</v>
      </c>
      <c r="AS49" s="29" t="n">
        <f aca="false">AR49*(1-MIN(1,INDEX(Tabla_Mortalidad!$B$5:$B$75,MIN(71,Cartera_Polizas!$B$51+42-49))*(1+(Cartera_Polizas!$P$51-1)*MAX(0,1-42/Supuestos!$C$20))*(1-Supuestos!$C$18)^42))</f>
        <v>5.69046272626445E-008</v>
      </c>
      <c r="AT49" s="29" t="n">
        <f aca="false">AS49*(1-MIN(1,INDEX(Tabla_Mortalidad!$B$5:$B$75,MIN(71,Cartera_Polizas!$B$51+43-49))*(1+(Cartera_Polizas!$P$51-1)*MAX(0,1-43/Supuestos!$C$20))*(1-Supuestos!$C$18)^43))</f>
        <v>1.43072134944399E-008</v>
      </c>
      <c r="AU49" s="29" t="n">
        <f aca="false">AT49*(1-MIN(1,INDEX(Tabla_Mortalidad!$B$5:$B$75,MIN(71,Cartera_Polizas!$B$51+44-49))*(1+(Cartera_Polizas!$P$51-1)*MAX(0,1-44/Supuestos!$C$20))*(1-Supuestos!$C$18)^44))</f>
        <v>3.43424834966222E-009</v>
      </c>
    </row>
    <row r="50" customFormat="false" ht="15" hidden="false" customHeight="false" outlineLevel="0" collapsed="false">
      <c r="A50" s="14" t="n">
        <f aca="false">Cartera_Polizas!A52</f>
        <v>47</v>
      </c>
      <c r="B50" s="26" t="n">
        <f aca="false">SUM(C50:AU50)+0.5</f>
        <v>4.19851853474974</v>
      </c>
      <c r="C50" s="29" t="n">
        <f aca="false">1-MIN(1,INDEX(Tabla_Mortalidad!$B$5:$B$75,MIN(71,Cartera_Polizas!$B$52+0-49))*(1+(Cartera_Polizas!$P$52-1)*MAX(0,1-0/Supuestos!$C$20))*(1-Supuestos!$C$18)^0)</f>
        <v>0.82542439</v>
      </c>
      <c r="D50" s="29" t="n">
        <f aca="false">C50*(1-MIN(1,INDEX(Tabla_Mortalidad!$B$5:$B$75,MIN(71,Cartera_Polizas!$B$52+1-49))*(1+(Cartera_Polizas!$P$52-1)*MAX(0,1-1/Supuestos!$C$20))*(1-Supuestos!$C$18)^1))</f>
        <v>0.671706983285505</v>
      </c>
      <c r="E50" s="29" t="n">
        <f aca="false">D50*(1-MIN(1,INDEX(Tabla_Mortalidad!$B$5:$B$75,MIN(71,Cartera_Polizas!$B$52+2-49))*(1+(Cartera_Polizas!$P$52-1)*MAX(0,1-2/Supuestos!$C$20))*(1-Supuestos!$C$18)^2))</f>
        <v>0.538517335657787</v>
      </c>
      <c r="F50" s="29" t="n">
        <f aca="false">E50*(1-MIN(1,INDEX(Tabla_Mortalidad!$B$5:$B$75,MIN(71,Cartera_Polizas!$B$52+3-49))*(1+(Cartera_Polizas!$P$52-1)*MAX(0,1-3/Supuestos!$C$20))*(1-Supuestos!$C$18)^3))</f>
        <v>0.425054458833621</v>
      </c>
      <c r="G50" s="29" t="n">
        <f aca="false">F50*(1-MIN(1,INDEX(Tabla_Mortalidad!$B$5:$B$75,MIN(71,Cartera_Polizas!$B$52+4-49))*(1+(Cartera_Polizas!$P$52-1)*MAX(0,1-4/Supuestos!$C$20))*(1-Supuestos!$C$18)^4))</f>
        <v>0.330102982089506</v>
      </c>
      <c r="H50" s="29" t="n">
        <f aca="false">G50*(1-MIN(1,INDEX(Tabla_Mortalidad!$B$5:$B$75,MIN(71,Cartera_Polizas!$B$52+5-49))*(1+(Cartera_Polizas!$P$52-1)*MAX(0,1-5/Supuestos!$C$20))*(1-Supuestos!$C$18)^5))</f>
        <v>0.252108840766507</v>
      </c>
      <c r="I50" s="29" t="n">
        <f aca="false">H50*(1-MIN(1,INDEX(Tabla_Mortalidad!$B$5:$B$75,MIN(71,Cartera_Polizas!$B$52+6-49))*(1+(Cartera_Polizas!$P$52-1)*MAX(0,1-6/Supuestos!$C$20))*(1-Supuestos!$C$18)^6))</f>
        <v>0.189272866702994</v>
      </c>
      <c r="J50" s="29" t="n">
        <f aca="false">I50*(1-MIN(1,INDEX(Tabla_Mortalidad!$B$5:$B$75,MIN(71,Cartera_Polizas!$B$52+7-49))*(1+(Cartera_Polizas!$P$52-1)*MAX(0,1-7/Supuestos!$C$20))*(1-Supuestos!$C$18)^7))</f>
        <v>0.139652920089381</v>
      </c>
      <c r="K50" s="29" t="n">
        <f aca="false">J50*(1-MIN(1,INDEX(Tabla_Mortalidad!$B$5:$B$75,MIN(71,Cartera_Polizas!$B$52+8-49))*(1+(Cartera_Polizas!$P$52-1)*MAX(0,1-8/Supuestos!$C$20))*(1-Supuestos!$C$18)^8))</f>
        <v>0.101265812589724</v>
      </c>
      <c r="L50" s="29" t="n">
        <f aca="false">K50*(1-MIN(1,INDEX(Tabla_Mortalidad!$B$5:$B$75,MIN(71,Cartera_Polizas!$B$52+9-49))*(1+(Cartera_Polizas!$P$52-1)*MAX(0,1-9/Supuestos!$C$20))*(1-Supuestos!$C$18)^9))</f>
        <v>0.0721825753098621</v>
      </c>
      <c r="M50" s="29" t="n">
        <f aca="false">L50*(1-MIN(1,INDEX(Tabla_Mortalidad!$B$5:$B$75,MIN(71,Cartera_Polizas!$B$52+10-49))*(1+(Cartera_Polizas!$P$52-1)*MAX(0,1-10/Supuestos!$C$20))*(1-Supuestos!$C$18)^10))</f>
        <v>0.0506065242945266</v>
      </c>
      <c r="N50" s="29" t="n">
        <f aca="false">M50*(1-MIN(1,INDEX(Tabla_Mortalidad!$B$5:$B$75,MIN(71,Cartera_Polizas!$B$52+11-49))*(1+(Cartera_Polizas!$P$52-1)*MAX(0,1-11/Supuestos!$C$20))*(1-Supuestos!$C$18)^11))</f>
        <v>0.0349302599166673</v>
      </c>
      <c r="O50" s="29" t="n">
        <f aca="false">N50*(1-MIN(1,INDEX(Tabla_Mortalidad!$B$5:$B$75,MIN(71,Cartera_Polizas!$B$52+12-49))*(1+(Cartera_Polizas!$P$52-1)*MAX(0,1-12/Supuestos!$C$20))*(1-Supuestos!$C$18)^12))</f>
        <v>0.0237703168841556</v>
      </c>
      <c r="P50" s="29" t="n">
        <f aca="false">O50*(1-MIN(1,INDEX(Tabla_Mortalidad!$B$5:$B$75,MIN(71,Cartera_Polizas!$B$52+13-49))*(1+(Cartera_Polizas!$P$52-1)*MAX(0,1-13/Supuestos!$C$20))*(1-Supuestos!$C$18)^13))</f>
        <v>0.0159791194941576</v>
      </c>
      <c r="Q50" s="29" t="n">
        <f aca="false">P50*(1-MIN(1,INDEX(Tabla_Mortalidad!$B$5:$B$75,MIN(71,Cartera_Polizas!$B$52+14-49))*(1+(Cartera_Polizas!$P$52-1)*MAX(0,1-14/Supuestos!$C$20))*(1-Supuestos!$C$18)^14))</f>
        <v>0.0106379278449227</v>
      </c>
      <c r="R50" s="29" t="n">
        <f aca="false">Q50*(1-MIN(1,INDEX(Tabla_Mortalidad!$B$5:$B$75,MIN(71,Cartera_Polizas!$B$52+15-49))*(1+(Cartera_Polizas!$P$52-1)*MAX(0,1-15/Supuestos!$C$20))*(1-Supuestos!$C$18)^15))</f>
        <v>0.00703600679480662</v>
      </c>
      <c r="S50" s="29" t="n">
        <f aca="false">R50*(1-MIN(1,INDEX(Tabla_Mortalidad!$B$5:$B$75,MIN(71,Cartera_Polizas!$B$52+16-49))*(1+(Cartera_Polizas!$P$52-1)*MAX(0,1-16/Supuestos!$C$20))*(1-Supuestos!$C$18)^16))</f>
        <v>0.00445347502400309</v>
      </c>
      <c r="T50" s="29" t="n">
        <f aca="false">S50*(1-MIN(1,INDEX(Tabla_Mortalidad!$B$5:$B$75,MIN(71,Cartera_Polizas!$B$52+17-49))*(1+(Cartera_Polizas!$P$52-1)*MAX(0,1-17/Supuestos!$C$20))*(1-Supuestos!$C$18)^17))</f>
        <v>0.00268600507192979</v>
      </c>
      <c r="U50" s="29" t="n">
        <f aca="false">T50*(1-MIN(1,INDEX(Tabla_Mortalidad!$B$5:$B$75,MIN(71,Cartera_Polizas!$B$52+18-49))*(1+(Cartera_Polizas!$P$52-1)*MAX(0,1-18/Supuestos!$C$20))*(1-Supuestos!$C$18)^18))</f>
        <v>0.00153657241085177</v>
      </c>
      <c r="V50" s="29" t="n">
        <f aca="false">U50*(1-MIN(1,INDEX(Tabla_Mortalidad!$B$5:$B$75,MIN(71,Cartera_Polizas!$B$52+19-49))*(1+(Cartera_Polizas!$P$52-1)*MAX(0,1-19/Supuestos!$C$20))*(1-Supuestos!$C$18)^19))</f>
        <v>0.000829705274851281</v>
      </c>
      <c r="W50" s="29" t="n">
        <f aca="false">V50*(1-MIN(1,INDEX(Tabla_Mortalidad!$B$5:$B$75,MIN(71,Cartera_Polizas!$B$52+20-49))*(1+(Cartera_Polizas!$P$52-1)*MAX(0,1-20/Supuestos!$C$20))*(1-Supuestos!$C$18)^20))</f>
        <v>0.000420734840633699</v>
      </c>
      <c r="X50" s="29" t="n">
        <f aca="false">W50*(1-MIN(1,INDEX(Tabla_Mortalidad!$B$5:$B$75,MIN(71,Cartera_Polizas!$B$52+21-49))*(1+(Cartera_Polizas!$P$52-1)*MAX(0,1-21/Supuestos!$C$20))*(1-Supuestos!$C$18)^21))</f>
        <v>0.00019931155266267</v>
      </c>
      <c r="Y50" s="29" t="n">
        <f aca="false">X50*(1-MIN(1,INDEX(Tabla_Mortalidad!$B$5:$B$75,MIN(71,Cartera_Polizas!$B$52+22-49))*(1+(Cartera_Polizas!$P$52-1)*MAX(0,1-22/Supuestos!$C$20))*(1-Supuestos!$C$18)^22))</f>
        <v>8.77421055903721E-005</v>
      </c>
      <c r="Z50" s="29" t="n">
        <f aca="false">Y50*(1-MIN(1,INDEX(Tabla_Mortalidad!$B$5:$B$75,MIN(71,Cartera_Polizas!$B$52+23-49))*(1+(Cartera_Polizas!$P$52-1)*MAX(0,1-23/Supuestos!$C$20))*(1-Supuestos!$C$18)^23))</f>
        <v>3.5711653213164E-005</v>
      </c>
      <c r="AA50" s="29" t="n">
        <f aca="false">Z50*(1-MIN(1,INDEX(Tabla_Mortalidad!$B$5:$B$75,MIN(71,Cartera_Polizas!$B$52+24-49))*(1+(Cartera_Polizas!$P$52-1)*MAX(0,1-24/Supuestos!$C$20))*(1-Supuestos!$C$18)^24))</f>
        <v>1.33743812804384E-005</v>
      </c>
      <c r="AB50" s="29" t="n">
        <f aca="false">AA50*(1-MIN(1,INDEX(Tabla_Mortalidad!$B$5:$B$75,MIN(71,Cartera_Polizas!$B$52+25-49))*(1+(Cartera_Polizas!$P$52-1)*MAX(0,1-25/Supuestos!$C$20))*(1-Supuestos!$C$18)^25))</f>
        <v>4.59020915676113E-006</v>
      </c>
      <c r="AC50" s="29" t="n">
        <f aca="false">AB50*(1-MIN(1,INDEX(Tabla_Mortalidad!$B$5:$B$75,MIN(71,Cartera_Polizas!$B$52+26-49))*(1+(Cartera_Polizas!$P$52-1)*MAX(0,1-26/Supuestos!$C$20))*(1-Supuestos!$C$18)^26))</f>
        <v>1.43942811907235E-006</v>
      </c>
      <c r="AD50" s="29" t="n">
        <f aca="false">AC50*(1-MIN(1,INDEX(Tabla_Mortalidad!$B$5:$B$75,MIN(71,Cartera_Polizas!$B$52+27-49))*(1+(Cartera_Polizas!$P$52-1)*MAX(0,1-27/Supuestos!$C$20))*(1-Supuestos!$C$18)^27))</f>
        <v>4.1183364357367E-007</v>
      </c>
      <c r="AE50" s="29" t="n">
        <f aca="false">AD50*(1-MIN(1,INDEX(Tabla_Mortalidad!$B$5:$B$75,MIN(71,Cartera_Polizas!$B$52+28-49))*(1+(Cartera_Polizas!$P$52-1)*MAX(0,1-28/Supuestos!$C$20))*(1-Supuestos!$C$18)^28))</f>
        <v>1.0757301209667E-007</v>
      </c>
      <c r="AF50" s="29" t="n">
        <f aca="false">AE50*(1-MIN(1,INDEX(Tabla_Mortalidad!$B$5:$B$75,MIN(71,Cartera_Polizas!$B$52+29-49))*(1+(Cartera_Polizas!$P$52-1)*MAX(0,1-29/Supuestos!$C$20))*(1-Supuestos!$C$18)^29))</f>
        <v>2.57350786753884E-008</v>
      </c>
      <c r="AG50" s="29" t="n">
        <f aca="false">AF50*(1-MIN(1,INDEX(Tabla_Mortalidad!$B$5:$B$75,MIN(71,Cartera_Polizas!$B$52+30-49))*(1+(Cartera_Polizas!$P$52-1)*MAX(0,1-30/Supuestos!$C$20))*(1-Supuestos!$C$18)^30))</f>
        <v>5.67344699687729E-009</v>
      </c>
      <c r="AH50" s="29" t="n">
        <f aca="false">AG50*(1-MIN(1,INDEX(Tabla_Mortalidad!$B$5:$B$75,MIN(71,Cartera_Polizas!$B$52+31-49))*(1+(Cartera_Polizas!$P$52-1)*MAX(0,1-31/Supuestos!$C$20))*(1-Supuestos!$C$18)^31))</f>
        <v>1.16314437217903E-009</v>
      </c>
      <c r="AI50" s="29" t="n">
        <f aca="false">AH50*(1-MIN(1,INDEX(Tabla_Mortalidad!$B$5:$B$75,MIN(71,Cartera_Polizas!$B$52+32-49))*(1+(Cartera_Polizas!$P$52-1)*MAX(0,1-32/Supuestos!$C$20))*(1-Supuestos!$C$18)^32))</f>
        <v>2.24395144355715E-010</v>
      </c>
      <c r="AJ50" s="29" t="n">
        <f aca="false">AI50*(1-MIN(1,INDEX(Tabla_Mortalidad!$B$5:$B$75,MIN(71,Cartera_Polizas!$B$52+33-49))*(1+(Cartera_Polizas!$P$52-1)*MAX(0,1-33/Supuestos!$C$20))*(1-Supuestos!$C$18)^33))</f>
        <v>3.4210644114466E-011</v>
      </c>
      <c r="AK50" s="29" t="n">
        <f aca="false">AJ50*(1-MIN(1,INDEX(Tabla_Mortalidad!$B$5:$B$75,MIN(71,Cartera_Polizas!$B$52+34-49))*(1+(Cartera_Polizas!$P$52-1)*MAX(0,1-34/Supuestos!$C$20))*(1-Supuestos!$C$18)^34))</f>
        <v>5.36063222512961E-012</v>
      </c>
      <c r="AL50" s="29" t="n">
        <f aca="false">AK50*(1-MIN(1,INDEX(Tabla_Mortalidad!$B$5:$B$75,MIN(71,Cartera_Polizas!$B$52+35-49))*(1+(Cartera_Polizas!$P$52-1)*MAX(0,1-35/Supuestos!$C$20))*(1-Supuestos!$C$18)^35))</f>
        <v>8.6258678063786E-013</v>
      </c>
      <c r="AM50" s="29" t="n">
        <f aca="false">AL50*(1-MIN(1,INDEX(Tabla_Mortalidad!$B$5:$B$75,MIN(71,Cartera_Polizas!$B$52+36-49))*(1+(Cartera_Polizas!$P$52-1)*MAX(0,1-36/Supuestos!$C$20))*(1-Supuestos!$C$18)^36))</f>
        <v>1.42418971263854E-013</v>
      </c>
      <c r="AN50" s="29" t="n">
        <f aca="false">AM50*(1-MIN(1,INDEX(Tabla_Mortalidad!$B$5:$B$75,MIN(71,Cartera_Polizas!$B$52+37-49))*(1+(Cartera_Polizas!$P$52-1)*MAX(0,1-37/Supuestos!$C$20))*(1-Supuestos!$C$18)^37))</f>
        <v>2.41088683891239E-014</v>
      </c>
      <c r="AO50" s="29" t="n">
        <f aca="false">AN50*(1-MIN(1,INDEX(Tabla_Mortalidad!$B$5:$B$75,MIN(71,Cartera_Polizas!$B$52+38-49))*(1+(Cartera_Polizas!$P$52-1)*MAX(0,1-38/Supuestos!$C$20))*(1-Supuestos!$C$18)^38))</f>
        <v>4.18131898591935E-015</v>
      </c>
      <c r="AP50" s="29" t="n">
        <f aca="false">AO50*(1-MIN(1,INDEX(Tabla_Mortalidad!$B$5:$B$75,MIN(71,Cartera_Polizas!$B$52+39-49))*(1+(Cartera_Polizas!$P$52-1)*MAX(0,1-39/Supuestos!$C$20))*(1-Supuestos!$C$18)^39))</f>
        <v>7.42467268741533E-016</v>
      </c>
      <c r="AQ50" s="29" t="n">
        <f aca="false">AP50*(1-MIN(1,INDEX(Tabla_Mortalidad!$B$5:$B$75,MIN(71,Cartera_Polizas!$B$52+40-49))*(1+(Cartera_Polizas!$P$52-1)*MAX(0,1-40/Supuestos!$C$20))*(1-Supuestos!$C$18)^40))</f>
        <v>1.34891363529587E-016</v>
      </c>
      <c r="AR50" s="29" t="n">
        <f aca="false">AQ50*(1-MIN(1,INDEX(Tabla_Mortalidad!$B$5:$B$75,MIN(71,Cartera_Polizas!$B$52+41-49))*(1+(Cartera_Polizas!$P$52-1)*MAX(0,1-41/Supuestos!$C$20))*(1-Supuestos!$C$18)^41))</f>
        <v>2.50589681857841E-017</v>
      </c>
      <c r="AS50" s="29" t="n">
        <f aca="false">AR50*(1-MIN(1,INDEX(Tabla_Mortalidad!$B$5:$B$75,MIN(71,Cartera_Polizas!$B$52+42-49))*(1+(Cartera_Polizas!$P$52-1)*MAX(0,1-42/Supuestos!$C$20))*(1-Supuestos!$C$18)^42))</f>
        <v>4.75726022962789E-018</v>
      </c>
      <c r="AT50" s="29" t="n">
        <f aca="false">AS50*(1-MIN(1,INDEX(Tabla_Mortalidad!$B$5:$B$75,MIN(71,Cartera_Polizas!$B$52+43-49))*(1+(Cartera_Polizas!$P$52-1)*MAX(0,1-43/Supuestos!$C$20))*(1-Supuestos!$C$18)^43))</f>
        <v>9.22401403772829E-019</v>
      </c>
      <c r="AU50" s="29" t="n">
        <f aca="false">AT50*(1-MIN(1,INDEX(Tabla_Mortalidad!$B$5:$B$75,MIN(71,Cartera_Polizas!$B$52+44-49))*(1+(Cartera_Polizas!$P$52-1)*MAX(0,1-44/Supuestos!$C$20))*(1-Supuestos!$C$18)^44))</f>
        <v>1.82565321967097E-019</v>
      </c>
    </row>
    <row r="51" customFormat="false" ht="15" hidden="false" customHeight="false" outlineLevel="0" collapsed="false">
      <c r="A51" s="14" t="n">
        <f aca="false">Cartera_Polizas!A53</f>
        <v>48</v>
      </c>
      <c r="B51" s="26" t="n">
        <f aca="false">SUM(C51:AU51)+0.5</f>
        <v>7.42841297818769</v>
      </c>
      <c r="C51" s="29" t="n">
        <f aca="false">1-MIN(1,INDEX(Tabla_Mortalidad!$B$5:$B$75,MIN(71,Cartera_Polizas!$B$53+0-49))*(1+(Cartera_Polizas!$P$53-1)*MAX(0,1-0/Supuestos!$C$20))*(1-Supuestos!$C$18)^0)</f>
        <v>0.923778118</v>
      </c>
      <c r="D51" s="29" t="n">
        <f aca="false">C51*(1-MIN(1,INDEX(Tabla_Mortalidad!$B$5:$B$75,MIN(71,Cartera_Polizas!$B$53+1-49))*(1+(Cartera_Polizas!$P$53-1)*MAX(0,1-1/Supuestos!$C$20))*(1-Supuestos!$C$18)^1))</f>
        <v>0.846905955701202</v>
      </c>
      <c r="E51" s="29" t="n">
        <f aca="false">D51*(1-MIN(1,INDEX(Tabla_Mortalidad!$B$5:$B$75,MIN(71,Cartera_Polizas!$B$53+2-49))*(1+(Cartera_Polizas!$P$53-1)*MAX(0,1-2/Supuestos!$C$20))*(1-Supuestos!$C$18)^2))</f>
        <v>0.770009857770621</v>
      </c>
      <c r="F51" s="29" t="n">
        <f aca="false">E51*(1-MIN(1,INDEX(Tabla_Mortalidad!$B$5:$B$75,MIN(71,Cartera_Polizas!$B$53+3-49))*(1+(Cartera_Polizas!$P$53-1)*MAX(0,1-3/Supuestos!$C$20))*(1-Supuestos!$C$18)^3))</f>
        <v>0.693777275224069</v>
      </c>
      <c r="G51" s="29" t="n">
        <f aca="false">F51*(1-MIN(1,INDEX(Tabla_Mortalidad!$B$5:$B$75,MIN(71,Cartera_Polizas!$B$53+4-49))*(1+(Cartera_Polizas!$P$53-1)*MAX(0,1-4/Supuestos!$C$20))*(1-Supuestos!$C$18)^4))</f>
        <v>0.618936250231939</v>
      </c>
      <c r="H51" s="29" t="n">
        <f aca="false">G51*(1-MIN(1,INDEX(Tabla_Mortalidad!$B$5:$B$75,MIN(71,Cartera_Polizas!$B$53+5-49))*(1+(Cartera_Polizas!$P$53-1)*MAX(0,1-5/Supuestos!$C$20))*(1-Supuestos!$C$18)^5))</f>
        <v>0.546242189721952</v>
      </c>
      <c r="I51" s="29" t="n">
        <f aca="false">H51*(1-MIN(1,INDEX(Tabla_Mortalidad!$B$5:$B$75,MIN(71,Cartera_Polizas!$B$53+6-49))*(1+(Cartera_Polizas!$P$53-1)*MAX(0,1-6/Supuestos!$C$20))*(1-Supuestos!$C$18)^6))</f>
        <v>0.476450134069224</v>
      </c>
      <c r="J51" s="29" t="n">
        <f aca="false">I51*(1-MIN(1,INDEX(Tabla_Mortalidad!$B$5:$B$75,MIN(71,Cartera_Polizas!$B$53+7-49))*(1+(Cartera_Polizas!$P$53-1)*MAX(0,1-7/Supuestos!$C$20))*(1-Supuestos!$C$18)^7))</f>
        <v>0.410288441515204</v>
      </c>
      <c r="K51" s="29" t="n">
        <f aca="false">J51*(1-MIN(1,INDEX(Tabla_Mortalidad!$B$5:$B$75,MIN(71,Cartera_Polizas!$B$53+8-49))*(1+(Cartera_Polizas!$P$53-1)*MAX(0,1-8/Supuestos!$C$20))*(1-Supuestos!$C$18)^8))</f>
        <v>0.348428218129793</v>
      </c>
      <c r="L51" s="29" t="n">
        <f aca="false">K51*(1-MIN(1,INDEX(Tabla_Mortalidad!$B$5:$B$75,MIN(71,Cartera_Polizas!$B$53+9-49))*(1+(Cartera_Polizas!$P$53-1)*MAX(0,1-9/Supuestos!$C$20))*(1-Supuestos!$C$18)^9))</f>
        <v>0.291452309416077</v>
      </c>
      <c r="M51" s="29" t="n">
        <f aca="false">L51*(1-MIN(1,INDEX(Tabla_Mortalidad!$B$5:$B$75,MIN(71,Cartera_Polizas!$B$53+10-49))*(1+(Cartera_Polizas!$P$53-1)*MAX(0,1-10/Supuestos!$C$20))*(1-Supuestos!$C$18)^10))</f>
        <v>0.239825231570593</v>
      </c>
      <c r="N51" s="29" t="n">
        <f aca="false">M51*(1-MIN(1,INDEX(Tabla_Mortalidad!$B$5:$B$75,MIN(71,Cartera_Polizas!$B$53+11-49))*(1+(Cartera_Polizas!$P$53-1)*MAX(0,1-11/Supuestos!$C$20))*(1-Supuestos!$C$18)^11))</f>
        <v>0.193866398960195</v>
      </c>
      <c r="O51" s="29" t="n">
        <f aca="false">N51*(1-MIN(1,INDEX(Tabla_Mortalidad!$B$5:$B$75,MIN(71,Cartera_Polizas!$B$53+12-49))*(1+(Cartera_Polizas!$P$53-1)*MAX(0,1-12/Supuestos!$C$20))*(1-Supuestos!$C$18)^12))</f>
        <v>0.153731950009468</v>
      </c>
      <c r="P51" s="29" t="n">
        <f aca="false">O51*(1-MIN(1,INDEX(Tabla_Mortalidad!$B$5:$B$75,MIN(71,Cartera_Polizas!$B$53+13-49))*(1+(Cartera_Polizas!$P$53-1)*MAX(0,1-13/Supuestos!$C$20))*(1-Supuestos!$C$18)^13))</f>
        <v>0.119404981950202</v>
      </c>
      <c r="Q51" s="29" t="n">
        <f aca="false">P51*(1-MIN(1,INDEX(Tabla_Mortalidad!$B$5:$B$75,MIN(71,Cartera_Polizas!$B$53+14-49))*(1+(Cartera_Polizas!$P$53-1)*MAX(0,1-14/Supuestos!$C$20))*(1-Supuestos!$C$18)^14))</f>
        <v>0.0906967697817653</v>
      </c>
      <c r="R51" s="29" t="n">
        <f aca="false">Q51*(1-MIN(1,INDEX(Tabla_Mortalidad!$B$5:$B$75,MIN(71,Cartera_Polizas!$B$53+15-49))*(1+(Cartera_Polizas!$P$53-1)*MAX(0,1-15/Supuestos!$C$20))*(1-Supuestos!$C$18)^15))</f>
        <v>0.0672612854103879</v>
      </c>
      <c r="S51" s="29" t="n">
        <f aca="false">R51*(1-MIN(1,INDEX(Tabla_Mortalidad!$B$5:$B$75,MIN(71,Cartera_Polizas!$B$53+16-49))*(1+(Cartera_Polizas!$P$53-1)*MAX(0,1-16/Supuestos!$C$20))*(1-Supuestos!$C$18)^16))</f>
        <v>0.0482998268834235</v>
      </c>
      <c r="T51" s="29" t="n">
        <f aca="false">S51*(1-MIN(1,INDEX(Tabla_Mortalidad!$B$5:$B$75,MIN(71,Cartera_Polizas!$B$53+17-49))*(1+(Cartera_Polizas!$P$53-1)*MAX(0,1-17/Supuestos!$C$20))*(1-Supuestos!$C$18)^17))</f>
        <v>0.0334734393284152</v>
      </c>
      <c r="U51" s="29" t="n">
        <f aca="false">T51*(1-MIN(1,INDEX(Tabla_Mortalidad!$B$5:$B$75,MIN(71,Cartera_Polizas!$B$53+18-49))*(1+(Cartera_Polizas!$P$53-1)*MAX(0,1-18/Supuestos!$C$20))*(1-Supuestos!$C$18)^18))</f>
        <v>0.022308747786746</v>
      </c>
      <c r="V51" s="29" t="n">
        <f aca="false">U51*(1-MIN(1,INDEX(Tabla_Mortalidad!$B$5:$B$75,MIN(71,Cartera_Polizas!$B$53+19-49))*(1+(Cartera_Polizas!$P$53-1)*MAX(0,1-19/Supuestos!$C$20))*(1-Supuestos!$C$18)^19))</f>
        <v>0.0142426430188788</v>
      </c>
      <c r="W51" s="29" t="n">
        <f aca="false">V51*(1-MIN(1,INDEX(Tabla_Mortalidad!$B$5:$B$75,MIN(71,Cartera_Polizas!$B$53+20-49))*(1+(Cartera_Polizas!$P$53-1)*MAX(0,1-20/Supuestos!$C$20))*(1-Supuestos!$C$18)^20))</f>
        <v>0.00867446835790068</v>
      </c>
      <c r="X51" s="29" t="n">
        <f aca="false">W51*(1-MIN(1,INDEX(Tabla_Mortalidad!$B$5:$B$75,MIN(71,Cartera_Polizas!$B$53+21-49))*(1+(Cartera_Polizas!$P$53-1)*MAX(0,1-21/Supuestos!$C$20))*(1-Supuestos!$C$18)^21))</f>
        <v>0.0050177727137129</v>
      </c>
      <c r="Y51" s="29" t="n">
        <f aca="false">X51*(1-MIN(1,INDEX(Tabla_Mortalidad!$B$5:$B$75,MIN(71,Cartera_Polizas!$B$53+22-49))*(1+(Cartera_Polizas!$P$53-1)*MAX(0,1-22/Supuestos!$C$20))*(1-Supuestos!$C$18)^22))</f>
        <v>0.00274390608875321</v>
      </c>
      <c r="Z51" s="29" t="n">
        <f aca="false">Y51*(1-MIN(1,INDEX(Tabla_Mortalidad!$B$5:$B$75,MIN(71,Cartera_Polizas!$B$53+23-49))*(1+(Cartera_Polizas!$P$53-1)*MAX(0,1-23/Supuestos!$C$20))*(1-Supuestos!$C$18)^23))</f>
        <v>0.00141159222493928</v>
      </c>
      <c r="AA51" s="29" t="n">
        <f aca="false">Z51*(1-MIN(1,INDEX(Tabla_Mortalidad!$B$5:$B$75,MIN(71,Cartera_Polizas!$B$53+24-49))*(1+(Cartera_Polizas!$P$53-1)*MAX(0,1-24/Supuestos!$C$20))*(1-Supuestos!$C$18)^24))</f>
        <v>0.000679790686313901</v>
      </c>
      <c r="AB51" s="29" t="n">
        <f aca="false">AA51*(1-MIN(1,INDEX(Tabla_Mortalidad!$B$5:$B$75,MIN(71,Cartera_Polizas!$B$53+25-49))*(1+(Cartera_Polizas!$P$53-1)*MAX(0,1-25/Supuestos!$C$20))*(1-Supuestos!$C$18)^25))</f>
        <v>0.000304940905938778</v>
      </c>
      <c r="AC51" s="29" t="n">
        <f aca="false">AB51*(1-MIN(1,INDEX(Tabla_Mortalidad!$B$5:$B$75,MIN(71,Cartera_Polizas!$B$53+26-49))*(1+(Cartera_Polizas!$P$53-1)*MAX(0,1-26/Supuestos!$C$20))*(1-Supuestos!$C$18)^26))</f>
        <v>0.000126811968154542</v>
      </c>
      <c r="AD51" s="29" t="n">
        <f aca="false">AC51*(1-MIN(1,INDEX(Tabla_Mortalidad!$B$5:$B$75,MIN(71,Cartera_Polizas!$B$53+27-49))*(1+(Cartera_Polizas!$P$53-1)*MAX(0,1-27/Supuestos!$C$20))*(1-Supuestos!$C$18)^27))</f>
        <v>4.86762405110012E-005</v>
      </c>
      <c r="AE51" s="29" t="n">
        <f aca="false">AD51*(1-MIN(1,INDEX(Tabla_Mortalidad!$B$5:$B$75,MIN(71,Cartera_Polizas!$B$53+28-49))*(1+(Cartera_Polizas!$P$53-1)*MAX(0,1-28/Supuestos!$C$20))*(1-Supuestos!$C$18)^28))</f>
        <v>1.71832858752954E-005</v>
      </c>
      <c r="AF51" s="29" t="n">
        <f aca="false">AE51*(1-MIN(1,INDEX(Tabla_Mortalidad!$B$5:$B$75,MIN(71,Cartera_Polizas!$B$53+29-49))*(1+(Cartera_Polizas!$P$53-1)*MAX(0,1-29/Supuestos!$C$20))*(1-Supuestos!$C$18)^29))</f>
        <v>5.56448775511713E-006</v>
      </c>
      <c r="AG51" s="29" t="n">
        <f aca="false">AF51*(1-MIN(1,INDEX(Tabla_Mortalidad!$B$5:$B$75,MIN(71,Cartera_Polizas!$B$53+30-49))*(1+(Cartera_Polizas!$P$53-1)*MAX(0,1-30/Supuestos!$C$20))*(1-Supuestos!$C$18)^30))</f>
        <v>1.65134031386978E-006</v>
      </c>
      <c r="AH51" s="29" t="n">
        <f aca="false">AG51*(1-MIN(1,INDEX(Tabla_Mortalidad!$B$5:$B$75,MIN(71,Cartera_Polizas!$B$53+31-49))*(1+(Cartera_Polizas!$P$53-1)*MAX(0,1-31/Supuestos!$C$20))*(1-Supuestos!$C$18)^31))</f>
        <v>4.4954704919091E-007</v>
      </c>
      <c r="AI51" s="29" t="n">
        <f aca="false">AH51*(1-MIN(1,INDEX(Tabla_Mortalidad!$B$5:$B$75,MIN(71,Cartera_Polizas!$B$53+32-49))*(1+(Cartera_Polizas!$P$53-1)*MAX(0,1-32/Supuestos!$C$20))*(1-Supuestos!$C$18)^32))</f>
        <v>1.1265115491223E-007</v>
      </c>
      <c r="AJ51" s="29" t="n">
        <f aca="false">AI51*(1-MIN(1,INDEX(Tabla_Mortalidad!$B$5:$B$75,MIN(71,Cartera_Polizas!$B$53+33-49))*(1+(Cartera_Polizas!$P$53-1)*MAX(0,1-33/Supuestos!$C$20))*(1-Supuestos!$C$18)^33))</f>
        <v>2.61452719743399E-008</v>
      </c>
      <c r="AK51" s="29" t="n">
        <f aca="false">AJ51*(1-MIN(1,INDEX(Tabla_Mortalidad!$B$5:$B$75,MIN(71,Cartera_Polizas!$B$53+34-49))*(1+(Cartera_Polizas!$P$53-1)*MAX(0,1-34/Supuestos!$C$20))*(1-Supuestos!$C$18)^34))</f>
        <v>5.67040510198048E-009</v>
      </c>
      <c r="AL51" s="29" t="n">
        <f aca="false">AK51*(1-MIN(1,INDEX(Tabla_Mortalidad!$B$5:$B$75,MIN(71,Cartera_Polizas!$B$53+35-49))*(1+(Cartera_Polizas!$P$53-1)*MAX(0,1-35/Supuestos!$C$20))*(1-Supuestos!$C$18)^35))</f>
        <v>1.16224534431689E-009</v>
      </c>
      <c r="AM51" s="29" t="n">
        <f aca="false">AL51*(1-MIN(1,INDEX(Tabla_Mortalidad!$B$5:$B$75,MIN(71,Cartera_Polizas!$B$53+36-49))*(1+(Cartera_Polizas!$P$53-1)*MAX(0,1-36/Supuestos!$C$20))*(1-Supuestos!$C$18)^36))</f>
        <v>1.91894647598717E-010</v>
      </c>
      <c r="AN51" s="29" t="n">
        <f aca="false">AM51*(1-MIN(1,INDEX(Tabla_Mortalidad!$B$5:$B$75,MIN(71,Cartera_Polizas!$B$53+37-49))*(1+(Cartera_Polizas!$P$53-1)*MAX(0,1-37/Supuestos!$C$20))*(1-Supuestos!$C$18)^37))</f>
        <v>3.24841751241394E-011</v>
      </c>
      <c r="AO51" s="29" t="n">
        <f aca="false">AN51*(1-MIN(1,INDEX(Tabla_Mortalidad!$B$5:$B$75,MIN(71,Cartera_Polizas!$B$53+38-49))*(1+(Cartera_Polizas!$P$53-1)*MAX(0,1-38/Supuestos!$C$20))*(1-Supuestos!$C$18)^38))</f>
        <v>5.63388940518533E-012</v>
      </c>
      <c r="AP51" s="29" t="n">
        <f aca="false">AO51*(1-MIN(1,INDEX(Tabla_Mortalidad!$B$5:$B$75,MIN(71,Cartera_Polizas!$B$53+39-49))*(1+(Cartera_Polizas!$P$53-1)*MAX(0,1-39/Supuestos!$C$20))*(1-Supuestos!$C$18)^39))</f>
        <v>1.00039688269325E-012</v>
      </c>
      <c r="AQ51" s="29" t="n">
        <f aca="false">AP51*(1-MIN(1,INDEX(Tabla_Mortalidad!$B$5:$B$75,MIN(71,Cartera_Polizas!$B$53+40-49))*(1+(Cartera_Polizas!$P$53-1)*MAX(0,1-40/Supuestos!$C$20))*(1-Supuestos!$C$18)^40))</f>
        <v>1.81751984577003E-013</v>
      </c>
      <c r="AR51" s="29" t="n">
        <f aca="false">AQ51*(1-MIN(1,INDEX(Tabla_Mortalidad!$B$5:$B$75,MIN(71,Cartera_Polizas!$B$53+41-49))*(1+(Cartera_Polizas!$P$53-1)*MAX(0,1-41/Supuestos!$C$20))*(1-Supuestos!$C$18)^41))</f>
        <v>3.37643350919146E-014</v>
      </c>
      <c r="AS51" s="29" t="n">
        <f aca="false">AR51*(1-MIN(1,INDEX(Tabla_Mortalidad!$B$5:$B$75,MIN(71,Cartera_Polizas!$B$53+42-49))*(1+(Cartera_Polizas!$P$53-1)*MAX(0,1-42/Supuestos!$C$20))*(1-Supuestos!$C$18)^42))</f>
        <v>6.4099099101661E-015</v>
      </c>
      <c r="AT51" s="29" t="n">
        <f aca="false">AS51*(1-MIN(1,INDEX(Tabla_Mortalidad!$B$5:$B$75,MIN(71,Cartera_Polizas!$B$53+43-49))*(1+(Cartera_Polizas!$P$53-1)*MAX(0,1-43/Supuestos!$C$20))*(1-Supuestos!$C$18)^43))</f>
        <v>1.24283928433679E-015</v>
      </c>
      <c r="AU51" s="29" t="n">
        <f aca="false">AT51*(1-MIN(1,INDEX(Tabla_Mortalidad!$B$5:$B$75,MIN(71,Cartera_Polizas!$B$53+44-49))*(1+(Cartera_Polizas!$P$53-1)*MAX(0,1-44/Supuestos!$C$20))*(1-Supuestos!$C$18)^44))</f>
        <v>2.45987650463489E-016</v>
      </c>
    </row>
    <row r="52" customFormat="false" ht="15" hidden="false" customHeight="false" outlineLevel="0" collapsed="false">
      <c r="A52" s="14" t="n">
        <f aca="false">Cartera_Polizas!A54</f>
        <v>49</v>
      </c>
      <c r="B52" s="26" t="n">
        <f aca="false">SUM(C52:AU52)+0.5</f>
        <v>7.04120088569057</v>
      </c>
      <c r="C52" s="29" t="n">
        <f aca="false">1-MIN(1,INDEX(Tabla_Mortalidad!$B$5:$B$75,MIN(71,Cartera_Polizas!$B$54+0-49))*(1+(Cartera_Polizas!$P$54-1)*MAX(0,1-0/Supuestos!$C$20))*(1-Supuestos!$C$18)^0)</f>
        <v>0.90223246</v>
      </c>
      <c r="D52" s="29" t="n">
        <f aca="false">C52*(1-MIN(1,INDEX(Tabla_Mortalidad!$B$5:$B$75,MIN(71,Cartera_Polizas!$B$54+1-49))*(1+(Cartera_Polizas!$P$54-1)*MAX(0,1-1/Supuestos!$C$20))*(1-Supuestos!$C$18)^1))</f>
        <v>0.808366602613277</v>
      </c>
      <c r="E52" s="29" t="n">
        <f aca="false">D52*(1-MIN(1,INDEX(Tabla_Mortalidad!$B$5:$B$75,MIN(71,Cartera_Polizas!$B$54+2-49))*(1+(Cartera_Polizas!$P$54-1)*MAX(0,1-2/Supuestos!$C$20))*(1-Supuestos!$C$18)^2))</f>
        <v>0.719048253035769</v>
      </c>
      <c r="F52" s="29" t="n">
        <f aca="false">E52*(1-MIN(1,INDEX(Tabla_Mortalidad!$B$5:$B$75,MIN(71,Cartera_Polizas!$B$54+3-49))*(1+(Cartera_Polizas!$P$54-1)*MAX(0,1-3/Supuestos!$C$20))*(1-Supuestos!$C$18)^3))</f>
        <v>0.634850312383161</v>
      </c>
      <c r="G52" s="29" t="n">
        <f aca="false">F52*(1-MIN(1,INDEX(Tabla_Mortalidad!$B$5:$B$75,MIN(71,Cartera_Polizas!$B$54+4-49))*(1+(Cartera_Polizas!$P$54-1)*MAX(0,1-4/Supuestos!$C$20))*(1-Supuestos!$C$18)^4))</f>
        <v>0.556255960835879</v>
      </c>
      <c r="H52" s="29" t="n">
        <f aca="false">G52*(1-MIN(1,INDEX(Tabla_Mortalidad!$B$5:$B$75,MIN(71,Cartera_Polizas!$B$54+5-49))*(1+(Cartera_Polizas!$P$54-1)*MAX(0,1-5/Supuestos!$C$20))*(1-Supuestos!$C$18)^5))</f>
        <v>0.48363859132722</v>
      </c>
      <c r="I52" s="29" t="n">
        <f aca="false">H52*(1-MIN(1,INDEX(Tabla_Mortalidad!$B$5:$B$75,MIN(71,Cartera_Polizas!$B$54+6-49))*(1+(Cartera_Polizas!$P$54-1)*MAX(0,1-6/Supuestos!$C$20))*(1-Supuestos!$C$18)^6))</f>
        <v>0.417249807498362</v>
      </c>
      <c r="J52" s="29" t="n">
        <f aca="false">I52*(1-MIN(1,INDEX(Tabla_Mortalidad!$B$5:$B$75,MIN(71,Cartera_Polizas!$B$54+7-49))*(1+(Cartera_Polizas!$P$54-1)*MAX(0,1-7/Supuestos!$C$20))*(1-Supuestos!$C$18)^7))</f>
        <v>0.357216835742884</v>
      </c>
      <c r="K52" s="29" t="n">
        <f aca="false">J52*(1-MIN(1,INDEX(Tabla_Mortalidad!$B$5:$B$75,MIN(71,Cartera_Polizas!$B$54+8-49))*(1+(Cartera_Polizas!$P$54-1)*MAX(0,1-8/Supuestos!$C$20))*(1-Supuestos!$C$18)^8))</f>
        <v>0.303536015694229</v>
      </c>
      <c r="L52" s="29" t="n">
        <f aca="false">K52*(1-MIN(1,INDEX(Tabla_Mortalidad!$B$5:$B$75,MIN(71,Cartera_Polizas!$B$54+9-49))*(1+(Cartera_Polizas!$P$54-1)*MAX(0,1-9/Supuestos!$C$20))*(1-Supuestos!$C$18)^9))</f>
        <v>0.256082572622895</v>
      </c>
      <c r="M52" s="29" t="n">
        <f aca="false">L52*(1-MIN(1,INDEX(Tabla_Mortalidad!$B$5:$B$75,MIN(71,Cartera_Polizas!$B$54+10-49))*(1+(Cartera_Polizas!$P$54-1)*MAX(0,1-10/Supuestos!$C$20))*(1-Supuestos!$C$18)^10))</f>
        <v>0.214618102897838</v>
      </c>
      <c r="N52" s="29" t="n">
        <f aca="false">M52*(1-MIN(1,INDEX(Tabla_Mortalidad!$B$5:$B$75,MIN(71,Cartera_Polizas!$B$54+11-49))*(1+(Cartera_Polizas!$P$54-1)*MAX(0,1-11/Supuestos!$C$20))*(1-Supuestos!$C$18)^11))</f>
        <v>0.178807414151548</v>
      </c>
      <c r="O52" s="29" t="n">
        <f aca="false">N52*(1-MIN(1,INDEX(Tabla_Mortalidad!$B$5:$B$75,MIN(71,Cartera_Polizas!$B$54+12-49))*(1+(Cartera_Polizas!$P$54-1)*MAX(0,1-12/Supuestos!$C$20))*(1-Supuestos!$C$18)^12))</f>
        <v>0.148238121295674</v>
      </c>
      <c r="P52" s="29" t="n">
        <f aca="false">O52*(1-MIN(1,INDEX(Tabla_Mortalidad!$B$5:$B$75,MIN(71,Cartera_Polizas!$B$54+13-49))*(1+(Cartera_Polizas!$P$54-1)*MAX(0,1-13/Supuestos!$C$20))*(1-Supuestos!$C$18)^13))</f>
        <v>0.122443009273711</v>
      </c>
      <c r="Q52" s="29" t="n">
        <f aca="false">P52*(1-MIN(1,INDEX(Tabla_Mortalidad!$B$5:$B$75,MIN(71,Cartera_Polizas!$B$54+14-49))*(1+(Cartera_Polizas!$P$54-1)*MAX(0,1-14/Supuestos!$C$20))*(1-Supuestos!$C$18)^14))</f>
        <v>0.100923002330639</v>
      </c>
      <c r="R52" s="29" t="n">
        <f aca="false">Q52*(1-MIN(1,INDEX(Tabla_Mortalidad!$B$5:$B$75,MIN(71,Cartera_Polizas!$B$54+15-49))*(1+(Cartera_Polizas!$P$54-1)*MAX(0,1-15/Supuestos!$C$20))*(1-Supuestos!$C$18)^15))</f>
        <v>0.0831691010820119</v>
      </c>
      <c r="S52" s="29" t="n">
        <f aca="false">R52*(1-MIN(1,INDEX(Tabla_Mortalidad!$B$5:$B$75,MIN(71,Cartera_Polizas!$B$54+16-49))*(1+(Cartera_Polizas!$P$54-1)*MAX(0,1-16/Supuestos!$C$20))*(1-Supuestos!$C$18)^16))</f>
        <v>0.0671089721533376</v>
      </c>
      <c r="T52" s="29" t="n">
        <f aca="false">S52*(1-MIN(1,INDEX(Tabla_Mortalidad!$B$5:$B$75,MIN(71,Cartera_Polizas!$B$54+17-49))*(1+(Cartera_Polizas!$P$54-1)*MAX(0,1-17/Supuestos!$C$20))*(1-Supuestos!$C$18)^17))</f>
        <v>0.0529027145083433</v>
      </c>
      <c r="U52" s="29" t="n">
        <f aca="false">T52*(1-MIN(1,INDEX(Tabla_Mortalidad!$B$5:$B$75,MIN(71,Cartera_Polizas!$B$54+18-49))*(1+(Cartera_Polizas!$P$54-1)*MAX(0,1-18/Supuestos!$C$20))*(1-Supuestos!$C$18)^18))</f>
        <v>0.0406435323921535</v>
      </c>
      <c r="V52" s="29" t="n">
        <f aca="false">U52*(1-MIN(1,INDEX(Tabla_Mortalidad!$B$5:$B$75,MIN(71,Cartera_Polizas!$B$54+19-49))*(1+(Cartera_Polizas!$P$54-1)*MAX(0,1-19/Supuestos!$C$20))*(1-Supuestos!$C$18)^19))</f>
        <v>0.0303499656804401</v>
      </c>
      <c r="W52" s="29" t="n">
        <f aca="false">V52*(1-MIN(1,INDEX(Tabla_Mortalidad!$B$5:$B$75,MIN(71,Cartera_Polizas!$B$54+20-49))*(1+(Cartera_Polizas!$P$54-1)*MAX(0,1-20/Supuestos!$C$20))*(1-Supuestos!$C$18)^20))</f>
        <v>0.0219639222922676</v>
      </c>
      <c r="X52" s="29" t="n">
        <f aca="false">W52*(1-MIN(1,INDEX(Tabla_Mortalidad!$B$5:$B$75,MIN(71,Cartera_Polizas!$B$54+21-49))*(1+(Cartera_Polizas!$P$54-1)*MAX(0,1-21/Supuestos!$C$20))*(1-Supuestos!$C$18)^21))</f>
        <v>0.0153555881331143</v>
      </c>
      <c r="Y52" s="29" t="n">
        <f aca="false">X52*(1-MIN(1,INDEX(Tabla_Mortalidad!$B$5:$B$75,MIN(71,Cartera_Polizas!$B$54+22-49))*(1+(Cartera_Polizas!$P$54-1)*MAX(0,1-22/Supuestos!$C$20))*(1-Supuestos!$C$18)^22))</f>
        <v>0.0103355713476494</v>
      </c>
      <c r="Z52" s="29" t="n">
        <f aca="false">Y52*(1-MIN(1,INDEX(Tabla_Mortalidad!$B$5:$B$75,MIN(71,Cartera_Polizas!$B$54+23-49))*(1+(Cartera_Polizas!$P$54-1)*MAX(0,1-23/Supuestos!$C$20))*(1-Supuestos!$C$18)^23))</f>
        <v>0.00667275218725088</v>
      </c>
      <c r="AA52" s="29" t="n">
        <f aca="false">Z52*(1-MIN(1,INDEX(Tabla_Mortalidad!$B$5:$B$75,MIN(71,Cartera_Polizas!$B$54+24-49))*(1+(Cartera_Polizas!$P$54-1)*MAX(0,1-24/Supuestos!$C$20))*(1-Supuestos!$C$18)^24))</f>
        <v>0.0041158178240187</v>
      </c>
      <c r="AB52" s="29" t="n">
        <f aca="false">AA52*(1-MIN(1,INDEX(Tabla_Mortalidad!$B$5:$B$75,MIN(71,Cartera_Polizas!$B$54+25-49))*(1+(Cartera_Polizas!$P$54-1)*MAX(0,1-25/Supuestos!$C$20))*(1-Supuestos!$C$18)^25))</f>
        <v>0.00241524821366753</v>
      </c>
      <c r="AC52" s="29" t="n">
        <f aca="false">AB52*(1-MIN(1,INDEX(Tabla_Mortalidad!$B$5:$B$75,MIN(71,Cartera_Polizas!$B$54+26-49))*(1+(Cartera_Polizas!$P$54-1)*MAX(0,1-26/Supuestos!$C$20))*(1-Supuestos!$C$18)^26))</f>
        <v>0.00134247457177615</v>
      </c>
      <c r="AD52" s="29" t="n">
        <f aca="false">AC52*(1-MIN(1,INDEX(Tabla_Mortalidad!$B$5:$B$75,MIN(71,Cartera_Polizas!$B$54+27-49))*(1+(Cartera_Polizas!$P$54-1)*MAX(0,1-27/Supuestos!$C$20))*(1-Supuestos!$C$18)^27))</f>
        <v>0.000703570442459752</v>
      </c>
      <c r="AE52" s="29" t="n">
        <f aca="false">AD52*(1-MIN(1,INDEX(Tabla_Mortalidad!$B$5:$B$75,MIN(71,Cartera_Polizas!$B$54+28-49))*(1+(Cartera_Polizas!$P$54-1)*MAX(0,1-28/Supuestos!$C$20))*(1-Supuestos!$C$18)^28))</f>
        <v>0.000346063919870834</v>
      </c>
      <c r="AF52" s="29" t="n">
        <f aca="false">AE52*(1-MIN(1,INDEX(Tabla_Mortalidad!$B$5:$B$75,MIN(71,Cartera_Polizas!$B$54+29-49))*(1+(Cartera_Polizas!$P$54-1)*MAX(0,1-29/Supuestos!$C$20))*(1-Supuestos!$C$18)^29))</f>
        <v>0.000159025555342291</v>
      </c>
      <c r="AG52" s="29" t="n">
        <f aca="false">AF52*(1-MIN(1,INDEX(Tabla_Mortalidad!$B$5:$B$75,MIN(71,Cartera_Polizas!$B$54+30-49))*(1+(Cartera_Polizas!$P$54-1)*MAX(0,1-30/Supuestos!$C$20))*(1-Supuestos!$C$18)^30))</f>
        <v>6.7975956682224E-005</v>
      </c>
      <c r="AH52" s="29" t="n">
        <f aca="false">AG52*(1-MIN(1,INDEX(Tabla_Mortalidad!$B$5:$B$75,MIN(71,Cartera_Polizas!$B$54+31-49))*(1+(Cartera_Polizas!$P$54-1)*MAX(0,1-31/Supuestos!$C$20))*(1-Supuestos!$C$18)^31))</f>
        <v>2.69236968134688E-005</v>
      </c>
      <c r="AI52" s="29" t="n">
        <f aca="false">AH52*(1-MIN(1,INDEX(Tabla_Mortalidad!$B$5:$B$75,MIN(71,Cartera_Polizas!$B$54+32-49))*(1+(Cartera_Polizas!$P$54-1)*MAX(0,1-32/Supuestos!$C$20))*(1-Supuestos!$C$18)^32))</f>
        <v>9.8501639976443E-006</v>
      </c>
      <c r="AJ52" s="29" t="n">
        <f aca="false">AI52*(1-MIN(1,INDEX(Tabla_Mortalidad!$B$5:$B$75,MIN(71,Cartera_Polizas!$B$54+33-49))*(1+(Cartera_Polizas!$P$54-1)*MAX(0,1-33/Supuestos!$C$20))*(1-Supuestos!$C$18)^33))</f>
        <v>3.32200423107695E-006</v>
      </c>
      <c r="AK52" s="29" t="n">
        <f aca="false">AJ52*(1-MIN(1,INDEX(Tabla_Mortalidad!$B$5:$B$75,MIN(71,Cartera_Polizas!$B$54+34-49))*(1+(Cartera_Polizas!$P$54-1)*MAX(0,1-34/Supuestos!$C$20))*(1-Supuestos!$C$18)^34))</f>
        <v>1.03222545853252E-006</v>
      </c>
      <c r="AL52" s="29" t="n">
        <f aca="false">AK52*(1-MIN(1,INDEX(Tabla_Mortalidad!$B$5:$B$75,MIN(71,Cartera_Polizas!$B$54+35-49))*(1+(Cartera_Polizas!$P$54-1)*MAX(0,1-35/Supuestos!$C$20))*(1-Supuestos!$C$18)^35))</f>
        <v>2.9591652198977E-007</v>
      </c>
      <c r="AM52" s="29" t="n">
        <f aca="false">AL52*(1-MIN(1,INDEX(Tabla_Mortalidad!$B$5:$B$75,MIN(71,Cartera_Polizas!$B$54+36-49))*(1+(Cartera_Polizas!$P$54-1)*MAX(0,1-36/Supuestos!$C$20))*(1-Supuestos!$C$18)^36))</f>
        <v>7.85552815316973E-008</v>
      </c>
      <c r="AN52" s="29" t="n">
        <f aca="false">AM52*(1-MIN(1,INDEX(Tabla_Mortalidad!$B$5:$B$75,MIN(71,Cartera_Polizas!$B$54+37-49))*(1+(Cartera_Polizas!$P$54-1)*MAX(0,1-37/Supuestos!$C$20))*(1-Supuestos!$C$18)^37))</f>
        <v>1.94293893528267E-008</v>
      </c>
      <c r="AO52" s="29" t="n">
        <f aca="false">AN52*(1-MIN(1,INDEX(Tabla_Mortalidad!$B$5:$B$75,MIN(71,Cartera_Polizas!$B$54+38-49))*(1+(Cartera_Polizas!$P$54-1)*MAX(0,1-38/Supuestos!$C$20))*(1-Supuestos!$C$18)^38))</f>
        <v>4.5158955842228E-009</v>
      </c>
      <c r="AP52" s="29" t="n">
        <f aca="false">AO52*(1-MIN(1,INDEX(Tabla_Mortalidad!$B$5:$B$75,MIN(71,Cartera_Polizas!$B$54+39-49))*(1+(Cartera_Polizas!$P$54-1)*MAX(0,1-39/Supuestos!$C$20))*(1-Supuestos!$C$18)^39))</f>
        <v>9.96878089136155E-010</v>
      </c>
      <c r="AQ52" s="29" t="n">
        <f aca="false">AP52*(1-MIN(1,INDEX(Tabla_Mortalidad!$B$5:$B$75,MIN(71,Cartera_Polizas!$B$54+40-49))*(1+(Cartera_Polizas!$P$54-1)*MAX(0,1-40/Supuestos!$C$20))*(1-Supuestos!$C$18)^40))</f>
        <v>1.81112690589404E-010</v>
      </c>
      <c r="AR52" s="29" t="n">
        <f aca="false">AQ52*(1-MIN(1,INDEX(Tabla_Mortalidad!$B$5:$B$75,MIN(71,Cartera_Polizas!$B$54+41-49))*(1+(Cartera_Polizas!$P$54-1)*MAX(0,1-41/Supuestos!$C$20))*(1-Supuestos!$C$18)^41))</f>
        <v>3.36455725019502E-011</v>
      </c>
      <c r="AS52" s="29" t="n">
        <f aca="false">AR52*(1-MIN(1,INDEX(Tabla_Mortalidad!$B$5:$B$75,MIN(71,Cartera_Polizas!$B$54+42-49))*(1+(Cartera_Polizas!$P$54-1)*MAX(0,1-42/Supuestos!$C$20))*(1-Supuestos!$C$18)^42))</f>
        <v>6.38736370866983E-012</v>
      </c>
      <c r="AT52" s="29" t="n">
        <f aca="false">AS52*(1-MIN(1,INDEX(Tabla_Mortalidad!$B$5:$B$75,MIN(71,Cartera_Polizas!$B$54+43-49))*(1+(Cartera_Polizas!$P$54-1)*MAX(0,1-43/Supuestos!$C$20))*(1-Supuestos!$C$18)^43))</f>
        <v>1.23846772446701E-012</v>
      </c>
      <c r="AU52" s="29" t="n">
        <f aca="false">AT52*(1-MIN(1,INDEX(Tabla_Mortalidad!$B$5:$B$75,MIN(71,Cartera_Polizas!$B$54+44-49))*(1+(Cartera_Polizas!$P$54-1)*MAX(0,1-44/Supuestos!$C$20))*(1-Supuestos!$C$18)^44))</f>
        <v>2.45122414101251E-013</v>
      </c>
    </row>
    <row r="53" customFormat="false" ht="15" hidden="false" customHeight="false" outlineLevel="0" collapsed="false">
      <c r="A53" s="14" t="n">
        <f aca="false">Cartera_Polizas!A55</f>
        <v>50</v>
      </c>
      <c r="B53" s="26" t="n">
        <f aca="false">SUM(C53:AU53)+0.5</f>
        <v>3.25618209417331</v>
      </c>
      <c r="C53" s="29" t="n">
        <f aca="false">1-MIN(1,INDEX(Tabla_Mortalidad!$B$5:$B$75,MIN(71,Cartera_Polizas!$B$55+0-49))*(1+(Cartera_Polizas!$P$55-1)*MAX(0,1-0/Supuestos!$C$20))*(1-Supuestos!$C$18)^0)</f>
        <v>0.77793387</v>
      </c>
      <c r="D53" s="29" t="n">
        <f aca="false">C53*(1-MIN(1,INDEX(Tabla_Mortalidad!$B$5:$B$75,MIN(71,Cartera_Polizas!$B$55+1-49))*(1+(Cartera_Polizas!$P$55-1)*MAX(0,1-1/Supuestos!$C$20))*(1-Supuestos!$C$18)^1))</f>
        <v>0.591686497059052</v>
      </c>
      <c r="E53" s="29" t="n">
        <f aca="false">D53*(1-MIN(1,INDEX(Tabla_Mortalidad!$B$5:$B$75,MIN(71,Cartera_Polizas!$B$55+2-49))*(1+(Cartera_Polizas!$P$55-1)*MAX(0,1-2/Supuestos!$C$20))*(1-Supuestos!$C$18)^2))</f>
        <v>0.439189836174977</v>
      </c>
      <c r="F53" s="29" t="n">
        <f aca="false">E53*(1-MIN(1,INDEX(Tabla_Mortalidad!$B$5:$B$75,MIN(71,Cartera_Polizas!$B$55+3-49))*(1+(Cartera_Polizas!$P$55-1)*MAX(0,1-3/Supuestos!$C$20))*(1-Supuestos!$C$18)^3))</f>
        <v>0.317532439188695</v>
      </c>
      <c r="G53" s="29" t="n">
        <f aca="false">F53*(1-MIN(1,INDEX(Tabla_Mortalidad!$B$5:$B$75,MIN(71,Cartera_Polizas!$B$55+4-49))*(1+(Cartera_Polizas!$P$55-1)*MAX(0,1-4/Supuestos!$C$20))*(1-Supuestos!$C$18)^4))</f>
        <v>0.223164824931212</v>
      </c>
      <c r="H53" s="29" t="n">
        <f aca="false">G53*(1-MIN(1,INDEX(Tabla_Mortalidad!$B$5:$B$75,MIN(71,Cartera_Polizas!$B$55+5-49))*(1+(Cartera_Polizas!$P$55-1)*MAX(0,1-5/Supuestos!$C$20))*(1-Supuestos!$C$18)^5))</f>
        <v>0.152145705580557</v>
      </c>
      <c r="I53" s="29" t="n">
        <f aca="false">H53*(1-MIN(1,INDEX(Tabla_Mortalidad!$B$5:$B$75,MIN(71,Cartera_Polizas!$B$55+6-49))*(1+(Cartera_Polizas!$P$55-1)*MAX(0,1-6/Supuestos!$C$20))*(1-Supuestos!$C$18)^6))</f>
        <v>0.100407099092006</v>
      </c>
      <c r="J53" s="29" t="n">
        <f aca="false">I53*(1-MIN(1,INDEX(Tabla_Mortalidad!$B$5:$B$75,MIN(71,Cartera_Polizas!$B$55+7-49))*(1+(Cartera_Polizas!$P$55-1)*MAX(0,1-7/Supuestos!$C$20))*(1-Supuestos!$C$18)^7))</f>
        <v>0.0640044550878043</v>
      </c>
      <c r="K53" s="29" t="n">
        <f aca="false">J53*(1-MIN(1,INDEX(Tabla_Mortalidad!$B$5:$B$75,MIN(71,Cartera_Polizas!$B$55+8-49))*(1+(Cartera_Polizas!$P$55-1)*MAX(0,1-8/Supuestos!$C$20))*(1-Supuestos!$C$18)^8))</f>
        <v>0.0393261854207629</v>
      </c>
      <c r="L53" s="29" t="n">
        <f aca="false">K53*(1-MIN(1,INDEX(Tabla_Mortalidad!$B$5:$B$75,MIN(71,Cartera_Polizas!$B$55+9-49))*(1+(Cartera_Polizas!$P$55-1)*MAX(0,1-9/Supuestos!$C$20))*(1-Supuestos!$C$18)^9))</f>
        <v>0.0232438876549549</v>
      </c>
      <c r="M53" s="29" t="n">
        <f aca="false">L53*(1-MIN(1,INDEX(Tabla_Mortalidad!$B$5:$B$75,MIN(71,Cartera_Polizas!$B$55+10-49))*(1+(Cartera_Polizas!$P$55-1)*MAX(0,1-10/Supuestos!$C$20))*(1-Supuestos!$C$18)^10))</f>
        <v>0.0131916540803135</v>
      </c>
      <c r="N53" s="29" t="n">
        <f aca="false">M53*(1-MIN(1,INDEX(Tabla_Mortalidad!$B$5:$B$75,MIN(71,Cartera_Polizas!$B$55+11-49))*(1+(Cartera_Polizas!$P$55-1)*MAX(0,1-11/Supuestos!$C$20))*(1-Supuestos!$C$18)^11))</f>
        <v>0.00717771807726176</v>
      </c>
      <c r="O53" s="29" t="n">
        <f aca="false">N53*(1-MIN(1,INDEX(Tabla_Mortalidad!$B$5:$B$75,MIN(71,Cartera_Polizas!$B$55+12-49))*(1+(Cartera_Polizas!$P$55-1)*MAX(0,1-12/Supuestos!$C$20))*(1-Supuestos!$C$18)^12))</f>
        <v>0.00374012518947456</v>
      </c>
      <c r="P53" s="29" t="n">
        <f aca="false">O53*(1-MIN(1,INDEX(Tabla_Mortalidad!$B$5:$B$75,MIN(71,Cartera_Polizas!$B$55+13-49))*(1+(Cartera_Polizas!$P$55-1)*MAX(0,1-13/Supuestos!$C$20))*(1-Supuestos!$C$18)^13))</f>
        <v>0.00186537097686832</v>
      </c>
      <c r="Q53" s="29" t="n">
        <f aca="false">P53*(1-MIN(1,INDEX(Tabla_Mortalidad!$B$5:$B$75,MIN(71,Cartera_Polizas!$B$55+14-49))*(1+(Cartera_Polizas!$P$55-1)*MAX(0,1-14/Supuestos!$C$20))*(1-Supuestos!$C$18)^14))</f>
        <v>0.00089067435844604</v>
      </c>
      <c r="R53" s="29" t="n">
        <f aca="false">Q53*(1-MIN(1,INDEX(Tabla_Mortalidad!$B$5:$B$75,MIN(71,Cartera_Polizas!$B$55+15-49))*(1+(Cartera_Polizas!$P$55-1)*MAX(0,1-15/Supuestos!$C$20))*(1-Supuestos!$C$18)^15))</f>
        <v>0.000407620802375709</v>
      </c>
      <c r="S53" s="29" t="n">
        <f aca="false">R53*(1-MIN(1,INDEX(Tabla_Mortalidad!$B$5:$B$75,MIN(71,Cartera_Polizas!$B$55+16-49))*(1+(Cartera_Polizas!$P$55-1)*MAX(0,1-16/Supuestos!$C$20))*(1-Supuestos!$C$18)^16))</f>
        <v>0.000172478555654965</v>
      </c>
      <c r="T53" s="29" t="n">
        <f aca="false">S53*(1-MIN(1,INDEX(Tabla_Mortalidad!$B$5:$B$75,MIN(71,Cartera_Polizas!$B$55+17-49))*(1+(Cartera_Polizas!$P$55-1)*MAX(0,1-17/Supuestos!$C$20))*(1-Supuestos!$C$18)^17))</f>
        <v>6.70772060175385E-005</v>
      </c>
      <c r="U53" s="29" t="n">
        <f aca="false">T53*(1-MIN(1,INDEX(Tabla_Mortalidad!$B$5:$B$75,MIN(71,Cartera_Polizas!$B$55+18-49))*(1+(Cartera_Polizas!$P$55-1)*MAX(0,1-18/Supuestos!$C$20))*(1-Supuestos!$C$18)^18))</f>
        <v>2.38400962091433E-005</v>
      </c>
      <c r="V53" s="29" t="n">
        <f aca="false">U53*(1-MIN(1,INDEX(Tabla_Mortalidad!$B$5:$B$75,MIN(71,Cartera_Polizas!$B$55+19-49))*(1+(Cartera_Polizas!$P$55-1)*MAX(0,1-19/Supuestos!$C$20))*(1-Supuestos!$C$18)^19))</f>
        <v>7.7040675596065E-006</v>
      </c>
      <c r="W53" s="29" t="n">
        <f aca="false">V53*(1-MIN(1,INDEX(Tabla_Mortalidad!$B$5:$B$75,MIN(71,Cartera_Polizas!$B$55+20-49))*(1+(Cartera_Polizas!$P$55-1)*MAX(0,1-20/Supuestos!$C$20))*(1-Supuestos!$C$18)^20))</f>
        <v>2.25443342891815E-006</v>
      </c>
      <c r="X53" s="29" t="n">
        <f aca="false">W53*(1-MIN(1,INDEX(Tabla_Mortalidad!$B$5:$B$75,MIN(71,Cartera_Polizas!$B$55+21-49))*(1+(Cartera_Polizas!$P$55-1)*MAX(0,1-21/Supuestos!$C$20))*(1-Supuestos!$C$18)^21))</f>
        <v>5.95875252970738E-007</v>
      </c>
      <c r="Y53" s="29" t="n">
        <f aca="false">X53*(1-MIN(1,INDEX(Tabla_Mortalidad!$B$5:$B$75,MIN(71,Cartera_Polizas!$B$55+22-49))*(1+(Cartera_Polizas!$P$55-1)*MAX(0,1-22/Supuestos!$C$20))*(1-Supuestos!$C$18)^22))</f>
        <v>1.42204476324678E-007</v>
      </c>
      <c r="Z53" s="29" t="n">
        <f aca="false">Y53*(1-MIN(1,INDEX(Tabla_Mortalidad!$B$5:$B$75,MIN(71,Cartera_Polizas!$B$55+23-49))*(1+(Cartera_Polizas!$P$55-1)*MAX(0,1-23/Supuestos!$C$20))*(1-Supuestos!$C$18)^23))</f>
        <v>3.07169941124351E-008</v>
      </c>
      <c r="AA53" s="29" t="n">
        <f aca="false">Z53*(1-MIN(1,INDEX(Tabla_Mortalidad!$B$5:$B$75,MIN(71,Cartera_Polizas!$B$55+24-49))*(1+(Cartera_Polizas!$P$55-1)*MAX(0,1-24/Supuestos!$C$20))*(1-Supuestos!$C$18)^24))</f>
        <v>6.04064064892153E-009</v>
      </c>
      <c r="AB53" s="29" t="n">
        <f aca="false">AA53*(1-MIN(1,INDEX(Tabla_Mortalidad!$B$5:$B$75,MIN(71,Cartera_Polizas!$B$55+25-49))*(1+(Cartera_Polizas!$P$55-1)*MAX(0,1-25/Supuestos!$C$20))*(1-Supuestos!$C$18)^25))</f>
        <v>1.09180311152955E-009</v>
      </c>
      <c r="AC53" s="29" t="n">
        <f aca="false">AB53*(1-MIN(1,INDEX(Tabla_Mortalidad!$B$5:$B$75,MIN(71,Cartera_Polizas!$B$55+26-49))*(1+(Cartera_Polizas!$P$55-1)*MAX(0,1-26/Supuestos!$C$20))*(1-Supuestos!$C$18)^26))</f>
        <v>1.83727917328633E-010</v>
      </c>
      <c r="AD53" s="29" t="n">
        <f aca="false">AC53*(1-MIN(1,INDEX(Tabla_Mortalidad!$B$5:$B$75,MIN(71,Cartera_Polizas!$B$55+27-49))*(1+(Cartera_Polizas!$P$55-1)*MAX(0,1-27/Supuestos!$C$20))*(1-Supuestos!$C$18)^27))</f>
        <v>2.3256262132914E-011</v>
      </c>
      <c r="AE53" s="29" t="n">
        <f aca="false">AD53*(1-MIN(1,INDEX(Tabla_Mortalidad!$B$5:$B$75,MIN(71,Cartera_Polizas!$B$55+28-49))*(1+(Cartera_Polizas!$P$55-1)*MAX(0,1-28/Supuestos!$C$20))*(1-Supuestos!$C$18)^28))</f>
        <v>3.04533786111929E-012</v>
      </c>
      <c r="AF53" s="29" t="n">
        <f aca="false">AE53*(1-MIN(1,INDEX(Tabla_Mortalidad!$B$5:$B$75,MIN(71,Cartera_Polizas!$B$55+29-49))*(1+(Cartera_Polizas!$P$55-1)*MAX(0,1-29/Supuestos!$C$20))*(1-Supuestos!$C$18)^29))</f>
        <v>4.12010670419442E-013</v>
      </c>
      <c r="AG53" s="29" t="n">
        <f aca="false">AF53*(1-MIN(1,INDEX(Tabla_Mortalidad!$B$5:$B$75,MIN(71,Cartera_Polizas!$B$55+30-49))*(1+(Cartera_Polizas!$P$55-1)*MAX(0,1-30/Supuestos!$C$20))*(1-Supuestos!$C$18)^30))</f>
        <v>5.75232026903782E-014</v>
      </c>
      <c r="AH53" s="29" t="n">
        <f aca="false">AG53*(1-MIN(1,INDEX(Tabla_Mortalidad!$B$5:$B$75,MIN(71,Cartera_Polizas!$B$55+31-49))*(1+(Cartera_Polizas!$P$55-1)*MAX(0,1-31/Supuestos!$C$20))*(1-Supuestos!$C$18)^31))</f>
        <v>8.27860869858742E-015</v>
      </c>
      <c r="AI53" s="29" t="n">
        <f aca="false">AH53*(1-MIN(1,INDEX(Tabla_Mortalidad!$B$5:$B$75,MIN(71,Cartera_Polizas!$B$55+32-49))*(1+(Cartera_Polizas!$P$55-1)*MAX(0,1-32/Supuestos!$C$20))*(1-Supuestos!$C$18)^32))</f>
        <v>1.22687441422705E-015</v>
      </c>
      <c r="AJ53" s="29" t="n">
        <f aca="false">AI53*(1-MIN(1,INDEX(Tabla_Mortalidad!$B$5:$B$75,MIN(71,Cartera_Polizas!$B$55+33-49))*(1+(Cartera_Polizas!$P$55-1)*MAX(0,1-33/Supuestos!$C$20))*(1-Supuestos!$C$18)^33))</f>
        <v>1.87045776230036E-016</v>
      </c>
      <c r="AK53" s="29" t="n">
        <f aca="false">AJ53*(1-MIN(1,INDEX(Tabla_Mortalidad!$B$5:$B$75,MIN(71,Cartera_Polizas!$B$55+34-49))*(1+(Cartera_Polizas!$P$55-1)*MAX(0,1-34/Supuestos!$C$20))*(1-Supuestos!$C$18)^34))</f>
        <v>2.93091124586317E-017</v>
      </c>
      <c r="AL53" s="29" t="n">
        <f aca="false">AK53*(1-MIN(1,INDEX(Tabla_Mortalidad!$B$5:$B$75,MIN(71,Cartera_Polizas!$B$55+35-49))*(1+(Cartera_Polizas!$P$55-1)*MAX(0,1-35/Supuestos!$C$20))*(1-Supuestos!$C$18)^35))</f>
        <v>4.71617001452339E-018</v>
      </c>
      <c r="AM53" s="29" t="n">
        <f aca="false">AL53*(1-MIN(1,INDEX(Tabla_Mortalidad!$B$5:$B$75,MIN(71,Cartera_Polizas!$B$55+36-49))*(1+(Cartera_Polizas!$P$55-1)*MAX(0,1-36/Supuestos!$C$20))*(1-Supuestos!$C$18)^36))</f>
        <v>7.78671893484353E-019</v>
      </c>
      <c r="AN53" s="29" t="n">
        <f aca="false">AM53*(1-MIN(1,INDEX(Tabla_Mortalidad!$B$5:$B$75,MIN(71,Cartera_Polizas!$B$55+37-49))*(1+(Cartera_Polizas!$P$55-1)*MAX(0,1-37/Supuestos!$C$20))*(1-Supuestos!$C$18)^37))</f>
        <v>1.31814589248398E-019</v>
      </c>
      <c r="AO53" s="29" t="n">
        <f aca="false">AN53*(1-MIN(1,INDEX(Tabla_Mortalidad!$B$5:$B$75,MIN(71,Cartera_Polizas!$B$55+38-49))*(1+(Cartera_Polizas!$P$55-1)*MAX(0,1-38/Supuestos!$C$20))*(1-Supuestos!$C$18)^38))</f>
        <v>2.28612490536522E-020</v>
      </c>
      <c r="AP53" s="29" t="n">
        <f aca="false">AO53*(1-MIN(1,INDEX(Tabla_Mortalidad!$B$5:$B$75,MIN(71,Cartera_Polizas!$B$55+39-49))*(1+(Cartera_Polizas!$P$55-1)*MAX(0,1-39/Supuestos!$C$20))*(1-Supuestos!$C$18)^39))</f>
        <v>4.0594198151455E-021</v>
      </c>
      <c r="AQ53" s="29" t="n">
        <f aca="false">AP53*(1-MIN(1,INDEX(Tabla_Mortalidad!$B$5:$B$75,MIN(71,Cartera_Polizas!$B$55+40-49))*(1+(Cartera_Polizas!$P$55-1)*MAX(0,1-40/Supuestos!$C$20))*(1-Supuestos!$C$18)^40))</f>
        <v>7.37514900733793E-022</v>
      </c>
      <c r="AR53" s="29" t="n">
        <f aca="false">AQ53*(1-MIN(1,INDEX(Tabla_Mortalidad!$B$5:$B$75,MIN(71,Cartera_Polizas!$B$55+41-49))*(1+(Cartera_Polizas!$P$55-1)*MAX(0,1-41/Supuestos!$C$20))*(1-Supuestos!$C$18)^41))</f>
        <v>1.37009234323412E-022</v>
      </c>
      <c r="AS53" s="29" t="n">
        <f aca="false">AR53*(1-MIN(1,INDEX(Tabla_Mortalidad!$B$5:$B$75,MIN(71,Cartera_Polizas!$B$55+42-49))*(1+(Cartera_Polizas!$P$55-1)*MAX(0,1-42/Supuestos!$C$20))*(1-Supuestos!$C$18)^42))</f>
        <v>2.60101923074509E-023</v>
      </c>
      <c r="AT53" s="29" t="n">
        <f aca="false">AS53*(1-MIN(1,INDEX(Tabla_Mortalidad!$B$5:$B$75,MIN(71,Cartera_Polizas!$B$55+43-49))*(1+(Cartera_Polizas!$P$55-1)*MAX(0,1-43/Supuestos!$C$20))*(1-Supuestos!$C$18)^43))</f>
        <v>5.0432048571517E-024</v>
      </c>
      <c r="AU53" s="29" t="n">
        <f aca="false">AT53*(1-MIN(1,INDEX(Tabla_Mortalidad!$B$5:$B$75,MIN(71,Cartera_Polizas!$B$55+44-49))*(1+(Cartera_Polizas!$P$55-1)*MAX(0,1-44/Supuestos!$C$20))*(1-Supuestos!$C$18)^44))</f>
        <v>9.98170985783412E-025</v>
      </c>
    </row>
    <row r="54" customFormat="false" ht="15" hidden="false" customHeight="false" outlineLevel="0" collapsed="false">
      <c r="A54" s="14" t="n">
        <f aca="false">Cartera_Polizas!A56</f>
        <v>51</v>
      </c>
      <c r="B54" s="26" t="n">
        <f aca="false">SUM(C54:AU54)+0.5</f>
        <v>3.61451309621354</v>
      </c>
      <c r="C54" s="29" t="n">
        <f aca="false">1-MIN(1,INDEX(Tabla_Mortalidad!$B$5:$B$75,MIN(71,Cartera_Polizas!$B$56+0-49))*(1+(Cartera_Polizas!$P$56-1)*MAX(0,1-0/Supuestos!$C$20))*(1-Supuestos!$C$18)^0)</f>
        <v>0.7911775</v>
      </c>
      <c r="D54" s="29" t="n">
        <f aca="false">C54*(1-MIN(1,INDEX(Tabla_Mortalidad!$B$5:$B$75,MIN(71,Cartera_Polizas!$B$56+1-49))*(1+(Cartera_Polizas!$P$56-1)*MAX(0,1-1/Supuestos!$C$20))*(1-Supuestos!$C$18)^1))</f>
        <v>0.61588906776514</v>
      </c>
      <c r="E54" s="29" t="n">
        <f aca="false">D54*(1-MIN(1,INDEX(Tabla_Mortalidad!$B$5:$B$75,MIN(71,Cartera_Polizas!$B$56+2-49))*(1+(Cartera_Polizas!$P$56-1)*MAX(0,1-2/Supuestos!$C$20))*(1-Supuestos!$C$18)^2))</f>
        <v>0.471452962943498</v>
      </c>
      <c r="F54" s="29" t="n">
        <f aca="false">E54*(1-MIN(1,INDEX(Tabla_Mortalidad!$B$5:$B$75,MIN(71,Cartera_Polizas!$B$56+3-49))*(1+(Cartera_Polizas!$P$56-1)*MAX(0,1-3/Supuestos!$C$20))*(1-Supuestos!$C$18)^3))</f>
        <v>0.354715753278598</v>
      </c>
      <c r="G54" s="29" t="n">
        <f aca="false">F54*(1-MIN(1,INDEX(Tabla_Mortalidad!$B$5:$B$75,MIN(71,Cartera_Polizas!$B$56+4-49))*(1+(Cartera_Polizas!$P$56-1)*MAX(0,1-4/Supuestos!$C$20))*(1-Supuestos!$C$18)^4))</f>
        <v>0.262236291650624</v>
      </c>
      <c r="H54" s="29" t="n">
        <f aca="false">G54*(1-MIN(1,INDEX(Tabla_Mortalidad!$B$5:$B$75,MIN(71,Cartera_Polizas!$B$56+5-49))*(1+(Cartera_Polizas!$P$56-1)*MAX(0,1-5/Supuestos!$C$20))*(1-Supuestos!$C$18)^5))</f>
        <v>0.190468956760861</v>
      </c>
      <c r="I54" s="29" t="n">
        <f aca="false">H54*(1-MIN(1,INDEX(Tabla_Mortalidad!$B$5:$B$75,MIN(71,Cartera_Polizas!$B$56+6-49))*(1+(Cartera_Polizas!$P$56-1)*MAX(0,1-6/Supuestos!$C$20))*(1-Supuestos!$C$18)^6))</f>
        <v>0.13593555681363</v>
      </c>
      <c r="J54" s="29" t="n">
        <f aca="false">I54*(1-MIN(1,INDEX(Tabla_Mortalidad!$B$5:$B$75,MIN(71,Cartera_Polizas!$B$56+7-49))*(1+(Cartera_Polizas!$P$56-1)*MAX(0,1-7/Supuestos!$C$20))*(1-Supuestos!$C$18)^7))</f>
        <v>0.0953706873587623</v>
      </c>
      <c r="K54" s="29" t="n">
        <f aca="false">J54*(1-MIN(1,INDEX(Tabla_Mortalidad!$B$5:$B$75,MIN(71,Cartera_Polizas!$B$56+8-49))*(1+(Cartera_Polizas!$P$56-1)*MAX(0,1-8/Supuestos!$C$20))*(1-Supuestos!$C$18)^8))</f>
        <v>0.0658309991500542</v>
      </c>
      <c r="L54" s="29" t="n">
        <f aca="false">K54*(1-MIN(1,INDEX(Tabla_Mortalidad!$B$5:$B$75,MIN(71,Cartera_Polizas!$B$56+9-49))*(1+(Cartera_Polizas!$P$56-1)*MAX(0,1-9/Supuestos!$C$20))*(1-Supuestos!$C$18)^9))</f>
        <v>0.0447652996861331</v>
      </c>
      <c r="M54" s="29" t="n">
        <f aca="false">L54*(1-MIN(1,INDEX(Tabla_Mortalidad!$B$5:$B$75,MIN(71,Cartera_Polizas!$B$56+10-49))*(1+(Cartera_Polizas!$P$56-1)*MAX(0,1-10/Supuestos!$C$20))*(1-Supuestos!$C$18)^10))</f>
        <v>0.0300431818432468</v>
      </c>
      <c r="N54" s="29" t="n">
        <f aca="false">M54*(1-MIN(1,INDEX(Tabla_Mortalidad!$B$5:$B$75,MIN(71,Cartera_Polizas!$B$56+11-49))*(1+(Cartera_Polizas!$P$56-1)*MAX(0,1-11/Supuestos!$C$20))*(1-Supuestos!$C$18)^11))</f>
        <v>0.0199484232690143</v>
      </c>
      <c r="O54" s="29" t="n">
        <f aca="false">N54*(1-MIN(1,INDEX(Tabla_Mortalidad!$B$5:$B$75,MIN(71,Cartera_Polizas!$B$56+12-49))*(1+(Cartera_Polizas!$P$56-1)*MAX(0,1-12/Supuestos!$C$20))*(1-Supuestos!$C$18)^12))</f>
        <v>0.013145982028448</v>
      </c>
      <c r="P54" s="29" t="n">
        <f aca="false">O54*(1-MIN(1,INDEX(Tabla_Mortalidad!$B$5:$B$75,MIN(71,Cartera_Polizas!$B$56+13-49))*(1+(Cartera_Polizas!$P$56-1)*MAX(0,1-13/Supuestos!$C$20))*(1-Supuestos!$C$18)^13))</f>
        <v>0.00863146167042298</v>
      </c>
      <c r="Q54" s="29" t="n">
        <f aca="false">P54*(1-MIN(1,INDEX(Tabla_Mortalidad!$B$5:$B$75,MIN(71,Cartera_Polizas!$B$56+14-49))*(1+(Cartera_Polizas!$P$56-1)*MAX(0,1-14/Supuestos!$C$20))*(1-Supuestos!$C$18)^14))</f>
        <v>0.00567278461841251</v>
      </c>
      <c r="R54" s="29" t="n">
        <f aca="false">Q54*(1-MIN(1,INDEX(Tabla_Mortalidad!$B$5:$B$75,MIN(71,Cartera_Polizas!$B$56+15-49))*(1+(Cartera_Polizas!$P$56-1)*MAX(0,1-15/Supuestos!$C$20))*(1-Supuestos!$C$18)^15))</f>
        <v>0.00375202311037247</v>
      </c>
      <c r="S54" s="29" t="n">
        <f aca="false">R54*(1-MIN(1,INDEX(Tabla_Mortalidad!$B$5:$B$75,MIN(71,Cartera_Polizas!$B$56+16-49))*(1+(Cartera_Polizas!$P$56-1)*MAX(0,1-16/Supuestos!$C$20))*(1-Supuestos!$C$18)^16))</f>
        <v>0.00237486143757845</v>
      </c>
      <c r="T54" s="29" t="n">
        <f aca="false">S54*(1-MIN(1,INDEX(Tabla_Mortalidad!$B$5:$B$75,MIN(71,Cartera_Polizas!$B$56+17-49))*(1+(Cartera_Polizas!$P$56-1)*MAX(0,1-17/Supuestos!$C$20))*(1-Supuestos!$C$18)^17))</f>
        <v>0.00143233987663243</v>
      </c>
      <c r="U54" s="29" t="n">
        <f aca="false">T54*(1-MIN(1,INDEX(Tabla_Mortalidad!$B$5:$B$75,MIN(71,Cartera_Polizas!$B$56+18-49))*(1+(Cartera_Polizas!$P$56-1)*MAX(0,1-18/Supuestos!$C$20))*(1-Supuestos!$C$18)^18))</f>
        <v>0.000819393068314259</v>
      </c>
      <c r="V54" s="29" t="n">
        <f aca="false">U54*(1-MIN(1,INDEX(Tabla_Mortalidad!$B$5:$B$75,MIN(71,Cartera_Polizas!$B$56+19-49))*(1+(Cartera_Polizas!$P$56-1)*MAX(0,1-19/Supuestos!$C$20))*(1-Supuestos!$C$18)^19))</f>
        <v>0.000442448885685806</v>
      </c>
      <c r="W54" s="29" t="n">
        <f aca="false">V54*(1-MIN(1,INDEX(Tabla_Mortalidad!$B$5:$B$75,MIN(71,Cartera_Polizas!$B$56+20-49))*(1+(Cartera_Polizas!$P$56-1)*MAX(0,1-20/Supuestos!$C$20))*(1-Supuestos!$C$18)^20))</f>
        <v>0.000224361188303813</v>
      </c>
      <c r="X54" s="29" t="n">
        <f aca="false">W54*(1-MIN(1,INDEX(Tabla_Mortalidad!$B$5:$B$75,MIN(71,Cartera_Polizas!$B$56+21-49))*(1+(Cartera_Polizas!$P$56-1)*MAX(0,1-21/Supuestos!$C$20))*(1-Supuestos!$C$18)^21))</f>
        <v>0.000106284938824467</v>
      </c>
      <c r="Y54" s="29" t="n">
        <f aca="false">X54*(1-MIN(1,INDEX(Tabla_Mortalidad!$B$5:$B$75,MIN(71,Cartera_Polizas!$B$56+22-49))*(1+(Cartera_Polizas!$P$56-1)*MAX(0,1-22/Supuestos!$C$20))*(1-Supuestos!$C$18)^22))</f>
        <v>4.67893817514236E-005</v>
      </c>
      <c r="Z54" s="29" t="n">
        <f aca="false">Y54*(1-MIN(1,INDEX(Tabla_Mortalidad!$B$5:$B$75,MIN(71,Cartera_Polizas!$B$56+23-49))*(1+(Cartera_Polizas!$P$56-1)*MAX(0,1-23/Supuestos!$C$20))*(1-Supuestos!$C$18)^23))</f>
        <v>1.9043606988029E-005</v>
      </c>
      <c r="AA54" s="29" t="n">
        <f aca="false">Z54*(1-MIN(1,INDEX(Tabla_Mortalidad!$B$5:$B$75,MIN(71,Cartera_Polizas!$B$56+24-49))*(1+(Cartera_Polizas!$P$56-1)*MAX(0,1-24/Supuestos!$C$20))*(1-Supuestos!$C$18)^24))</f>
        <v>7.13202660466122E-006</v>
      </c>
      <c r="AB54" s="29" t="n">
        <f aca="false">AA54*(1-MIN(1,INDEX(Tabla_Mortalidad!$B$5:$B$75,MIN(71,Cartera_Polizas!$B$56+25-49))*(1+(Cartera_Polizas!$P$56-1)*MAX(0,1-25/Supuestos!$C$20))*(1-Supuestos!$C$18)^25))</f>
        <v>2.44777632254752E-006</v>
      </c>
      <c r="AC54" s="29" t="n">
        <f aca="false">AB54*(1-MIN(1,INDEX(Tabla_Mortalidad!$B$5:$B$75,MIN(71,Cartera_Polizas!$B$56+26-49))*(1+(Cartera_Polizas!$P$56-1)*MAX(0,1-26/Supuestos!$C$20))*(1-Supuestos!$C$18)^26))</f>
        <v>7.67589873913401E-007</v>
      </c>
      <c r="AD54" s="29" t="n">
        <f aca="false">AC54*(1-MIN(1,INDEX(Tabla_Mortalidad!$B$5:$B$75,MIN(71,Cartera_Polizas!$B$56+27-49))*(1+(Cartera_Polizas!$P$56-1)*MAX(0,1-27/Supuestos!$C$20))*(1-Supuestos!$C$18)^27))</f>
        <v>2.19614533268764E-007</v>
      </c>
      <c r="AE54" s="29" t="n">
        <f aca="false">AD54*(1-MIN(1,INDEX(Tabla_Mortalidad!$B$5:$B$75,MIN(71,Cartera_Polizas!$B$56+28-49))*(1+(Cartera_Polizas!$P$56-1)*MAX(0,1-28/Supuestos!$C$20))*(1-Supuestos!$C$18)^28))</f>
        <v>5.73644169498242E-008</v>
      </c>
      <c r="AF54" s="29" t="n">
        <f aca="false">AE54*(1-MIN(1,INDEX(Tabla_Mortalidad!$B$5:$B$75,MIN(71,Cartera_Polizas!$B$56+29-49))*(1+(Cartera_Polizas!$P$56-1)*MAX(0,1-29/Supuestos!$C$20))*(1-Supuestos!$C$18)^29))</f>
        <v>1.37234958341118E-008</v>
      </c>
      <c r="AG54" s="29" t="n">
        <f aca="false">AF54*(1-MIN(1,INDEX(Tabla_Mortalidad!$B$5:$B$75,MIN(71,Cartera_Polizas!$B$56+30-49))*(1+(Cartera_Polizas!$P$56-1)*MAX(0,1-30/Supuestos!$C$20))*(1-Supuestos!$C$18)^30))</f>
        <v>3.02542406062897E-009</v>
      </c>
      <c r="AH54" s="29" t="n">
        <f aca="false">AG54*(1-MIN(1,INDEX(Tabla_Mortalidad!$B$5:$B$75,MIN(71,Cartera_Polizas!$B$56+31-49))*(1+(Cartera_Polizas!$P$56-1)*MAX(0,1-31/Supuestos!$C$20))*(1-Supuestos!$C$18)^31))</f>
        <v>6.20258719524922E-010</v>
      </c>
      <c r="AI54" s="29" t="n">
        <f aca="false">AH54*(1-MIN(1,INDEX(Tabla_Mortalidad!$B$5:$B$75,MIN(71,Cartera_Polizas!$B$56+32-49))*(1+(Cartera_Polizas!$P$56-1)*MAX(0,1-32/Supuestos!$C$20))*(1-Supuestos!$C$18)^32))</f>
        <v>1.19661022513431E-010</v>
      </c>
      <c r="AJ54" s="29" t="n">
        <f aca="false">AI54*(1-MIN(1,INDEX(Tabla_Mortalidad!$B$5:$B$75,MIN(71,Cartera_Polizas!$B$56+33-49))*(1+(Cartera_Polizas!$P$56-1)*MAX(0,1-33/Supuestos!$C$20))*(1-Supuestos!$C$18)^33))</f>
        <v>1.82431784223046E-011</v>
      </c>
      <c r="AK54" s="29" t="n">
        <f aca="false">AJ54*(1-MIN(1,INDEX(Tabla_Mortalidad!$B$5:$B$75,MIN(71,Cartera_Polizas!$B$56+34-49))*(1+(Cartera_Polizas!$P$56-1)*MAX(0,1-34/Supuestos!$C$20))*(1-Supuestos!$C$18)^34))</f>
        <v>2.85861236088338E-012</v>
      </c>
      <c r="AL54" s="29" t="n">
        <f aca="false">AK54*(1-MIN(1,INDEX(Tabla_Mortalidad!$B$5:$B$75,MIN(71,Cartera_Polizas!$B$56+35-49))*(1+(Cartera_Polizas!$P$56-1)*MAX(0,1-35/Supuestos!$C$20))*(1-Supuestos!$C$18)^35))</f>
        <v>4.59983287401585E-013</v>
      </c>
      <c r="AM54" s="29" t="n">
        <f aca="false">AL54*(1-MIN(1,INDEX(Tabla_Mortalidad!$B$5:$B$75,MIN(71,Cartera_Polizas!$B$56+36-49))*(1+(Cartera_Polizas!$P$56-1)*MAX(0,1-36/Supuestos!$C$20))*(1-Supuestos!$C$18)^36))</f>
        <v>7.59463836691956E-014</v>
      </c>
      <c r="AN54" s="29" t="n">
        <f aca="false">AM54*(1-MIN(1,INDEX(Tabla_Mortalidad!$B$5:$B$75,MIN(71,Cartera_Polizas!$B$56+37-49))*(1+(Cartera_Polizas!$P$56-1)*MAX(0,1-37/Supuestos!$C$20))*(1-Supuestos!$C$18)^37))</f>
        <v>1.28563024452576E-014</v>
      </c>
      <c r="AO54" s="29" t="n">
        <f aca="false">AN54*(1-MIN(1,INDEX(Tabla_Mortalidad!$B$5:$B$75,MIN(71,Cartera_Polizas!$B$56+38-49))*(1+(Cartera_Polizas!$P$56-1)*MAX(0,1-38/Supuestos!$C$20))*(1-Supuestos!$C$18)^38))</f>
        <v>2.22973142643756E-015</v>
      </c>
      <c r="AP54" s="29" t="n">
        <f aca="false">AO54*(1-MIN(1,INDEX(Tabla_Mortalidad!$B$5:$B$75,MIN(71,Cartera_Polizas!$B$56+39-49))*(1+(Cartera_Polizas!$P$56-1)*MAX(0,1-39/Supuestos!$C$20))*(1-Supuestos!$C$18)^39))</f>
        <v>3.95928320175808E-016</v>
      </c>
      <c r="AQ54" s="29" t="n">
        <f aca="false">AP54*(1-MIN(1,INDEX(Tabla_Mortalidad!$B$5:$B$75,MIN(71,Cartera_Polizas!$B$56+40-49))*(1+(Cartera_Polizas!$P$56-1)*MAX(0,1-40/Supuestos!$C$20))*(1-Supuestos!$C$18)^40))</f>
        <v>7.19322092932367E-017</v>
      </c>
      <c r="AR54" s="29" t="n">
        <f aca="false">AQ54*(1-MIN(1,INDEX(Tabla_Mortalidad!$B$5:$B$75,MIN(71,Cartera_Polizas!$B$56+41-49))*(1+(Cartera_Polizas!$P$56-1)*MAX(0,1-41/Supuestos!$C$20))*(1-Supuestos!$C$18)^41))</f>
        <v>1.33629529500383E-017</v>
      </c>
      <c r="AS54" s="29" t="n">
        <f aca="false">AR54*(1-MIN(1,INDEX(Tabla_Mortalidad!$B$5:$B$75,MIN(71,Cartera_Polizas!$B$56+42-49))*(1+(Cartera_Polizas!$P$56-1)*MAX(0,1-42/Supuestos!$C$20))*(1-Supuestos!$C$18)^42))</f>
        <v>2.53685802816372E-018</v>
      </c>
      <c r="AT54" s="29" t="n">
        <f aca="false">AS54*(1-MIN(1,INDEX(Tabla_Mortalidad!$B$5:$B$75,MIN(71,Cartera_Polizas!$B$56+43-49))*(1+(Cartera_Polizas!$P$56-1)*MAX(0,1-43/Supuestos!$C$20))*(1-Supuestos!$C$18)^43))</f>
        <v>4.91880051416406E-019</v>
      </c>
      <c r="AU54" s="29" t="n">
        <f aca="false">AT54*(1-MIN(1,INDEX(Tabla_Mortalidad!$B$5:$B$75,MIN(71,Cartera_Polizas!$B$56+44-49))*(1+(Cartera_Polizas!$P$56-1)*MAX(0,1-44/Supuestos!$C$20))*(1-Supuestos!$C$18)^44))</f>
        <v>9.73548387813866E-020</v>
      </c>
    </row>
    <row r="55" customFormat="false" ht="15" hidden="false" customHeight="false" outlineLevel="0" collapsed="false">
      <c r="A55" s="14" t="n">
        <f aca="false">Cartera_Polizas!A57</f>
        <v>52</v>
      </c>
      <c r="B55" s="26" t="n">
        <f aca="false">SUM(C55:AU55)+0.5</f>
        <v>11.8239850252805</v>
      </c>
      <c r="C55" s="29" t="n">
        <f aca="false">1-MIN(1,INDEX(Tabla_Mortalidad!$B$5:$B$75,MIN(71,Cartera_Polizas!$B$57+0-49))*(1+(Cartera_Polizas!$P$57-1)*MAX(0,1-0/Supuestos!$C$20))*(1-Supuestos!$C$18)^0)</f>
        <v>0.9644880915625</v>
      </c>
      <c r="D55" s="29" t="n">
        <f aca="false">C55*(1-MIN(1,INDEX(Tabla_Mortalidad!$B$5:$B$75,MIN(71,Cartera_Polizas!$B$57+1-49))*(1+(Cartera_Polizas!$P$57-1)*MAX(0,1-1/Supuestos!$C$20))*(1-Supuestos!$C$18)^1))</f>
        <v>0.92700116298242</v>
      </c>
      <c r="E55" s="29" t="n">
        <f aca="false">D55*(1-MIN(1,INDEX(Tabla_Mortalidad!$B$5:$B$75,MIN(71,Cartera_Polizas!$B$57+2-49))*(1+(Cartera_Polizas!$P$57-1)*MAX(0,1-2/Supuestos!$C$20))*(1-Supuestos!$C$18)^2))</f>
        <v>0.887581105007762</v>
      </c>
      <c r="F55" s="29" t="n">
        <f aca="false">E55*(1-MIN(1,INDEX(Tabla_Mortalidad!$B$5:$B$75,MIN(71,Cartera_Polizas!$B$57+3-49))*(1+(Cartera_Polizas!$P$57-1)*MAX(0,1-3/Supuestos!$C$20))*(1-Supuestos!$C$18)^3))</f>
        <v>0.846302553400331</v>
      </c>
      <c r="G55" s="29" t="n">
        <f aca="false">F55*(1-MIN(1,INDEX(Tabla_Mortalidad!$B$5:$B$75,MIN(71,Cartera_Polizas!$B$57+4-49))*(1+(Cartera_Polizas!$P$57-1)*MAX(0,1-4/Supuestos!$C$20))*(1-Supuestos!$C$18)^4))</f>
        <v>0.803276595070302</v>
      </c>
      <c r="H55" s="29" t="n">
        <f aca="false">G55*(1-MIN(1,INDEX(Tabla_Mortalidad!$B$5:$B$75,MIN(71,Cartera_Polizas!$B$57+5-49))*(1+(Cartera_Polizas!$P$57-1)*MAX(0,1-5/Supuestos!$C$20))*(1-Supuestos!$C$18)^5))</f>
        <v>0.758652631409576</v>
      </c>
      <c r="I55" s="29" t="n">
        <f aca="false">H55*(1-MIN(1,INDEX(Tabla_Mortalidad!$B$5:$B$75,MIN(71,Cartera_Polizas!$B$57+6-49))*(1+(Cartera_Polizas!$P$57-1)*MAX(0,1-6/Supuestos!$C$20))*(1-Supuestos!$C$18)^6))</f>
        <v>0.71262313044157</v>
      </c>
      <c r="J55" s="29" t="n">
        <f aca="false">I55*(1-MIN(1,INDEX(Tabla_Mortalidad!$B$5:$B$75,MIN(71,Cartera_Polizas!$B$57+7-49))*(1+(Cartera_Polizas!$P$57-1)*MAX(0,1-7/Supuestos!$C$20))*(1-Supuestos!$C$18)^7))</f>
        <v>0.665427132387467</v>
      </c>
      <c r="K55" s="29" t="n">
        <f aca="false">J55*(1-MIN(1,INDEX(Tabla_Mortalidad!$B$5:$B$75,MIN(71,Cartera_Polizas!$B$57+8-49))*(1+(Cartera_Polizas!$P$57-1)*MAX(0,1-8/Supuestos!$C$20))*(1-Supuestos!$C$18)^8))</f>
        <v>0.617349174531384</v>
      </c>
      <c r="L55" s="29" t="n">
        <f aca="false">K55*(1-MIN(1,INDEX(Tabla_Mortalidad!$B$5:$B$75,MIN(71,Cartera_Polizas!$B$57+9-49))*(1+(Cartera_Polizas!$P$57-1)*MAX(0,1-9/Supuestos!$C$20))*(1-Supuestos!$C$18)^9))</f>
        <v>0.568718153900677</v>
      </c>
      <c r="M55" s="29" t="n">
        <f aca="false">L55*(1-MIN(1,INDEX(Tabla_Mortalidad!$B$5:$B$75,MIN(71,Cartera_Polizas!$B$57+10-49))*(1+(Cartera_Polizas!$P$57-1)*MAX(0,1-10/Supuestos!$C$20))*(1-Supuestos!$C$18)^10))</f>
        <v>0.5199075048931</v>
      </c>
      <c r="N55" s="29" t="n">
        <f aca="false">M55*(1-MIN(1,INDEX(Tabla_Mortalidad!$B$5:$B$75,MIN(71,Cartera_Polizas!$B$57+11-49))*(1+(Cartera_Polizas!$P$57-1)*MAX(0,1-11/Supuestos!$C$20))*(1-Supuestos!$C$18)^11))</f>
        <v>0.471326259947582</v>
      </c>
      <c r="O55" s="29" t="n">
        <f aca="false">N55*(1-MIN(1,INDEX(Tabla_Mortalidad!$B$5:$B$75,MIN(71,Cartera_Polizas!$B$57+12-49))*(1+(Cartera_Polizas!$P$57-1)*MAX(0,1-12/Supuestos!$C$20))*(1-Supuestos!$C$18)^12))</f>
        <v>0.42341508103022</v>
      </c>
      <c r="P55" s="29" t="n">
        <f aca="false">O55*(1-MIN(1,INDEX(Tabla_Mortalidad!$B$5:$B$75,MIN(71,Cartera_Polizas!$B$57+13-49))*(1+(Cartera_Polizas!$P$57-1)*MAX(0,1-13/Supuestos!$C$20))*(1-Supuestos!$C$18)^13))</f>
        <v>0.376633199423314</v>
      </c>
      <c r="Q55" s="29" t="n">
        <f aca="false">P55*(1-MIN(1,INDEX(Tabla_Mortalidad!$B$5:$B$75,MIN(71,Cartera_Polizas!$B$57+14-49))*(1+(Cartera_Polizas!$P$57-1)*MAX(0,1-14/Supuestos!$C$20))*(1-Supuestos!$C$18)^14))</f>
        <v>0.331446007701196</v>
      </c>
      <c r="R55" s="29" t="n">
        <f aca="false">Q55*(1-MIN(1,INDEX(Tabla_Mortalidad!$B$5:$B$75,MIN(71,Cartera_Polizas!$B$57+15-49))*(1+(Cartera_Polizas!$P$57-1)*MAX(0,1-15/Supuestos!$C$20))*(1-Supuestos!$C$18)^15))</f>
        <v>0.288309237179877</v>
      </c>
      <c r="S55" s="29" t="n">
        <f aca="false">R55*(1-MIN(1,INDEX(Tabla_Mortalidad!$B$5:$B$75,MIN(71,Cartera_Polizas!$B$57+16-49))*(1+(Cartera_Polizas!$P$57-1)*MAX(0,1-16/Supuestos!$C$20))*(1-Supuestos!$C$18)^16))</f>
        <v>0.246987922025495</v>
      </c>
      <c r="T55" s="29" t="n">
        <f aca="false">S55*(1-MIN(1,INDEX(Tabla_Mortalidad!$B$5:$B$75,MIN(71,Cartera_Polizas!$B$57+17-49))*(1+(Cartera_Polizas!$P$57-1)*MAX(0,1-17/Supuestos!$C$20))*(1-Supuestos!$C$18)^17))</f>
        <v>0.208042982762729</v>
      </c>
      <c r="U55" s="29" t="n">
        <f aca="false">T55*(1-MIN(1,INDEX(Tabla_Mortalidad!$B$5:$B$75,MIN(71,Cartera_Polizas!$B$57+18-49))*(1+(Cartera_Polizas!$P$57-1)*MAX(0,1-18/Supuestos!$C$20))*(1-Supuestos!$C$18)^18))</f>
        <v>0.171991265857363</v>
      </c>
      <c r="V55" s="29" t="n">
        <f aca="false">U55*(1-MIN(1,INDEX(Tabla_Mortalidad!$B$5:$B$75,MIN(71,Cartera_Polizas!$B$57+19-49))*(1+(Cartera_Polizas!$P$57-1)*MAX(0,1-19/Supuestos!$C$20))*(1-Supuestos!$C$18)^19))</f>
        <v>0.139275080877854</v>
      </c>
      <c r="W55" s="29" t="n">
        <f aca="false">V55*(1-MIN(1,INDEX(Tabla_Mortalidad!$B$5:$B$75,MIN(71,Cartera_Polizas!$B$57+20-49))*(1+(Cartera_Polizas!$P$57-1)*MAX(0,1-20/Supuestos!$C$20))*(1-Supuestos!$C$18)^20))</f>
        <v>0.110232061729958</v>
      </c>
      <c r="X55" s="29" t="n">
        <f aca="false">W55*(1-MIN(1,INDEX(Tabla_Mortalidad!$B$5:$B$75,MIN(71,Cartera_Polizas!$B$57+21-49))*(1+(Cartera_Polizas!$P$57-1)*MAX(0,1-21/Supuestos!$C$20))*(1-Supuestos!$C$18)^21))</f>
        <v>0.085069160524133</v>
      </c>
      <c r="Y55" s="29" t="n">
        <f aca="false">X55*(1-MIN(1,INDEX(Tabla_Mortalidad!$B$5:$B$75,MIN(71,Cartera_Polizas!$B$57+22-49))*(1+(Cartera_Polizas!$P$57-1)*MAX(0,1-22/Supuestos!$C$20))*(1-Supuestos!$C$18)^22))</f>
        <v>0.0638457181353148</v>
      </c>
      <c r="Z55" s="29" t="n">
        <f aca="false">Y55*(1-MIN(1,INDEX(Tabla_Mortalidad!$B$5:$B$75,MIN(71,Cartera_Polizas!$B$57+23-49))*(1+(Cartera_Polizas!$P$57-1)*MAX(0,1-23/Supuestos!$C$20))*(1-Supuestos!$C$18)^23))</f>
        <v>0.0464677130794218</v>
      </c>
      <c r="AA55" s="29" t="n">
        <f aca="false">Z55*(1-MIN(1,INDEX(Tabla_Mortalidad!$B$5:$B$75,MIN(71,Cartera_Polizas!$B$57+24-49))*(1+(Cartera_Polizas!$P$57-1)*MAX(0,1-24/Supuestos!$C$20))*(1-Supuestos!$C$18)^24))</f>
        <v>0.032695534724408</v>
      </c>
      <c r="AB55" s="29" t="n">
        <f aca="false">AA55*(1-MIN(1,INDEX(Tabla_Mortalidad!$B$5:$B$75,MIN(71,Cartera_Polizas!$B$57+25-49))*(1+(Cartera_Polizas!$P$57-1)*MAX(0,1-25/Supuestos!$C$20))*(1-Supuestos!$C$18)^25))</f>
        <v>0.0221663098506187</v>
      </c>
      <c r="AC55" s="29" t="n">
        <f aca="false">AB55*(1-MIN(1,INDEX(Tabla_Mortalidad!$B$5:$B$75,MIN(71,Cartera_Polizas!$B$57+26-49))*(1+(Cartera_Polizas!$P$57-1)*MAX(0,1-26/Supuestos!$C$20))*(1-Supuestos!$C$18)^26))</f>
        <v>0.0144280442850911</v>
      </c>
      <c r="AD55" s="29" t="n">
        <f aca="false">AC55*(1-MIN(1,INDEX(Tabla_Mortalidad!$B$5:$B$75,MIN(71,Cartera_Polizas!$B$57+27-49))*(1+(Cartera_Polizas!$P$57-1)*MAX(0,1-27/Supuestos!$C$20))*(1-Supuestos!$C$18)^27))</f>
        <v>0.00898187304580262</v>
      </c>
      <c r="AE55" s="29" t="n">
        <f aca="false">AD55*(1-MIN(1,INDEX(Tabla_Mortalidad!$B$5:$B$75,MIN(71,Cartera_Polizas!$B$57+28-49))*(1+(Cartera_Polizas!$P$57-1)*MAX(0,1-28/Supuestos!$C$20))*(1-Supuestos!$C$18)^28))</f>
        <v>0.00532614041935575</v>
      </c>
      <c r="AF55" s="29" t="n">
        <f aca="false">AE55*(1-MIN(1,INDEX(Tabla_Mortalidad!$B$5:$B$75,MIN(71,Cartera_Polizas!$B$57+29-49))*(1+(Cartera_Polizas!$P$57-1)*MAX(0,1-29/Supuestos!$C$20))*(1-Supuestos!$C$18)^29))</f>
        <v>0.00299575272100893</v>
      </c>
      <c r="AG55" s="29" t="n">
        <f aca="false">AF55*(1-MIN(1,INDEX(Tabla_Mortalidad!$B$5:$B$75,MIN(71,Cartera_Polizas!$B$57+30-49))*(1+(Cartera_Polizas!$P$57-1)*MAX(0,1-30/Supuestos!$C$20))*(1-Supuestos!$C$18)^30))</f>
        <v>0.0015913074135124</v>
      </c>
      <c r="AH55" s="29" t="n">
        <f aca="false">AG55*(1-MIN(1,INDEX(Tabla_Mortalidad!$B$5:$B$75,MIN(71,Cartera_Polizas!$B$57+31-49))*(1+(Cartera_Polizas!$P$57-1)*MAX(0,1-31/Supuestos!$C$20))*(1-Supuestos!$C$18)^31))</f>
        <v>0.000794781862048721</v>
      </c>
      <c r="AI55" s="29" t="n">
        <f aca="false">AH55*(1-MIN(1,INDEX(Tabla_Mortalidad!$B$5:$B$75,MIN(71,Cartera_Polizas!$B$57+32-49))*(1+(Cartera_Polizas!$P$57-1)*MAX(0,1-32/Supuestos!$C$20))*(1-Supuestos!$C$18)^32))</f>
        <v>0.000371634572625091</v>
      </c>
      <c r="AJ55" s="29" t="n">
        <f aca="false">AI55*(1-MIN(1,INDEX(Tabla_Mortalidad!$B$5:$B$75,MIN(71,Cartera_Polizas!$B$57+33-49))*(1+(Cartera_Polizas!$P$57-1)*MAX(0,1-33/Supuestos!$C$20))*(1-Supuestos!$C$18)^33))</f>
        <v>0.000162032068848618</v>
      </c>
      <c r="AK55" s="29" t="n">
        <f aca="false">AJ55*(1-MIN(1,INDEX(Tabla_Mortalidad!$B$5:$B$75,MIN(71,Cartera_Polizas!$B$57+34-49))*(1+(Cartera_Polizas!$P$57-1)*MAX(0,1-34/Supuestos!$C$20))*(1-Supuestos!$C$18)^34))</f>
        <v>6.56376342496664E-005</v>
      </c>
      <c r="AL55" s="29" t="n">
        <f aca="false">AK55*(1-MIN(1,INDEX(Tabla_Mortalidad!$B$5:$B$75,MIN(71,Cartera_Polizas!$B$57+35-49))*(1+(Cartera_Polizas!$P$57-1)*MAX(0,1-35/Supuestos!$C$20))*(1-Supuestos!$C$18)^35))</f>
        <v>2.46350845137336E-005</v>
      </c>
      <c r="AM55" s="29" t="n">
        <f aca="false">AL55*(1-MIN(1,INDEX(Tabla_Mortalidad!$B$5:$B$75,MIN(71,Cartera_Polizas!$B$57+36-49))*(1+(Cartera_Polizas!$P$57-1)*MAX(0,1-36/Supuestos!$C$20))*(1-Supuestos!$C$18)^36))</f>
        <v>8.55195304275019E-006</v>
      </c>
      <c r="AN55" s="29" t="n">
        <f aca="false">AM55*(1-MIN(1,INDEX(Tabla_Mortalidad!$B$5:$B$75,MIN(71,Cartera_Polizas!$B$57+37-49))*(1+(Cartera_Polizas!$P$57-1)*MAX(0,1-37/Supuestos!$C$20))*(1-Supuestos!$C$18)^37))</f>
        <v>2.74527303891502E-006</v>
      </c>
      <c r="AO55" s="29" t="n">
        <f aca="false">AN55*(1-MIN(1,INDEX(Tabla_Mortalidad!$B$5:$B$75,MIN(71,Cartera_Polizas!$B$57+38-49))*(1+(Cartera_Polizas!$P$57-1)*MAX(0,1-38/Supuestos!$C$20))*(1-Supuestos!$C$18)^38))</f>
        <v>8.16237217064597E-007</v>
      </c>
      <c r="AP55" s="29" t="n">
        <f aca="false">AO55*(1-MIN(1,INDEX(Tabla_Mortalidad!$B$5:$B$75,MIN(71,Cartera_Polizas!$B$57+39-49))*(1+(Cartera_Polizas!$P$57-1)*MAX(0,1-39/Supuestos!$C$20))*(1-Supuestos!$C$18)^39))</f>
        <v>2.25630305285374E-007</v>
      </c>
      <c r="AQ55" s="29" t="n">
        <f aca="false">AP55*(1-MIN(1,INDEX(Tabla_Mortalidad!$B$5:$B$75,MIN(71,Cartera_Polizas!$B$57+40-49))*(1+(Cartera_Polizas!$P$57-1)*MAX(0,1-40/Supuestos!$C$20))*(1-Supuestos!$C$18)^40))</f>
        <v>5.83406867298632E-008</v>
      </c>
      <c r="AR55" s="29" t="n">
        <f aca="false">AQ55*(1-MIN(1,INDEX(Tabla_Mortalidad!$B$5:$B$75,MIN(71,Cartera_Polizas!$B$57+41-49))*(1+(Cartera_Polizas!$P$57-1)*MAX(0,1-41/Supuestos!$C$20))*(1-Supuestos!$C$18)^41))</f>
        <v>1.42282523954649E-008</v>
      </c>
      <c r="AS55" s="29" t="n">
        <f aca="false">AR55*(1-MIN(1,INDEX(Tabla_Mortalidad!$B$5:$B$75,MIN(71,Cartera_Polizas!$B$57+42-49))*(1+(Cartera_Polizas!$P$57-1)*MAX(0,1-42/Supuestos!$C$20))*(1-Supuestos!$C$18)^42))</f>
        <v>3.30634884406228E-009</v>
      </c>
      <c r="AT55" s="29" t="n">
        <f aca="false">AS55*(1-MIN(1,INDEX(Tabla_Mortalidad!$B$5:$B$75,MIN(71,Cartera_Polizas!$B$57+43-49))*(1+(Cartera_Polizas!$P$57-1)*MAX(0,1-43/Supuestos!$C$20))*(1-Supuestos!$C$18)^43))</f>
        <v>6.41079248961806E-010</v>
      </c>
      <c r="AU55" s="29" t="n">
        <f aca="false">AT55*(1-MIN(1,INDEX(Tabla_Mortalidad!$B$5:$B$75,MIN(71,Cartera_Polizas!$B$57+44-49))*(1+(Cartera_Polizas!$P$57-1)*MAX(0,1-44/Supuestos!$C$20))*(1-Supuestos!$C$18)^44))</f>
        <v>1.26884932107022E-010</v>
      </c>
    </row>
    <row r="56" customFormat="false" ht="15" hidden="false" customHeight="false" outlineLevel="0" collapsed="false">
      <c r="A56" s="14" t="n">
        <f aca="false">Cartera_Polizas!A58</f>
        <v>53</v>
      </c>
      <c r="B56" s="26" t="n">
        <f aca="false">SUM(C56:AU56)+0.5</f>
        <v>8.34161140696718</v>
      </c>
      <c r="C56" s="29" t="n">
        <f aca="false">1-MIN(1,INDEX(Tabla_Mortalidad!$B$5:$B$75,MIN(71,Cartera_Polizas!$B$58+0-49))*(1+(Cartera_Polizas!$P$58-1)*MAX(0,1-0/Supuestos!$C$20))*(1-Supuestos!$C$18)^0)</f>
        <v>0.9383727875</v>
      </c>
      <c r="D56" s="29" t="n">
        <f aca="false">C56*(1-MIN(1,INDEX(Tabla_Mortalidad!$B$5:$B$75,MIN(71,Cartera_Polizas!$B$58+1-49))*(1+(Cartera_Polizas!$P$58-1)*MAX(0,1-1/Supuestos!$C$20))*(1-Supuestos!$C$18)^1))</f>
        <v>0.874834275250363</v>
      </c>
      <c r="E56" s="29" t="n">
        <f aca="false">D56*(1-MIN(1,INDEX(Tabla_Mortalidad!$B$5:$B$75,MIN(71,Cartera_Polizas!$B$58+2-49))*(1+(Cartera_Polizas!$P$58-1)*MAX(0,1-2/Supuestos!$C$20))*(1-Supuestos!$C$18)^2))</f>
        <v>0.809778248002206</v>
      </c>
      <c r="F56" s="29" t="n">
        <f aca="false">E56*(1-MIN(1,INDEX(Tabla_Mortalidad!$B$5:$B$75,MIN(71,Cartera_Polizas!$B$58+3-49))*(1+(Cartera_Polizas!$P$58-1)*MAX(0,1-3/Supuestos!$C$20))*(1-Supuestos!$C$18)^3))</f>
        <v>0.743673963499649</v>
      </c>
      <c r="G56" s="29" t="n">
        <f aca="false">F56*(1-MIN(1,INDEX(Tabla_Mortalidad!$B$5:$B$75,MIN(71,Cartera_Polizas!$B$58+4-49))*(1+(Cartera_Polizas!$P$58-1)*MAX(0,1-4/Supuestos!$C$20))*(1-Supuestos!$C$18)^4))</f>
        <v>0.67706802334378</v>
      </c>
      <c r="H56" s="29" t="n">
        <f aca="false">G56*(1-MIN(1,INDEX(Tabla_Mortalidad!$B$5:$B$75,MIN(71,Cartera_Polizas!$B$58+5-49))*(1+(Cartera_Polizas!$P$58-1)*MAX(0,1-5/Supuestos!$C$20))*(1-Supuestos!$C$18)^5))</f>
        <v>0.610572991354011</v>
      </c>
      <c r="I56" s="29" t="n">
        <f aca="false">H56*(1-MIN(1,INDEX(Tabla_Mortalidad!$B$5:$B$75,MIN(71,Cartera_Polizas!$B$58+6-49))*(1+(Cartera_Polizas!$P$58-1)*MAX(0,1-6/Supuestos!$C$20))*(1-Supuestos!$C$18)^6))</f>
        <v>0.544861602913362</v>
      </c>
      <c r="J56" s="29" t="n">
        <f aca="false">I56*(1-MIN(1,INDEX(Tabla_Mortalidad!$B$5:$B$75,MIN(71,Cartera_Polizas!$B$58+7-49))*(1+(Cartera_Polizas!$P$58-1)*MAX(0,1-7/Supuestos!$C$20))*(1-Supuestos!$C$18)^7))</f>
        <v>0.480647035123427</v>
      </c>
      <c r="K56" s="29" t="n">
        <f aca="false">J56*(1-MIN(1,INDEX(Tabla_Mortalidad!$B$5:$B$75,MIN(71,Cartera_Polizas!$B$58+8-49))*(1+(Cartera_Polizas!$P$58-1)*MAX(0,1-8/Supuestos!$C$20))*(1-Supuestos!$C$18)^8))</f>
        <v>0.41866231955427</v>
      </c>
      <c r="L56" s="29" t="n">
        <f aca="false">K56*(1-MIN(1,INDEX(Tabla_Mortalidad!$B$5:$B$75,MIN(71,Cartera_Polizas!$B$58+9-49))*(1+(Cartera_Polizas!$P$58-1)*MAX(0,1-9/Supuestos!$C$20))*(1-Supuestos!$C$18)^9))</f>
        <v>0.359633209534597</v>
      </c>
      <c r="M56" s="29" t="n">
        <f aca="false">L56*(1-MIN(1,INDEX(Tabla_Mortalidad!$B$5:$B$75,MIN(71,Cartera_Polizas!$B$58+10-49))*(1+(Cartera_Polizas!$P$58-1)*MAX(0,1-10/Supuestos!$C$20))*(1-Supuestos!$C$18)^10))</f>
        <v>0.3042472444733</v>
      </c>
      <c r="N56" s="29" t="n">
        <f aca="false">M56*(1-MIN(1,INDEX(Tabla_Mortalidad!$B$5:$B$75,MIN(71,Cartera_Polizas!$B$58+11-49))*(1+(Cartera_Polizas!$P$58-1)*MAX(0,1-11/Supuestos!$C$20))*(1-Supuestos!$C$18)^11))</f>
        <v>0.253119807843491</v>
      </c>
      <c r="O56" s="29" t="n">
        <f aca="false">N56*(1-MIN(1,INDEX(Tabla_Mortalidad!$B$5:$B$75,MIN(71,Cartera_Polizas!$B$58+12-49))*(1+(Cartera_Polizas!$P$58-1)*MAX(0,1-12/Supuestos!$C$20))*(1-Supuestos!$C$18)^12))</f>
        <v>0.206759199467667</v>
      </c>
      <c r="P56" s="29" t="n">
        <f aca="false">O56*(1-MIN(1,INDEX(Tabla_Mortalidad!$B$5:$B$75,MIN(71,Cartera_Polizas!$B$58+13-49))*(1+(Cartera_Polizas!$P$58-1)*MAX(0,1-13/Supuestos!$C$20))*(1-Supuestos!$C$18)^13))</f>
        <v>0.165536240944717</v>
      </c>
      <c r="Q56" s="29" t="n">
        <f aca="false">P56*(1-MIN(1,INDEX(Tabla_Mortalidad!$B$5:$B$75,MIN(71,Cartera_Polizas!$B$58+14-49))*(1+(Cartera_Polizas!$P$58-1)*MAX(0,1-14/Supuestos!$C$20))*(1-Supuestos!$C$18)^14))</f>
        <v>0.129659185522581</v>
      </c>
      <c r="R56" s="29" t="n">
        <f aca="false">Q56*(1-MIN(1,INDEX(Tabla_Mortalidad!$B$5:$B$75,MIN(71,Cartera_Polizas!$B$58+15-49))*(1+(Cartera_Polizas!$P$58-1)*MAX(0,1-15/Supuestos!$C$20))*(1-Supuestos!$C$18)^15))</f>
        <v>0.099157939109876</v>
      </c>
      <c r="S56" s="29" t="n">
        <f aca="false">R56*(1-MIN(1,INDEX(Tabla_Mortalidad!$B$5:$B$75,MIN(71,Cartera_Polizas!$B$58+16-49))*(1+(Cartera_Polizas!$P$58-1)*MAX(0,1-16/Supuestos!$C$20))*(1-Supuestos!$C$18)^16))</f>
        <v>0.0736642499056237</v>
      </c>
      <c r="T56" s="29" t="n">
        <f aca="false">S56*(1-MIN(1,INDEX(Tabla_Mortalidad!$B$5:$B$75,MIN(71,Cartera_Polizas!$B$58+17-49))*(1+(Cartera_Polizas!$P$58-1)*MAX(0,1-17/Supuestos!$C$20))*(1-Supuestos!$C$18)^17))</f>
        <v>0.0530015803933153</v>
      </c>
      <c r="U56" s="29" t="n">
        <f aca="false">T56*(1-MIN(1,INDEX(Tabla_Mortalidad!$B$5:$B$75,MIN(71,Cartera_Polizas!$B$58+18-49))*(1+(Cartera_Polizas!$P$58-1)*MAX(0,1-18/Supuestos!$C$20))*(1-Supuestos!$C$18)^18))</f>
        <v>0.036813264357179</v>
      </c>
      <c r="V56" s="29" t="n">
        <f aca="false">U56*(1-MIN(1,INDEX(Tabla_Mortalidad!$B$5:$B$75,MIN(71,Cartera_Polizas!$B$58+19-49))*(1+(Cartera_Polizas!$P$58-1)*MAX(0,1-19/Supuestos!$C$20))*(1-Supuestos!$C$18)^19))</f>
        <v>0.0245960047720033</v>
      </c>
      <c r="W56" s="29" t="n">
        <f aca="false">V56*(1-MIN(1,INDEX(Tabla_Mortalidad!$B$5:$B$75,MIN(71,Cartera_Polizas!$B$58+20-49))*(1+(Cartera_Polizas!$P$58-1)*MAX(0,1-20/Supuestos!$C$20))*(1-Supuestos!$C$18)^20))</f>
        <v>0.0157473690936524</v>
      </c>
      <c r="X56" s="29" t="n">
        <f aca="false">W56*(1-MIN(1,INDEX(Tabla_Mortalidad!$B$5:$B$75,MIN(71,Cartera_Polizas!$B$58+21-49))*(1+(Cartera_Polizas!$P$58-1)*MAX(0,1-21/Supuestos!$C$20))*(1-Supuestos!$C$18)^21))</f>
        <v>0.00962170260458308</v>
      </c>
      <c r="Y56" s="29" t="n">
        <f aca="false">X56*(1-MIN(1,INDEX(Tabla_Mortalidad!$B$5:$B$75,MIN(71,Cartera_Polizas!$B$58+22-49))*(1+(Cartera_Polizas!$P$58-1)*MAX(0,1-22/Supuestos!$C$20))*(1-Supuestos!$C$18)^22))</f>
        <v>0.00558598325332797</v>
      </c>
      <c r="Z56" s="29" t="n">
        <f aca="false">Y56*(1-MIN(1,INDEX(Tabla_Mortalidad!$B$5:$B$75,MIN(71,Cartera_Polizas!$B$58+23-49))*(1+(Cartera_Polizas!$P$58-1)*MAX(0,1-23/Supuestos!$C$20))*(1-Supuestos!$C$18)^23))</f>
        <v>0.00306728168911585</v>
      </c>
      <c r="AA56" s="29" t="n">
        <f aca="false">Z56*(1-MIN(1,INDEX(Tabla_Mortalidad!$B$5:$B$75,MIN(71,Cartera_Polizas!$B$58+24-49))*(1+(Cartera_Polizas!$P$58-1)*MAX(0,1-24/Supuestos!$C$20))*(1-Supuestos!$C$18)^24))</f>
        <v>0.00158539824357632</v>
      </c>
      <c r="AB56" s="29" t="n">
        <f aca="false">AA56*(1-MIN(1,INDEX(Tabla_Mortalidad!$B$5:$B$75,MIN(71,Cartera_Polizas!$B$58+25-49))*(1+(Cartera_Polizas!$P$58-1)*MAX(0,1-25/Supuestos!$C$20))*(1-Supuestos!$C$18)^25))</f>
        <v>0.000767601241568276</v>
      </c>
      <c r="AC56" s="29" t="n">
        <f aca="false">AB56*(1-MIN(1,INDEX(Tabla_Mortalidad!$B$5:$B$75,MIN(71,Cartera_Polizas!$B$58+26-49))*(1+(Cartera_Polizas!$P$58-1)*MAX(0,1-26/Supuestos!$C$20))*(1-Supuestos!$C$18)^26))</f>
        <v>0.000346447367592939</v>
      </c>
      <c r="AD56" s="29" t="n">
        <f aca="false">AC56*(1-MIN(1,INDEX(Tabla_Mortalidad!$B$5:$B$75,MIN(71,Cartera_Polizas!$B$58+27-49))*(1+(Cartera_Polizas!$P$58-1)*MAX(0,1-27/Supuestos!$C$20))*(1-Supuestos!$C$18)^27))</f>
        <v>0.000145084615388532</v>
      </c>
      <c r="AE56" s="29" t="n">
        <f aca="false">AD56*(1-MIN(1,INDEX(Tabla_Mortalidad!$B$5:$B$75,MIN(71,Cartera_Polizas!$B$58+28-49))*(1+(Cartera_Polizas!$P$58-1)*MAX(0,1-28/Supuestos!$C$20))*(1-Supuestos!$C$18)^28))</f>
        <v>5.61370917639973E-005</v>
      </c>
      <c r="AF56" s="29" t="n">
        <f aca="false">AE56*(1-MIN(1,INDEX(Tabla_Mortalidad!$B$5:$B$75,MIN(71,Cartera_Polizas!$B$58+29-49))*(1+(Cartera_Polizas!$P$58-1)*MAX(0,1-29/Supuestos!$C$20))*(1-Supuestos!$C$18)^29))</f>
        <v>1.99986543782067E-005</v>
      </c>
      <c r="AG56" s="29" t="n">
        <f aca="false">AF56*(1-MIN(1,INDEX(Tabla_Mortalidad!$B$5:$B$75,MIN(71,Cartera_Polizas!$B$58+30-49))*(1+(Cartera_Polizas!$P$58-1)*MAX(0,1-30/Supuestos!$C$20))*(1-Supuestos!$C$18)^30))</f>
        <v>6.54380482649658E-006</v>
      </c>
      <c r="AH56" s="29" t="n">
        <f aca="false">AG56*(1-MIN(1,INDEX(Tabla_Mortalidad!$B$5:$B$75,MIN(71,Cartera_Polizas!$B$58+31-49))*(1+(Cartera_Polizas!$P$58-1)*MAX(0,1-31/Supuestos!$C$20))*(1-Supuestos!$C$18)^31))</f>
        <v>1.96497567482264E-006</v>
      </c>
      <c r="AI56" s="29" t="n">
        <f aca="false">AH56*(1-MIN(1,INDEX(Tabla_Mortalidad!$B$5:$B$75,MIN(71,Cartera_Polizas!$B$58+32-49))*(1+(Cartera_Polizas!$P$58-1)*MAX(0,1-32/Supuestos!$C$20))*(1-Supuestos!$C$18)^32))</f>
        <v>5.42078747479378E-007</v>
      </c>
      <c r="AJ56" s="29" t="n">
        <f aca="false">AI56*(1-MIN(1,INDEX(Tabla_Mortalidad!$B$5:$B$75,MIN(71,Cartera_Polizas!$B$58+33-49))*(1+(Cartera_Polizas!$P$58-1)*MAX(0,1-33/Supuestos!$C$20))*(1-Supuestos!$C$18)^33))</f>
        <v>1.37869701492833E-007</v>
      </c>
      <c r="AK56" s="29" t="n">
        <f aca="false">AJ56*(1-MIN(1,INDEX(Tabla_Mortalidad!$B$5:$B$75,MIN(71,Cartera_Polizas!$B$58+34-49))*(1+(Cartera_Polizas!$P$58-1)*MAX(0,1-34/Supuestos!$C$20))*(1-Supuestos!$C$18)^34))</f>
        <v>3.25276163098038E-008</v>
      </c>
      <c r="AL56" s="29" t="n">
        <f aca="false">AK56*(1-MIN(1,INDEX(Tabla_Mortalidad!$B$5:$B$75,MIN(71,Cartera_Polizas!$B$58+35-49))*(1+(Cartera_Polizas!$P$58-1)*MAX(0,1-35/Supuestos!$C$20))*(1-Supuestos!$C$18)^35))</f>
        <v>7.18197748069926E-009</v>
      </c>
      <c r="AM56" s="29" t="n">
        <f aca="false">AL56*(1-MIN(1,INDEX(Tabla_Mortalidad!$B$5:$B$75,MIN(71,Cartera_Polizas!$B$58+36-49))*(1+(Cartera_Polizas!$P$58-1)*MAX(0,1-36/Supuestos!$C$20))*(1-Supuestos!$C$18)^36))</f>
        <v>1.50061719510201E-009</v>
      </c>
      <c r="AN56" s="29" t="n">
        <f aca="false">AM56*(1-MIN(1,INDEX(Tabla_Mortalidad!$B$5:$B$75,MIN(71,Cartera_Polizas!$B$58+37-49))*(1+(Cartera_Polizas!$P$58-1)*MAX(0,1-37/Supuestos!$C$20))*(1-Supuestos!$C$18)^37))</f>
        <v>2.54026427365109E-010</v>
      </c>
      <c r="AO56" s="29" t="n">
        <f aca="false">AN56*(1-MIN(1,INDEX(Tabla_Mortalidad!$B$5:$B$75,MIN(71,Cartera_Polizas!$B$58+38-49))*(1+(Cartera_Polizas!$P$58-1)*MAX(0,1-38/Supuestos!$C$20))*(1-Supuestos!$C$18)^38))</f>
        <v>4.40570460016347E-011</v>
      </c>
      <c r="AP56" s="29" t="n">
        <f aca="false">AO56*(1-MIN(1,INDEX(Tabla_Mortalidad!$B$5:$B$75,MIN(71,Cartera_Polizas!$B$58+39-49))*(1+(Cartera_Polizas!$P$58-1)*MAX(0,1-39/Supuestos!$C$20))*(1-Supuestos!$C$18)^39))</f>
        <v>7.82310910117316E-012</v>
      </c>
      <c r="AQ56" s="29" t="n">
        <f aca="false">AP56*(1-MIN(1,INDEX(Tabla_Mortalidad!$B$5:$B$75,MIN(71,Cartera_Polizas!$B$58+40-49))*(1+(Cartera_Polizas!$P$58-1)*MAX(0,1-40/Supuestos!$C$20))*(1-Supuestos!$C$18)^40))</f>
        <v>1.42130151472756E-012</v>
      </c>
      <c r="AR56" s="29" t="n">
        <f aca="false">AQ56*(1-MIN(1,INDEX(Tabla_Mortalidad!$B$5:$B$75,MIN(71,Cartera_Polizas!$B$58+41-49))*(1+(Cartera_Polizas!$P$58-1)*MAX(0,1-41/Supuestos!$C$20))*(1-Supuestos!$C$18)^41))</f>
        <v>2.640372853237E-013</v>
      </c>
      <c r="AS56" s="29" t="n">
        <f aca="false">AR56*(1-MIN(1,INDEX(Tabla_Mortalidad!$B$5:$B$75,MIN(71,Cartera_Polizas!$B$58+42-49))*(1+(Cartera_Polizas!$P$58-1)*MAX(0,1-42/Supuestos!$C$20))*(1-Supuestos!$C$18)^42))</f>
        <v>5.01255306003353E-014</v>
      </c>
      <c r="AT56" s="29" t="n">
        <f aca="false">AS56*(1-MIN(1,INDEX(Tabla_Mortalidad!$B$5:$B$75,MIN(71,Cartera_Polizas!$B$58+43-49))*(1+(Cartera_Polizas!$P$58-1)*MAX(0,1-43/Supuestos!$C$20))*(1-Supuestos!$C$18)^43))</f>
        <v>9.71901000972228E-015</v>
      </c>
      <c r="AU56" s="29" t="n">
        <f aca="false">AT56*(1-MIN(1,INDEX(Tabla_Mortalidad!$B$5:$B$75,MIN(71,Cartera_Polizas!$B$58+44-49))*(1+(Cartera_Polizas!$P$58-1)*MAX(0,1-44/Supuestos!$C$20))*(1-Supuestos!$C$18)^44))</f>
        <v>1.92362477373612E-015</v>
      </c>
    </row>
    <row r="57" customFormat="false" ht="15" hidden="false" customHeight="false" outlineLevel="0" collapsed="false">
      <c r="A57" s="14" t="n">
        <f aca="false">Cartera_Polizas!A59</f>
        <v>54</v>
      </c>
      <c r="B57" s="26" t="n">
        <f aca="false">SUM(C57:AU57)+0.5</f>
        <v>4.67900385185027</v>
      </c>
      <c r="C57" s="29" t="n">
        <f aca="false">1-MIN(1,INDEX(Tabla_Mortalidad!$B$5:$B$75,MIN(71,Cartera_Polizas!$B$59+0-49))*(1+(Cartera_Polizas!$P$59-1)*MAX(0,1-0/Supuestos!$C$20))*(1-Supuestos!$C$18)^0)</f>
        <v>0.84591175</v>
      </c>
      <c r="D57" s="29" t="n">
        <f aca="false">C57*(1-MIN(1,INDEX(Tabla_Mortalidad!$B$5:$B$75,MIN(71,Cartera_Polizas!$B$59+1-49))*(1+(Cartera_Polizas!$P$59-1)*MAX(0,1-1/Supuestos!$C$20))*(1-Supuestos!$C$18)^1))</f>
        <v>0.706708103929216</v>
      </c>
      <c r="E57" s="29" t="n">
        <f aca="false">D57*(1-MIN(1,INDEX(Tabla_Mortalidad!$B$5:$B$75,MIN(71,Cartera_Polizas!$B$59+2-49))*(1+(Cartera_Polizas!$P$59-1)*MAX(0,1-2/Supuestos!$C$20))*(1-Supuestos!$C$18)^2))</f>
        <v>0.582724399997251</v>
      </c>
      <c r="F57" s="29" t="n">
        <f aca="false">E57*(1-MIN(1,INDEX(Tabla_Mortalidad!$B$5:$B$75,MIN(71,Cartera_Polizas!$B$59+3-49))*(1+(Cartera_Polizas!$P$59-1)*MAX(0,1-3/Supuestos!$C$20))*(1-Supuestos!$C$18)^3))</f>
        <v>0.473944277484064</v>
      </c>
      <c r="G57" s="29" t="n">
        <f aca="false">F57*(1-MIN(1,INDEX(Tabla_Mortalidad!$B$5:$B$75,MIN(71,Cartera_Polizas!$B$59+4-49))*(1+(Cartera_Polizas!$P$59-1)*MAX(0,1-4/Supuestos!$C$20))*(1-Supuestos!$C$18)^4))</f>
        <v>0.37999966292037</v>
      </c>
      <c r="H57" s="29" t="n">
        <f aca="false">G57*(1-MIN(1,INDEX(Tabla_Mortalidad!$B$5:$B$75,MIN(71,Cartera_Polizas!$B$59+5-49))*(1+(Cartera_Polizas!$P$59-1)*MAX(0,1-5/Supuestos!$C$20))*(1-Supuestos!$C$18)^5))</f>
        <v>0.300200059096537</v>
      </c>
      <c r="I57" s="29" t="n">
        <f aca="false">H57*(1-MIN(1,INDEX(Tabla_Mortalidad!$B$5:$B$75,MIN(71,Cartera_Polizas!$B$59+6-49))*(1+(Cartera_Polizas!$P$59-1)*MAX(0,1-6/Supuestos!$C$20))*(1-Supuestos!$C$18)^6))</f>
        <v>0.233576859354885</v>
      </c>
      <c r="J57" s="29" t="n">
        <f aca="false">I57*(1-MIN(1,INDEX(Tabla_Mortalidad!$B$5:$B$75,MIN(71,Cartera_Polizas!$B$59+7-49))*(1+(Cartera_Polizas!$P$59-1)*MAX(0,1-7/Supuestos!$C$20))*(1-Supuestos!$C$18)^7))</f>
        <v>0.178942951624193</v>
      </c>
      <c r="K57" s="29" t="n">
        <f aca="false">J57*(1-MIN(1,INDEX(Tabla_Mortalidad!$B$5:$B$75,MIN(71,Cartera_Polizas!$B$59+8-49))*(1+(Cartera_Polizas!$P$59-1)*MAX(0,1-8/Supuestos!$C$20))*(1-Supuestos!$C$18)^8))</f>
        <v>0.134961612046354</v>
      </c>
      <c r="L57" s="29" t="n">
        <f aca="false">K57*(1-MIN(1,INDEX(Tabla_Mortalidad!$B$5:$B$75,MIN(71,Cartera_Polizas!$B$59+9-49))*(1+(Cartera_Polizas!$P$59-1)*MAX(0,1-9/Supuestos!$C$20))*(1-Supuestos!$C$18)^9))</f>
        <v>0.100218896939181</v>
      </c>
      <c r="M57" s="29" t="n">
        <f aca="false">L57*(1-MIN(1,INDEX(Tabla_Mortalidad!$B$5:$B$75,MIN(71,Cartera_Polizas!$B$59+10-49))*(1+(Cartera_Polizas!$P$59-1)*MAX(0,1-10/Supuestos!$C$20))*(1-Supuestos!$C$18)^10))</f>
        <v>0.073295371790309</v>
      </c>
      <c r="N57" s="29" t="n">
        <f aca="false">M57*(1-MIN(1,INDEX(Tabla_Mortalidad!$B$5:$B$75,MIN(71,Cartera_Polizas!$B$59+11-49))*(1+(Cartera_Polizas!$P$59-1)*MAX(0,1-11/Supuestos!$C$20))*(1-Supuestos!$C$18)^11))</f>
        <v>0.0528287041577262</v>
      </c>
      <c r="O57" s="29" t="n">
        <f aca="false">N57*(1-MIN(1,INDEX(Tabla_Mortalidad!$B$5:$B$75,MIN(71,Cartera_Polizas!$B$59+12-49))*(1+(Cartera_Polizas!$P$59-1)*MAX(0,1-12/Supuestos!$C$20))*(1-Supuestos!$C$18)^12))</f>
        <v>0.0375635784969715</v>
      </c>
      <c r="P57" s="29" t="n">
        <f aca="false">O57*(1-MIN(1,INDEX(Tabla_Mortalidad!$B$5:$B$75,MIN(71,Cartera_Polizas!$B$59+13-49))*(1+(Cartera_Polizas!$P$59-1)*MAX(0,1-13/Supuestos!$C$20))*(1-Supuestos!$C$18)^13))</f>
        <v>0.0263870285599536</v>
      </c>
      <c r="Q57" s="29" t="n">
        <f aca="false">P57*(1-MIN(1,INDEX(Tabla_Mortalidad!$B$5:$B$75,MIN(71,Cartera_Polizas!$B$59+14-49))*(1+(Cartera_Polizas!$P$59-1)*MAX(0,1-14/Supuestos!$C$20))*(1-Supuestos!$C$18)^14))</f>
        <v>0.0183474241254016</v>
      </c>
      <c r="R57" s="29" t="n">
        <f aca="false">Q57*(1-MIN(1,INDEX(Tabla_Mortalidad!$B$5:$B$75,MIN(71,Cartera_Polizas!$B$59+15-49))*(1+(Cartera_Polizas!$P$59-1)*MAX(0,1-15/Supuestos!$C$20))*(1-Supuestos!$C$18)^15))</f>
        <v>0.0126586497037156</v>
      </c>
      <c r="S57" s="29" t="n">
        <f aca="false">R57*(1-MIN(1,INDEX(Tabla_Mortalidad!$B$5:$B$75,MIN(71,Cartera_Polizas!$B$59+16-49))*(1+(Cartera_Polizas!$P$59-1)*MAX(0,1-16/Supuestos!$C$20))*(1-Supuestos!$C$18)^16))</f>
        <v>0.00839395828908608</v>
      </c>
      <c r="T57" s="29" t="n">
        <f aca="false">S57*(1-MIN(1,INDEX(Tabla_Mortalidad!$B$5:$B$75,MIN(71,Cartera_Polizas!$B$59+17-49))*(1+(Cartera_Polizas!$P$59-1)*MAX(0,1-17/Supuestos!$C$20))*(1-Supuestos!$C$18)^17))</f>
        <v>0.00532840189132035</v>
      </c>
      <c r="U57" s="29" t="n">
        <f aca="false">T57*(1-MIN(1,INDEX(Tabla_Mortalidad!$B$5:$B$75,MIN(71,Cartera_Polizas!$B$59+18-49))*(1+(Cartera_Polizas!$P$59-1)*MAX(0,1-18/Supuestos!$C$20))*(1-Supuestos!$C$18)^18))</f>
        <v>0.00322426944782483</v>
      </c>
      <c r="V57" s="29" t="n">
        <f aca="false">U57*(1-MIN(1,INDEX(Tabla_Mortalidad!$B$5:$B$75,MIN(71,Cartera_Polizas!$B$59+19-49))*(1+(Cartera_Polizas!$P$59-1)*MAX(0,1-19/Supuestos!$C$20))*(1-Supuestos!$C$18)^19))</f>
        <v>0.00185139407728829</v>
      </c>
      <c r="W57" s="29" t="n">
        <f aca="false">V57*(1-MIN(1,INDEX(Tabla_Mortalidad!$B$5:$B$75,MIN(71,Cartera_Polizas!$B$59+20-49))*(1+(Cartera_Polizas!$P$59-1)*MAX(0,1-20/Supuestos!$C$20))*(1-Supuestos!$C$18)^20))</f>
        <v>0.00100395846561145</v>
      </c>
      <c r="X57" s="29" t="n">
        <f aca="false">W57*(1-MIN(1,INDEX(Tabla_Mortalidad!$B$5:$B$75,MIN(71,Cartera_Polizas!$B$59+21-49))*(1+(Cartera_Polizas!$P$59-1)*MAX(0,1-21/Supuestos!$C$20))*(1-Supuestos!$C$18)^21))</f>
        <v>0.000511571113918799</v>
      </c>
      <c r="Y57" s="29" t="n">
        <f aca="false">X57*(1-MIN(1,INDEX(Tabla_Mortalidad!$B$5:$B$75,MIN(71,Cartera_Polizas!$B$59+22-49))*(1+(Cartera_Polizas!$P$59-1)*MAX(0,1-22/Supuestos!$C$20))*(1-Supuestos!$C$18)^22))</f>
        <v>0.000243688879315239</v>
      </c>
      <c r="Z57" s="29" t="n">
        <f aca="false">Y57*(1-MIN(1,INDEX(Tabla_Mortalidad!$B$5:$B$75,MIN(71,Cartera_Polizas!$B$59+23-49))*(1+(Cartera_Polizas!$P$59-1)*MAX(0,1-23/Supuestos!$C$20))*(1-Supuestos!$C$18)^23))</f>
        <v>0.000107960207324809</v>
      </c>
      <c r="AA57" s="29" t="n">
        <f aca="false">Z57*(1-MIN(1,INDEX(Tabla_Mortalidad!$B$5:$B$75,MIN(71,Cartera_Polizas!$B$59+24-49))*(1+(Cartera_Polizas!$P$59-1)*MAX(0,1-24/Supuestos!$C$20))*(1-Supuestos!$C$18)^24))</f>
        <v>4.42606608401276E-005</v>
      </c>
      <c r="AB57" s="29" t="n">
        <f aca="false">AA57*(1-MIN(1,INDEX(Tabla_Mortalidad!$B$5:$B$75,MIN(71,Cartera_Polizas!$B$59+25-49))*(1+(Cartera_Polizas!$P$59-1)*MAX(0,1-25/Supuestos!$C$20))*(1-Supuestos!$C$18)^25))</f>
        <v>1.67144954707823E-005</v>
      </c>
      <c r="AC57" s="29" t="n">
        <f aca="false">AB57*(1-MIN(1,INDEX(Tabla_Mortalidad!$B$5:$B$75,MIN(71,Cartera_Polizas!$B$59+26-49))*(1+(Cartera_Polizas!$P$59-1)*MAX(0,1-26/Supuestos!$C$20))*(1-Supuestos!$C$18)^26))</f>
        <v>5.79145633449197E-006</v>
      </c>
      <c r="AD57" s="29" t="n">
        <f aca="false">AC57*(1-MIN(1,INDEX(Tabla_Mortalidad!$B$5:$B$75,MIN(71,Cartera_Polizas!$B$59+27-49))*(1+(Cartera_Polizas!$P$59-1)*MAX(0,1-27/Supuestos!$C$20))*(1-Supuestos!$C$18)^27))</f>
        <v>1.83599981273852E-006</v>
      </c>
      <c r="AE57" s="29" t="n">
        <f aca="false">AD57*(1-MIN(1,INDEX(Tabla_Mortalidad!$B$5:$B$75,MIN(71,Cartera_Polizas!$B$59+28-49))*(1+(Cartera_Polizas!$P$59-1)*MAX(0,1-28/Supuestos!$C$20))*(1-Supuestos!$C$18)^28))</f>
        <v>5.31849974764269E-007</v>
      </c>
      <c r="AF57" s="29" t="n">
        <f aca="false">AE57*(1-MIN(1,INDEX(Tabla_Mortalidad!$B$5:$B$75,MIN(71,Cartera_Polizas!$B$59+29-49))*(1+(Cartera_Polizas!$P$59-1)*MAX(0,1-29/Supuestos!$C$20))*(1-Supuestos!$C$18)^29))</f>
        <v>1.40886519885341E-007</v>
      </c>
      <c r="AG57" s="29" t="n">
        <f aca="false">AF57*(1-MIN(1,INDEX(Tabla_Mortalidad!$B$5:$B$75,MIN(71,Cartera_Polizas!$B$59+30-49))*(1+(Cartera_Polizas!$P$59-1)*MAX(0,1-30/Supuestos!$C$20))*(1-Supuestos!$C$18)^30))</f>
        <v>3.42406976427558E-008</v>
      </c>
      <c r="AH57" s="29" t="n">
        <f aca="false">AG57*(1-MIN(1,INDEX(Tabla_Mortalidad!$B$5:$B$75,MIN(71,Cartera_Polizas!$B$59+31-49))*(1+(Cartera_Polizas!$P$59-1)*MAX(0,1-31/Supuestos!$C$20))*(1-Supuestos!$C$18)^31))</f>
        <v>7.68202060030866E-009</v>
      </c>
      <c r="AI57" s="29" t="n">
        <f aca="false">AH57*(1-MIN(1,INDEX(Tabla_Mortalidad!$B$5:$B$75,MIN(71,Cartera_Polizas!$B$59+32-49))*(1+(Cartera_Polizas!$P$59-1)*MAX(0,1-32/Supuestos!$C$20))*(1-Supuestos!$C$18)^32))</f>
        <v>1.60546846063929E-009</v>
      </c>
      <c r="AJ57" s="29" t="n">
        <f aca="false">AI57*(1-MIN(1,INDEX(Tabla_Mortalidad!$B$5:$B$75,MIN(71,Cartera_Polizas!$B$59+33-49))*(1+(Cartera_Polizas!$P$59-1)*MAX(0,1-33/Supuestos!$C$20))*(1-Supuestos!$C$18)^33))</f>
        <v>3.16207512299848E-010</v>
      </c>
      <c r="AK57" s="29" t="n">
        <f aca="false">AJ57*(1-MIN(1,INDEX(Tabla_Mortalidad!$B$5:$B$75,MIN(71,Cartera_Polizas!$B$59+34-49))*(1+(Cartera_Polizas!$P$59-1)*MAX(0,1-34/Supuestos!$C$20))*(1-Supuestos!$C$18)^34))</f>
        <v>4.9548093119529E-011</v>
      </c>
      <c r="AL57" s="29" t="n">
        <f aca="false">AK57*(1-MIN(1,INDEX(Tabla_Mortalidad!$B$5:$B$75,MIN(71,Cartera_Polizas!$B$59+35-49))*(1+(Cartera_Polizas!$P$59-1)*MAX(0,1-35/Supuestos!$C$20))*(1-Supuestos!$C$18)^35))</f>
        <v>7.97285251735136E-012</v>
      </c>
      <c r="AM57" s="29" t="n">
        <f aca="false">AL57*(1-MIN(1,INDEX(Tabla_Mortalidad!$B$5:$B$75,MIN(71,Cartera_Polizas!$B$59+36-49))*(1+(Cartera_Polizas!$P$59-1)*MAX(0,1-36/Supuestos!$C$20))*(1-Supuestos!$C$18)^36))</f>
        <v>1.3163724265748E-012</v>
      </c>
      <c r="AN57" s="29" t="n">
        <f aca="false">AM57*(1-MIN(1,INDEX(Tabla_Mortalidad!$B$5:$B$75,MIN(71,Cartera_Polizas!$B$59+37-49))*(1+(Cartera_Polizas!$P$59-1)*MAX(0,1-37/Supuestos!$C$20))*(1-Supuestos!$C$18)^37))</f>
        <v>2.22837233703698E-013</v>
      </c>
      <c r="AO57" s="29" t="n">
        <f aca="false">AN57*(1-MIN(1,INDEX(Tabla_Mortalidad!$B$5:$B$75,MIN(71,Cartera_Polizas!$B$59+38-49))*(1+(Cartera_Polizas!$P$59-1)*MAX(0,1-38/Supuestos!$C$20))*(1-Supuestos!$C$18)^38))</f>
        <v>3.86477515666125E-014</v>
      </c>
      <c r="AP57" s="29" t="n">
        <f aca="false">AO57*(1-MIN(1,INDEX(Tabla_Mortalidad!$B$5:$B$75,MIN(71,Cartera_Polizas!$B$59+39-49))*(1+(Cartera_Polizas!$P$59-1)*MAX(0,1-39/Supuestos!$C$20))*(1-Supuestos!$C$18)^39))</f>
        <v>6.8625930347084E-015</v>
      </c>
      <c r="AQ57" s="29" t="n">
        <f aca="false">AP57*(1-MIN(1,INDEX(Tabla_Mortalidad!$B$5:$B$75,MIN(71,Cartera_Polizas!$B$59+40-49))*(1+(Cartera_Polizas!$P$59-1)*MAX(0,1-40/Supuestos!$C$20))*(1-Supuestos!$C$18)^40))</f>
        <v>1.24679507201646E-015</v>
      </c>
      <c r="AR57" s="29" t="n">
        <f aca="false">AQ57*(1-MIN(1,INDEX(Tabla_Mortalidad!$B$5:$B$75,MIN(71,Cartera_Polizas!$B$59+41-49))*(1+(Cartera_Polizas!$P$59-1)*MAX(0,1-41/Supuestos!$C$20))*(1-Supuestos!$C$18)^41))</f>
        <v>2.31618965264592E-016</v>
      </c>
      <c r="AS57" s="29" t="n">
        <f aca="false">AR57*(1-MIN(1,INDEX(Tabla_Mortalidad!$B$5:$B$75,MIN(71,Cartera_Polizas!$B$59+42-49))*(1+(Cartera_Polizas!$P$59-1)*MAX(0,1-42/Supuestos!$C$20))*(1-Supuestos!$C$18)^42))</f>
        <v>4.39711517134969E-017</v>
      </c>
      <c r="AT57" s="29" t="n">
        <f aca="false">AS57*(1-MIN(1,INDEX(Tabla_Mortalidad!$B$5:$B$75,MIN(71,Cartera_Polizas!$B$59+43-49))*(1+(Cartera_Polizas!$P$59-1)*MAX(0,1-43/Supuestos!$C$20))*(1-Supuestos!$C$18)^43))</f>
        <v>8.52571650662258E-018</v>
      </c>
      <c r="AU57" s="29" t="n">
        <f aca="false">AT57*(1-MIN(1,INDEX(Tabla_Mortalidad!$B$5:$B$75,MIN(71,Cartera_Polizas!$B$59+44-49))*(1+(Cartera_Polizas!$P$59-1)*MAX(0,1-44/Supuestos!$C$20))*(1-Supuestos!$C$18)^44))</f>
        <v>1.68744341960594E-018</v>
      </c>
    </row>
    <row r="58" customFormat="false" ht="15" hidden="false" customHeight="false" outlineLevel="0" collapsed="false">
      <c r="A58" s="14" t="n">
        <f aca="false">Cartera_Polizas!A60</f>
        <v>55</v>
      </c>
      <c r="B58" s="26" t="n">
        <f aca="false">SUM(C58:AU58)+0.5</f>
        <v>7.99077784853269</v>
      </c>
      <c r="C58" s="29" t="n">
        <f aca="false">1-MIN(1,INDEX(Tabla_Mortalidad!$B$5:$B$75,MIN(71,Cartera_Polizas!$B$60+0-49))*(1+(Cartera_Polizas!$P$60-1)*MAX(0,1-0/Supuestos!$C$20))*(1-Supuestos!$C$18)^0)</f>
        <v>0.928197423</v>
      </c>
      <c r="D58" s="29" t="n">
        <f aca="false">C58*(1-MIN(1,INDEX(Tabla_Mortalidad!$B$5:$B$75,MIN(71,Cartera_Polizas!$B$60+1-49))*(1+(Cartera_Polizas!$P$60-1)*MAX(0,1-1/Supuestos!$C$20))*(1-Supuestos!$C$18)^1))</f>
        <v>0.855943373378522</v>
      </c>
      <c r="E58" s="29" t="n">
        <f aca="false">D58*(1-MIN(1,INDEX(Tabla_Mortalidad!$B$5:$B$75,MIN(71,Cartera_Polizas!$B$60+2-49))*(1+(Cartera_Polizas!$P$60-1)*MAX(0,1-2/Supuestos!$C$20))*(1-Supuestos!$C$18)^2))</f>
        <v>0.783767155973193</v>
      </c>
      <c r="F58" s="29" t="n">
        <f aca="false">E58*(1-MIN(1,INDEX(Tabla_Mortalidad!$B$5:$B$75,MIN(71,Cartera_Polizas!$B$60+3-49))*(1+(Cartera_Polizas!$P$60-1)*MAX(0,1-3/Supuestos!$C$20))*(1-Supuestos!$C$18)^3))</f>
        <v>0.712237045869276</v>
      </c>
      <c r="G58" s="29" t="n">
        <f aca="false">F58*(1-MIN(1,INDEX(Tabla_Mortalidad!$B$5:$B$75,MIN(71,Cartera_Polizas!$B$60+4-49))*(1+(Cartera_Polizas!$P$60-1)*MAX(0,1-4/Supuestos!$C$20))*(1-Supuestos!$C$18)^4))</f>
        <v>0.641948255563067</v>
      </c>
      <c r="H58" s="29" t="n">
        <f aca="false">G58*(1-MIN(1,INDEX(Tabla_Mortalidad!$B$5:$B$75,MIN(71,Cartera_Polizas!$B$60+5-49))*(1+(Cartera_Polizas!$P$60-1)*MAX(0,1-5/Supuestos!$C$20))*(1-Supuestos!$C$18)^5))</f>
        <v>0.573512707533199</v>
      </c>
      <c r="I58" s="29" t="n">
        <f aca="false">H58*(1-MIN(1,INDEX(Tabla_Mortalidad!$B$5:$B$75,MIN(71,Cartera_Polizas!$B$60+6-49))*(1+(Cartera_Polizas!$P$60-1)*MAX(0,1-6/Supuestos!$C$20))*(1-Supuestos!$C$18)^6))</f>
        <v>0.507536185223037</v>
      </c>
      <c r="J58" s="29" t="n">
        <f aca="false">I58*(1-MIN(1,INDEX(Tabla_Mortalidad!$B$5:$B$75,MIN(71,Cartera_Polizas!$B$60+7-49))*(1+(Cartera_Polizas!$P$60-1)*MAX(0,1-7/Supuestos!$C$20))*(1-Supuestos!$C$18)^7))</f>
        <v>0.444604250132343</v>
      </c>
      <c r="K58" s="29" t="n">
        <f aca="false">J58*(1-MIN(1,INDEX(Tabla_Mortalidad!$B$5:$B$75,MIN(71,Cartera_Polizas!$B$60+8-49))*(1+(Cartera_Polizas!$P$60-1)*MAX(0,1-8/Supuestos!$C$20))*(1-Supuestos!$C$18)^8))</f>
        <v>0.385257812347782</v>
      </c>
      <c r="L58" s="29" t="n">
        <f aca="false">K58*(1-MIN(1,INDEX(Tabla_Mortalidad!$B$5:$B$75,MIN(71,Cartera_Polizas!$B$60+9-49))*(1+(Cartera_Polizas!$P$60-1)*MAX(0,1-9/Supuestos!$C$20))*(1-Supuestos!$C$18)^9))</f>
        <v>0.329973231341971</v>
      </c>
      <c r="M58" s="29" t="n">
        <f aca="false">L58*(1-MIN(1,INDEX(Tabla_Mortalidad!$B$5:$B$75,MIN(71,Cartera_Polizas!$B$60+10-49))*(1+(Cartera_Polizas!$P$60-1)*MAX(0,1-10/Supuestos!$C$20))*(1-Supuestos!$C$18)^10))</f>
        <v>0.279142146490789</v>
      </c>
      <c r="N58" s="29" t="n">
        <f aca="false">M58*(1-MIN(1,INDEX(Tabla_Mortalidad!$B$5:$B$75,MIN(71,Cartera_Polizas!$B$60+11-49))*(1+(Cartera_Polizas!$P$60-1)*MAX(0,1-11/Supuestos!$C$20))*(1-Supuestos!$C$18)^11))</f>
        <v>0.233054367464886</v>
      </c>
      <c r="O58" s="29" t="n">
        <f aca="false">N58*(1-MIN(1,INDEX(Tabla_Mortalidad!$B$5:$B$75,MIN(71,Cartera_Polizas!$B$60+12-49))*(1+(Cartera_Polizas!$P$60-1)*MAX(0,1-12/Supuestos!$C$20))*(1-Supuestos!$C$18)^12))</f>
        <v>0.191884605777662</v>
      </c>
      <c r="P58" s="29" t="n">
        <f aca="false">O58*(1-MIN(1,INDEX(Tabla_Mortalidad!$B$5:$B$75,MIN(71,Cartera_Polizas!$B$60+13-49))*(1+(Cartera_Polizas!$P$60-1)*MAX(0,1-13/Supuestos!$C$20))*(1-Supuestos!$C$18)^13))</f>
        <v>0.155684231293682</v>
      </c>
      <c r="Q58" s="29" t="n">
        <f aca="false">P58*(1-MIN(1,INDEX(Tabla_Mortalidad!$B$5:$B$75,MIN(71,Cartera_Polizas!$B$60+14-49))*(1+(Cartera_Polizas!$P$60-1)*MAX(0,1-14/Supuestos!$C$20))*(1-Supuestos!$C$18)^14))</f>
        <v>0.124381085648634</v>
      </c>
      <c r="R58" s="29" t="n">
        <f aca="false">Q58*(1-MIN(1,INDEX(Tabla_Mortalidad!$B$5:$B$75,MIN(71,Cartera_Polizas!$B$60+15-49))*(1+(Cartera_Polizas!$P$60-1)*MAX(0,1-15/Supuestos!$C$20))*(1-Supuestos!$C$18)^15))</f>
        <v>0.0977856394304943</v>
      </c>
      <c r="S58" s="29" t="n">
        <f aca="false">R58*(1-MIN(1,INDEX(Tabla_Mortalidad!$B$5:$B$75,MIN(71,Cartera_Polizas!$B$60+16-49))*(1+(Cartera_Polizas!$P$60-1)*MAX(0,1-16/Supuestos!$C$20))*(1-Supuestos!$C$18)^16))</f>
        <v>0.0748973962835625</v>
      </c>
      <c r="T58" s="29" t="n">
        <f aca="false">S58*(1-MIN(1,INDEX(Tabla_Mortalidad!$B$5:$B$75,MIN(71,Cartera_Polizas!$B$60+17-49))*(1+(Cartera_Polizas!$P$60-1)*MAX(0,1-17/Supuestos!$C$20))*(1-Supuestos!$C$18)^17))</f>
        <v>0.0557374187225087</v>
      </c>
      <c r="U58" s="29" t="n">
        <f aca="false">T58*(1-MIN(1,INDEX(Tabla_Mortalidad!$B$5:$B$75,MIN(71,Cartera_Polizas!$B$60+18-49))*(1+(Cartera_Polizas!$P$60-1)*MAX(0,1-18/Supuestos!$C$20))*(1-Supuestos!$C$18)^18))</f>
        <v>0.0401813593763834</v>
      </c>
      <c r="V58" s="29" t="n">
        <f aca="false">U58*(1-MIN(1,INDEX(Tabla_Mortalidad!$B$5:$B$75,MIN(71,Cartera_Polizas!$B$60+19-49))*(1+(Cartera_Polizas!$P$60-1)*MAX(0,1-19/Supuestos!$C$20))*(1-Supuestos!$C$18)^19))</f>
        <v>0.027970097055112</v>
      </c>
      <c r="W58" s="29" t="n">
        <f aca="false">V58*(1-MIN(1,INDEX(Tabla_Mortalidad!$B$5:$B$75,MIN(71,Cartera_Polizas!$B$60+20-49))*(1+(Cartera_Polizas!$P$60-1)*MAX(0,1-20/Supuestos!$C$20))*(1-Supuestos!$C$18)^20))</f>
        <v>0.0187340417201595</v>
      </c>
      <c r="X58" s="29" t="n">
        <f aca="false">W58*(1-MIN(1,INDEX(Tabla_Mortalidad!$B$5:$B$75,MIN(71,Cartera_Polizas!$B$60+21-49))*(1+(Cartera_Polizas!$P$60-1)*MAX(0,1-21/Supuestos!$C$20))*(1-Supuestos!$C$18)^21))</f>
        <v>0.0120279990947881</v>
      </c>
      <c r="Y58" s="29" t="n">
        <f aca="false">X58*(1-MIN(1,INDEX(Tabla_Mortalidad!$B$5:$B$75,MIN(71,Cartera_Polizas!$B$60+22-49))*(1+(Cartera_Polizas!$P$60-1)*MAX(0,1-22/Supuestos!$C$20))*(1-Supuestos!$C$18)^22))</f>
        <v>0.00737254757176999</v>
      </c>
      <c r="Z58" s="29" t="n">
        <f aca="false">Y58*(1-MIN(1,INDEX(Tabla_Mortalidad!$B$5:$B$75,MIN(71,Cartera_Polizas!$B$60+23-49))*(1+(Cartera_Polizas!$P$60-1)*MAX(0,1-23/Supuestos!$C$20))*(1-Supuestos!$C$18)^23))</f>
        <v>0.00429567371112684</v>
      </c>
      <c r="AA58" s="29" t="n">
        <f aca="false">Z58*(1-MIN(1,INDEX(Tabla_Mortalidad!$B$5:$B$75,MIN(71,Cartera_Polizas!$B$60+24-49))*(1+(Cartera_Polizas!$P$60-1)*MAX(0,1-24/Supuestos!$C$20))*(1-Supuestos!$C$18)^24))</f>
        <v>0.00236845302197269</v>
      </c>
      <c r="AB58" s="29" t="n">
        <f aca="false">AA58*(1-MIN(1,INDEX(Tabla_Mortalidad!$B$5:$B$75,MIN(71,Cartera_Polizas!$B$60+25-49))*(1+(Cartera_Polizas!$P$60-1)*MAX(0,1-25/Supuestos!$C$20))*(1-Supuestos!$C$18)^25))</f>
        <v>0.00122991316090697</v>
      </c>
      <c r="AC58" s="29" t="n">
        <f aca="false">AB58*(1-MIN(1,INDEX(Tabla_Mortalidad!$B$5:$B$75,MIN(71,Cartera_Polizas!$B$60+26-49))*(1+(Cartera_Polizas!$P$60-1)*MAX(0,1-26/Supuestos!$C$20))*(1-Supuestos!$C$18)^26))</f>
        <v>0.000598658393660734</v>
      </c>
      <c r="AD58" s="29" t="n">
        <f aca="false">AC58*(1-MIN(1,INDEX(Tabla_Mortalidad!$B$5:$B$75,MIN(71,Cartera_Polizas!$B$60+27-49))*(1+(Cartera_Polizas!$P$60-1)*MAX(0,1-27/Supuestos!$C$20))*(1-Supuestos!$C$18)^27))</f>
        <v>0.000271839400172477</v>
      </c>
      <c r="AE58" s="29" t="n">
        <f aca="false">AD58*(1-MIN(1,INDEX(Tabla_Mortalidad!$B$5:$B$75,MIN(71,Cartera_Polizas!$B$60+28-49))*(1+(Cartera_Polizas!$P$60-1)*MAX(0,1-28/Supuestos!$C$20))*(1-Supuestos!$C$18)^28))</f>
        <v>0.000114630417734956</v>
      </c>
      <c r="AF58" s="29" t="n">
        <f aca="false">AE58*(1-MIN(1,INDEX(Tabla_Mortalidad!$B$5:$B$75,MIN(71,Cartera_Polizas!$B$60+29-49))*(1+(Cartera_Polizas!$P$60-1)*MAX(0,1-29/Supuestos!$C$20))*(1-Supuestos!$C$18)^29))</f>
        <v>4.47049380177985E-005</v>
      </c>
      <c r="AG58" s="29" t="n">
        <f aca="false">AF58*(1-MIN(1,INDEX(Tabla_Mortalidad!$B$5:$B$75,MIN(71,Cartera_Polizas!$B$60+30-49))*(1+(Cartera_Polizas!$P$60-1)*MAX(0,1-30/Supuestos!$C$20))*(1-Supuestos!$C$18)^30))</f>
        <v>1.60698819459084E-005</v>
      </c>
      <c r="AH58" s="29" t="n">
        <f aca="false">AG58*(1-MIN(1,INDEX(Tabla_Mortalidad!$B$5:$B$75,MIN(71,Cartera_Polizas!$B$60+31-49))*(1+(Cartera_Polizas!$P$60-1)*MAX(0,1-31/Supuestos!$C$20))*(1-Supuestos!$C$18)^31))</f>
        <v>5.31232043162457E-006</v>
      </c>
      <c r="AI58" s="29" t="n">
        <f aca="false">AH58*(1-MIN(1,INDEX(Tabla_Mortalidad!$B$5:$B$75,MIN(71,Cartera_Polizas!$B$60+32-49))*(1+(Cartera_Polizas!$P$60-1)*MAX(0,1-32/Supuestos!$C$20))*(1-Supuestos!$C$18)^32))</f>
        <v>1.61377084789005E-006</v>
      </c>
      <c r="AJ58" s="29" t="n">
        <f aca="false">AI58*(1-MIN(1,INDEX(Tabla_Mortalidad!$B$5:$B$75,MIN(71,Cartera_Polizas!$B$60+33-49))*(1+(Cartera_Polizas!$P$60-1)*MAX(0,1-33/Supuestos!$C$20))*(1-Supuestos!$C$18)^33))</f>
        <v>4.51034605264241E-007</v>
      </c>
      <c r="AK58" s="29" t="n">
        <f aca="false">AJ58*(1-MIN(1,INDEX(Tabla_Mortalidad!$B$5:$B$75,MIN(71,Cartera_Polizas!$B$60+34-49))*(1+(Cartera_Polizas!$P$60-1)*MAX(0,1-34/Supuestos!$C$20))*(1-Supuestos!$C$18)^34))</f>
        <v>1.16395575405993E-007</v>
      </c>
      <c r="AL58" s="29" t="n">
        <f aca="false">AK58*(1-MIN(1,INDEX(Tabla_Mortalidad!$B$5:$B$75,MIN(71,Cartera_Polizas!$B$60+35-49))*(1+(Cartera_Polizas!$P$60-1)*MAX(0,1-35/Supuestos!$C$20))*(1-Supuestos!$C$18)^35))</f>
        <v>2.79058947571721E-008</v>
      </c>
      <c r="AM58" s="29" t="n">
        <f aca="false">AL58*(1-MIN(1,INDEX(Tabla_Mortalidad!$B$5:$B$75,MIN(71,Cartera_Polizas!$B$60+36-49))*(1+(Cartera_Polizas!$P$60-1)*MAX(0,1-36/Supuestos!$C$20))*(1-Supuestos!$C$18)^36))</f>
        <v>6.2702403222794E-009</v>
      </c>
      <c r="AN58" s="29" t="n">
        <f aca="false">AM58*(1-MIN(1,INDEX(Tabla_Mortalidad!$B$5:$B$75,MIN(71,Cartera_Polizas!$B$60+37-49))*(1+(Cartera_Polizas!$P$60-1)*MAX(0,1-37/Supuestos!$C$20))*(1-Supuestos!$C$18)^37))</f>
        <v>1.33491756866964E-009</v>
      </c>
      <c r="AO58" s="29" t="n">
        <f aca="false">AN58*(1-MIN(1,INDEX(Tabla_Mortalidad!$B$5:$B$75,MIN(71,Cartera_Polizas!$B$60+38-49))*(1+(Cartera_Polizas!$P$60-1)*MAX(0,1-38/Supuestos!$C$20))*(1-Supuestos!$C$18)^38))</f>
        <v>2.31521284384866E-010</v>
      </c>
      <c r="AP58" s="29" t="n">
        <f aca="false">AO58*(1-MIN(1,INDEX(Tabla_Mortalidad!$B$5:$B$75,MIN(71,Cartera_Polizas!$B$60+39-49))*(1+(Cartera_Polizas!$P$60-1)*MAX(0,1-39/Supuestos!$C$20))*(1-Supuestos!$C$18)^39))</f>
        <v>4.11107060359731E-011</v>
      </c>
      <c r="AQ58" s="29" t="n">
        <f aca="false">AP58*(1-MIN(1,INDEX(Tabla_Mortalidad!$B$5:$B$75,MIN(71,Cartera_Polizas!$B$60+40-49))*(1+(Cartera_Polizas!$P$60-1)*MAX(0,1-40/Supuestos!$C$20))*(1-Supuestos!$C$18)^40))</f>
        <v>7.46898809728801E-012</v>
      </c>
      <c r="AR58" s="29" t="n">
        <f aca="false">AQ58*(1-MIN(1,INDEX(Tabla_Mortalidad!$B$5:$B$75,MIN(71,Cartera_Polizas!$B$60+41-49))*(1+(Cartera_Polizas!$P$60-1)*MAX(0,1-41/Supuestos!$C$20))*(1-Supuestos!$C$18)^41))</f>
        <v>1.38752496981682E-012</v>
      </c>
      <c r="AS58" s="29" t="n">
        <f aca="false">AR58*(1-MIN(1,INDEX(Tabla_Mortalidad!$B$5:$B$75,MIN(71,Cartera_Polizas!$B$60+42-49))*(1+(Cartera_Polizas!$P$60-1)*MAX(0,1-42/Supuestos!$C$20))*(1-Supuestos!$C$18)^42))</f>
        <v>2.63411378616532E-013</v>
      </c>
      <c r="AT58" s="29" t="n">
        <f aca="false">AS58*(1-MIN(1,INDEX(Tabla_Mortalidad!$B$5:$B$75,MIN(71,Cartera_Polizas!$B$60+43-49))*(1+(Cartera_Polizas!$P$60-1)*MAX(0,1-43/Supuestos!$C$20))*(1-Supuestos!$C$18)^43))</f>
        <v>5.10737301887372E-014</v>
      </c>
      <c r="AU58" s="29" t="n">
        <f aca="false">AT58*(1-MIN(1,INDEX(Tabla_Mortalidad!$B$5:$B$75,MIN(71,Cartera_Polizas!$B$60+44-49))*(1+(Cartera_Polizas!$P$60-1)*MAX(0,1-44/Supuestos!$C$20))*(1-Supuestos!$C$18)^44))</f>
        <v>1.01087140130414E-014</v>
      </c>
    </row>
    <row r="59" customFormat="false" ht="15" hidden="false" customHeight="false" outlineLevel="0" collapsed="false">
      <c r="A59" s="14" t="n">
        <f aca="false">Cartera_Polizas!A61</f>
        <v>56</v>
      </c>
      <c r="B59" s="26" t="n">
        <f aca="false">SUM(C59:AU59)+0.5</f>
        <v>3.95379585695923</v>
      </c>
      <c r="C59" s="29" t="n">
        <f aca="false">1-MIN(1,INDEX(Tabla_Mortalidad!$B$5:$B$75,MIN(71,Cartera_Polizas!$B$61+0-49))*(1+(Cartera_Polizas!$P$61-1)*MAX(0,1-0/Supuestos!$C$20))*(1-Supuestos!$C$18)^0)</f>
        <v>0.80983255</v>
      </c>
      <c r="D59" s="29" t="n">
        <f aca="false">C59*(1-MIN(1,INDEX(Tabla_Mortalidad!$B$5:$B$75,MIN(71,Cartera_Polizas!$B$61+1-49))*(1+(Cartera_Polizas!$P$61-1)*MAX(0,1-1/Supuestos!$C$20))*(1-Supuestos!$C$18)^1))</f>
        <v>0.646412900815847</v>
      </c>
      <c r="E59" s="29" t="n">
        <f aca="false">D59*(1-MIN(1,INDEX(Tabla_Mortalidad!$B$5:$B$75,MIN(71,Cartera_Polizas!$B$61+2-49))*(1+(Cartera_Polizas!$P$61-1)*MAX(0,1-2/Supuestos!$C$20))*(1-Supuestos!$C$18)^2))</f>
        <v>0.508307426599238</v>
      </c>
      <c r="F59" s="29" t="n">
        <f aca="false">E59*(1-MIN(1,INDEX(Tabla_Mortalidad!$B$5:$B$75,MIN(71,Cartera_Polizas!$B$61+3-49))*(1+(Cartera_Polizas!$P$61-1)*MAX(0,1-3/Supuestos!$C$20))*(1-Supuestos!$C$18)^3))</f>
        <v>0.393616316814678</v>
      </c>
      <c r="G59" s="29" t="n">
        <f aca="false">F59*(1-MIN(1,INDEX(Tabla_Mortalidad!$B$5:$B$75,MIN(71,Cartera_Polizas!$B$61+4-49))*(1+(Cartera_Polizas!$P$61-1)*MAX(0,1-4/Supuestos!$C$20))*(1-Supuestos!$C$18)^4))</f>
        <v>0.30007794382919</v>
      </c>
      <c r="H59" s="29" t="n">
        <f aca="false">G59*(1-MIN(1,INDEX(Tabla_Mortalidad!$B$5:$B$75,MIN(71,Cartera_Polizas!$B$61+5-49))*(1+(Cartera_Polizas!$P$61-1)*MAX(0,1-5/Supuestos!$C$20))*(1-Supuestos!$C$18)^5))</f>
        <v>0.225199976342997</v>
      </c>
      <c r="I59" s="29" t="n">
        <f aca="false">H59*(1-MIN(1,INDEX(Tabla_Mortalidad!$B$5:$B$75,MIN(71,Cartera_Polizas!$B$61+6-49))*(1+(Cartera_Polizas!$P$61-1)*MAX(0,1-6/Supuestos!$C$20))*(1-Supuestos!$C$18)^6))</f>
        <v>0.166390941425495</v>
      </c>
      <c r="J59" s="29" t="n">
        <f aca="false">I59*(1-MIN(1,INDEX(Tabla_Mortalidad!$B$5:$B$75,MIN(71,Cartera_Polizas!$B$61+7-49))*(1+(Cartera_Polizas!$P$61-1)*MAX(0,1-7/Supuestos!$C$20))*(1-Supuestos!$C$18)^7))</f>
        <v>0.121085186128682</v>
      </c>
      <c r="K59" s="29" t="n">
        <f aca="false">J59*(1-MIN(1,INDEX(Tabla_Mortalidad!$B$5:$B$75,MIN(71,Cartera_Polizas!$B$61+8-49))*(1+(Cartera_Polizas!$P$61-1)*MAX(0,1-8/Supuestos!$C$20))*(1-Supuestos!$C$18)^8))</f>
        <v>0.086850258105789</v>
      </c>
      <c r="L59" s="29" t="n">
        <f aca="false">K59*(1-MIN(1,INDEX(Tabla_Mortalidad!$B$5:$B$75,MIN(71,Cartera_Polizas!$B$61+9-49))*(1+(Cartera_Polizas!$P$61-1)*MAX(0,1-9/Supuestos!$C$20))*(1-Supuestos!$C$18)^9))</f>
        <v>0.0614696920045295</v>
      </c>
      <c r="M59" s="29" t="n">
        <f aca="false">L59*(1-MIN(1,INDEX(Tabla_Mortalidad!$B$5:$B$75,MIN(71,Cartera_Polizas!$B$61+10-49))*(1+(Cartera_Polizas!$P$61-1)*MAX(0,1-10/Supuestos!$C$20))*(1-Supuestos!$C$18)^10))</f>
        <v>0.0429988573861371</v>
      </c>
      <c r="N59" s="29" t="n">
        <f aca="false">M59*(1-MIN(1,INDEX(Tabla_Mortalidad!$B$5:$B$75,MIN(71,Cartera_Polizas!$B$61+11-49))*(1+(Cartera_Polizas!$P$61-1)*MAX(0,1-11/Supuestos!$C$20))*(1-Supuestos!$C$18)^11))</f>
        <v>0.0297913705922549</v>
      </c>
      <c r="O59" s="29" t="n">
        <f aca="false">N59*(1-MIN(1,INDEX(Tabla_Mortalidad!$B$5:$B$75,MIN(71,Cartera_Polizas!$B$61+12-49))*(1+(Cartera_Polizas!$P$61-1)*MAX(0,1-12/Supuestos!$C$20))*(1-Supuestos!$C$18)^12))</f>
        <v>0.0205000228098494</v>
      </c>
      <c r="P59" s="29" t="n">
        <f aca="false">O59*(1-MIN(1,INDEX(Tabla_Mortalidad!$B$5:$B$75,MIN(71,Cartera_Polizas!$B$61+13-49))*(1+(Cartera_Polizas!$P$61-1)*MAX(0,1-13/Supuestos!$C$20))*(1-Supuestos!$C$18)^13))</f>
        <v>0.0140580811989162</v>
      </c>
      <c r="Q59" s="29" t="n">
        <f aca="false">P59*(1-MIN(1,INDEX(Tabla_Mortalidad!$B$5:$B$75,MIN(71,Cartera_Polizas!$B$61+14-49))*(1+(Cartera_Polizas!$P$61-1)*MAX(0,1-14/Supuestos!$C$20))*(1-Supuestos!$C$18)^14))</f>
        <v>0.0096467663252734</v>
      </c>
      <c r="R59" s="29" t="n">
        <f aca="false">Q59*(1-MIN(1,INDEX(Tabla_Mortalidad!$B$5:$B$75,MIN(71,Cartera_Polizas!$B$61+15-49))*(1+(Cartera_Polizas!$P$61-1)*MAX(0,1-15/Supuestos!$C$20))*(1-Supuestos!$C$18)^15))</f>
        <v>0.00665570462919477</v>
      </c>
      <c r="S59" s="29" t="n">
        <f aca="false">R59*(1-MIN(1,INDEX(Tabla_Mortalidad!$B$5:$B$75,MIN(71,Cartera_Polizas!$B$61+16-49))*(1+(Cartera_Polizas!$P$61-1)*MAX(0,1-16/Supuestos!$C$20))*(1-Supuestos!$C$18)^16))</f>
        <v>0.00441340177266614</v>
      </c>
      <c r="T59" s="29" t="n">
        <f aca="false">S59*(1-MIN(1,INDEX(Tabla_Mortalidad!$B$5:$B$75,MIN(71,Cartera_Polizas!$B$61+17-49))*(1+(Cartera_Polizas!$P$61-1)*MAX(0,1-17/Supuestos!$C$20))*(1-Supuestos!$C$18)^17))</f>
        <v>0.00280158389435972</v>
      </c>
      <c r="U59" s="29" t="n">
        <f aca="false">T59*(1-MIN(1,INDEX(Tabla_Mortalidad!$B$5:$B$75,MIN(71,Cartera_Polizas!$B$61+18-49))*(1+(Cartera_Polizas!$P$61-1)*MAX(0,1-18/Supuestos!$C$20))*(1-Supuestos!$C$18)^18))</f>
        <v>0.00169526652462467</v>
      </c>
      <c r="V59" s="29" t="n">
        <f aca="false">U59*(1-MIN(1,INDEX(Tabla_Mortalidad!$B$5:$B$75,MIN(71,Cartera_Polizas!$B$61+19-49))*(1+(Cartera_Polizas!$P$61-1)*MAX(0,1-19/Supuestos!$C$20))*(1-Supuestos!$C$18)^19))</f>
        <v>0.000973431797157214</v>
      </c>
      <c r="W59" s="29" t="n">
        <f aca="false">V59*(1-MIN(1,INDEX(Tabla_Mortalidad!$B$5:$B$75,MIN(71,Cartera_Polizas!$B$61+20-49))*(1+(Cartera_Polizas!$P$61-1)*MAX(0,1-20/Supuestos!$C$20))*(1-Supuestos!$C$18)^20))</f>
        <v>0.00052786443763651</v>
      </c>
      <c r="X59" s="29" t="n">
        <f aca="false">W59*(1-MIN(1,INDEX(Tabla_Mortalidad!$B$5:$B$75,MIN(71,Cartera_Polizas!$B$61+21-49))*(1+(Cartera_Polizas!$P$61-1)*MAX(0,1-21/Supuestos!$C$20))*(1-Supuestos!$C$18)^21))</f>
        <v>0.000268975468218563</v>
      </c>
      <c r="Y59" s="29" t="n">
        <f aca="false">X59*(1-MIN(1,INDEX(Tabla_Mortalidad!$B$5:$B$75,MIN(71,Cartera_Polizas!$B$61+22-49))*(1+(Cartera_Polizas!$P$61-1)*MAX(0,1-22/Supuestos!$C$20))*(1-Supuestos!$C$18)^22))</f>
        <v>0.00012812750491592</v>
      </c>
      <c r="Z59" s="29" t="n">
        <f aca="false">Y59*(1-MIN(1,INDEX(Tabla_Mortalidad!$B$5:$B$75,MIN(71,Cartera_Polizas!$B$61+23-49))*(1+(Cartera_Polizas!$P$61-1)*MAX(0,1-23/Supuestos!$C$20))*(1-Supuestos!$C$18)^23))</f>
        <v>5.67636571418555E-005</v>
      </c>
      <c r="AA59" s="29" t="n">
        <f aca="false">Z59*(1-MIN(1,INDEX(Tabla_Mortalidad!$B$5:$B$75,MIN(71,Cartera_Polizas!$B$61+24-49))*(1+(Cartera_Polizas!$P$61-1)*MAX(0,1-24/Supuestos!$C$20))*(1-Supuestos!$C$18)^24))</f>
        <v>2.32715093742099E-005</v>
      </c>
      <c r="AB59" s="29" t="n">
        <f aca="false">AA59*(1-MIN(1,INDEX(Tabla_Mortalidad!$B$5:$B$75,MIN(71,Cartera_Polizas!$B$61+25-49))*(1+(Cartera_Polizas!$P$61-1)*MAX(0,1-25/Supuestos!$C$20))*(1-Supuestos!$C$18)^25))</f>
        <v>8.78819996471562E-006</v>
      </c>
      <c r="AC59" s="29" t="n">
        <f aca="false">AB59*(1-MIN(1,INDEX(Tabla_Mortalidad!$B$5:$B$75,MIN(71,Cartera_Polizas!$B$61+26-49))*(1+(Cartera_Polizas!$P$61-1)*MAX(0,1-26/Supuestos!$C$20))*(1-Supuestos!$C$18)^26))</f>
        <v>3.04505011493789E-006</v>
      </c>
      <c r="AD59" s="29" t="n">
        <f aca="false">AC59*(1-MIN(1,INDEX(Tabla_Mortalidad!$B$5:$B$75,MIN(71,Cartera_Polizas!$B$61+27-49))*(1+(Cartera_Polizas!$P$61-1)*MAX(0,1-27/Supuestos!$C$20))*(1-Supuestos!$C$18)^27))</f>
        <v>9.65337752355822E-007</v>
      </c>
      <c r="AE59" s="29" t="n">
        <f aca="false">AD59*(1-MIN(1,INDEX(Tabla_Mortalidad!$B$5:$B$75,MIN(71,Cartera_Polizas!$B$61+28-49))*(1+(Cartera_Polizas!$P$61-1)*MAX(0,1-28/Supuestos!$C$20))*(1-Supuestos!$C$18)^28))</f>
        <v>2.79637751413301E-007</v>
      </c>
      <c r="AF59" s="29" t="n">
        <f aca="false">AE59*(1-MIN(1,INDEX(Tabla_Mortalidad!$B$5:$B$75,MIN(71,Cartera_Polizas!$B$61+29-49))*(1+(Cartera_Polizas!$P$61-1)*MAX(0,1-29/Supuestos!$C$20))*(1-Supuestos!$C$18)^29))</f>
        <v>7.40757572521163E-008</v>
      </c>
      <c r="AG59" s="29" t="n">
        <f aca="false">AF59*(1-MIN(1,INDEX(Tabla_Mortalidad!$B$5:$B$75,MIN(71,Cartera_Polizas!$B$61+30-49))*(1+(Cartera_Polizas!$P$61-1)*MAX(0,1-30/Supuestos!$C$20))*(1-Supuestos!$C$18)^30))</f>
        <v>1.80031816300957E-008</v>
      </c>
      <c r="AH59" s="29" t="n">
        <f aca="false">AG59*(1-MIN(1,INDEX(Tabla_Mortalidad!$B$5:$B$75,MIN(71,Cartera_Polizas!$B$61+31-49))*(1+(Cartera_Polizas!$P$61-1)*MAX(0,1-31/Supuestos!$C$20))*(1-Supuestos!$C$18)^31))</f>
        <v>4.03907693693716E-009</v>
      </c>
      <c r="AI59" s="29" t="n">
        <f aca="false">AH59*(1-MIN(1,INDEX(Tabla_Mortalidad!$B$5:$B$75,MIN(71,Cartera_Polizas!$B$61+32-49))*(1+(Cartera_Polizas!$P$61-1)*MAX(0,1-32/Supuestos!$C$20))*(1-Supuestos!$C$18)^32))</f>
        <v>8.44128253455558E-010</v>
      </c>
      <c r="AJ59" s="29" t="n">
        <f aca="false">AI59*(1-MIN(1,INDEX(Tabla_Mortalidad!$B$5:$B$75,MIN(71,Cartera_Polizas!$B$61+33-49))*(1+(Cartera_Polizas!$P$61-1)*MAX(0,1-33/Supuestos!$C$20))*(1-Supuestos!$C$18)^33))</f>
        <v>1.66256579703167E-010</v>
      </c>
      <c r="AK59" s="29" t="n">
        <f aca="false">AJ59*(1-MIN(1,INDEX(Tabla_Mortalidad!$B$5:$B$75,MIN(71,Cartera_Polizas!$B$61+34-49))*(1+(Cartera_Polizas!$P$61-1)*MAX(0,1-34/Supuestos!$C$20))*(1-Supuestos!$C$18)^34))</f>
        <v>2.60515521372415E-011</v>
      </c>
      <c r="AL59" s="29" t="n">
        <f aca="false">AK59*(1-MIN(1,INDEX(Tabla_Mortalidad!$B$5:$B$75,MIN(71,Cartera_Polizas!$B$61+35-49))*(1+(Cartera_Polizas!$P$61-1)*MAX(0,1-35/Supuestos!$C$20))*(1-Supuestos!$C$18)^35))</f>
        <v>4.19199145640684E-012</v>
      </c>
      <c r="AM59" s="29" t="n">
        <f aca="false">AL59*(1-MIN(1,INDEX(Tabla_Mortalidad!$B$5:$B$75,MIN(71,Cartera_Polizas!$B$61+36-49))*(1+(Cartera_Polizas!$P$61-1)*MAX(0,1-36/Supuestos!$C$20))*(1-Supuestos!$C$18)^36))</f>
        <v>6.92126431994292E-013</v>
      </c>
      <c r="AN59" s="29" t="n">
        <f aca="false">AM59*(1-MIN(1,INDEX(Tabla_Mortalidad!$B$5:$B$75,MIN(71,Cartera_Polizas!$B$61+37-49))*(1+(Cartera_Polizas!$P$61-1)*MAX(0,1-37/Supuestos!$C$20))*(1-Supuestos!$C$18)^37))</f>
        <v>1.17164061146532E-013</v>
      </c>
      <c r="AO59" s="29" t="n">
        <f aca="false">AN59*(1-MIN(1,INDEX(Tabla_Mortalidad!$B$5:$B$75,MIN(71,Cartera_Polizas!$B$61+38-49))*(1+(Cartera_Polizas!$P$61-1)*MAX(0,1-38/Supuestos!$C$20))*(1-Supuestos!$C$18)^38))</f>
        <v>2.03203362941919E-014</v>
      </c>
      <c r="AP59" s="29" t="n">
        <f aca="false">AO59*(1-MIN(1,INDEX(Tabla_Mortalidad!$B$5:$B$75,MIN(71,Cartera_Polizas!$B$61+39-49))*(1+(Cartera_Polizas!$P$61-1)*MAX(0,1-39/Supuestos!$C$20))*(1-Supuestos!$C$18)^39))</f>
        <v>3.60823573591596E-015</v>
      </c>
      <c r="AQ59" s="29" t="n">
        <f aca="false">AP59*(1-MIN(1,INDEX(Tabla_Mortalidad!$B$5:$B$75,MIN(71,Cartera_Polizas!$B$61+40-49))*(1+(Cartera_Polizas!$P$61-1)*MAX(0,1-40/Supuestos!$C$20))*(1-Supuestos!$C$18)^40))</f>
        <v>6.55543831822873E-016</v>
      </c>
      <c r="AR59" s="29" t="n">
        <f aca="false">AQ59*(1-MIN(1,INDEX(Tabla_Mortalidad!$B$5:$B$75,MIN(71,Cartera_Polizas!$B$61+41-49))*(1+(Cartera_Polizas!$P$61-1)*MAX(0,1-41/Supuestos!$C$20))*(1-Supuestos!$C$18)^41))</f>
        <v>1.21781347568877E-016</v>
      </c>
      <c r="AS59" s="29" t="n">
        <f aca="false">AR59*(1-MIN(1,INDEX(Tabla_Mortalidad!$B$5:$B$75,MIN(71,Cartera_Polizas!$B$61+42-49))*(1+(Cartera_Polizas!$P$61-1)*MAX(0,1-42/Supuestos!$C$20))*(1-Supuestos!$C$18)^42))</f>
        <v>2.31192903556408E-017</v>
      </c>
      <c r="AT59" s="29" t="n">
        <f aca="false">AS59*(1-MIN(1,INDEX(Tabla_Mortalidad!$B$5:$B$75,MIN(71,Cartera_Polizas!$B$61+43-49))*(1+(Cartera_Polizas!$P$61-1)*MAX(0,1-43/Supuestos!$C$20))*(1-Supuestos!$C$18)^43))</f>
        <v>4.4826780224177E-018</v>
      </c>
      <c r="AU59" s="29" t="n">
        <f aca="false">AT59*(1-MIN(1,INDEX(Tabla_Mortalidad!$B$5:$B$75,MIN(71,Cartera_Polizas!$B$61+44-49))*(1+(Cartera_Polizas!$P$61-1)*MAX(0,1-44/Supuestos!$C$20))*(1-Supuestos!$C$18)^44))</f>
        <v>8.8722930504025E-019</v>
      </c>
    </row>
    <row r="60" customFormat="false" ht="15" hidden="false" customHeight="false" outlineLevel="0" collapsed="false">
      <c r="A60" s="14" t="n">
        <f aca="false">Cartera_Polizas!A62</f>
        <v>57</v>
      </c>
      <c r="B60" s="26" t="n">
        <f aca="false">SUM(C60:AU60)+0.5</f>
        <v>5.76544855271757</v>
      </c>
      <c r="C60" s="29" t="n">
        <f aca="false">1-MIN(1,INDEX(Tabla_Mortalidad!$B$5:$B$75,MIN(71,Cartera_Polizas!$B$62+0-49))*(1+(Cartera_Polizas!$P$62-1)*MAX(0,1-0/Supuestos!$C$20))*(1-Supuestos!$C$18)^0)</f>
        <v>0.8776537655</v>
      </c>
      <c r="D60" s="29" t="n">
        <f aca="false">C60*(1-MIN(1,INDEX(Tabla_Mortalidad!$B$5:$B$75,MIN(71,Cartera_Polizas!$B$62+1-49))*(1+(Cartera_Polizas!$P$62-1)*MAX(0,1-1/Supuestos!$C$20))*(1-Supuestos!$C$18)^1))</f>
        <v>0.763161744413696</v>
      </c>
      <c r="E60" s="29" t="n">
        <f aca="false">D60*(1-MIN(1,INDEX(Tabla_Mortalidad!$B$5:$B$75,MIN(71,Cartera_Polizas!$B$62+2-49))*(1+(Cartera_Polizas!$P$62-1)*MAX(0,1-2/Supuestos!$C$20))*(1-Supuestos!$C$18)^2))</f>
        <v>0.657205078141198</v>
      </c>
      <c r="F60" s="29" t="n">
        <f aca="false">E60*(1-MIN(1,INDEX(Tabla_Mortalidad!$B$5:$B$75,MIN(71,Cartera_Polizas!$B$62+3-49))*(1+(Cartera_Polizas!$P$62-1)*MAX(0,1-3/Supuestos!$C$20))*(1-Supuestos!$C$18)^3))</f>
        <v>0.560285896611895</v>
      </c>
      <c r="G60" s="29" t="n">
        <f aca="false">F60*(1-MIN(1,INDEX(Tabla_Mortalidad!$B$5:$B$75,MIN(71,Cartera_Polizas!$B$62+4-49))*(1+(Cartera_Polizas!$P$62-1)*MAX(0,1-4/Supuestos!$C$20))*(1-Supuestos!$C$18)^4))</f>
        <v>0.472715262467609</v>
      </c>
      <c r="H60" s="29" t="n">
        <f aca="false">G60*(1-MIN(1,INDEX(Tabla_Mortalidad!$B$5:$B$75,MIN(71,Cartera_Polizas!$B$62+5-49))*(1+(Cartera_Polizas!$P$62-1)*MAX(0,1-5/Supuestos!$C$20))*(1-Supuestos!$C$18)^5))</f>
        <v>0.394595683114985</v>
      </c>
      <c r="I60" s="29" t="n">
        <f aca="false">H60*(1-MIN(1,INDEX(Tabla_Mortalidad!$B$5:$B$75,MIN(71,Cartera_Polizas!$B$62+6-49))*(1+(Cartera_Polizas!$P$62-1)*MAX(0,1-6/Supuestos!$C$20))*(1-Supuestos!$C$18)^6))</f>
        <v>0.325828610622809</v>
      </c>
      <c r="J60" s="29" t="n">
        <f aca="false">I60*(1-MIN(1,INDEX(Tabla_Mortalidad!$B$5:$B$75,MIN(71,Cartera_Polizas!$B$62+7-49))*(1+(Cartera_Polizas!$P$62-1)*MAX(0,1-7/Supuestos!$C$20))*(1-Supuestos!$C$18)^7))</f>
        <v>0.266120367762393</v>
      </c>
      <c r="K60" s="29" t="n">
        <f aca="false">J60*(1-MIN(1,INDEX(Tabla_Mortalidad!$B$5:$B$75,MIN(71,Cartera_Polizas!$B$62+8-49))*(1+(Cartera_Polizas!$P$62-1)*MAX(0,1-8/Supuestos!$C$20))*(1-Supuestos!$C$18)^8))</f>
        <v>0.215004203964728</v>
      </c>
      <c r="L60" s="29" t="n">
        <f aca="false">K60*(1-MIN(1,INDEX(Tabla_Mortalidad!$B$5:$B$75,MIN(71,Cartera_Polizas!$B$62+9-49))*(1+(Cartera_Polizas!$P$62-1)*MAX(0,1-9/Supuestos!$C$20))*(1-Supuestos!$C$18)^9))</f>
        <v>0.17186905036548</v>
      </c>
      <c r="M60" s="29" t="n">
        <f aca="false">L60*(1-MIN(1,INDEX(Tabla_Mortalidad!$B$5:$B$75,MIN(71,Cartera_Polizas!$B$62+10-49))*(1+(Cartera_Polizas!$P$62-1)*MAX(0,1-10/Supuestos!$C$20))*(1-Supuestos!$C$18)^10))</f>
        <v>0.135994954767775</v>
      </c>
      <c r="N60" s="29" t="n">
        <f aca="false">M60*(1-MIN(1,INDEX(Tabla_Mortalidad!$B$5:$B$75,MIN(71,Cartera_Polizas!$B$62+11-49))*(1+(Cartera_Polizas!$P$62-1)*MAX(0,1-11/Supuestos!$C$20))*(1-Supuestos!$C$18)^11))</f>
        <v>0.106591641816719</v>
      </c>
      <c r="O60" s="29" t="n">
        <f aca="false">N60*(1-MIN(1,INDEX(Tabla_Mortalidad!$B$5:$B$75,MIN(71,Cartera_Polizas!$B$62+12-49))*(1+(Cartera_Polizas!$P$62-1)*MAX(0,1-12/Supuestos!$C$20))*(1-Supuestos!$C$18)^12))</f>
        <v>0.0828371342054796</v>
      </c>
      <c r="P60" s="29" t="n">
        <f aca="false">O60*(1-MIN(1,INDEX(Tabla_Mortalidad!$B$5:$B$75,MIN(71,Cartera_Polizas!$B$62+13-49))*(1+(Cartera_Polizas!$P$62-1)*MAX(0,1-13/Supuestos!$C$20))*(1-Supuestos!$C$18)^13))</f>
        <v>0.0639148143904675</v>
      </c>
      <c r="Q60" s="29" t="n">
        <f aca="false">P60*(1-MIN(1,INDEX(Tabla_Mortalidad!$B$5:$B$75,MIN(71,Cartera_Polizas!$B$62+14-49))*(1+(Cartera_Polizas!$P$62-1)*MAX(0,1-14/Supuestos!$C$20))*(1-Supuestos!$C$18)^14))</f>
        <v>0.049044637772503</v>
      </c>
      <c r="R60" s="29" t="n">
        <f aca="false">Q60*(1-MIN(1,INDEX(Tabla_Mortalidad!$B$5:$B$75,MIN(71,Cartera_Polizas!$B$62+15-49))*(1+(Cartera_Polizas!$P$62-1)*MAX(0,1-15/Supuestos!$C$20))*(1-Supuestos!$C$18)^15))</f>
        <v>0.0375072941134959</v>
      </c>
      <c r="S60" s="29" t="n">
        <f aca="false">R60*(1-MIN(1,INDEX(Tabla_Mortalidad!$B$5:$B$75,MIN(71,Cartera_Polizas!$B$62+16-49))*(1+(Cartera_Polizas!$P$62-1)*MAX(0,1-16/Supuestos!$C$20))*(1-Supuestos!$C$18)^16))</f>
        <v>0.0278640995533266</v>
      </c>
      <c r="T60" s="29" t="n">
        <f aca="false">S60*(1-MIN(1,INDEX(Tabla_Mortalidad!$B$5:$B$75,MIN(71,Cartera_Polizas!$B$62+17-49))*(1+(Cartera_Polizas!$P$62-1)*MAX(0,1-17/Supuestos!$C$20))*(1-Supuestos!$C$18)^17))</f>
        <v>0.0200482773455925</v>
      </c>
      <c r="U60" s="29" t="n">
        <f aca="false">T60*(1-MIN(1,INDEX(Tabla_Mortalidad!$B$5:$B$75,MIN(71,Cartera_Polizas!$B$62+18-49))*(1+(Cartera_Polizas!$P$62-1)*MAX(0,1-18/Supuestos!$C$20))*(1-Supuestos!$C$18)^18))</f>
        <v>0.0139249156035058</v>
      </c>
      <c r="V60" s="29" t="n">
        <f aca="false">U60*(1-MIN(1,INDEX(Tabla_Mortalidad!$B$5:$B$75,MIN(71,Cartera_Polizas!$B$62+19-49))*(1+(Cartera_Polizas!$P$62-1)*MAX(0,1-19/Supuestos!$C$20))*(1-Supuestos!$C$18)^19))</f>
        <v>0.00930363814820948</v>
      </c>
      <c r="W60" s="29" t="n">
        <f aca="false">V60*(1-MIN(1,INDEX(Tabla_Mortalidad!$B$5:$B$75,MIN(71,Cartera_Polizas!$B$62+20-49))*(1+(Cartera_Polizas!$P$62-1)*MAX(0,1-20/Supuestos!$C$20))*(1-Supuestos!$C$18)^20))</f>
        <v>0.00595656998735031</v>
      </c>
      <c r="X60" s="29" t="n">
        <f aca="false">W60*(1-MIN(1,INDEX(Tabla_Mortalidad!$B$5:$B$75,MIN(71,Cartera_Polizas!$B$62+21-49))*(1+(Cartera_Polizas!$P$62-1)*MAX(0,1-21/Supuestos!$C$20))*(1-Supuestos!$C$18)^21))</f>
        <v>0.00363948699118075</v>
      </c>
      <c r="Y60" s="29" t="n">
        <f aca="false">X60*(1-MIN(1,INDEX(Tabla_Mortalidad!$B$5:$B$75,MIN(71,Cartera_Polizas!$B$62+22-49))*(1+(Cartera_Polizas!$P$62-1)*MAX(0,1-22/Supuestos!$C$20))*(1-Supuestos!$C$18)^22))</f>
        <v>0.00211294343828055</v>
      </c>
      <c r="Z60" s="29" t="n">
        <f aca="false">Y60*(1-MIN(1,INDEX(Tabla_Mortalidad!$B$5:$B$75,MIN(71,Cartera_Polizas!$B$62+23-49))*(1+(Cartera_Polizas!$P$62-1)*MAX(0,1-23/Supuestos!$C$20))*(1-Supuestos!$C$18)^23))</f>
        <v>0.00116022415830091</v>
      </c>
      <c r="AA60" s="29" t="n">
        <f aca="false">Z60*(1-MIN(1,INDEX(Tabla_Mortalidad!$B$5:$B$75,MIN(71,Cartera_Polizas!$B$62+24-49))*(1+(Cartera_Polizas!$P$62-1)*MAX(0,1-24/Supuestos!$C$20))*(1-Supuestos!$C$18)^24))</f>
        <v>0.000599689734807269</v>
      </c>
      <c r="AB60" s="29" t="n">
        <f aca="false">AA60*(1-MIN(1,INDEX(Tabla_Mortalidad!$B$5:$B$75,MIN(71,Cartera_Polizas!$B$62+25-49))*(1+(Cartera_Polizas!$P$62-1)*MAX(0,1-25/Supuestos!$C$20))*(1-Supuestos!$C$18)^25))</f>
        <v>0.000290351390799715</v>
      </c>
      <c r="AC60" s="29" t="n">
        <f aca="false">AB60*(1-MIN(1,INDEX(Tabla_Mortalidad!$B$5:$B$75,MIN(71,Cartera_Polizas!$B$62+26-49))*(1+(Cartera_Polizas!$P$62-1)*MAX(0,1-26/Supuestos!$C$20))*(1-Supuestos!$C$18)^26))</f>
        <v>0.000131046524643437</v>
      </c>
      <c r="AD60" s="29" t="n">
        <f aca="false">AC60*(1-MIN(1,INDEX(Tabla_Mortalidad!$B$5:$B$75,MIN(71,Cartera_Polizas!$B$62+27-49))*(1+(Cartera_Polizas!$P$62-1)*MAX(0,1-27/Supuestos!$C$20))*(1-Supuestos!$C$18)^27))</f>
        <v>5.48794316377547E-005</v>
      </c>
      <c r="AE60" s="29" t="n">
        <f aca="false">AD60*(1-MIN(1,INDEX(Tabla_Mortalidad!$B$5:$B$75,MIN(71,Cartera_Polizas!$B$62+28-49))*(1+(Cartera_Polizas!$P$62-1)*MAX(0,1-28/Supuestos!$C$20))*(1-Supuestos!$C$18)^28))</f>
        <v>2.12343099339268E-005</v>
      </c>
      <c r="AF60" s="29" t="n">
        <f aca="false">AE60*(1-MIN(1,INDEX(Tabla_Mortalidad!$B$5:$B$75,MIN(71,Cartera_Polizas!$B$62+29-49))*(1+(Cartera_Polizas!$P$62-1)*MAX(0,1-29/Supuestos!$C$20))*(1-Supuestos!$C$18)^29))</f>
        <v>7.56465310161776E-006</v>
      </c>
      <c r="AG60" s="29" t="n">
        <f aca="false">AF60*(1-MIN(1,INDEX(Tabla_Mortalidad!$B$5:$B$75,MIN(71,Cartera_Polizas!$B$62+30-49))*(1+(Cartera_Polizas!$P$62-1)*MAX(0,1-30/Supuestos!$C$20))*(1-Supuestos!$C$18)^30))</f>
        <v>2.4752472111865E-006</v>
      </c>
      <c r="AH60" s="29" t="n">
        <f aca="false">AG60*(1-MIN(1,INDEX(Tabla_Mortalidad!$B$5:$B$75,MIN(71,Cartera_Polizas!$B$62+31-49))*(1+(Cartera_Polizas!$P$62-1)*MAX(0,1-31/Supuestos!$C$20))*(1-Supuestos!$C$18)^31))</f>
        <v>7.43267974536768E-007</v>
      </c>
      <c r="AI60" s="29" t="n">
        <f aca="false">AH60*(1-MIN(1,INDEX(Tabla_Mortalidad!$B$5:$B$75,MIN(71,Cartera_Polizas!$B$62+32-49))*(1+(Cartera_Polizas!$P$62-1)*MAX(0,1-32/Supuestos!$C$20))*(1-Supuestos!$C$18)^32))</f>
        <v>2.05045679618804E-007</v>
      </c>
      <c r="AJ60" s="29" t="n">
        <f aca="false">AI60*(1-MIN(1,INDEX(Tabla_Mortalidad!$B$5:$B$75,MIN(71,Cartera_Polizas!$B$62+33-49))*(1+(Cartera_Polizas!$P$62-1)*MAX(0,1-33/Supuestos!$C$20))*(1-Supuestos!$C$18)^33))</f>
        <v>5.21503319820058E-008</v>
      </c>
      <c r="AK60" s="29" t="n">
        <f aca="false">AJ60*(1-MIN(1,INDEX(Tabla_Mortalidad!$B$5:$B$75,MIN(71,Cartera_Polizas!$B$62+34-49))*(1+(Cartera_Polizas!$P$62-1)*MAX(0,1-34/Supuestos!$C$20))*(1-Supuestos!$C$18)^34))</f>
        <v>1.23038344957014E-008</v>
      </c>
      <c r="AL60" s="29" t="n">
        <f aca="false">AK60*(1-MIN(1,INDEX(Tabla_Mortalidad!$B$5:$B$75,MIN(71,Cartera_Polizas!$B$62+35-49))*(1+(Cartera_Polizas!$P$62-1)*MAX(0,1-35/Supuestos!$C$20))*(1-Supuestos!$C$18)^35))</f>
        <v>2.71664118983551E-009</v>
      </c>
      <c r="AM60" s="29" t="n">
        <f aca="false">AL60*(1-MIN(1,INDEX(Tabla_Mortalidad!$B$5:$B$75,MIN(71,Cartera_Polizas!$B$62+36-49))*(1+(Cartera_Polizas!$P$62-1)*MAX(0,1-36/Supuestos!$C$20))*(1-Supuestos!$C$18)^36))</f>
        <v>5.67620616097038E-010</v>
      </c>
      <c r="AN60" s="29" t="n">
        <f aca="false">AM60*(1-MIN(1,INDEX(Tabla_Mortalidad!$B$5:$B$75,MIN(71,Cartera_Polizas!$B$62+37-49))*(1+(Cartera_Polizas!$P$62-1)*MAX(0,1-37/Supuestos!$C$20))*(1-Supuestos!$C$18)^37))</f>
        <v>9.60875549584184E-011</v>
      </c>
      <c r="AO60" s="29" t="n">
        <f aca="false">AN60*(1-MIN(1,INDEX(Tabla_Mortalidad!$B$5:$B$75,MIN(71,Cartera_Polizas!$B$62+38-49))*(1+(Cartera_Polizas!$P$62-1)*MAX(0,1-38/Supuestos!$C$20))*(1-Supuestos!$C$18)^38))</f>
        <v>1.66649347191863E-011</v>
      </c>
      <c r="AP60" s="29" t="n">
        <f aca="false">AO60*(1-MIN(1,INDEX(Tabla_Mortalidad!$B$5:$B$75,MIN(71,Cartera_Polizas!$B$62+39-49))*(1+(Cartera_Polizas!$P$62-1)*MAX(0,1-39/Supuestos!$C$20))*(1-Supuestos!$C$18)^39))</f>
        <v>2.95915442145815E-012</v>
      </c>
      <c r="AQ60" s="29" t="n">
        <f aca="false">AP60*(1-MIN(1,INDEX(Tabla_Mortalidad!$B$5:$B$75,MIN(71,Cartera_Polizas!$B$62+40-49))*(1+(Cartera_Polizas!$P$62-1)*MAX(0,1-40/Supuestos!$C$20))*(1-Supuestos!$C$18)^40))</f>
        <v>5.37618817165736E-013</v>
      </c>
      <c r="AR60" s="29" t="n">
        <f aca="false">AQ60*(1-MIN(1,INDEX(Tabla_Mortalidad!$B$5:$B$75,MIN(71,Cartera_Polizas!$B$62+41-49))*(1+(Cartera_Polizas!$P$62-1)*MAX(0,1-41/Supuestos!$C$20))*(1-Supuestos!$C$18)^41))</f>
        <v>9.98742431162396E-014</v>
      </c>
      <c r="AS60" s="29" t="n">
        <f aca="false">AR60*(1-MIN(1,INDEX(Tabla_Mortalidad!$B$5:$B$75,MIN(71,Cartera_Polizas!$B$62+42-49))*(1+(Cartera_Polizas!$P$62-1)*MAX(0,1-42/Supuestos!$C$20))*(1-Supuestos!$C$18)^42))</f>
        <v>1.89603882018819E-014</v>
      </c>
      <c r="AT60" s="29" t="n">
        <f aca="false">AS60*(1-MIN(1,INDEX(Tabla_Mortalidad!$B$5:$B$75,MIN(71,Cartera_Polizas!$B$62+43-49))*(1+(Cartera_Polizas!$P$62-1)*MAX(0,1-43/Supuestos!$C$20))*(1-Supuestos!$C$18)^43))</f>
        <v>3.67629430582182E-015</v>
      </c>
      <c r="AU60" s="29" t="n">
        <f aca="false">AT60*(1-MIN(1,INDEX(Tabla_Mortalidad!$B$5:$B$75,MIN(71,Cartera_Polizas!$B$62+44-49))*(1+(Cartera_Polizas!$P$62-1)*MAX(0,1-44/Supuestos!$C$20))*(1-Supuestos!$C$18)^44))</f>
        <v>7.27626661064213E-016</v>
      </c>
    </row>
    <row r="61" customFormat="false" ht="15" hidden="false" customHeight="false" outlineLevel="0" collapsed="false">
      <c r="A61" s="14" t="n">
        <f aca="false">Cartera_Polizas!A63</f>
        <v>58</v>
      </c>
      <c r="B61" s="26" t="n">
        <f aca="false">SUM(C61:AU61)+0.5</f>
        <v>6.93823652514313</v>
      </c>
      <c r="C61" s="29" t="n">
        <f aca="false">1-MIN(1,INDEX(Tabla_Mortalidad!$B$5:$B$75,MIN(71,Cartera_Polizas!$B$63+0-49))*(1+(Cartera_Polizas!$P$63-1)*MAX(0,1-0/Supuestos!$C$20))*(1-Supuestos!$C$18)^0)</f>
        <v>0.91966740625</v>
      </c>
      <c r="D61" s="29" t="n">
        <f aca="false">C61*(1-MIN(1,INDEX(Tabla_Mortalidad!$B$5:$B$75,MIN(71,Cartera_Polizas!$B$63+1-49))*(1+(Cartera_Polizas!$P$63-1)*MAX(0,1-1/Supuestos!$C$20))*(1-Supuestos!$C$18)^1))</f>
        <v>0.838328035359082</v>
      </c>
      <c r="E61" s="29" t="n">
        <f aca="false">D61*(1-MIN(1,INDEX(Tabla_Mortalidad!$B$5:$B$75,MIN(71,Cartera_Polizas!$B$63+2-49))*(1+(Cartera_Polizas!$P$63-1)*MAX(0,1-2/Supuestos!$C$20))*(1-Supuestos!$C$18)^2))</f>
        <v>0.756737407282388</v>
      </c>
      <c r="F61" s="29" t="n">
        <f aca="false">E61*(1-MIN(1,INDEX(Tabla_Mortalidad!$B$5:$B$75,MIN(71,Cartera_Polizas!$B$63+3-49))*(1+(Cartera_Polizas!$P$63-1)*MAX(0,1-3/Supuestos!$C$20))*(1-Supuestos!$C$18)^3))</f>
        <v>0.675740920920414</v>
      </c>
      <c r="G61" s="29" t="n">
        <f aca="false">F61*(1-MIN(1,INDEX(Tabla_Mortalidad!$B$5:$B$75,MIN(71,Cartera_Polizas!$B$63+4-49))*(1+(Cartera_Polizas!$P$63-1)*MAX(0,1-4/Supuestos!$C$20))*(1-Supuestos!$C$18)^4))</f>
        <v>0.596250799196988</v>
      </c>
      <c r="H61" s="29" t="n">
        <f aca="false">G61*(1-MIN(1,INDEX(Tabla_Mortalidad!$B$5:$B$75,MIN(71,Cartera_Polizas!$B$63+5-49))*(1+(Cartera_Polizas!$P$63-1)*MAX(0,1-5/Supuestos!$C$20))*(1-Supuestos!$C$18)^5))</f>
        <v>0.519220771073472</v>
      </c>
      <c r="I61" s="29" t="n">
        <f aca="false">H61*(1-MIN(1,INDEX(Tabla_Mortalidad!$B$5:$B$75,MIN(71,Cartera_Polizas!$B$63+6-49))*(1+(Cartera_Polizas!$P$63-1)*MAX(0,1-6/Supuestos!$C$20))*(1-Supuestos!$C$18)^6))</f>
        <v>0.445611217927503</v>
      </c>
      <c r="J61" s="29" t="n">
        <f aca="false">I61*(1-MIN(1,INDEX(Tabla_Mortalidad!$B$5:$B$75,MIN(71,Cartera_Polizas!$B$63+7-49))*(1+(Cartera_Polizas!$P$63-1)*MAX(0,1-7/Supuestos!$C$20))*(1-Supuestos!$C$18)^7))</f>
        <v>0.37634793034703</v>
      </c>
      <c r="K61" s="29" t="n">
        <f aca="false">J61*(1-MIN(1,INDEX(Tabla_Mortalidad!$B$5:$B$75,MIN(71,Cartera_Polizas!$B$63+8-49))*(1+(Cartera_Polizas!$P$63-1)*MAX(0,1-8/Supuestos!$C$20))*(1-Supuestos!$C$18)^8))</f>
        <v>0.312275398624864</v>
      </c>
      <c r="L61" s="29" t="n">
        <f aca="false">K61*(1-MIN(1,INDEX(Tabla_Mortalidad!$B$5:$B$75,MIN(71,Cartera_Polizas!$B$63+9-49))*(1+(Cartera_Polizas!$P$63-1)*MAX(0,1-9/Supuestos!$C$20))*(1-Supuestos!$C$18)^9))</f>
        <v>0.254107315046827</v>
      </c>
      <c r="M61" s="29" t="n">
        <f aca="false">L61*(1-MIN(1,INDEX(Tabla_Mortalidad!$B$5:$B$75,MIN(71,Cartera_Polizas!$B$63+10-49))*(1+(Cartera_Polizas!$P$63-1)*MAX(0,1-10/Supuestos!$C$20))*(1-Supuestos!$C$18)^10))</f>
        <v>0.20238166496405</v>
      </c>
      <c r="N61" s="29" t="n">
        <f aca="false">M61*(1-MIN(1,INDEX(Tabla_Mortalidad!$B$5:$B$75,MIN(71,Cartera_Polizas!$B$63+11-49))*(1+(Cartera_Polizas!$P$63-1)*MAX(0,1-11/Supuestos!$C$20))*(1-Supuestos!$C$18)^11))</f>
        <v>0.157422137353715</v>
      </c>
      <c r="O61" s="29" t="n">
        <f aca="false">N61*(1-MIN(1,INDEX(Tabla_Mortalidad!$B$5:$B$75,MIN(71,Cartera_Polizas!$B$63+12-49))*(1+(Cartera_Polizas!$P$63-1)*MAX(0,1-12/Supuestos!$C$20))*(1-Supuestos!$C$18)^12))</f>
        <v>0.119311893535364</v>
      </c>
      <c r="P61" s="29" t="n">
        <f aca="false">O61*(1-MIN(1,INDEX(Tabla_Mortalidad!$B$5:$B$75,MIN(71,Cartera_Polizas!$B$63+13-49))*(1+(Cartera_Polizas!$P$63-1)*MAX(0,1-13/Supuestos!$C$20))*(1-Supuestos!$C$18)^13))</f>
        <v>0.0878863651782493</v>
      </c>
      <c r="Q61" s="29" t="n">
        <f aca="false">P61*(1-MIN(1,INDEX(Tabla_Mortalidad!$B$5:$B$75,MIN(71,Cartera_Polizas!$B$63+14-49))*(1+(Cartera_Polizas!$P$63-1)*MAX(0,1-14/Supuestos!$C$20))*(1-Supuestos!$C$18)^14))</f>
        <v>0.0627462138158307</v>
      </c>
      <c r="R61" s="29" t="n">
        <f aca="false">Q61*(1-MIN(1,INDEX(Tabla_Mortalidad!$B$5:$B$75,MIN(71,Cartera_Polizas!$B$63+15-49))*(1+(Cartera_Polizas!$P$63-1)*MAX(0,1-15/Supuestos!$C$20))*(1-Supuestos!$C$18)^15))</f>
        <v>0.0432912181841031</v>
      </c>
      <c r="S61" s="29" t="n">
        <f aca="false">R61*(1-MIN(1,INDEX(Tabla_Mortalidad!$B$5:$B$75,MIN(71,Cartera_Polizas!$B$63+16-49))*(1+(Cartera_Polizas!$P$63-1)*MAX(0,1-16/Supuestos!$C$20))*(1-Supuestos!$C$18)^16))</f>
        <v>0.0287064330103412</v>
      </c>
      <c r="T61" s="29" t="n">
        <f aca="false">S61*(1-MIN(1,INDEX(Tabla_Mortalidad!$B$5:$B$75,MIN(71,Cartera_Polizas!$B$63+17-49))*(1+(Cartera_Polizas!$P$63-1)*MAX(0,1-17/Supuestos!$C$20))*(1-Supuestos!$C$18)^17))</f>
        <v>0.0182225604032656</v>
      </c>
      <c r="U61" s="29" t="n">
        <f aca="false">T61*(1-MIN(1,INDEX(Tabla_Mortalidad!$B$5:$B$75,MIN(71,Cartera_Polizas!$B$63+18-49))*(1+(Cartera_Polizas!$P$63-1)*MAX(0,1-18/Supuestos!$C$20))*(1-Supuestos!$C$18)^18))</f>
        <v>0.0110266541390392</v>
      </c>
      <c r="V61" s="29" t="n">
        <f aca="false">U61*(1-MIN(1,INDEX(Tabla_Mortalidad!$B$5:$B$75,MIN(71,Cartera_Polizas!$B$63+19-49))*(1+(Cartera_Polizas!$P$63-1)*MAX(0,1-19/Supuestos!$C$20))*(1-Supuestos!$C$18)^19))</f>
        <v>0.00633156828102434</v>
      </c>
      <c r="W61" s="29" t="n">
        <f aca="false">V61*(1-MIN(1,INDEX(Tabla_Mortalidad!$B$5:$B$75,MIN(71,Cartera_Polizas!$B$63+20-49))*(1+(Cartera_Polizas!$P$63-1)*MAX(0,1-20/Supuestos!$C$20))*(1-Supuestos!$C$18)^20))</f>
        <v>0.00343342978910345</v>
      </c>
      <c r="X61" s="29" t="n">
        <f aca="false">W61*(1-MIN(1,INDEX(Tabla_Mortalidad!$B$5:$B$75,MIN(71,Cartera_Polizas!$B$63+21-49))*(1+(Cartera_Polizas!$P$63-1)*MAX(0,1-21/Supuestos!$C$20))*(1-Supuestos!$C$18)^21))</f>
        <v>0.00174951809455972</v>
      </c>
      <c r="Y61" s="29" t="n">
        <f aca="false">X61*(1-MIN(1,INDEX(Tabla_Mortalidad!$B$5:$B$75,MIN(71,Cartera_Polizas!$B$63+22-49))*(1+(Cartera_Polizas!$P$63-1)*MAX(0,1-22/Supuestos!$C$20))*(1-Supuestos!$C$18)^22))</f>
        <v>0.000833389712994355</v>
      </c>
      <c r="Z61" s="29" t="n">
        <f aca="false">Y61*(1-MIN(1,INDEX(Tabla_Mortalidad!$B$5:$B$75,MIN(71,Cartera_Polizas!$B$63+23-49))*(1+(Cartera_Polizas!$P$63-1)*MAX(0,1-23/Supuestos!$C$20))*(1-Supuestos!$C$18)^23))</f>
        <v>0.00036921227776194</v>
      </c>
      <c r="AA61" s="29" t="n">
        <f aca="false">Z61*(1-MIN(1,INDEX(Tabla_Mortalidad!$B$5:$B$75,MIN(71,Cartera_Polizas!$B$63+24-49))*(1+(Cartera_Polizas!$P$63-1)*MAX(0,1-24/Supuestos!$C$20))*(1-Supuestos!$C$18)^24))</f>
        <v>0.000151366691570597</v>
      </c>
      <c r="AB61" s="29" t="n">
        <f aca="false">AA61*(1-MIN(1,INDEX(Tabla_Mortalidad!$B$5:$B$75,MIN(71,Cartera_Polizas!$B$63+25-49))*(1+(Cartera_Polizas!$P$63-1)*MAX(0,1-25/Supuestos!$C$20))*(1-Supuestos!$C$18)^25))</f>
        <v>5.71617737435652E-005</v>
      </c>
      <c r="AC61" s="29" t="n">
        <f aca="false">AB61*(1-MIN(1,INDEX(Tabla_Mortalidad!$B$5:$B$75,MIN(71,Cartera_Polizas!$B$63+26-49))*(1+(Cartera_Polizas!$P$63-1)*MAX(0,1-26/Supuestos!$C$20))*(1-Supuestos!$C$18)^26))</f>
        <v>1.98061567109015E-005</v>
      </c>
      <c r="AD61" s="29" t="n">
        <f aca="false">AC61*(1-MIN(1,INDEX(Tabla_Mortalidad!$B$5:$B$75,MIN(71,Cartera_Polizas!$B$63+27-49))*(1+(Cartera_Polizas!$P$63-1)*MAX(0,1-27/Supuestos!$C$20))*(1-Supuestos!$C$18)^27))</f>
        <v>6.27892155479314E-006</v>
      </c>
      <c r="AE61" s="29" t="n">
        <f aca="false">AD61*(1-MIN(1,INDEX(Tabla_Mortalidad!$B$5:$B$75,MIN(71,Cartera_Polizas!$B$63+28-49))*(1+(Cartera_Polizas!$P$63-1)*MAX(0,1-28/Supuestos!$C$20))*(1-Supuestos!$C$18)^28))</f>
        <v>1.81886961387134E-006</v>
      </c>
      <c r="AF61" s="29" t="n">
        <f aca="false">AE61*(1-MIN(1,INDEX(Tabla_Mortalidad!$B$5:$B$75,MIN(71,Cartera_Polizas!$B$63+29-49))*(1+(Cartera_Polizas!$P$63-1)*MAX(0,1-29/Supuestos!$C$20))*(1-Supuestos!$C$18)^29))</f>
        <v>4.81816719342907E-007</v>
      </c>
      <c r="AG61" s="29" t="n">
        <f aca="false">AF61*(1-MIN(1,INDEX(Tabla_Mortalidad!$B$5:$B$75,MIN(71,Cartera_Polizas!$B$63+30-49))*(1+(Cartera_Polizas!$P$63-1)*MAX(0,1-30/Supuestos!$C$20))*(1-Supuestos!$C$18)^30))</f>
        <v>1.1709949695451E-007</v>
      </c>
      <c r="AH61" s="29" t="n">
        <f aca="false">AG61*(1-MIN(1,INDEX(Tabla_Mortalidad!$B$5:$B$75,MIN(71,Cartera_Polizas!$B$63+31-49))*(1+(Cartera_Polizas!$P$63-1)*MAX(0,1-31/Supuestos!$C$20))*(1-Supuestos!$C$18)^31))</f>
        <v>2.62716828166216E-008</v>
      </c>
      <c r="AI61" s="29" t="n">
        <f aca="false">AH61*(1-MIN(1,INDEX(Tabla_Mortalidad!$B$5:$B$75,MIN(71,Cartera_Polizas!$B$63+32-49))*(1+(Cartera_Polizas!$P$63-1)*MAX(0,1-32/Supuestos!$C$20))*(1-Supuestos!$C$18)^32))</f>
        <v>5.49052916732748E-009</v>
      </c>
      <c r="AJ61" s="29" t="n">
        <f aca="false">AI61*(1-MIN(1,INDEX(Tabla_Mortalidad!$B$5:$B$75,MIN(71,Cartera_Polizas!$B$63+33-49))*(1+(Cartera_Polizas!$P$63-1)*MAX(0,1-33/Supuestos!$C$20))*(1-Supuestos!$C$18)^33))</f>
        <v>1.08139562487515E-009</v>
      </c>
      <c r="AK61" s="29" t="n">
        <f aca="false">AJ61*(1-MIN(1,INDEX(Tabla_Mortalidad!$B$5:$B$75,MIN(71,Cartera_Polizas!$B$63+34-49))*(1+(Cartera_Polizas!$P$63-1)*MAX(0,1-34/Supuestos!$C$20))*(1-Supuestos!$C$18)^34))</f>
        <v>1.69449140315036E-010</v>
      </c>
      <c r="AL61" s="29" t="n">
        <f aca="false">AK61*(1-MIN(1,INDEX(Tabla_Mortalidad!$B$5:$B$75,MIN(71,Cartera_Polizas!$B$63+35-49))*(1+(Cartera_Polizas!$P$63-1)*MAX(0,1-35/Supuestos!$C$20))*(1-Supuestos!$C$18)^35))</f>
        <v>2.72662966396031E-011</v>
      </c>
      <c r="AM61" s="29" t="n">
        <f aca="false">AL61*(1-MIN(1,INDEX(Tabla_Mortalidad!$B$5:$B$75,MIN(71,Cartera_Polizas!$B$63+36-49))*(1+(Cartera_Polizas!$P$63-1)*MAX(0,1-36/Supuestos!$C$20))*(1-Supuestos!$C$18)^36))</f>
        <v>4.50185187711293E-012</v>
      </c>
      <c r="AN61" s="29" t="n">
        <f aca="false">AM61*(1-MIN(1,INDEX(Tabla_Mortalidad!$B$5:$B$75,MIN(71,Cartera_Polizas!$B$63+37-49))*(1+(Cartera_Polizas!$P$63-1)*MAX(0,1-37/Supuestos!$C$20))*(1-Supuestos!$C$18)^37))</f>
        <v>7.62079331492774E-013</v>
      </c>
      <c r="AO61" s="29" t="n">
        <f aca="false">AN61*(1-MIN(1,INDEX(Tabla_Mortalidad!$B$5:$B$75,MIN(71,Cartera_Polizas!$B$63+38-49))*(1+(Cartera_Polizas!$P$63-1)*MAX(0,1-38/Supuestos!$C$20))*(1-Supuestos!$C$18)^38))</f>
        <v>1.32171146572145E-013</v>
      </c>
      <c r="AP61" s="29" t="n">
        <f aca="false">AO61*(1-MIN(1,INDEX(Tabla_Mortalidad!$B$5:$B$75,MIN(71,Cartera_Polizas!$B$63+39-49))*(1+(Cartera_Polizas!$P$63-1)*MAX(0,1-39/Supuestos!$C$20))*(1-Supuestos!$C$18)^39))</f>
        <v>2.3469328824785E-014</v>
      </c>
      <c r="AQ61" s="29" t="n">
        <f aca="false">AP61*(1-MIN(1,INDEX(Tabla_Mortalidad!$B$5:$B$75,MIN(71,Cartera_Polizas!$B$63+40-49))*(1+(Cartera_Polizas!$P$63-1)*MAX(0,1-40/Supuestos!$C$20))*(1-Supuestos!$C$18)^40))</f>
        <v>4.26390482056599E-015</v>
      </c>
      <c r="AR61" s="29" t="n">
        <f aca="false">AQ61*(1-MIN(1,INDEX(Tabla_Mortalidad!$B$5:$B$75,MIN(71,Cartera_Polizas!$B$63+41-49))*(1+(Cartera_Polizas!$P$63-1)*MAX(0,1-41/Supuestos!$C$20))*(1-Supuestos!$C$18)^41))</f>
        <v>7.92111907315239E-016</v>
      </c>
      <c r="AS61" s="29" t="n">
        <f aca="false">AR61*(1-MIN(1,INDEX(Tabla_Mortalidad!$B$5:$B$75,MIN(71,Cartera_Polizas!$B$63+42-49))*(1+(Cartera_Polizas!$P$63-1)*MAX(0,1-42/Supuestos!$C$20))*(1-Supuestos!$C$18)^42))</f>
        <v>1.50376601548312E-016</v>
      </c>
      <c r="AT61" s="29" t="n">
        <f aca="false">AS61*(1-MIN(1,INDEX(Tabla_Mortalidad!$B$5:$B$75,MIN(71,Cartera_Polizas!$B$63+43-49))*(1+(Cartera_Polizas!$P$63-1)*MAX(0,1-43/Supuestos!$C$20))*(1-Supuestos!$C$18)^43))</f>
        <v>2.91570319191053E-017</v>
      </c>
      <c r="AU61" s="29" t="n">
        <f aca="false">AT61*(1-MIN(1,INDEX(Tabla_Mortalidad!$B$5:$B$75,MIN(71,Cartera_Polizas!$B$63+44-49))*(1+(Cartera_Polizas!$P$63-1)*MAX(0,1-44/Supuestos!$C$20))*(1-Supuestos!$C$18)^44))</f>
        <v>5.77087469527242E-018</v>
      </c>
    </row>
    <row r="62" customFormat="false" ht="15" hidden="false" customHeight="false" outlineLevel="0" collapsed="false">
      <c r="A62" s="14" t="n">
        <f aca="false">Cartera_Polizas!A64</f>
        <v>59</v>
      </c>
      <c r="B62" s="26" t="n">
        <f aca="false">SUM(C62:AU62)+0.5</f>
        <v>3.45377679863021</v>
      </c>
      <c r="C62" s="29" t="n">
        <f aca="false">1-MIN(1,INDEX(Tabla_Mortalidad!$B$5:$B$75,MIN(71,Cartera_Polizas!$B$64+0-49))*(1+(Cartera_Polizas!$P$64-1)*MAX(0,1-0/Supuestos!$C$20))*(1-Supuestos!$C$18)^0)</f>
        <v>0.78634128</v>
      </c>
      <c r="D62" s="29" t="n">
        <f aca="false">C62*(1-MIN(1,INDEX(Tabla_Mortalidad!$B$5:$B$75,MIN(71,Cartera_Polizas!$B$64+1-49))*(1+(Cartera_Polizas!$P$64-1)*MAX(0,1-1/Supuestos!$C$20))*(1-Supuestos!$C$18)^1))</f>
        <v>0.606766415270388</v>
      </c>
      <c r="E62" s="29" t="n">
        <f aca="false">D62*(1-MIN(1,INDEX(Tabla_Mortalidad!$B$5:$B$75,MIN(71,Cartera_Polizas!$B$64+2-49))*(1+(Cartera_Polizas!$P$64-1)*MAX(0,1-2/Supuestos!$C$20))*(1-Supuestos!$C$18)^2))</f>
        <v>0.458928472819894</v>
      </c>
      <c r="F62" s="29" t="n">
        <f aca="false">E62*(1-MIN(1,INDEX(Tabla_Mortalidad!$B$5:$B$75,MIN(71,Cartera_Polizas!$B$64+3-49))*(1+(Cartera_Polizas!$P$64-1)*MAX(0,1-3/Supuestos!$C$20))*(1-Supuestos!$C$18)^3))</f>
        <v>0.339862852269706</v>
      </c>
      <c r="G62" s="29" t="n">
        <f aca="false">F62*(1-MIN(1,INDEX(Tabla_Mortalidad!$B$5:$B$75,MIN(71,Cartera_Polizas!$B$64+4-49))*(1+(Cartera_Polizas!$P$64-1)*MAX(0,1-4/Supuestos!$C$20))*(1-Supuestos!$C$18)^4))</f>
        <v>0.24617293398749</v>
      </c>
      <c r="H62" s="29" t="n">
        <f aca="false">G62*(1-MIN(1,INDEX(Tabla_Mortalidad!$B$5:$B$75,MIN(71,Cartera_Polizas!$B$64+5-49))*(1+(Cartera_Polizas!$P$64-1)*MAX(0,1-5/Supuestos!$C$20))*(1-Supuestos!$C$18)^5))</f>
        <v>0.174232969444042</v>
      </c>
      <c r="I62" s="29" t="n">
        <f aca="false">H62*(1-MIN(1,INDEX(Tabla_Mortalidad!$B$5:$B$75,MIN(71,Cartera_Polizas!$B$64+6-49))*(1+(Cartera_Polizas!$P$64-1)*MAX(0,1-6/Supuestos!$C$20))*(1-Supuestos!$C$18)^6))</f>
        <v>0.120393446482016</v>
      </c>
      <c r="J62" s="29" t="n">
        <f aca="false">I62*(1-MIN(1,INDEX(Tabla_Mortalidad!$B$5:$B$75,MIN(71,Cartera_Polizas!$B$64+7-49))*(1+(Cartera_Polizas!$P$64-1)*MAX(0,1-7/Supuestos!$C$20))*(1-Supuestos!$C$18)^7))</f>
        <v>0.0811639967851342</v>
      </c>
      <c r="K62" s="29" t="n">
        <f aca="false">J62*(1-MIN(1,INDEX(Tabla_Mortalidad!$B$5:$B$75,MIN(71,Cartera_Polizas!$B$64+8-49))*(1+(Cartera_Polizas!$P$64-1)*MAX(0,1-8/Supuestos!$C$20))*(1-Supuestos!$C$18)^8))</f>
        <v>0.0533603682137223</v>
      </c>
      <c r="L62" s="29" t="n">
        <f aca="false">K62*(1-MIN(1,INDEX(Tabla_Mortalidad!$B$5:$B$75,MIN(71,Cartera_Polizas!$B$64+9-49))*(1+(Cartera_Polizas!$P$64-1)*MAX(0,1-9/Supuestos!$C$20))*(1-Supuestos!$C$18)^9))</f>
        <v>0.0342066832527335</v>
      </c>
      <c r="M62" s="29" t="n">
        <f aca="false">L62*(1-MIN(1,INDEX(Tabla_Mortalidad!$B$5:$B$75,MIN(71,Cartera_Polizas!$B$64+10-49))*(1+(Cartera_Polizas!$P$64-1)*MAX(0,1-10/Supuestos!$C$20))*(1-Supuestos!$C$18)^10))</f>
        <v>0.0213872516437405</v>
      </c>
      <c r="N62" s="29" t="n">
        <f aca="false">M62*(1-MIN(1,INDEX(Tabla_Mortalidad!$B$5:$B$75,MIN(71,Cartera_Polizas!$B$64+11-49))*(1+(Cartera_Polizas!$P$64-1)*MAX(0,1-11/Supuestos!$C$20))*(1-Supuestos!$C$18)^11))</f>
        <v>0.0130520333768444</v>
      </c>
      <c r="O62" s="29" t="n">
        <f aca="false">N62*(1-MIN(1,INDEX(Tabla_Mortalidad!$B$5:$B$75,MIN(71,Cartera_Polizas!$B$64+12-49))*(1+(Cartera_Polizas!$P$64-1)*MAX(0,1-12/Supuestos!$C$20))*(1-Supuestos!$C$18)^12))</f>
        <v>0.007785144209365</v>
      </c>
      <c r="P62" s="29" t="n">
        <f aca="false">O62*(1-MIN(1,INDEX(Tabla_Mortalidad!$B$5:$B$75,MIN(71,Cartera_Polizas!$B$64+13-49))*(1+(Cartera_Polizas!$P$64-1)*MAX(0,1-13/Supuestos!$C$20))*(1-Supuestos!$C$18)^13))</f>
        <v>0.00454785844964405</v>
      </c>
      <c r="Q62" s="29" t="n">
        <f aca="false">P62*(1-MIN(1,INDEX(Tabla_Mortalidad!$B$5:$B$75,MIN(71,Cartera_Polizas!$B$64+14-49))*(1+(Cartera_Polizas!$P$64-1)*MAX(0,1-14/Supuestos!$C$20))*(1-Supuestos!$C$18)^14))</f>
        <v>0.00260931123644794</v>
      </c>
      <c r="R62" s="29" t="n">
        <f aca="false">Q62*(1-MIN(1,INDEX(Tabla_Mortalidad!$B$5:$B$75,MIN(71,Cartera_Polizas!$B$64+15-49))*(1+(Cartera_Polizas!$P$64-1)*MAX(0,1-15/Supuestos!$C$20))*(1-Supuestos!$C$18)^15))</f>
        <v>0.00147578037875708</v>
      </c>
      <c r="S62" s="29" t="n">
        <f aca="false">R62*(1-MIN(1,INDEX(Tabla_Mortalidad!$B$5:$B$75,MIN(71,Cartera_Polizas!$B$64+16-49))*(1+(Cartera_Polizas!$P$64-1)*MAX(0,1-16/Supuestos!$C$20))*(1-Supuestos!$C$18)^16))</f>
        <v>0.000786593105260368</v>
      </c>
      <c r="T62" s="29" t="n">
        <f aca="false">S62*(1-MIN(1,INDEX(Tabla_Mortalidad!$B$5:$B$75,MIN(71,Cartera_Polizas!$B$64+17-49))*(1+(Cartera_Polizas!$P$64-1)*MAX(0,1-17/Supuestos!$C$20))*(1-Supuestos!$C$18)^17))</f>
        <v>0.000392998665501091</v>
      </c>
      <c r="U62" s="29" t="n">
        <f aca="false">T62*(1-MIN(1,INDEX(Tabla_Mortalidad!$B$5:$B$75,MIN(71,Cartera_Polizas!$B$64+18-49))*(1+(Cartera_Polizas!$P$64-1)*MAX(0,1-18/Supuestos!$C$20))*(1-Supuestos!$C$18)^18))</f>
        <v>0.000183038623079706</v>
      </c>
      <c r="V62" s="29" t="n">
        <f aca="false">U62*(1-MIN(1,INDEX(Tabla_Mortalidad!$B$5:$B$75,MIN(71,Cartera_Polizas!$B$64+19-49))*(1+(Cartera_Polizas!$P$64-1)*MAX(0,1-19/Supuestos!$C$20))*(1-Supuestos!$C$18)^19))</f>
        <v>7.90259383664111E-005</v>
      </c>
      <c r="W62" s="29" t="n">
        <f aca="false">V62*(1-MIN(1,INDEX(Tabla_Mortalidad!$B$5:$B$75,MIN(71,Cartera_Polizas!$B$64+20-49))*(1+(Cartera_Polizas!$P$64-1)*MAX(0,1-20/Supuestos!$C$20))*(1-Supuestos!$C$18)^20))</f>
        <v>3.14540962467626E-005</v>
      </c>
      <c r="X62" s="29" t="n">
        <f aca="false">W62*(1-MIN(1,INDEX(Tabla_Mortalidad!$B$5:$B$75,MIN(71,Cartera_Polizas!$B$64+21-49))*(1+(Cartera_Polizas!$P$64-1)*MAX(0,1-21/Supuestos!$C$20))*(1-Supuestos!$C$18)^21))</f>
        <v>1.14817933065862E-005</v>
      </c>
      <c r="Y62" s="29" t="n">
        <f aca="false">X62*(1-MIN(1,INDEX(Tabla_Mortalidad!$B$5:$B$75,MIN(71,Cartera_Polizas!$B$64+22-49))*(1+(Cartera_Polizas!$P$64-1)*MAX(0,1-22/Supuestos!$C$20))*(1-Supuestos!$C$18)^22))</f>
        <v>3.82639803938485E-006</v>
      </c>
      <c r="Z62" s="29" t="n">
        <f aca="false">Y62*(1-MIN(1,INDEX(Tabla_Mortalidad!$B$5:$B$75,MIN(71,Cartera_Polizas!$B$64+23-49))*(1+(Cartera_Polizas!$P$64-1)*MAX(0,1-23/Supuestos!$C$20))*(1-Supuestos!$C$18)^23))</f>
        <v>1.16011253728482E-006</v>
      </c>
      <c r="AA62" s="29" t="n">
        <f aca="false">Z62*(1-MIN(1,INDEX(Tabla_Mortalidad!$B$5:$B$75,MIN(71,Cartera_Polizas!$B$64+24-49))*(1+(Cartera_Polizas!$P$64-1)*MAX(0,1-24/Supuestos!$C$20))*(1-Supuestos!$C$18)^24))</f>
        <v>3.19370705896094E-007</v>
      </c>
      <c r="AB62" s="29" t="n">
        <f aca="false">AA62*(1-MIN(1,INDEX(Tabla_Mortalidad!$B$5:$B$75,MIN(71,Cartera_Polizas!$B$64+25-49))*(1+(Cartera_Polizas!$P$64-1)*MAX(0,1-25/Supuestos!$C$20))*(1-Supuestos!$C$18)^25))</f>
        <v>7.98462975519684E-008</v>
      </c>
      <c r="AC62" s="29" t="n">
        <f aca="false">AB62*(1-MIN(1,INDEX(Tabla_Mortalidad!$B$5:$B$75,MIN(71,Cartera_Polizas!$B$64+26-49))*(1+(Cartera_Polizas!$P$64-1)*MAX(0,1-26/Supuestos!$C$20))*(1-Supuestos!$C$18)^26))</f>
        <v>1.81815631394258E-008</v>
      </c>
      <c r="AD62" s="29" t="n">
        <f aca="false">AC62*(1-MIN(1,INDEX(Tabla_Mortalidad!$B$5:$B$75,MIN(71,Cartera_Polizas!$B$64+27-49))*(1+(Cartera_Polizas!$P$64-1)*MAX(0,1-27/Supuestos!$C$20))*(1-Supuestos!$C$18)^27))</f>
        <v>3.79348695688082E-009</v>
      </c>
      <c r="AE62" s="29" t="n">
        <f aca="false">AD62*(1-MIN(1,INDEX(Tabla_Mortalidad!$B$5:$B$75,MIN(71,Cartera_Polizas!$B$64+28-49))*(1+(Cartera_Polizas!$P$64-1)*MAX(0,1-28/Supuestos!$C$20))*(1-Supuestos!$C$18)^28))</f>
        <v>7.3203087638992E-010</v>
      </c>
      <c r="AF62" s="29" t="n">
        <f aca="false">AE62*(1-MIN(1,INDEX(Tabla_Mortalidad!$B$5:$B$75,MIN(71,Cartera_Polizas!$B$64+29-49))*(1+(Cartera_Polizas!$P$64-1)*MAX(0,1-29/Supuestos!$C$20))*(1-Supuestos!$C$18)^29))</f>
        <v>1.32272770318457E-010</v>
      </c>
      <c r="AG62" s="29" t="n">
        <f aca="false">AF62*(1-MIN(1,INDEX(Tabla_Mortalidad!$B$5:$B$75,MIN(71,Cartera_Polizas!$B$64+30-49))*(1+(Cartera_Polizas!$P$64-1)*MAX(0,1-30/Supuestos!$C$20))*(1-Supuestos!$C$18)^30))</f>
        <v>1.84673697156931E-011</v>
      </c>
      <c r="AH62" s="29" t="n">
        <f aca="false">AG62*(1-MIN(1,INDEX(Tabla_Mortalidad!$B$5:$B$75,MIN(71,Cartera_Polizas!$B$64+31-49))*(1+(Cartera_Polizas!$P$64-1)*MAX(0,1-31/Supuestos!$C$20))*(1-Supuestos!$C$18)^31))</f>
        <v>2.6577819109147E-012</v>
      </c>
      <c r="AI62" s="29" t="n">
        <f aca="false">AH62*(1-MIN(1,INDEX(Tabla_Mortalidad!$B$5:$B$75,MIN(71,Cartera_Polizas!$B$64+32-49))*(1+(Cartera_Polizas!$P$64-1)*MAX(0,1-32/Supuestos!$C$20))*(1-Supuestos!$C$18)^32))</f>
        <v>3.93878336785395E-013</v>
      </c>
      <c r="AJ62" s="29" t="n">
        <f aca="false">AI62*(1-MIN(1,INDEX(Tabla_Mortalidad!$B$5:$B$75,MIN(71,Cartera_Polizas!$B$64+33-49))*(1+(Cartera_Polizas!$P$64-1)*MAX(0,1-33/Supuestos!$C$20))*(1-Supuestos!$C$18)^33))</f>
        <v>6.00495685539542E-014</v>
      </c>
      <c r="AK62" s="29" t="n">
        <f aca="false">AJ62*(1-MIN(1,INDEX(Tabla_Mortalidad!$B$5:$B$75,MIN(71,Cartera_Polizas!$B$64+34-49))*(1+(Cartera_Polizas!$P$64-1)*MAX(0,1-34/Supuestos!$C$20))*(1-Supuestos!$C$18)^34))</f>
        <v>9.409458974768E-015</v>
      </c>
      <c r="AL62" s="29" t="n">
        <f aca="false">AK62*(1-MIN(1,INDEX(Tabla_Mortalidad!$B$5:$B$75,MIN(71,Cartera_Polizas!$B$64+35-49))*(1+(Cartera_Polizas!$P$64-1)*MAX(0,1-35/Supuestos!$C$20))*(1-Supuestos!$C$18)^35))</f>
        <v>1.51408911929094E-015</v>
      </c>
      <c r="AM62" s="29" t="n">
        <f aca="false">AL62*(1-MIN(1,INDEX(Tabla_Mortalidad!$B$5:$B$75,MIN(71,Cartera_Polizas!$B$64+36-49))*(1+(Cartera_Polizas!$P$64-1)*MAX(0,1-36/Supuestos!$C$20))*(1-Supuestos!$C$18)^36))</f>
        <v>2.49986458883307E-016</v>
      </c>
      <c r="AN62" s="29" t="n">
        <f aca="false">AM62*(1-MIN(1,INDEX(Tabla_Mortalidad!$B$5:$B$75,MIN(71,Cartera_Polizas!$B$64+37-49))*(1+(Cartera_Polizas!$P$64-1)*MAX(0,1-37/Supuestos!$C$20))*(1-Supuestos!$C$18)^37))</f>
        <v>4.23180323716496E-017</v>
      </c>
      <c r="AO62" s="29" t="n">
        <f aca="false">AN62*(1-MIN(1,INDEX(Tabla_Mortalidad!$B$5:$B$75,MIN(71,Cartera_Polizas!$B$64+38-49))*(1+(Cartera_Polizas!$P$64-1)*MAX(0,1-38/Supuestos!$C$20))*(1-Supuestos!$C$18)^38))</f>
        <v>7.33942337509926E-018</v>
      </c>
      <c r="AP62" s="29" t="n">
        <f aca="false">AO62*(1-MIN(1,INDEX(Tabla_Mortalidad!$B$5:$B$75,MIN(71,Cartera_Polizas!$B$64+39-49))*(1+(Cartera_Polizas!$P$64-1)*MAX(0,1-39/Supuestos!$C$20))*(1-Supuestos!$C$18)^39))</f>
        <v>1.3032446569607E-018</v>
      </c>
      <c r="AQ62" s="29" t="n">
        <f aca="false">AP62*(1-MIN(1,INDEX(Tabla_Mortalidad!$B$5:$B$75,MIN(71,Cartera_Polizas!$B$64+40-49))*(1+(Cartera_Polizas!$P$64-1)*MAX(0,1-40/Supuestos!$C$20))*(1-Supuestos!$C$18)^40))</f>
        <v>2.36773331554466E-019</v>
      </c>
      <c r="AR62" s="29" t="n">
        <f aca="false">AQ62*(1-MIN(1,INDEX(Tabla_Mortalidad!$B$5:$B$75,MIN(71,Cartera_Polizas!$B$64+41-49))*(1+(Cartera_Polizas!$P$64-1)*MAX(0,1-41/Supuestos!$C$20))*(1-Supuestos!$C$18)^41))</f>
        <v>4.39857321285365E-020</v>
      </c>
      <c r="AS62" s="29" t="n">
        <f aca="false">AR62*(1-MIN(1,INDEX(Tabla_Mortalidad!$B$5:$B$75,MIN(71,Cartera_Polizas!$B$64+42-49))*(1+(Cartera_Polizas!$P$64-1)*MAX(0,1-42/Supuestos!$C$20))*(1-Supuestos!$C$18)^42))</f>
        <v>8.35036672598757E-021</v>
      </c>
      <c r="AT62" s="29" t="n">
        <f aca="false">AS62*(1-MIN(1,INDEX(Tabla_Mortalidad!$B$5:$B$75,MIN(71,Cartera_Polizas!$B$64+43-49))*(1+(Cartera_Polizas!$P$64-1)*MAX(0,1-43/Supuestos!$C$20))*(1-Supuestos!$C$18)^43))</f>
        <v>1.61908107151652E-021</v>
      </c>
      <c r="AU62" s="29" t="n">
        <f aca="false">AT62*(1-MIN(1,INDEX(Tabla_Mortalidad!$B$5:$B$75,MIN(71,Cartera_Polizas!$B$64+44-49))*(1+(Cartera_Polizas!$P$64-1)*MAX(0,1-44/Supuestos!$C$20))*(1-Supuestos!$C$18)^44))</f>
        <v>3.20454908137851E-022</v>
      </c>
    </row>
    <row r="63" customFormat="false" ht="15" hidden="false" customHeight="false" outlineLevel="0" collapsed="false">
      <c r="A63" s="14" t="n">
        <f aca="false">Cartera_Polizas!A65</f>
        <v>60</v>
      </c>
      <c r="B63" s="26" t="n">
        <f aca="false">SUM(C63:AU63)+0.5</f>
        <v>9.21453185671789</v>
      </c>
      <c r="C63" s="29" t="n">
        <f aca="false">1-MIN(1,INDEX(Tabla_Mortalidad!$B$5:$B$75,MIN(71,Cartera_Polizas!$B$65+0-49))*(1+(Cartera_Polizas!$P$65-1)*MAX(0,1-0/Supuestos!$C$20))*(1-Supuestos!$C$18)^0)</f>
        <v>0.942091534</v>
      </c>
      <c r="D63" s="29" t="n">
        <f aca="false">C63*(1-MIN(1,INDEX(Tabla_Mortalidad!$B$5:$B$75,MIN(71,Cartera_Polizas!$B$65+1-49))*(1+(Cartera_Polizas!$P$65-1)*MAX(0,1-1/Supuestos!$C$20))*(1-Supuestos!$C$18)^1))</f>
        <v>0.882914789010764</v>
      </c>
      <c r="E63" s="29" t="n">
        <f aca="false">D63*(1-MIN(1,INDEX(Tabla_Mortalidad!$B$5:$B$75,MIN(71,Cartera_Polizas!$B$65+2-49))*(1+(Cartera_Polizas!$P$65-1)*MAX(0,1-2/Supuestos!$C$20))*(1-Supuestos!$C$18)^2))</f>
        <v>0.822799983096696</v>
      </c>
      <c r="F63" s="29" t="n">
        <f aca="false">E63*(1-MIN(1,INDEX(Tabla_Mortalidad!$B$5:$B$75,MIN(71,Cartera_Polizas!$B$65+3-49))*(1+(Cartera_Polizas!$P$65-1)*MAX(0,1-3/Supuestos!$C$20))*(1-Supuestos!$C$18)^3))</f>
        <v>0.762122694331024</v>
      </c>
      <c r="G63" s="29" t="n">
        <f aca="false">F63*(1-MIN(1,INDEX(Tabla_Mortalidad!$B$5:$B$75,MIN(71,Cartera_Polizas!$B$65+4-49))*(1+(Cartera_Polizas!$P$65-1)*MAX(0,1-4/Supuestos!$C$20))*(1-Supuestos!$C$18)^4))</f>
        <v>0.701301789955582</v>
      </c>
      <c r="H63" s="29" t="n">
        <f aca="false">G63*(1-MIN(1,INDEX(Tabla_Mortalidad!$B$5:$B$75,MIN(71,Cartera_Polizas!$B$65+5-49))*(1+(Cartera_Polizas!$P$65-1)*MAX(0,1-5/Supuestos!$C$20))*(1-Supuestos!$C$18)^5))</f>
        <v>0.640790747792699</v>
      </c>
      <c r="I63" s="29" t="n">
        <f aca="false">H63*(1-MIN(1,INDEX(Tabla_Mortalidad!$B$5:$B$75,MIN(71,Cartera_Polizas!$B$65+6-49))*(1+(Cartera_Polizas!$P$65-1)*MAX(0,1-6/Supuestos!$C$20))*(1-Supuestos!$C$18)^6))</f>
        <v>0.581068896396485</v>
      </c>
      <c r="J63" s="29" t="n">
        <f aca="false">I63*(1-MIN(1,INDEX(Tabla_Mortalidad!$B$5:$B$75,MIN(71,Cartera_Polizas!$B$65+7-49))*(1+(Cartera_Polizas!$P$65-1)*MAX(0,1-7/Supuestos!$C$20))*(1-Supuestos!$C$18)^7))</f>
        <v>0.522634345426567</v>
      </c>
      <c r="K63" s="29" t="n">
        <f aca="false">J63*(1-MIN(1,INDEX(Tabla_Mortalidad!$B$5:$B$75,MIN(71,Cartera_Polizas!$B$65+8-49))*(1+(Cartera_Polizas!$P$65-1)*MAX(0,1-8/Supuestos!$C$20))*(1-Supuestos!$C$18)^8))</f>
        <v>0.465986293048287</v>
      </c>
      <c r="L63" s="29" t="n">
        <f aca="false">K63*(1-MIN(1,INDEX(Tabla_Mortalidad!$B$5:$B$75,MIN(71,Cartera_Polizas!$B$65+9-49))*(1+(Cartera_Polizas!$P$65-1)*MAX(0,1-9/Supuestos!$C$20))*(1-Supuestos!$C$18)^9))</f>
        <v>0.411614733935186</v>
      </c>
      <c r="M63" s="29" t="n">
        <f aca="false">L63*(1-MIN(1,INDEX(Tabla_Mortalidad!$B$5:$B$75,MIN(71,Cartera_Polizas!$B$65+10-49))*(1+(Cartera_Polizas!$P$65-1)*MAX(0,1-10/Supuestos!$C$20))*(1-Supuestos!$C$18)^10))</f>
        <v>0.359981185515601</v>
      </c>
      <c r="N63" s="29" t="n">
        <f aca="false">M63*(1-MIN(1,INDEX(Tabla_Mortalidad!$B$5:$B$75,MIN(71,Cartera_Polizas!$B$65+11-49))*(1+(Cartera_Polizas!$P$65-1)*MAX(0,1-11/Supuestos!$C$20))*(1-Supuestos!$C$18)^11))</f>
        <v>0.311502919079022</v>
      </c>
      <c r="O63" s="29" t="n">
        <f aca="false">N63*(1-MIN(1,INDEX(Tabla_Mortalidad!$B$5:$B$75,MIN(71,Cartera_Polizas!$B$65+12-49))*(1+(Cartera_Polizas!$P$65-1)*MAX(0,1-12/Supuestos!$C$20))*(1-Supuestos!$C$18)^12))</f>
        <v>0.266536437171064</v>
      </c>
      <c r="P63" s="29" t="n">
        <f aca="false">O63*(1-MIN(1,INDEX(Tabla_Mortalidad!$B$5:$B$75,MIN(71,Cartera_Polizas!$B$65+13-49))*(1+(Cartera_Polizas!$P$65-1)*MAX(0,1-13/Supuestos!$C$20))*(1-Supuestos!$C$18)^13))</f>
        <v>0.225362881185496</v>
      </c>
      <c r="Q63" s="29" t="n">
        <f aca="false">P63*(1-MIN(1,INDEX(Tabla_Mortalidad!$B$5:$B$75,MIN(71,Cartera_Polizas!$B$65+14-49))*(1+(Cartera_Polizas!$P$65-1)*MAX(0,1-14/Supuestos!$C$20))*(1-Supuestos!$C$18)^14))</f>
        <v>0.188175897310515</v>
      </c>
      <c r="R63" s="29" t="n">
        <f aca="false">Q63*(1-MIN(1,INDEX(Tabla_Mortalidad!$B$5:$B$75,MIN(71,Cartera_Polizas!$B$65+15-49))*(1+(Cartera_Polizas!$P$65-1)*MAX(0,1-15/Supuestos!$C$20))*(1-Supuestos!$C$18)^15))</f>
        <v>0.15507287598662</v>
      </c>
      <c r="S63" s="29" t="n">
        <f aca="false">R63*(1-MIN(1,INDEX(Tabla_Mortalidad!$B$5:$B$75,MIN(71,Cartera_Polizas!$B$65+16-49))*(1+(Cartera_Polizas!$P$65-1)*MAX(0,1-16/Supuestos!$C$20))*(1-Supuestos!$C$18)^16))</f>
        <v>0.125127976387072</v>
      </c>
      <c r="T63" s="29" t="n">
        <f aca="false">S63*(1-MIN(1,INDEX(Tabla_Mortalidad!$B$5:$B$75,MIN(71,Cartera_Polizas!$B$65+17-49))*(1+(Cartera_Polizas!$P$65-1)*MAX(0,1-17/Supuestos!$C$20))*(1-Supuestos!$C$18)^17))</f>
        <v>0.0986397108971783</v>
      </c>
      <c r="U63" s="29" t="n">
        <f aca="false">T63*(1-MIN(1,INDEX(Tabla_Mortalidad!$B$5:$B$75,MIN(71,Cartera_Polizas!$B$65+18-49))*(1+(Cartera_Polizas!$P$65-1)*MAX(0,1-18/Supuestos!$C$20))*(1-Supuestos!$C$18)^18))</f>
        <v>0.0757818634121289</v>
      </c>
      <c r="V63" s="29" t="n">
        <f aca="false">U63*(1-MIN(1,INDEX(Tabla_Mortalidad!$B$5:$B$75,MIN(71,Cartera_Polizas!$B$65+19-49))*(1+(Cartera_Polizas!$P$65-1)*MAX(0,1-19/Supuestos!$C$20))*(1-Supuestos!$C$18)^19))</f>
        <v>0.0565890024411839</v>
      </c>
      <c r="W63" s="29" t="n">
        <f aca="false">V63*(1-MIN(1,INDEX(Tabla_Mortalidad!$B$5:$B$75,MIN(71,Cartera_Polizas!$B$65+20-49))*(1+(Cartera_Polizas!$P$65-1)*MAX(0,1-20/Supuestos!$C$20))*(1-Supuestos!$C$18)^20))</f>
        <v>0.0409528124447316</v>
      </c>
      <c r="X63" s="29" t="n">
        <f aca="false">W63*(1-MIN(1,INDEX(Tabla_Mortalidad!$B$5:$B$75,MIN(71,Cartera_Polizas!$B$65+21-49))*(1+(Cartera_Polizas!$P$65-1)*MAX(0,1-21/Supuestos!$C$20))*(1-Supuestos!$C$18)^21))</f>
        <v>0.0286312486643319</v>
      </c>
      <c r="Y63" s="29" t="n">
        <f aca="false">X63*(1-MIN(1,INDEX(Tabla_Mortalidad!$B$5:$B$75,MIN(71,Cartera_Polizas!$B$65+22-49))*(1+(Cartera_Polizas!$P$65-1)*MAX(0,1-22/Supuestos!$C$20))*(1-Supuestos!$C$18)^22))</f>
        <v>0.0192711806788008</v>
      </c>
      <c r="Z63" s="29" t="n">
        <f aca="false">Y63*(1-MIN(1,INDEX(Tabla_Mortalidad!$B$5:$B$75,MIN(71,Cartera_Polizas!$B$65+23-49))*(1+(Cartera_Polizas!$P$65-1)*MAX(0,1-23/Supuestos!$C$20))*(1-Supuestos!$C$18)^23))</f>
        <v>0.0124416743593589</v>
      </c>
      <c r="AA63" s="29" t="n">
        <f aca="false">Z63*(1-MIN(1,INDEX(Tabla_Mortalidad!$B$5:$B$75,MIN(71,Cartera_Polizas!$B$65+24-49))*(1+(Cartera_Polizas!$P$65-1)*MAX(0,1-24/Supuestos!$C$20))*(1-Supuestos!$C$18)^24))</f>
        <v>0.00767414458860387</v>
      </c>
      <c r="AB63" s="29" t="n">
        <f aca="false">AA63*(1-MIN(1,INDEX(Tabla_Mortalidad!$B$5:$B$75,MIN(71,Cartera_Polizas!$B$65+25-49))*(1+(Cartera_Polizas!$P$65-1)*MAX(0,1-25/Supuestos!$C$20))*(1-Supuestos!$C$18)^25))</f>
        <v>0.00450334898228179</v>
      </c>
      <c r="AC63" s="29" t="n">
        <f aca="false">AB63*(1-MIN(1,INDEX(Tabla_Mortalidad!$B$5:$B$75,MIN(71,Cartera_Polizas!$B$65+26-49))*(1+(Cartera_Polizas!$P$65-1)*MAX(0,1-26/Supuestos!$C$20))*(1-Supuestos!$C$18)^26))</f>
        <v>0.00250310980972306</v>
      </c>
      <c r="AD63" s="29" t="n">
        <f aca="false">AC63*(1-MIN(1,INDEX(Tabla_Mortalidad!$B$5:$B$75,MIN(71,Cartera_Polizas!$B$65+27-49))*(1+(Cartera_Polizas!$P$65-1)*MAX(0,1-27/Supuestos!$C$20))*(1-Supuestos!$C$18)^27))</f>
        <v>0.00131184166417556</v>
      </c>
      <c r="AE63" s="29" t="n">
        <f aca="false">AD63*(1-MIN(1,INDEX(Tabla_Mortalidad!$B$5:$B$75,MIN(71,Cartera_Polizas!$B$65+28-49))*(1+(Cartera_Polizas!$P$65-1)*MAX(0,1-28/Supuestos!$C$20))*(1-Supuestos!$C$18)^28))</f>
        <v>0.000645253184552936</v>
      </c>
      <c r="AF63" s="29" t="n">
        <f aca="false">AE63*(1-MIN(1,INDEX(Tabla_Mortalidad!$B$5:$B$75,MIN(71,Cartera_Polizas!$B$65+29-49))*(1+(Cartera_Polizas!$P$65-1)*MAX(0,1-29/Supuestos!$C$20))*(1-Supuestos!$C$18)^29))</f>
        <v>0.000296510962622777</v>
      </c>
      <c r="AG63" s="29" t="n">
        <f aca="false">AF63*(1-MIN(1,INDEX(Tabla_Mortalidad!$B$5:$B$75,MIN(71,Cartera_Polizas!$B$65+30-49))*(1+(Cartera_Polizas!$P$65-1)*MAX(0,1-30/Supuestos!$C$20))*(1-Supuestos!$C$18)^30))</f>
        <v>0.000126744511645735</v>
      </c>
      <c r="AH63" s="29" t="n">
        <f aca="false">AG63*(1-MIN(1,INDEX(Tabla_Mortalidad!$B$5:$B$75,MIN(71,Cartera_Polizas!$B$65+31-49))*(1+(Cartera_Polizas!$P$65-1)*MAX(0,1-31/Supuestos!$C$20))*(1-Supuestos!$C$18)^31))</f>
        <v>5.02005557681735E-005</v>
      </c>
      <c r="AI63" s="29" t="n">
        <f aca="false">AH63*(1-MIN(1,INDEX(Tabla_Mortalidad!$B$5:$B$75,MIN(71,Cartera_Polizas!$B$65+32-49))*(1+(Cartera_Polizas!$P$65-1)*MAX(0,1-32/Supuestos!$C$20))*(1-Supuestos!$C$18)^32))</f>
        <v>1.83661148212762E-005</v>
      </c>
      <c r="AJ63" s="29" t="n">
        <f aca="false">AI63*(1-MIN(1,INDEX(Tabla_Mortalidad!$B$5:$B$75,MIN(71,Cartera_Polizas!$B$65+33-49))*(1+(Cartera_Polizas!$P$65-1)*MAX(0,1-33/Supuestos!$C$20))*(1-Supuestos!$C$18)^33))</f>
        <v>6.194040135709E-006</v>
      </c>
      <c r="AK63" s="29" t="n">
        <f aca="false">AJ63*(1-MIN(1,INDEX(Tabla_Mortalidad!$B$5:$B$75,MIN(71,Cartera_Polizas!$B$65+34-49))*(1+(Cartera_Polizas!$P$65-1)*MAX(0,1-34/Supuestos!$C$20))*(1-Supuestos!$C$18)^34))</f>
        <v>1.92463509210473E-006</v>
      </c>
      <c r="AL63" s="29" t="n">
        <f aca="false">AK63*(1-MIN(1,INDEX(Tabla_Mortalidad!$B$5:$B$75,MIN(71,Cartera_Polizas!$B$65+35-49))*(1+(Cartera_Polizas!$P$65-1)*MAX(0,1-35/Supuestos!$C$20))*(1-Supuestos!$C$18)^35))</f>
        <v>5.51750896906547E-007</v>
      </c>
      <c r="AM63" s="29" t="n">
        <f aca="false">AL63*(1-MIN(1,INDEX(Tabla_Mortalidad!$B$5:$B$75,MIN(71,Cartera_Polizas!$B$65+36-49))*(1+(Cartera_Polizas!$P$65-1)*MAX(0,1-36/Supuestos!$C$20))*(1-Supuestos!$C$18)^36))</f>
        <v>1.46470182706996E-007</v>
      </c>
      <c r="AN63" s="29" t="n">
        <f aca="false">AM63*(1-MIN(1,INDEX(Tabla_Mortalidad!$B$5:$B$75,MIN(71,Cartera_Polizas!$B$65+37-49))*(1+(Cartera_Polizas!$P$65-1)*MAX(0,1-37/Supuestos!$C$20))*(1-Supuestos!$C$18)^37))</f>
        <v>3.62270512294655E-008</v>
      </c>
      <c r="AO63" s="29" t="n">
        <f aca="false">AN63*(1-MIN(1,INDEX(Tabla_Mortalidad!$B$5:$B$75,MIN(71,Cartera_Polizas!$B$65+38-49))*(1+(Cartera_Polizas!$P$65-1)*MAX(0,1-38/Supuestos!$C$20))*(1-Supuestos!$C$18)^38))</f>
        <v>8.42010923275648E-009</v>
      </c>
      <c r="AP63" s="29" t="n">
        <f aca="false">AO63*(1-MIN(1,INDEX(Tabla_Mortalidad!$B$5:$B$75,MIN(71,Cartera_Polizas!$B$65+39-49))*(1+(Cartera_Polizas!$P$65-1)*MAX(0,1-39/Supuestos!$C$20))*(1-Supuestos!$C$18)^39))</f>
        <v>1.8587281848574E-009</v>
      </c>
      <c r="AQ63" s="29" t="n">
        <f aca="false">AP63*(1-MIN(1,INDEX(Tabla_Mortalidad!$B$5:$B$75,MIN(71,Cartera_Polizas!$B$65+40-49))*(1+(Cartera_Polizas!$P$65-1)*MAX(0,1-40/Supuestos!$C$20))*(1-Supuestos!$C$18)^40))</f>
        <v>3.37693511676636E-010</v>
      </c>
      <c r="AR63" s="29" t="n">
        <f aca="false">AQ63*(1-MIN(1,INDEX(Tabla_Mortalidad!$B$5:$B$75,MIN(71,Cartera_Polizas!$B$65+41-49))*(1+(Cartera_Polizas!$P$65-1)*MAX(0,1-41/Supuestos!$C$20))*(1-Supuestos!$C$18)^41))</f>
        <v>6.27338233095583E-011</v>
      </c>
      <c r="AS63" s="29" t="n">
        <f aca="false">AR63*(1-MIN(1,INDEX(Tabla_Mortalidad!$B$5:$B$75,MIN(71,Cartera_Polizas!$B$65+42-49))*(1+(Cartera_Polizas!$P$65-1)*MAX(0,1-42/Supuestos!$C$20))*(1-Supuestos!$C$18)^42))</f>
        <v>1.19095535167474E-011</v>
      </c>
      <c r="AT63" s="29" t="n">
        <f aca="false">AS63*(1-MIN(1,INDEX(Tabla_Mortalidad!$B$5:$B$75,MIN(71,Cartera_Polizas!$B$65+43-49))*(1+(Cartera_Polizas!$P$65-1)*MAX(0,1-43/Supuestos!$C$20))*(1-Supuestos!$C$18)^43))</f>
        <v>2.30918393190668E-012</v>
      </c>
      <c r="AU63" s="29" t="n">
        <f aca="false">AT63*(1-MIN(1,INDEX(Tabla_Mortalidad!$B$5:$B$75,MIN(71,Cartera_Polizas!$B$65+44-49))*(1+(Cartera_Polizas!$P$65-1)*MAX(0,1-44/Supuestos!$C$20))*(1-Supuestos!$C$18)^44))</f>
        <v>4.57042786671232E-013</v>
      </c>
    </row>
    <row r="64" customFormat="false" ht="15" hidden="false" customHeight="false" outlineLevel="0" collapsed="false">
      <c r="A64" s="14" t="n">
        <f aca="false">Cartera_Polizas!A66</f>
        <v>61</v>
      </c>
      <c r="B64" s="26" t="n">
        <f aca="false">SUM(C64:AU64)+0.5</f>
        <v>4.77795302246003</v>
      </c>
      <c r="C64" s="29" t="n">
        <f aca="false">1-MIN(1,INDEX(Tabla_Mortalidad!$B$5:$B$75,MIN(71,Cartera_Polizas!$B$66+0-49))*(1+(Cartera_Polizas!$P$66-1)*MAX(0,1-0/Supuestos!$C$20))*(1-Supuestos!$C$18)^0)</f>
        <v>0.845102122375</v>
      </c>
      <c r="D64" s="29" t="n">
        <f aca="false">C64*(1-MIN(1,INDEX(Tabla_Mortalidad!$B$5:$B$75,MIN(71,Cartera_Polizas!$B$66+1-49))*(1+(Cartera_Polizas!$P$66-1)*MAX(0,1-1/Supuestos!$C$20))*(1-Supuestos!$C$18)^1))</f>
        <v>0.70609949132404</v>
      </c>
      <c r="E64" s="29" t="n">
        <f aca="false">D64*(1-MIN(1,INDEX(Tabla_Mortalidad!$B$5:$B$75,MIN(71,Cartera_Polizas!$B$66+2-49))*(1+(Cartera_Polizas!$P$66-1)*MAX(0,1-2/Supuestos!$C$20))*(1-Supuestos!$C$18)^2))</f>
        <v>0.583044083344131</v>
      </c>
      <c r="F64" s="29" t="n">
        <f aca="false">E64*(1-MIN(1,INDEX(Tabla_Mortalidad!$B$5:$B$75,MIN(71,Cartera_Polizas!$B$66+3-49))*(1+(Cartera_Polizas!$P$66-1)*MAX(0,1-3/Supuestos!$C$20))*(1-Supuestos!$C$18)^3))</f>
        <v>0.4756441983887</v>
      </c>
      <c r="G64" s="29" t="n">
        <f aca="false">F64*(1-MIN(1,INDEX(Tabla_Mortalidad!$B$5:$B$75,MIN(71,Cartera_Polizas!$B$66+4-49))*(1+(Cartera_Polizas!$P$66-1)*MAX(0,1-4/Supuestos!$C$20))*(1-Supuestos!$C$18)^4))</f>
        <v>0.383277796817187</v>
      </c>
      <c r="H64" s="29" t="n">
        <f aca="false">G64*(1-MIN(1,INDEX(Tabla_Mortalidad!$B$5:$B$75,MIN(71,Cartera_Polizas!$B$66+5-49))*(1+(Cartera_Polizas!$P$66-1)*MAX(0,1-5/Supuestos!$C$20))*(1-Supuestos!$C$18)^5))</f>
        <v>0.305042006805012</v>
      </c>
      <c r="I64" s="29" t="n">
        <f aca="false">H64*(1-MIN(1,INDEX(Tabla_Mortalidad!$B$5:$B$75,MIN(71,Cartera_Polizas!$B$66+6-49))*(1+(Cartera_Polizas!$P$66-1)*MAX(0,1-6/Supuestos!$C$20))*(1-Supuestos!$C$18)^6))</f>
        <v>0.239801848571298</v>
      </c>
      <c r="J64" s="29" t="n">
        <f aca="false">I64*(1-MIN(1,INDEX(Tabla_Mortalidad!$B$5:$B$75,MIN(71,Cartera_Polizas!$B$66+7-49))*(1+(Cartera_Polizas!$P$66-1)*MAX(0,1-7/Supuestos!$C$20))*(1-Supuestos!$C$18)^7))</f>
        <v>0.186256654946001</v>
      </c>
      <c r="K64" s="29" t="n">
        <f aca="false">J64*(1-MIN(1,INDEX(Tabla_Mortalidad!$B$5:$B$75,MIN(71,Cartera_Polizas!$B$66+8-49))*(1+(Cartera_Polizas!$P$66-1)*MAX(0,1-8/Supuestos!$C$20))*(1-Supuestos!$C$18)^8))</f>
        <v>0.143008935646302</v>
      </c>
      <c r="L64" s="29" t="n">
        <f aca="false">K64*(1-MIN(1,INDEX(Tabla_Mortalidad!$B$5:$B$75,MIN(71,Cartera_Polizas!$B$66+9-49))*(1+(Cartera_Polizas!$P$66-1)*MAX(0,1-9/Supuestos!$C$20))*(1-Supuestos!$C$18)^9))</f>
        <v>0.108632732010411</v>
      </c>
      <c r="M64" s="29" t="n">
        <f aca="false">L64*(1-MIN(1,INDEX(Tabla_Mortalidad!$B$5:$B$75,MIN(71,Cartera_Polizas!$B$66+10-49))*(1+(Cartera_Polizas!$P$66-1)*MAX(0,1-10/Supuestos!$C$20))*(1-Supuestos!$C$18)^10))</f>
        <v>0.0817353841207885</v>
      </c>
      <c r="N64" s="29" t="n">
        <f aca="false">M64*(1-MIN(1,INDEX(Tabla_Mortalidad!$B$5:$B$75,MIN(71,Cartera_Polizas!$B$66+11-49))*(1+(Cartera_Polizas!$P$66-1)*MAX(0,1-11/Supuestos!$C$20))*(1-Supuestos!$C$18)^11))</f>
        <v>0.0610085558914647</v>
      </c>
      <c r="O64" s="29" t="n">
        <f aca="false">N64*(1-MIN(1,INDEX(Tabla_Mortalidad!$B$5:$B$75,MIN(71,Cartera_Polizas!$B$66+12-49))*(1+(Cartera_Polizas!$P$66-1)*MAX(0,1-12/Supuestos!$C$20))*(1-Supuestos!$C$18)^12))</f>
        <v>0.0452669520172373</v>
      </c>
      <c r="P64" s="29" t="n">
        <f aca="false">O64*(1-MIN(1,INDEX(Tabla_Mortalidad!$B$5:$B$75,MIN(71,Cartera_Polizas!$B$66+13-49))*(1+(Cartera_Polizas!$P$66-1)*MAX(0,1-13/Supuestos!$C$20))*(1-Supuestos!$C$18)^13))</f>
        <v>0.0334719679849011</v>
      </c>
      <c r="Q64" s="29" t="n">
        <f aca="false">P64*(1-MIN(1,INDEX(Tabla_Mortalidad!$B$5:$B$75,MIN(71,Cartera_Polizas!$B$66+14-49))*(1+(Cartera_Polizas!$P$66-1)*MAX(0,1-14/Supuestos!$C$20))*(1-Supuestos!$C$18)^14))</f>
        <v>0.0247415193979495</v>
      </c>
      <c r="R64" s="29" t="n">
        <f aca="false">Q64*(1-MIN(1,INDEX(Tabla_Mortalidad!$B$5:$B$75,MIN(71,Cartera_Polizas!$B$66+15-49))*(1+(Cartera_Polizas!$P$66-1)*MAX(0,1-15/Supuestos!$C$20))*(1-Supuestos!$C$18)^15))</f>
        <v>0.0183484638065545</v>
      </c>
      <c r="S64" s="29" t="n">
        <f aca="false">R64*(1-MIN(1,INDEX(Tabla_Mortalidad!$B$5:$B$75,MIN(71,Cartera_Polizas!$B$66+16-49))*(1+(Cartera_Polizas!$P$66-1)*MAX(0,1-16/Supuestos!$C$20))*(1-Supuestos!$C$18)^16))</f>
        <v>0.0131758948706692</v>
      </c>
      <c r="T64" s="29" t="n">
        <f aca="false">S64*(1-MIN(1,INDEX(Tabla_Mortalidad!$B$5:$B$75,MIN(71,Cartera_Polizas!$B$66+17-49))*(1+(Cartera_Polizas!$P$66-1)*MAX(0,1-17/Supuestos!$C$20))*(1-Supuestos!$C$18)^17))</f>
        <v>0.00913134779168922</v>
      </c>
      <c r="U64" s="29" t="n">
        <f aca="false">T64*(1-MIN(1,INDEX(Tabla_Mortalidad!$B$5:$B$75,MIN(71,Cartera_Polizas!$B$66+18-49))*(1+(Cartera_Polizas!$P$66-1)*MAX(0,1-18/Supuestos!$C$20))*(1-Supuestos!$C$18)^18))</f>
        <v>0.00608568880058074</v>
      </c>
      <c r="V64" s="29" t="n">
        <f aca="false">U64*(1-MIN(1,INDEX(Tabla_Mortalidad!$B$5:$B$75,MIN(71,Cartera_Polizas!$B$66+19-49))*(1+(Cartera_Polizas!$P$66-1)*MAX(0,1-19/Supuestos!$C$20))*(1-Supuestos!$C$18)^19))</f>
        <v>0.00388530516993678</v>
      </c>
      <c r="W64" s="29" t="n">
        <f aca="false">V64*(1-MIN(1,INDEX(Tabla_Mortalidad!$B$5:$B$75,MIN(71,Cartera_Polizas!$B$66+20-49))*(1+(Cartera_Polizas!$P$66-1)*MAX(0,1-20/Supuestos!$C$20))*(1-Supuestos!$C$18)^20))</f>
        <v>0.00236634146574698</v>
      </c>
      <c r="X64" s="29" t="n">
        <f aca="false">W64*(1-MIN(1,INDEX(Tabla_Mortalidad!$B$5:$B$75,MIN(71,Cartera_Polizas!$B$66+21-49))*(1+(Cartera_Polizas!$P$66-1)*MAX(0,1-21/Supuestos!$C$20))*(1-Supuestos!$C$18)^21))</f>
        <v>0.0013688174477388</v>
      </c>
      <c r="Y64" s="29" t="n">
        <f aca="false">X64*(1-MIN(1,INDEX(Tabla_Mortalidad!$B$5:$B$75,MIN(71,Cartera_Polizas!$B$66+22-49))*(1+(Cartera_Polizas!$P$66-1)*MAX(0,1-22/Supuestos!$C$20))*(1-Supuestos!$C$18)^22))</f>
        <v>0.000748520657178777</v>
      </c>
      <c r="Z64" s="29" t="n">
        <f aca="false">Y64*(1-MIN(1,INDEX(Tabla_Mortalidad!$B$5:$B$75,MIN(71,Cartera_Polizas!$B$66+23-49))*(1+(Cartera_Polizas!$P$66-1)*MAX(0,1-23/Supuestos!$C$20))*(1-Supuestos!$C$18)^23))</f>
        <v>0.000385073652560795</v>
      </c>
      <c r="AA64" s="29" t="n">
        <f aca="false">Z64*(1-MIN(1,INDEX(Tabla_Mortalidad!$B$5:$B$75,MIN(71,Cartera_Polizas!$B$66+24-49))*(1+(Cartera_Polizas!$P$66-1)*MAX(0,1-24/Supuestos!$C$20))*(1-Supuestos!$C$18)^24))</f>
        <v>0.000185442706421087</v>
      </c>
      <c r="AB64" s="29" t="n">
        <f aca="false">AA64*(1-MIN(1,INDEX(Tabla_Mortalidad!$B$5:$B$75,MIN(71,Cartera_Polizas!$B$66+25-49))*(1+(Cartera_Polizas!$P$66-1)*MAX(0,1-25/Supuestos!$C$20))*(1-Supuestos!$C$18)^25))</f>
        <v>8.31859983290102E-005</v>
      </c>
      <c r="AC64" s="29" t="n">
        <f aca="false">AB64*(1-MIN(1,INDEX(Tabla_Mortalidad!$B$5:$B$75,MIN(71,Cartera_Polizas!$B$66+26-49))*(1+(Cartera_Polizas!$P$66-1)*MAX(0,1-26/Supuestos!$C$20))*(1-Supuestos!$C$18)^26))</f>
        <v>3.45935227631287E-005</v>
      </c>
      <c r="AD64" s="29" t="n">
        <f aca="false">AC64*(1-MIN(1,INDEX(Tabla_Mortalidad!$B$5:$B$75,MIN(71,Cartera_Polizas!$B$66+27-49))*(1+(Cartera_Polizas!$P$66-1)*MAX(0,1-27/Supuestos!$C$20))*(1-Supuestos!$C$18)^27))</f>
        <v>1.32785781866326E-005</v>
      </c>
      <c r="AE64" s="29" t="n">
        <f aca="false">AD64*(1-MIN(1,INDEX(Tabla_Mortalidad!$B$5:$B$75,MIN(71,Cartera_Polizas!$B$66+28-49))*(1+(Cartera_Polizas!$P$66-1)*MAX(0,1-28/Supuestos!$C$20))*(1-Supuestos!$C$18)^28))</f>
        <v>4.68749440390331E-006</v>
      </c>
      <c r="AF64" s="29" t="n">
        <f aca="false">AE64*(1-MIN(1,INDEX(Tabla_Mortalidad!$B$5:$B$75,MIN(71,Cartera_Polizas!$B$66+29-49))*(1+(Cartera_Polizas!$P$66-1)*MAX(0,1-29/Supuestos!$C$20))*(1-Supuestos!$C$18)^29))</f>
        <v>1.51795793901099E-006</v>
      </c>
      <c r="AG64" s="29" t="n">
        <f aca="false">AF64*(1-MIN(1,INDEX(Tabla_Mortalidad!$B$5:$B$75,MIN(71,Cartera_Polizas!$B$66+30-49))*(1+(Cartera_Polizas!$P$66-1)*MAX(0,1-30/Supuestos!$C$20))*(1-Supuestos!$C$18)^30))</f>
        <v>4.5047545250547E-007</v>
      </c>
      <c r="AH64" s="29" t="n">
        <f aca="false">AG64*(1-MIN(1,INDEX(Tabla_Mortalidad!$B$5:$B$75,MIN(71,Cartera_Polizas!$B$66+31-49))*(1+(Cartera_Polizas!$P$66-1)*MAX(0,1-31/Supuestos!$C$20))*(1-Supuestos!$C$18)^31))</f>
        <v>1.22633662308049E-007</v>
      </c>
      <c r="AI64" s="29" t="n">
        <f aca="false">AH64*(1-MIN(1,INDEX(Tabla_Mortalidad!$B$5:$B$75,MIN(71,Cartera_Polizas!$B$66+32-49))*(1+(Cartera_Polizas!$P$66-1)*MAX(0,1-32/Supuestos!$C$20))*(1-Supuestos!$C$18)^32))</f>
        <v>3.07305402515306E-008</v>
      </c>
      <c r="AJ64" s="29" t="n">
        <f aca="false">AI64*(1-MIN(1,INDEX(Tabla_Mortalidad!$B$5:$B$75,MIN(71,Cartera_Polizas!$B$66+33-49))*(1+(Cartera_Polizas!$P$66-1)*MAX(0,1-33/Supuestos!$C$20))*(1-Supuestos!$C$18)^33))</f>
        <v>7.13226893608565E-009</v>
      </c>
      <c r="AK64" s="29" t="n">
        <f aca="false">AJ64*(1-MIN(1,INDEX(Tabla_Mortalidad!$B$5:$B$75,MIN(71,Cartera_Polizas!$B$66+34-49))*(1+(Cartera_Polizas!$P$66-1)*MAX(0,1-34/Supuestos!$C$20))*(1-Supuestos!$C$18)^34))</f>
        <v>1.54685153795949E-009</v>
      </c>
      <c r="AL64" s="29" t="n">
        <f aca="false">AK64*(1-MIN(1,INDEX(Tabla_Mortalidad!$B$5:$B$75,MIN(71,Cartera_Polizas!$B$66+35-49))*(1+(Cartera_Polizas!$P$66-1)*MAX(0,1-35/Supuestos!$C$20))*(1-Supuestos!$C$18)^35))</f>
        <v>3.1705336144589E-010</v>
      </c>
      <c r="AM64" s="29" t="n">
        <f aca="false">AL64*(1-MIN(1,INDEX(Tabla_Mortalidad!$B$5:$B$75,MIN(71,Cartera_Polizas!$B$66+36-49))*(1+(Cartera_Polizas!$P$66-1)*MAX(0,1-36/Supuestos!$C$20))*(1-Supuestos!$C$18)^36))</f>
        <v>5.23476762992819E-011</v>
      </c>
      <c r="AN64" s="29" t="n">
        <f aca="false">AM64*(1-MIN(1,INDEX(Tabla_Mortalidad!$B$5:$B$75,MIN(71,Cartera_Polizas!$B$66+37-49))*(1+(Cartera_Polizas!$P$66-1)*MAX(0,1-37/Supuestos!$C$20))*(1-Supuestos!$C$18)^37))</f>
        <v>8.86148261833542E-012</v>
      </c>
      <c r="AO64" s="29" t="n">
        <f aca="false">AN64*(1-MIN(1,INDEX(Tabla_Mortalidad!$B$5:$B$75,MIN(71,Cartera_Polizas!$B$66+38-49))*(1+(Cartera_Polizas!$P$66-1)*MAX(0,1-38/Supuestos!$C$20))*(1-Supuestos!$C$18)^38))</f>
        <v>1.53689028109488E-012</v>
      </c>
      <c r="AP64" s="29" t="n">
        <f aca="false">AO64*(1-MIN(1,INDEX(Tabla_Mortalidad!$B$5:$B$75,MIN(71,Cartera_Polizas!$B$66+39-49))*(1+(Cartera_Polizas!$P$66-1)*MAX(0,1-39/Supuestos!$C$20))*(1-Supuestos!$C$18)^39))</f>
        <v>2.72902099362082E-013</v>
      </c>
      <c r="AQ64" s="29" t="n">
        <f aca="false">AP64*(1-MIN(1,INDEX(Tabla_Mortalidad!$B$5:$B$75,MIN(71,Cartera_Polizas!$B$66+40-49))*(1+(Cartera_Polizas!$P$66-1)*MAX(0,1-40/Supuestos!$C$20))*(1-Supuestos!$C$18)^40))</f>
        <v>4.95808203847612E-014</v>
      </c>
      <c r="AR64" s="29" t="n">
        <f aca="false">AQ64*(1-MIN(1,INDEX(Tabla_Mortalidad!$B$5:$B$75,MIN(71,Cartera_Polizas!$B$66+41-49))*(1+(Cartera_Polizas!$P$66-1)*MAX(0,1-41/Supuestos!$C$20))*(1-Supuestos!$C$18)^41))</f>
        <v>9.21070236178825E-015</v>
      </c>
      <c r="AS64" s="29" t="n">
        <f aca="false">AR64*(1-MIN(1,INDEX(Tabla_Mortalidad!$B$5:$B$75,MIN(71,Cartera_Polizas!$B$66+42-49))*(1+(Cartera_Polizas!$P$66-1)*MAX(0,1-42/Supuestos!$C$20))*(1-Supuestos!$C$18)^42))</f>
        <v>1.7485838885231E-015</v>
      </c>
      <c r="AT64" s="29" t="n">
        <f aca="false">AS64*(1-MIN(1,INDEX(Tabla_Mortalidad!$B$5:$B$75,MIN(71,Cartera_Polizas!$B$66+43-49))*(1+(Cartera_Polizas!$P$66-1)*MAX(0,1-43/Supuestos!$C$20))*(1-Supuestos!$C$18)^43))</f>
        <v>3.39038891196923E-016</v>
      </c>
      <c r="AU64" s="29" t="n">
        <f aca="false">AT64*(1-MIN(1,INDEX(Tabla_Mortalidad!$B$5:$B$75,MIN(71,Cartera_Polizas!$B$66+44-49))*(1+(Cartera_Polizas!$P$66-1)*MAX(0,1-44/Supuestos!$C$20))*(1-Supuestos!$C$18)^44))</f>
        <v>6.71039138465772E-017</v>
      </c>
    </row>
    <row r="65" customFormat="false" ht="15" hidden="false" customHeight="false" outlineLevel="0" collapsed="false">
      <c r="A65" s="14" t="n">
        <f aca="false">Cartera_Polizas!A67</f>
        <v>62</v>
      </c>
      <c r="B65" s="26" t="n">
        <f aca="false">SUM(C65:AU65)+0.5</f>
        <v>8.85172683196744</v>
      </c>
      <c r="C65" s="29" t="n">
        <f aca="false">1-MIN(1,INDEX(Tabla_Mortalidad!$B$5:$B$75,MIN(71,Cartera_Polizas!$B$67+0-49))*(1+(Cartera_Polizas!$P$67-1)*MAX(0,1-0/Supuestos!$C$20))*(1-Supuestos!$C$18)^0)</f>
        <v>0.93990657675</v>
      </c>
      <c r="D65" s="29" t="n">
        <f aca="false">C65*(1-MIN(1,INDEX(Tabla_Mortalidad!$B$5:$B$75,MIN(71,Cartera_Polizas!$B$67+1-49))*(1+(Cartera_Polizas!$P$67-1)*MAX(0,1-1/Supuestos!$C$20))*(1-Supuestos!$C$18)^1))</f>
        <v>0.878446250291034</v>
      </c>
      <c r="E65" s="29" t="n">
        <f aca="false">D65*(1-MIN(1,INDEX(Tabla_Mortalidad!$B$5:$B$75,MIN(71,Cartera_Polizas!$B$67+2-49))*(1+(Cartera_Polizas!$P$67-1)*MAX(0,1-2/Supuestos!$C$20))*(1-Supuestos!$C$18)^2))</f>
        <v>0.815980515043644</v>
      </c>
      <c r="F65" s="29" t="n">
        <f aca="false">E65*(1-MIN(1,INDEX(Tabla_Mortalidad!$B$5:$B$75,MIN(71,Cartera_Polizas!$B$67+3-49))*(1+(Cartera_Polizas!$P$67-1)*MAX(0,1-3/Supuestos!$C$20))*(1-Supuestos!$C$18)^3))</f>
        <v>0.752925037001249</v>
      </c>
      <c r="G65" s="29" t="n">
        <f aca="false">F65*(1-MIN(1,INDEX(Tabla_Mortalidad!$B$5:$B$75,MIN(71,Cartera_Polizas!$B$67+4-49))*(1+(Cartera_Polizas!$P$67-1)*MAX(0,1-4/Supuestos!$C$20))*(1-Supuestos!$C$18)^4))</f>
        <v>0.689742874055171</v>
      </c>
      <c r="H65" s="29" t="n">
        <f aca="false">G65*(1-MIN(1,INDEX(Tabla_Mortalidad!$B$5:$B$75,MIN(71,Cartera_Polizas!$B$67+5-49))*(1+(Cartera_Polizas!$P$67-1)*MAX(0,1-5/Supuestos!$C$20))*(1-Supuestos!$C$18)^5))</f>
        <v>0.626937304451635</v>
      </c>
      <c r="I65" s="29" t="n">
        <f aca="false">H65*(1-MIN(1,INDEX(Tabla_Mortalidad!$B$5:$B$75,MIN(71,Cartera_Polizas!$B$67+6-49))*(1+(Cartera_Polizas!$P$67-1)*MAX(0,1-6/Supuestos!$C$20))*(1-Supuestos!$C$18)^6))</f>
        <v>0.56504604240574</v>
      </c>
      <c r="J65" s="29" t="n">
        <f aca="false">I65*(1-MIN(1,INDEX(Tabla_Mortalidad!$B$5:$B$75,MIN(71,Cartera_Polizas!$B$67+7-49))*(1+(Cartera_Polizas!$P$67-1)*MAX(0,1-7/Supuestos!$C$20))*(1-Supuestos!$C$18)^7))</f>
        <v>0.504623676013999</v>
      </c>
      <c r="K65" s="29" t="n">
        <f aca="false">J65*(1-MIN(1,INDEX(Tabla_Mortalidad!$B$5:$B$75,MIN(71,Cartera_Polizas!$B$67+8-49))*(1+(Cartera_Polizas!$P$67-1)*MAX(0,1-8/Supuestos!$C$20))*(1-Supuestos!$C$18)^8))</f>
        <v>0.446231056380312</v>
      </c>
      <c r="L65" s="29" t="n">
        <f aca="false">K65*(1-MIN(1,INDEX(Tabla_Mortalidad!$B$5:$B$75,MIN(71,Cartera_Polizas!$B$67+9-49))*(1+(Cartera_Polizas!$P$67-1)*MAX(0,1-9/Supuestos!$C$20))*(1-Supuestos!$C$18)^9))</f>
        <v>0.390414145695675</v>
      </c>
      <c r="M65" s="29" t="n">
        <f aca="false">L65*(1-MIN(1,INDEX(Tabla_Mortalidad!$B$5:$B$75,MIN(71,Cartera_Polizas!$B$67+10-49))*(1+(Cartera_Polizas!$P$67-1)*MAX(0,1-10/Supuestos!$C$20))*(1-Supuestos!$C$18)^10))</f>
        <v>0.337685399184204</v>
      </c>
      <c r="N65" s="29" t="n">
        <f aca="false">M65*(1-MIN(1,INDEX(Tabla_Mortalidad!$B$5:$B$75,MIN(71,Cartera_Polizas!$B$67+11-49))*(1+(Cartera_Polizas!$P$67-1)*MAX(0,1-11/Supuestos!$C$20))*(1-Supuestos!$C$18)^11))</f>
        <v>0.288503121837769</v>
      </c>
      <c r="O65" s="29" t="n">
        <f aca="false">N65*(1-MIN(1,INDEX(Tabla_Mortalidad!$B$5:$B$75,MIN(71,Cartera_Polizas!$B$67+12-49))*(1+(Cartera_Polizas!$P$67-1)*MAX(0,1-12/Supuestos!$C$20))*(1-Supuestos!$C$18)^12))</f>
        <v>0.243251743768191</v>
      </c>
      <c r="P65" s="29" t="n">
        <f aca="false">O65*(1-MIN(1,INDEX(Tabla_Mortalidad!$B$5:$B$75,MIN(71,Cartera_Polizas!$B$67+13-49))*(1+(Cartera_Polizas!$P$67-1)*MAX(0,1-13/Supuestos!$C$20))*(1-Supuestos!$C$18)^13))</f>
        <v>0.202223797883537</v>
      </c>
      <c r="Q65" s="29" t="n">
        <f aca="false">P65*(1-MIN(1,INDEX(Tabla_Mortalidad!$B$5:$B$75,MIN(71,Cartera_Polizas!$B$67+14-49))*(1+(Cartera_Polizas!$P$67-1)*MAX(0,1-14/Supuestos!$C$20))*(1-Supuestos!$C$18)^14))</f>
        <v>0.165604951495095</v>
      </c>
      <c r="R65" s="29" t="n">
        <f aca="false">Q65*(1-MIN(1,INDEX(Tabla_Mortalidad!$B$5:$B$75,MIN(71,Cartera_Polizas!$B$67+15-49))*(1+(Cartera_Polizas!$P$67-1)*MAX(0,1-15/Supuestos!$C$20))*(1-Supuestos!$C$18)^15))</f>
        <v>0.133465589077188</v>
      </c>
      <c r="S65" s="29" t="n">
        <f aca="false">R65*(1-MIN(1,INDEX(Tabla_Mortalidad!$B$5:$B$75,MIN(71,Cartera_Polizas!$B$67+16-49))*(1+(Cartera_Polizas!$P$67-1)*MAX(0,1-16/Supuestos!$C$20))*(1-Supuestos!$C$18)^16))</f>
        <v>0.105070363280796</v>
      </c>
      <c r="T65" s="29" t="n">
        <f aca="false">S65*(1-MIN(1,INDEX(Tabla_Mortalidad!$B$5:$B$75,MIN(71,Cartera_Polizas!$B$67+17-49))*(1+(Cartera_Polizas!$P$67-1)*MAX(0,1-17/Supuestos!$C$20))*(1-Supuestos!$C$18)^17))</f>
        <v>0.0805999844385471</v>
      </c>
      <c r="U65" s="29" t="n">
        <f aca="false">T65*(1-MIN(1,INDEX(Tabla_Mortalidad!$B$5:$B$75,MIN(71,Cartera_Polizas!$B$67+18-49))*(1+(Cartera_Polizas!$P$67-1)*MAX(0,1-18/Supuestos!$C$20))*(1-Supuestos!$C$18)^18))</f>
        <v>0.0600842856286706</v>
      </c>
      <c r="V65" s="29" t="n">
        <f aca="false">U65*(1-MIN(1,INDEX(Tabla_Mortalidad!$B$5:$B$75,MIN(71,Cartera_Polizas!$B$67+19-49))*(1+(Cartera_Polizas!$P$67-1)*MAX(0,1-19/Supuestos!$C$20))*(1-Supuestos!$C$18)^19))</f>
        <v>0.0433988818055379</v>
      </c>
      <c r="W65" s="29" t="n">
        <f aca="false">V65*(1-MIN(1,INDEX(Tabla_Mortalidad!$B$5:$B$75,MIN(71,Cartera_Polizas!$B$67+20-49))*(1+(Cartera_Polizas!$P$67-1)*MAX(0,1-20/Supuestos!$C$20))*(1-Supuestos!$C$18)^20))</f>
        <v>0.0302757480263379</v>
      </c>
      <c r="X65" s="29" t="n">
        <f aca="false">W65*(1-MIN(1,INDEX(Tabla_Mortalidad!$B$5:$B$75,MIN(71,Cartera_Polizas!$B$67+21-49))*(1+(Cartera_Polizas!$P$67-1)*MAX(0,1-21/Supuestos!$C$20))*(1-Supuestos!$C$18)^21))</f>
        <v>0.0203283266387853</v>
      </c>
      <c r="Y65" s="29" t="n">
        <f aca="false">X65*(1-MIN(1,INDEX(Tabla_Mortalidad!$B$5:$B$75,MIN(71,Cartera_Polizas!$B$67+22-49))*(1+(Cartera_Polizas!$P$67-1)*MAX(0,1-22/Supuestos!$C$20))*(1-Supuestos!$C$18)^22))</f>
        <v>0.0130879770205022</v>
      </c>
      <c r="Z65" s="29" t="n">
        <f aca="false">Y65*(1-MIN(1,INDEX(Tabla_Mortalidad!$B$5:$B$75,MIN(71,Cartera_Polizas!$B$67+23-49))*(1+(Cartera_Polizas!$P$67-1)*MAX(0,1-23/Supuestos!$C$20))*(1-Supuestos!$C$18)^23))</f>
        <v>0.00804758835213039</v>
      </c>
      <c r="AA65" s="29" t="n">
        <f aca="false">Z65*(1-MIN(1,INDEX(Tabla_Mortalidad!$B$5:$B$75,MIN(71,Cartera_Polizas!$B$67+24-49))*(1+(Cartera_Polizas!$P$67-1)*MAX(0,1-24/Supuestos!$C$20))*(1-Supuestos!$C$18)^24))</f>
        <v>0.00470578459558143</v>
      </c>
      <c r="AB65" s="29" t="n">
        <f aca="false">AA65*(1-MIN(1,INDEX(Tabla_Mortalidad!$B$5:$B$75,MIN(71,Cartera_Polizas!$B$67+25-49))*(1+(Cartera_Polizas!$P$67-1)*MAX(0,1-25/Supuestos!$C$20))*(1-Supuestos!$C$18)^25))</f>
        <v>0.00260512690810922</v>
      </c>
      <c r="AC65" s="29" t="n">
        <f aca="false">AB65*(1-MIN(1,INDEX(Tabla_Mortalidad!$B$5:$B$75,MIN(71,Cartera_Polizas!$B$67+26-49))*(1+(Cartera_Polizas!$P$67-1)*MAX(0,1-26/Supuestos!$C$20))*(1-Supuestos!$C$18)^26))</f>
        <v>0.00135907701963852</v>
      </c>
      <c r="AD65" s="29" t="n">
        <f aca="false">AC65*(1-MIN(1,INDEX(Tabla_Mortalidad!$B$5:$B$75,MIN(71,Cartera_Polizas!$B$67+27-49))*(1+(Cartera_Polizas!$P$67-1)*MAX(0,1-27/Supuestos!$C$20))*(1-Supuestos!$C$18)^27))</f>
        <v>0.000665016450489378</v>
      </c>
      <c r="AE65" s="29" t="n">
        <f aca="false">AD65*(1-MIN(1,INDEX(Tabla_Mortalidad!$B$5:$B$75,MIN(71,Cartera_Polizas!$B$67+28-49))*(1+(Cartera_Polizas!$P$67-1)*MAX(0,1-28/Supuestos!$C$20))*(1-Supuestos!$C$18)^28))</f>
        <v>0.000303786558355577</v>
      </c>
      <c r="AF65" s="29" t="n">
        <f aca="false">AE65*(1-MIN(1,INDEX(Tabla_Mortalidad!$B$5:$B$75,MIN(71,Cartera_Polizas!$B$67+29-49))*(1+(Cartera_Polizas!$P$67-1)*MAX(0,1-29/Supuestos!$C$20))*(1-Supuestos!$C$18)^29))</f>
        <v>0.000128980456633235</v>
      </c>
      <c r="AG65" s="29" t="n">
        <f aca="false">AF65*(1-MIN(1,INDEX(Tabla_Mortalidad!$B$5:$B$75,MIN(71,Cartera_Polizas!$B$67+30-49))*(1+(Cartera_Polizas!$P$67-1)*MAX(0,1-30/Supuestos!$C$20))*(1-Supuestos!$C$18)^30))</f>
        <v>5.06947330005683E-005</v>
      </c>
      <c r="AH65" s="29" t="n">
        <f aca="false">AG65*(1-MIN(1,INDEX(Tabla_Mortalidad!$B$5:$B$75,MIN(71,Cartera_Polizas!$B$67+31-49))*(1+(Cartera_Polizas!$P$67-1)*MAX(0,1-31/Supuestos!$C$20))*(1-Supuestos!$C$18)^31))</f>
        <v>1.83853650995188E-005</v>
      </c>
      <c r="AI65" s="29" t="n">
        <f aca="false">AH65*(1-MIN(1,INDEX(Tabla_Mortalidad!$B$5:$B$75,MIN(71,Cartera_Polizas!$B$67+32-49))*(1+(Cartera_Polizas!$P$67-1)*MAX(0,1-32/Supuestos!$C$20))*(1-Supuestos!$C$18)^32))</f>
        <v>6.13930204797015E-006</v>
      </c>
      <c r="AJ65" s="29" t="n">
        <f aca="false">AI65*(1-MIN(1,INDEX(Tabla_Mortalidad!$B$5:$B$75,MIN(71,Cartera_Polizas!$B$67+33-49))*(1+(Cartera_Polizas!$P$67-1)*MAX(0,1-33/Supuestos!$C$20))*(1-Supuestos!$C$18)^33))</f>
        <v>1.8863619703586E-006</v>
      </c>
      <c r="AK65" s="29" t="n">
        <f aca="false">AJ65*(1-MIN(1,INDEX(Tabla_Mortalidad!$B$5:$B$75,MIN(71,Cartera_Polizas!$B$67+34-49))*(1+(Cartera_Polizas!$P$67-1)*MAX(0,1-34/Supuestos!$C$20))*(1-Supuestos!$C$18)^34))</f>
        <v>5.34017103457504E-007</v>
      </c>
      <c r="AL65" s="29" t="n">
        <f aca="false">AK65*(1-MIN(1,INDEX(Tabla_Mortalidad!$B$5:$B$75,MIN(71,Cartera_Polizas!$B$67+35-49))*(1+(Cartera_Polizas!$P$67-1)*MAX(0,1-35/Supuestos!$C$20))*(1-Supuestos!$C$18)^35))</f>
        <v>1.39791364398267E-007</v>
      </c>
      <c r="AM65" s="29" t="n">
        <f aca="false">AL65*(1-MIN(1,INDEX(Tabla_Mortalidad!$B$5:$B$75,MIN(71,Cartera_Polizas!$B$67+36-49))*(1+(Cartera_Polizas!$P$67-1)*MAX(0,1-36/Supuestos!$C$20))*(1-Supuestos!$C$18)^36))</f>
        <v>3.4046427924792E-008</v>
      </c>
      <c r="AN65" s="29" t="n">
        <f aca="false">AM65*(1-MIN(1,INDEX(Tabla_Mortalidad!$B$5:$B$75,MIN(71,Cartera_Polizas!$B$67+37-49))*(1+(Cartera_Polizas!$P$67-1)*MAX(0,1-37/Supuestos!$C$20))*(1-Supuestos!$C$18)^37))</f>
        <v>7.78195326972676E-009</v>
      </c>
      <c r="AO65" s="29" t="n">
        <f aca="false">AN65*(1-MIN(1,INDEX(Tabla_Mortalidad!$B$5:$B$75,MIN(71,Cartera_Polizas!$B$67+38-49))*(1+(Cartera_Polizas!$P$67-1)*MAX(0,1-38/Supuestos!$C$20))*(1-Supuestos!$C$18)^38))</f>
        <v>1.68738323408891E-009</v>
      </c>
      <c r="AP65" s="29" t="n">
        <f aca="false">AO65*(1-MIN(1,INDEX(Tabla_Mortalidad!$B$5:$B$75,MIN(71,Cartera_Polizas!$B$67+39-49))*(1+(Cartera_Polizas!$P$67-1)*MAX(0,1-39/Supuestos!$C$20))*(1-Supuestos!$C$18)^39))</f>
        <v>2.99624789534872E-010</v>
      </c>
      <c r="AQ65" s="29" t="n">
        <f aca="false">AP65*(1-MIN(1,INDEX(Tabla_Mortalidad!$B$5:$B$75,MIN(71,Cartera_Polizas!$B$67+40-49))*(1+(Cartera_Polizas!$P$67-1)*MAX(0,1-40/Supuestos!$C$20))*(1-Supuestos!$C$18)^40))</f>
        <v>5.44357955013022E-011</v>
      </c>
      <c r="AR65" s="29" t="n">
        <f aca="false">AQ65*(1-MIN(1,INDEX(Tabla_Mortalidad!$B$5:$B$75,MIN(71,Cartera_Polizas!$B$67+41-49))*(1+(Cartera_Polizas!$P$67-1)*MAX(0,1-41/Supuestos!$C$20))*(1-Supuestos!$C$18)^41))</f>
        <v>1.0112618272524E-011</v>
      </c>
      <c r="AS65" s="29" t="n">
        <f aca="false">AR65*(1-MIN(1,INDEX(Tabla_Mortalidad!$B$5:$B$75,MIN(71,Cartera_Polizas!$B$67+42-49))*(1+(Cartera_Polizas!$P$67-1)*MAX(0,1-42/Supuestos!$C$20))*(1-Supuestos!$C$18)^42))</f>
        <v>1.91980597000712E-012</v>
      </c>
      <c r="AT65" s="29" t="n">
        <f aca="false">AS65*(1-MIN(1,INDEX(Tabla_Mortalidad!$B$5:$B$75,MIN(71,Cartera_Polizas!$B$67+43-49))*(1+(Cartera_Polizas!$P$67-1)*MAX(0,1-43/Supuestos!$C$20))*(1-Supuestos!$C$18)^43))</f>
        <v>3.72237724284537E-013</v>
      </c>
      <c r="AU65" s="29" t="n">
        <f aca="false">AT65*(1-MIN(1,INDEX(Tabla_Mortalidad!$B$5:$B$75,MIN(71,Cartera_Polizas!$B$67+44-49))*(1+(Cartera_Polizas!$P$67-1)*MAX(0,1-44/Supuestos!$C$20))*(1-Supuestos!$C$18)^44))</f>
        <v>7.36747577620154E-014</v>
      </c>
    </row>
    <row r="66" customFormat="false" ht="15" hidden="false" customHeight="false" outlineLevel="0" collapsed="false">
      <c r="A66" s="14" t="n">
        <f aca="false">Cartera_Polizas!A68</f>
        <v>63</v>
      </c>
      <c r="B66" s="26" t="n">
        <f aca="false">SUM(C66:AU66)+0.5</f>
        <v>7.42841297818769</v>
      </c>
      <c r="C66" s="29" t="n">
        <f aca="false">1-MIN(1,INDEX(Tabla_Mortalidad!$B$5:$B$75,MIN(71,Cartera_Polizas!$B$68+0-49))*(1+(Cartera_Polizas!$P$68-1)*MAX(0,1-0/Supuestos!$C$20))*(1-Supuestos!$C$18)^0)</f>
        <v>0.923778118</v>
      </c>
      <c r="D66" s="29" t="n">
        <f aca="false">C66*(1-MIN(1,INDEX(Tabla_Mortalidad!$B$5:$B$75,MIN(71,Cartera_Polizas!$B$68+1-49))*(1+(Cartera_Polizas!$P$68-1)*MAX(0,1-1/Supuestos!$C$20))*(1-Supuestos!$C$18)^1))</f>
        <v>0.846905955701202</v>
      </c>
      <c r="E66" s="29" t="n">
        <f aca="false">D66*(1-MIN(1,INDEX(Tabla_Mortalidad!$B$5:$B$75,MIN(71,Cartera_Polizas!$B$68+2-49))*(1+(Cartera_Polizas!$P$68-1)*MAX(0,1-2/Supuestos!$C$20))*(1-Supuestos!$C$18)^2))</f>
        <v>0.770009857770621</v>
      </c>
      <c r="F66" s="29" t="n">
        <f aca="false">E66*(1-MIN(1,INDEX(Tabla_Mortalidad!$B$5:$B$75,MIN(71,Cartera_Polizas!$B$68+3-49))*(1+(Cartera_Polizas!$P$68-1)*MAX(0,1-3/Supuestos!$C$20))*(1-Supuestos!$C$18)^3))</f>
        <v>0.693777275224069</v>
      </c>
      <c r="G66" s="29" t="n">
        <f aca="false">F66*(1-MIN(1,INDEX(Tabla_Mortalidad!$B$5:$B$75,MIN(71,Cartera_Polizas!$B$68+4-49))*(1+(Cartera_Polizas!$P$68-1)*MAX(0,1-4/Supuestos!$C$20))*(1-Supuestos!$C$18)^4))</f>
        <v>0.618936250231939</v>
      </c>
      <c r="H66" s="29" t="n">
        <f aca="false">G66*(1-MIN(1,INDEX(Tabla_Mortalidad!$B$5:$B$75,MIN(71,Cartera_Polizas!$B$68+5-49))*(1+(Cartera_Polizas!$P$68-1)*MAX(0,1-5/Supuestos!$C$20))*(1-Supuestos!$C$18)^5))</f>
        <v>0.546242189721952</v>
      </c>
      <c r="I66" s="29" t="n">
        <f aca="false">H66*(1-MIN(1,INDEX(Tabla_Mortalidad!$B$5:$B$75,MIN(71,Cartera_Polizas!$B$68+6-49))*(1+(Cartera_Polizas!$P$68-1)*MAX(0,1-6/Supuestos!$C$20))*(1-Supuestos!$C$18)^6))</f>
        <v>0.476450134069224</v>
      </c>
      <c r="J66" s="29" t="n">
        <f aca="false">I66*(1-MIN(1,INDEX(Tabla_Mortalidad!$B$5:$B$75,MIN(71,Cartera_Polizas!$B$68+7-49))*(1+(Cartera_Polizas!$P$68-1)*MAX(0,1-7/Supuestos!$C$20))*(1-Supuestos!$C$18)^7))</f>
        <v>0.410288441515204</v>
      </c>
      <c r="K66" s="29" t="n">
        <f aca="false">J66*(1-MIN(1,INDEX(Tabla_Mortalidad!$B$5:$B$75,MIN(71,Cartera_Polizas!$B$68+8-49))*(1+(Cartera_Polizas!$P$68-1)*MAX(0,1-8/Supuestos!$C$20))*(1-Supuestos!$C$18)^8))</f>
        <v>0.348428218129793</v>
      </c>
      <c r="L66" s="29" t="n">
        <f aca="false">K66*(1-MIN(1,INDEX(Tabla_Mortalidad!$B$5:$B$75,MIN(71,Cartera_Polizas!$B$68+9-49))*(1+(Cartera_Polizas!$P$68-1)*MAX(0,1-9/Supuestos!$C$20))*(1-Supuestos!$C$18)^9))</f>
        <v>0.291452309416077</v>
      </c>
      <c r="M66" s="29" t="n">
        <f aca="false">L66*(1-MIN(1,INDEX(Tabla_Mortalidad!$B$5:$B$75,MIN(71,Cartera_Polizas!$B$68+10-49))*(1+(Cartera_Polizas!$P$68-1)*MAX(0,1-10/Supuestos!$C$20))*(1-Supuestos!$C$18)^10))</f>
        <v>0.239825231570593</v>
      </c>
      <c r="N66" s="29" t="n">
        <f aca="false">M66*(1-MIN(1,INDEX(Tabla_Mortalidad!$B$5:$B$75,MIN(71,Cartera_Polizas!$B$68+11-49))*(1+(Cartera_Polizas!$P$68-1)*MAX(0,1-11/Supuestos!$C$20))*(1-Supuestos!$C$18)^11))</f>
        <v>0.193866398960195</v>
      </c>
      <c r="O66" s="29" t="n">
        <f aca="false">N66*(1-MIN(1,INDEX(Tabla_Mortalidad!$B$5:$B$75,MIN(71,Cartera_Polizas!$B$68+12-49))*(1+(Cartera_Polizas!$P$68-1)*MAX(0,1-12/Supuestos!$C$20))*(1-Supuestos!$C$18)^12))</f>
        <v>0.153731950009468</v>
      </c>
      <c r="P66" s="29" t="n">
        <f aca="false">O66*(1-MIN(1,INDEX(Tabla_Mortalidad!$B$5:$B$75,MIN(71,Cartera_Polizas!$B$68+13-49))*(1+(Cartera_Polizas!$P$68-1)*MAX(0,1-13/Supuestos!$C$20))*(1-Supuestos!$C$18)^13))</f>
        <v>0.119404981950202</v>
      </c>
      <c r="Q66" s="29" t="n">
        <f aca="false">P66*(1-MIN(1,INDEX(Tabla_Mortalidad!$B$5:$B$75,MIN(71,Cartera_Polizas!$B$68+14-49))*(1+(Cartera_Polizas!$P$68-1)*MAX(0,1-14/Supuestos!$C$20))*(1-Supuestos!$C$18)^14))</f>
        <v>0.0906967697817653</v>
      </c>
      <c r="R66" s="29" t="n">
        <f aca="false">Q66*(1-MIN(1,INDEX(Tabla_Mortalidad!$B$5:$B$75,MIN(71,Cartera_Polizas!$B$68+15-49))*(1+(Cartera_Polizas!$P$68-1)*MAX(0,1-15/Supuestos!$C$20))*(1-Supuestos!$C$18)^15))</f>
        <v>0.0672612854103879</v>
      </c>
      <c r="S66" s="29" t="n">
        <f aca="false">R66*(1-MIN(1,INDEX(Tabla_Mortalidad!$B$5:$B$75,MIN(71,Cartera_Polizas!$B$68+16-49))*(1+(Cartera_Polizas!$P$68-1)*MAX(0,1-16/Supuestos!$C$20))*(1-Supuestos!$C$18)^16))</f>
        <v>0.0482998268834235</v>
      </c>
      <c r="T66" s="29" t="n">
        <f aca="false">S66*(1-MIN(1,INDEX(Tabla_Mortalidad!$B$5:$B$75,MIN(71,Cartera_Polizas!$B$68+17-49))*(1+(Cartera_Polizas!$P$68-1)*MAX(0,1-17/Supuestos!$C$20))*(1-Supuestos!$C$18)^17))</f>
        <v>0.0334734393284152</v>
      </c>
      <c r="U66" s="29" t="n">
        <f aca="false">T66*(1-MIN(1,INDEX(Tabla_Mortalidad!$B$5:$B$75,MIN(71,Cartera_Polizas!$B$68+18-49))*(1+(Cartera_Polizas!$P$68-1)*MAX(0,1-18/Supuestos!$C$20))*(1-Supuestos!$C$18)^18))</f>
        <v>0.022308747786746</v>
      </c>
      <c r="V66" s="29" t="n">
        <f aca="false">U66*(1-MIN(1,INDEX(Tabla_Mortalidad!$B$5:$B$75,MIN(71,Cartera_Polizas!$B$68+19-49))*(1+(Cartera_Polizas!$P$68-1)*MAX(0,1-19/Supuestos!$C$20))*(1-Supuestos!$C$18)^19))</f>
        <v>0.0142426430188788</v>
      </c>
      <c r="W66" s="29" t="n">
        <f aca="false">V66*(1-MIN(1,INDEX(Tabla_Mortalidad!$B$5:$B$75,MIN(71,Cartera_Polizas!$B$68+20-49))*(1+(Cartera_Polizas!$P$68-1)*MAX(0,1-20/Supuestos!$C$20))*(1-Supuestos!$C$18)^20))</f>
        <v>0.00867446835790068</v>
      </c>
      <c r="X66" s="29" t="n">
        <f aca="false">W66*(1-MIN(1,INDEX(Tabla_Mortalidad!$B$5:$B$75,MIN(71,Cartera_Polizas!$B$68+21-49))*(1+(Cartera_Polizas!$P$68-1)*MAX(0,1-21/Supuestos!$C$20))*(1-Supuestos!$C$18)^21))</f>
        <v>0.0050177727137129</v>
      </c>
      <c r="Y66" s="29" t="n">
        <f aca="false">X66*(1-MIN(1,INDEX(Tabla_Mortalidad!$B$5:$B$75,MIN(71,Cartera_Polizas!$B$68+22-49))*(1+(Cartera_Polizas!$P$68-1)*MAX(0,1-22/Supuestos!$C$20))*(1-Supuestos!$C$18)^22))</f>
        <v>0.00274390608875321</v>
      </c>
      <c r="Z66" s="29" t="n">
        <f aca="false">Y66*(1-MIN(1,INDEX(Tabla_Mortalidad!$B$5:$B$75,MIN(71,Cartera_Polizas!$B$68+23-49))*(1+(Cartera_Polizas!$P$68-1)*MAX(0,1-23/Supuestos!$C$20))*(1-Supuestos!$C$18)^23))</f>
        <v>0.00141159222493928</v>
      </c>
      <c r="AA66" s="29" t="n">
        <f aca="false">Z66*(1-MIN(1,INDEX(Tabla_Mortalidad!$B$5:$B$75,MIN(71,Cartera_Polizas!$B$68+24-49))*(1+(Cartera_Polizas!$P$68-1)*MAX(0,1-24/Supuestos!$C$20))*(1-Supuestos!$C$18)^24))</f>
        <v>0.000679790686313901</v>
      </c>
      <c r="AB66" s="29" t="n">
        <f aca="false">AA66*(1-MIN(1,INDEX(Tabla_Mortalidad!$B$5:$B$75,MIN(71,Cartera_Polizas!$B$68+25-49))*(1+(Cartera_Polizas!$P$68-1)*MAX(0,1-25/Supuestos!$C$20))*(1-Supuestos!$C$18)^25))</f>
        <v>0.000304940905938778</v>
      </c>
      <c r="AC66" s="29" t="n">
        <f aca="false">AB66*(1-MIN(1,INDEX(Tabla_Mortalidad!$B$5:$B$75,MIN(71,Cartera_Polizas!$B$68+26-49))*(1+(Cartera_Polizas!$P$68-1)*MAX(0,1-26/Supuestos!$C$20))*(1-Supuestos!$C$18)^26))</f>
        <v>0.000126811968154542</v>
      </c>
      <c r="AD66" s="29" t="n">
        <f aca="false">AC66*(1-MIN(1,INDEX(Tabla_Mortalidad!$B$5:$B$75,MIN(71,Cartera_Polizas!$B$68+27-49))*(1+(Cartera_Polizas!$P$68-1)*MAX(0,1-27/Supuestos!$C$20))*(1-Supuestos!$C$18)^27))</f>
        <v>4.86762405110012E-005</v>
      </c>
      <c r="AE66" s="29" t="n">
        <f aca="false">AD66*(1-MIN(1,INDEX(Tabla_Mortalidad!$B$5:$B$75,MIN(71,Cartera_Polizas!$B$68+28-49))*(1+(Cartera_Polizas!$P$68-1)*MAX(0,1-28/Supuestos!$C$20))*(1-Supuestos!$C$18)^28))</f>
        <v>1.71832858752954E-005</v>
      </c>
      <c r="AF66" s="29" t="n">
        <f aca="false">AE66*(1-MIN(1,INDEX(Tabla_Mortalidad!$B$5:$B$75,MIN(71,Cartera_Polizas!$B$68+29-49))*(1+(Cartera_Polizas!$P$68-1)*MAX(0,1-29/Supuestos!$C$20))*(1-Supuestos!$C$18)^29))</f>
        <v>5.56448775511713E-006</v>
      </c>
      <c r="AG66" s="29" t="n">
        <f aca="false">AF66*(1-MIN(1,INDEX(Tabla_Mortalidad!$B$5:$B$75,MIN(71,Cartera_Polizas!$B$68+30-49))*(1+(Cartera_Polizas!$P$68-1)*MAX(0,1-30/Supuestos!$C$20))*(1-Supuestos!$C$18)^30))</f>
        <v>1.65134031386978E-006</v>
      </c>
      <c r="AH66" s="29" t="n">
        <f aca="false">AG66*(1-MIN(1,INDEX(Tabla_Mortalidad!$B$5:$B$75,MIN(71,Cartera_Polizas!$B$68+31-49))*(1+(Cartera_Polizas!$P$68-1)*MAX(0,1-31/Supuestos!$C$20))*(1-Supuestos!$C$18)^31))</f>
        <v>4.4954704919091E-007</v>
      </c>
      <c r="AI66" s="29" t="n">
        <f aca="false">AH66*(1-MIN(1,INDEX(Tabla_Mortalidad!$B$5:$B$75,MIN(71,Cartera_Polizas!$B$68+32-49))*(1+(Cartera_Polizas!$P$68-1)*MAX(0,1-32/Supuestos!$C$20))*(1-Supuestos!$C$18)^32))</f>
        <v>1.1265115491223E-007</v>
      </c>
      <c r="AJ66" s="29" t="n">
        <f aca="false">AI66*(1-MIN(1,INDEX(Tabla_Mortalidad!$B$5:$B$75,MIN(71,Cartera_Polizas!$B$68+33-49))*(1+(Cartera_Polizas!$P$68-1)*MAX(0,1-33/Supuestos!$C$20))*(1-Supuestos!$C$18)^33))</f>
        <v>2.61452719743399E-008</v>
      </c>
      <c r="AK66" s="29" t="n">
        <f aca="false">AJ66*(1-MIN(1,INDEX(Tabla_Mortalidad!$B$5:$B$75,MIN(71,Cartera_Polizas!$B$68+34-49))*(1+(Cartera_Polizas!$P$68-1)*MAX(0,1-34/Supuestos!$C$20))*(1-Supuestos!$C$18)^34))</f>
        <v>5.67040510198048E-009</v>
      </c>
      <c r="AL66" s="29" t="n">
        <f aca="false">AK66*(1-MIN(1,INDEX(Tabla_Mortalidad!$B$5:$B$75,MIN(71,Cartera_Polizas!$B$68+35-49))*(1+(Cartera_Polizas!$P$68-1)*MAX(0,1-35/Supuestos!$C$20))*(1-Supuestos!$C$18)^35))</f>
        <v>1.16224534431689E-009</v>
      </c>
      <c r="AM66" s="29" t="n">
        <f aca="false">AL66*(1-MIN(1,INDEX(Tabla_Mortalidad!$B$5:$B$75,MIN(71,Cartera_Polizas!$B$68+36-49))*(1+(Cartera_Polizas!$P$68-1)*MAX(0,1-36/Supuestos!$C$20))*(1-Supuestos!$C$18)^36))</f>
        <v>1.91894647598717E-010</v>
      </c>
      <c r="AN66" s="29" t="n">
        <f aca="false">AM66*(1-MIN(1,INDEX(Tabla_Mortalidad!$B$5:$B$75,MIN(71,Cartera_Polizas!$B$68+37-49))*(1+(Cartera_Polizas!$P$68-1)*MAX(0,1-37/Supuestos!$C$20))*(1-Supuestos!$C$18)^37))</f>
        <v>3.24841751241394E-011</v>
      </c>
      <c r="AO66" s="29" t="n">
        <f aca="false">AN66*(1-MIN(1,INDEX(Tabla_Mortalidad!$B$5:$B$75,MIN(71,Cartera_Polizas!$B$68+38-49))*(1+(Cartera_Polizas!$P$68-1)*MAX(0,1-38/Supuestos!$C$20))*(1-Supuestos!$C$18)^38))</f>
        <v>5.63388940518533E-012</v>
      </c>
      <c r="AP66" s="29" t="n">
        <f aca="false">AO66*(1-MIN(1,INDEX(Tabla_Mortalidad!$B$5:$B$75,MIN(71,Cartera_Polizas!$B$68+39-49))*(1+(Cartera_Polizas!$P$68-1)*MAX(0,1-39/Supuestos!$C$20))*(1-Supuestos!$C$18)^39))</f>
        <v>1.00039688269325E-012</v>
      </c>
      <c r="AQ66" s="29" t="n">
        <f aca="false">AP66*(1-MIN(1,INDEX(Tabla_Mortalidad!$B$5:$B$75,MIN(71,Cartera_Polizas!$B$68+40-49))*(1+(Cartera_Polizas!$P$68-1)*MAX(0,1-40/Supuestos!$C$20))*(1-Supuestos!$C$18)^40))</f>
        <v>1.81751984577003E-013</v>
      </c>
      <c r="AR66" s="29" t="n">
        <f aca="false">AQ66*(1-MIN(1,INDEX(Tabla_Mortalidad!$B$5:$B$75,MIN(71,Cartera_Polizas!$B$68+41-49))*(1+(Cartera_Polizas!$P$68-1)*MAX(0,1-41/Supuestos!$C$20))*(1-Supuestos!$C$18)^41))</f>
        <v>3.37643350919146E-014</v>
      </c>
      <c r="AS66" s="29" t="n">
        <f aca="false">AR66*(1-MIN(1,INDEX(Tabla_Mortalidad!$B$5:$B$75,MIN(71,Cartera_Polizas!$B$68+42-49))*(1+(Cartera_Polizas!$P$68-1)*MAX(0,1-42/Supuestos!$C$20))*(1-Supuestos!$C$18)^42))</f>
        <v>6.4099099101661E-015</v>
      </c>
      <c r="AT66" s="29" t="n">
        <f aca="false">AS66*(1-MIN(1,INDEX(Tabla_Mortalidad!$B$5:$B$75,MIN(71,Cartera_Polizas!$B$68+43-49))*(1+(Cartera_Polizas!$P$68-1)*MAX(0,1-43/Supuestos!$C$20))*(1-Supuestos!$C$18)^43))</f>
        <v>1.24283928433679E-015</v>
      </c>
      <c r="AU66" s="29" t="n">
        <f aca="false">AT66*(1-MIN(1,INDEX(Tabla_Mortalidad!$B$5:$B$75,MIN(71,Cartera_Polizas!$B$68+44-49))*(1+(Cartera_Polizas!$P$68-1)*MAX(0,1-44/Supuestos!$C$20))*(1-Supuestos!$C$18)^44))</f>
        <v>2.45987650463489E-016</v>
      </c>
    </row>
    <row r="67" customFormat="false" ht="15" hidden="false" customHeight="false" outlineLevel="0" collapsed="false">
      <c r="A67" s="14" t="n">
        <f aca="false">Cartera_Polizas!A69</f>
        <v>64</v>
      </c>
      <c r="B67" s="26" t="n">
        <f aca="false">SUM(C67:AU67)+0.5</f>
        <v>9.03582168201309</v>
      </c>
      <c r="C67" s="29" t="n">
        <f aca="false">1-MIN(1,INDEX(Tabla_Mortalidad!$B$5:$B$75,MIN(71,Cartera_Polizas!$B$69+0-49))*(1+(Cartera_Polizas!$P$69-1)*MAX(0,1-0/Supuestos!$C$20))*(1-Supuestos!$C$18)^0)</f>
        <v>0.92931601</v>
      </c>
      <c r="D67" s="29" t="n">
        <f aca="false">C67*(1-MIN(1,INDEX(Tabla_Mortalidad!$B$5:$B$75,MIN(71,Cartera_Polizas!$B$69+1-49))*(1+(Cartera_Polizas!$P$69-1)*MAX(0,1-1/Supuestos!$C$20))*(1-Supuestos!$C$18)^1))</f>
        <v>0.85936897302085</v>
      </c>
      <c r="E67" s="29" t="n">
        <f aca="false">D67*(1-MIN(1,INDEX(Tabla_Mortalidad!$B$5:$B$75,MIN(71,Cartera_Polizas!$B$69+2-49))*(1+(Cartera_Polizas!$P$69-1)*MAX(0,1-2/Supuestos!$C$20))*(1-Supuestos!$C$18)^2))</f>
        <v>0.790622856878641</v>
      </c>
      <c r="F67" s="29" t="n">
        <f aca="false">E67*(1-MIN(1,INDEX(Tabla_Mortalidad!$B$5:$B$75,MIN(71,Cartera_Polizas!$B$69+3-49))*(1+(Cartera_Polizas!$P$69-1)*MAX(0,1-3/Supuestos!$C$20))*(1-Supuestos!$C$18)^3))</f>
        <v>0.72354252025026</v>
      </c>
      <c r="G67" s="29" t="n">
        <f aca="false">F67*(1-MIN(1,INDEX(Tabla_Mortalidad!$B$5:$B$75,MIN(71,Cartera_Polizas!$B$69+4-49))*(1+(Cartera_Polizas!$P$69-1)*MAX(0,1-4/Supuestos!$C$20))*(1-Supuestos!$C$18)^4))</f>
        <v>0.658581421395842</v>
      </c>
      <c r="H67" s="29" t="n">
        <f aca="false">G67*(1-MIN(1,INDEX(Tabla_Mortalidad!$B$5:$B$75,MIN(71,Cartera_Polizas!$B$69+5-49))*(1+(Cartera_Polizas!$P$69-1)*MAX(0,1-5/Supuestos!$C$20))*(1-Supuestos!$C$18)^5))</f>
        <v>0.59616688135856</v>
      </c>
      <c r="I67" s="29" t="n">
        <f aca="false">H67*(1-MIN(1,INDEX(Tabla_Mortalidad!$B$5:$B$75,MIN(71,Cartera_Polizas!$B$69+6-49))*(1+(Cartera_Polizas!$P$69-1)*MAX(0,1-6/Supuestos!$C$20))*(1-Supuestos!$C$18)^6))</f>
        <v>0.536690950150099</v>
      </c>
      <c r="J67" s="29" t="n">
        <f aca="false">I67*(1-MIN(1,INDEX(Tabla_Mortalidad!$B$5:$B$75,MIN(71,Cartera_Polizas!$B$69+7-49))*(1+(Cartera_Polizas!$P$69-1)*MAX(0,1-7/Supuestos!$C$20))*(1-Supuestos!$C$18)^7))</f>
        <v>0.48050046023227</v>
      </c>
      <c r="K67" s="29" t="n">
        <f aca="false">J67*(1-MIN(1,INDEX(Tabla_Mortalidad!$B$5:$B$75,MIN(71,Cartera_Polizas!$B$69+8-49))*(1+(Cartera_Polizas!$P$69-1)*MAX(0,1-8/Supuestos!$C$20))*(1-Supuestos!$C$18)^8))</f>
        <v>0.42788404389357</v>
      </c>
      <c r="L67" s="29" t="n">
        <f aca="false">K67*(1-MIN(1,INDEX(Tabla_Mortalidad!$B$5:$B$75,MIN(71,Cartera_Polizas!$B$69+9-49))*(1+(Cartera_Polizas!$P$69-1)*MAX(0,1-9/Supuestos!$C$20))*(1-Supuestos!$C$18)^9))</f>
        <v>0.379063796232088</v>
      </c>
      <c r="M67" s="29" t="n">
        <f aca="false">L67*(1-MIN(1,INDEX(Tabla_Mortalidad!$B$5:$B$75,MIN(71,Cartera_Polizas!$B$69+10-49))*(1+(Cartera_Polizas!$P$69-1)*MAX(0,1-10/Supuestos!$C$20))*(1-Supuestos!$C$18)^10))</f>
        <v>0.334192701462192</v>
      </c>
      <c r="N67" s="29" t="n">
        <f aca="false">M67*(1-MIN(1,INDEX(Tabla_Mortalidad!$B$5:$B$75,MIN(71,Cartera_Polizas!$B$69+11-49))*(1+(Cartera_Polizas!$P$69-1)*MAX(0,1-11/Supuestos!$C$20))*(1-Supuestos!$C$18)^11))</f>
        <v>0.293348059757495</v>
      </c>
      <c r="O67" s="29" t="n">
        <f aca="false">N67*(1-MIN(1,INDEX(Tabla_Mortalidad!$B$5:$B$75,MIN(71,Cartera_Polizas!$B$69+12-49))*(1+(Cartera_Polizas!$P$69-1)*MAX(0,1-12/Supuestos!$C$20))*(1-Supuestos!$C$18)^12))</f>
        <v>0.256535692987726</v>
      </c>
      <c r="P67" s="29" t="n">
        <f aca="false">O67*(1-MIN(1,INDEX(Tabla_Mortalidad!$B$5:$B$75,MIN(71,Cartera_Polizas!$B$69+13-49))*(1+(Cartera_Polizas!$P$69-1)*MAX(0,1-13/Supuestos!$C$20))*(1-Supuestos!$C$18)^13))</f>
        <v>0.223691541685629</v>
      </c>
      <c r="Q67" s="29" t="n">
        <f aca="false">P67*(1-MIN(1,INDEX(Tabla_Mortalidad!$B$5:$B$75,MIN(71,Cartera_Polizas!$B$69+14-49))*(1+(Cartera_Polizas!$P$69-1)*MAX(0,1-14/Supuestos!$C$20))*(1-Supuestos!$C$18)^14))</f>
        <v>0.194689522734018</v>
      </c>
      <c r="R67" s="29" t="n">
        <f aca="false">Q67*(1-MIN(1,INDEX(Tabla_Mortalidad!$B$5:$B$75,MIN(71,Cartera_Polizas!$B$69+15-49))*(1+(Cartera_Polizas!$P$69-1)*MAX(0,1-15/Supuestos!$C$20))*(1-Supuestos!$C$18)^15))</f>
        <v>0.16935122608857</v>
      </c>
      <c r="S67" s="29" t="n">
        <f aca="false">R67*(1-MIN(1,INDEX(Tabla_Mortalidad!$B$5:$B$75,MIN(71,Cartera_Polizas!$B$69+16-49))*(1+(Cartera_Polizas!$P$69-1)*MAX(0,1-16/Supuestos!$C$20))*(1-Supuestos!$C$18)^16))</f>
        <v>0.145079317725742</v>
      </c>
      <c r="T67" s="29" t="n">
        <f aca="false">S67*(1-MIN(1,INDEX(Tabla_Mortalidad!$B$5:$B$75,MIN(71,Cartera_Polizas!$B$69+17-49))*(1+(Cartera_Polizas!$P$69-1)*MAX(0,1-17/Supuestos!$C$20))*(1-Supuestos!$C$18)^17))</f>
        <v>0.122203279210266</v>
      </c>
      <c r="U67" s="29" t="n">
        <f aca="false">T67*(1-MIN(1,INDEX(Tabla_Mortalidad!$B$5:$B$75,MIN(71,Cartera_Polizas!$B$69+18-49))*(1+(Cartera_Polizas!$P$69-1)*MAX(0,1-18/Supuestos!$C$20))*(1-Supuestos!$C$18)^18))</f>
        <v>0.101026703252304</v>
      </c>
      <c r="V67" s="29" t="n">
        <f aca="false">U67*(1-MIN(1,INDEX(Tabla_Mortalidad!$B$5:$B$75,MIN(71,Cartera_Polizas!$B$69+19-49))*(1+(Cartera_Polizas!$P$69-1)*MAX(0,1-19/Supuestos!$C$20))*(1-Supuestos!$C$18)^19))</f>
        <v>0.081809400007304</v>
      </c>
      <c r="W67" s="29" t="n">
        <f aca="false">V67*(1-MIN(1,INDEX(Tabla_Mortalidad!$B$5:$B$75,MIN(71,Cartera_Polizas!$B$69+20-49))*(1+(Cartera_Polizas!$P$69-1)*MAX(0,1-20/Supuestos!$C$20))*(1-Supuestos!$C$18)^20))</f>
        <v>0.0647496937345516</v>
      </c>
      <c r="X67" s="29" t="n">
        <f aca="false">W67*(1-MIN(1,INDEX(Tabla_Mortalidad!$B$5:$B$75,MIN(71,Cartera_Polizas!$B$69+21-49))*(1+(Cartera_Polizas!$P$69-1)*MAX(0,1-21/Supuestos!$C$20))*(1-Supuestos!$C$18)^21))</f>
        <v>0.0499691469409944</v>
      </c>
      <c r="Y67" s="29" t="n">
        <f aca="false">X67*(1-MIN(1,INDEX(Tabla_Mortalidad!$B$5:$B$75,MIN(71,Cartera_Polizas!$B$69+22-49))*(1+(Cartera_Polizas!$P$69-1)*MAX(0,1-22/Supuestos!$C$20))*(1-Supuestos!$C$18)^22))</f>
        <v>0.0375026161231696</v>
      </c>
      <c r="Z67" s="29" t="n">
        <f aca="false">Y67*(1-MIN(1,INDEX(Tabla_Mortalidad!$B$5:$B$75,MIN(71,Cartera_Polizas!$B$69+23-49))*(1+(Cartera_Polizas!$P$69-1)*MAX(0,1-23/Supuestos!$C$20))*(1-Supuestos!$C$18)^23))</f>
        <v>0.0272948735895764</v>
      </c>
      <c r="AA67" s="29" t="n">
        <f aca="false">Z67*(1-MIN(1,INDEX(Tabla_Mortalidad!$B$5:$B$75,MIN(71,Cartera_Polizas!$B$69+24-49))*(1+(Cartera_Polizas!$P$69-1)*MAX(0,1-24/Supuestos!$C$20))*(1-Supuestos!$C$18)^24))</f>
        <v>0.0192051734011746</v>
      </c>
      <c r="AB67" s="29" t="n">
        <f aca="false">AA67*(1-MIN(1,INDEX(Tabla_Mortalidad!$B$5:$B$75,MIN(71,Cartera_Polizas!$B$69+25-49))*(1+(Cartera_Polizas!$P$69-1)*MAX(0,1-25/Supuestos!$C$20))*(1-Supuestos!$C$18)^25))</f>
        <v>0.0130203658674986</v>
      </c>
      <c r="AC67" s="29" t="n">
        <f aca="false">AB67*(1-MIN(1,INDEX(Tabla_Mortalidad!$B$5:$B$75,MIN(71,Cartera_Polizas!$B$69+26-49))*(1+(Cartera_Polizas!$P$69-1)*MAX(0,1-26/Supuestos!$C$20))*(1-Supuestos!$C$18)^26))</f>
        <v>0.00847495215082516</v>
      </c>
      <c r="AD67" s="29" t="n">
        <f aca="false">AC67*(1-MIN(1,INDEX(Tabla_Mortalidad!$B$5:$B$75,MIN(71,Cartera_Polizas!$B$69+27-49))*(1+(Cartera_Polizas!$P$69-1)*MAX(0,1-27/Supuestos!$C$20))*(1-Supuestos!$C$18)^27))</f>
        <v>0.00527590176352739</v>
      </c>
      <c r="AE67" s="29" t="n">
        <f aca="false">AD67*(1-MIN(1,INDEX(Tabla_Mortalidad!$B$5:$B$75,MIN(71,Cartera_Polizas!$B$69+28-49))*(1+(Cartera_Polizas!$P$69-1)*MAX(0,1-28/Supuestos!$C$20))*(1-Supuestos!$C$18)^28))</f>
        <v>0.00312854495804805</v>
      </c>
      <c r="AF67" s="29" t="n">
        <f aca="false">AE67*(1-MIN(1,INDEX(Tabla_Mortalidad!$B$5:$B$75,MIN(71,Cartera_Polizas!$B$69+29-49))*(1+(Cartera_Polizas!$P$69-1)*MAX(0,1-29/Supuestos!$C$20))*(1-Supuestos!$C$18)^29))</f>
        <v>0.00175968831704308</v>
      </c>
      <c r="AG67" s="29" t="n">
        <f aca="false">AF67*(1-MIN(1,INDEX(Tabla_Mortalidad!$B$5:$B$75,MIN(71,Cartera_Polizas!$B$69+30-49))*(1+(Cartera_Polizas!$P$69-1)*MAX(0,1-30/Supuestos!$C$20))*(1-Supuestos!$C$18)^30))</f>
        <v>0.000934725034127227</v>
      </c>
      <c r="AH67" s="29" t="n">
        <f aca="false">AG67*(1-MIN(1,INDEX(Tabla_Mortalidad!$B$5:$B$75,MIN(71,Cartera_Polizas!$B$69+31-49))*(1+(Cartera_Polizas!$P$69-1)*MAX(0,1-31/Supuestos!$C$20))*(1-Supuestos!$C$18)^31))</f>
        <v>0.000466850400380796</v>
      </c>
      <c r="AI67" s="29" t="n">
        <f aca="false">AH67*(1-MIN(1,INDEX(Tabla_Mortalidad!$B$5:$B$75,MIN(71,Cartera_Polizas!$B$69+32-49))*(1+(Cartera_Polizas!$P$69-1)*MAX(0,1-32/Supuestos!$C$20))*(1-Supuestos!$C$18)^32))</f>
        <v>0.000218296059975679</v>
      </c>
      <c r="AJ67" s="29" t="n">
        <f aca="false">AI67*(1-MIN(1,INDEX(Tabla_Mortalidad!$B$5:$B$75,MIN(71,Cartera_Polizas!$B$69+33-49))*(1+(Cartera_Polizas!$P$69-1)*MAX(0,1-33/Supuestos!$C$20))*(1-Supuestos!$C$18)^33))</f>
        <v>9.51767268839216E-005</v>
      </c>
      <c r="AK67" s="29" t="n">
        <f aca="false">AJ67*(1-MIN(1,INDEX(Tabla_Mortalidad!$B$5:$B$75,MIN(71,Cartera_Polizas!$B$69+34-49))*(1+(Cartera_Polizas!$P$69-1)*MAX(0,1-34/Supuestos!$C$20))*(1-Supuestos!$C$18)^34))</f>
        <v>3.85551775810738E-005</v>
      </c>
      <c r="AL67" s="29" t="n">
        <f aca="false">AK67*(1-MIN(1,INDEX(Tabla_Mortalidad!$B$5:$B$75,MIN(71,Cartera_Polizas!$B$69+35-49))*(1+(Cartera_Polizas!$P$69-1)*MAX(0,1-35/Supuestos!$C$20))*(1-Supuestos!$C$18)^35))</f>
        <v>1.44705102340977E-005</v>
      </c>
      <c r="AM67" s="29" t="n">
        <f aca="false">AL67*(1-MIN(1,INDEX(Tabla_Mortalidad!$B$5:$B$75,MIN(71,Cartera_Polizas!$B$69+36-49))*(1+(Cartera_Polizas!$P$69-1)*MAX(0,1-36/Supuestos!$C$20))*(1-Supuestos!$C$18)^36))</f>
        <v>5.02336916918839E-006</v>
      </c>
      <c r="AN67" s="29" t="n">
        <f aca="false">AM67*(1-MIN(1,INDEX(Tabla_Mortalidad!$B$5:$B$75,MIN(71,Cartera_Polizas!$B$69+37-49))*(1+(Cartera_Polizas!$P$69-1)*MAX(0,1-37/Supuestos!$C$20))*(1-Supuestos!$C$18)^37))</f>
        <v>1.61255795907119E-006</v>
      </c>
      <c r="AO67" s="29" t="n">
        <f aca="false">AN67*(1-MIN(1,INDEX(Tabla_Mortalidad!$B$5:$B$75,MIN(71,Cartera_Polizas!$B$69+38-49))*(1+(Cartera_Polizas!$P$69-1)*MAX(0,1-38/Supuestos!$C$20))*(1-Supuestos!$C$18)^38))</f>
        <v>4.79453155372781E-007</v>
      </c>
      <c r="AP67" s="29" t="n">
        <f aca="false">AO67*(1-MIN(1,INDEX(Tabla_Mortalidad!$B$5:$B$75,MIN(71,Cartera_Polizas!$B$69+39-49))*(1+(Cartera_Polizas!$P$69-1)*MAX(0,1-39/Supuestos!$C$20))*(1-Supuestos!$C$18)^39))</f>
        <v>1.32533973647804E-007</v>
      </c>
      <c r="AQ67" s="29" t="n">
        <f aca="false">AP67*(1-MIN(1,INDEX(Tabla_Mortalidad!$B$5:$B$75,MIN(71,Cartera_Polizas!$B$69+40-49))*(1+(Cartera_Polizas!$P$69-1)*MAX(0,1-40/Supuestos!$C$20))*(1-Supuestos!$C$18)^40))</f>
        <v>3.42689916049664E-008</v>
      </c>
      <c r="AR67" s="29" t="n">
        <f aca="false">AQ67*(1-MIN(1,INDEX(Tabla_Mortalidad!$B$5:$B$75,MIN(71,Cartera_Polizas!$B$69+41-49))*(1+(Cartera_Polizas!$P$69-1)*MAX(0,1-41/Supuestos!$C$20))*(1-Supuestos!$C$18)^41))</f>
        <v>8.3575955173655E-009</v>
      </c>
      <c r="AS67" s="29" t="n">
        <f aca="false">AR67*(1-MIN(1,INDEX(Tabla_Mortalidad!$B$5:$B$75,MIN(71,Cartera_Polizas!$B$69+42-49))*(1+(Cartera_Polizas!$P$69-1)*MAX(0,1-42/Supuestos!$C$20))*(1-Supuestos!$C$18)^42))</f>
        <v>1.94213073467753E-009</v>
      </c>
      <c r="AT67" s="29" t="n">
        <f aca="false">AS67*(1-MIN(1,INDEX(Tabla_Mortalidad!$B$5:$B$75,MIN(71,Cartera_Polizas!$B$69+43-49))*(1+(Cartera_Polizas!$P$69-1)*MAX(0,1-43/Supuestos!$C$20))*(1-Supuestos!$C$18)^43))</f>
        <v>3.7656634901325E-010</v>
      </c>
      <c r="AU67" s="29" t="n">
        <f aca="false">AT67*(1-MIN(1,INDEX(Tabla_Mortalidad!$B$5:$B$75,MIN(71,Cartera_Polizas!$B$69+44-49))*(1+(Cartera_Polizas!$P$69-1)*MAX(0,1-44/Supuestos!$C$20))*(1-Supuestos!$C$18)^44))</f>
        <v>7.4531496231883E-011</v>
      </c>
    </row>
    <row r="68" customFormat="false" ht="15" hidden="false" customHeight="false" outlineLevel="0" collapsed="false">
      <c r="A68" s="14" t="n">
        <f aca="false">Cartera_Polizas!A70</f>
        <v>65</v>
      </c>
      <c r="B68" s="26" t="n">
        <f aca="false">SUM(C68:AU68)+0.5</f>
        <v>4.99411237688886</v>
      </c>
      <c r="C68" s="29" t="n">
        <f aca="false">1-MIN(1,INDEX(Tabla_Mortalidad!$B$5:$B$75,MIN(71,Cartera_Polizas!$B$70+0-49))*(1+(Cartera_Polizas!$P$70-1)*MAX(0,1-0/Supuestos!$C$20))*(1-Supuestos!$C$18)^0)</f>
        <v>0.844323994</v>
      </c>
      <c r="D68" s="29" t="n">
        <f aca="false">C68*(1-MIN(1,INDEX(Tabla_Mortalidad!$B$5:$B$75,MIN(71,Cartera_Polizas!$B$70+1-49))*(1+(Cartera_Polizas!$P$70-1)*MAX(0,1-1/Supuestos!$C$20))*(1-Supuestos!$C$18)^1))</f>
        <v>0.705916062516734</v>
      </c>
      <c r="E68" s="29" t="n">
        <f aca="false">D68*(1-MIN(1,INDEX(Tabla_Mortalidad!$B$5:$B$75,MIN(71,Cartera_Polizas!$B$70+2-49))*(1+(Cartera_Polizas!$P$70-1)*MAX(0,1-2/Supuestos!$C$20))*(1-Supuestos!$C$18)^2))</f>
        <v>0.584427522395899</v>
      </c>
      <c r="F68" s="29" t="n">
        <f aca="false">E68*(1-MIN(1,INDEX(Tabla_Mortalidad!$B$5:$B$75,MIN(71,Cartera_Polizas!$B$70+3-49))*(1+(Cartera_Polizas!$P$70-1)*MAX(0,1-3/Supuestos!$C$20))*(1-Supuestos!$C$18)^3))</f>
        <v>0.479184562348977</v>
      </c>
      <c r="G68" s="29" t="n">
        <f aca="false">F68*(1-MIN(1,INDEX(Tabla_Mortalidad!$B$5:$B$75,MIN(71,Cartera_Polizas!$B$70+4-49))*(1+(Cartera_Polizas!$P$70-1)*MAX(0,1-4/Supuestos!$C$20))*(1-Supuestos!$C$18)^4))</f>
        <v>0.389233292603396</v>
      </c>
      <c r="H68" s="29" t="n">
        <f aca="false">G68*(1-MIN(1,INDEX(Tabla_Mortalidad!$B$5:$B$75,MIN(71,Cartera_Polizas!$B$70+5-49))*(1+(Cartera_Polizas!$P$70-1)*MAX(0,1-5/Supuestos!$C$20))*(1-Supuestos!$C$18)^5))</f>
        <v>0.313390014281279</v>
      </c>
      <c r="I68" s="29" t="n">
        <f aca="false">H68*(1-MIN(1,INDEX(Tabla_Mortalidad!$B$5:$B$75,MIN(71,Cartera_Polizas!$B$70+6-49))*(1+(Cartera_Polizas!$P$70-1)*MAX(0,1-6/Supuestos!$C$20))*(1-Supuestos!$C$18)^6))</f>
        <v>0.250306350155694</v>
      </c>
      <c r="J68" s="29" t="n">
        <f aca="false">I68*(1-MIN(1,INDEX(Tabla_Mortalidad!$B$5:$B$75,MIN(71,Cartera_Polizas!$B$70+7-49))*(1+(Cartera_Polizas!$P$70-1)*MAX(0,1-7/Supuestos!$C$20))*(1-Supuestos!$C$18)^7))</f>
        <v>0.198541626264837</v>
      </c>
      <c r="K68" s="29" t="n">
        <f aca="false">J68*(1-MIN(1,INDEX(Tabla_Mortalidad!$B$5:$B$75,MIN(71,Cartera_Polizas!$B$70+8-49))*(1+(Cartera_Polizas!$P$70-1)*MAX(0,1-8/Supuestos!$C$20))*(1-Supuestos!$C$18)^8))</f>
        <v>0.156623930747225</v>
      </c>
      <c r="L68" s="29" t="n">
        <f aca="false">K68*(1-MIN(1,INDEX(Tabla_Mortalidad!$B$5:$B$75,MIN(71,Cartera_Polizas!$B$70+9-49))*(1+(Cartera_Polizas!$P$70-1)*MAX(0,1-9/Supuestos!$C$20))*(1-Supuestos!$C$18)^9))</f>
        <v>0.123114672292444</v>
      </c>
      <c r="M68" s="29" t="n">
        <f aca="false">L68*(1-MIN(1,INDEX(Tabla_Mortalidad!$B$5:$B$75,MIN(71,Cartera_Polizas!$B$70+10-49))*(1+(Cartera_Polizas!$P$70-1)*MAX(0,1-10/Supuestos!$C$20))*(1-Supuestos!$C$18)^10))</f>
        <v>0.0966557146999511</v>
      </c>
      <c r="N68" s="29" t="n">
        <f aca="false">M68*(1-MIN(1,INDEX(Tabla_Mortalidad!$B$5:$B$75,MIN(71,Cartera_Polizas!$B$70+11-49))*(1+(Cartera_Polizas!$P$70-1)*MAX(0,1-11/Supuestos!$C$20))*(1-Supuestos!$C$18)^11))</f>
        <v>0.0760078656367994</v>
      </c>
      <c r="O68" s="29" t="n">
        <f aca="false">N68*(1-MIN(1,INDEX(Tabla_Mortalidad!$B$5:$B$75,MIN(71,Cartera_Polizas!$B$70+12-49))*(1+(Cartera_Polizas!$P$70-1)*MAX(0,1-12/Supuestos!$C$20))*(1-Supuestos!$C$18)^12))</f>
        <v>0.060075084849938</v>
      </c>
      <c r="P68" s="29" t="n">
        <f aca="false">O68*(1-MIN(1,INDEX(Tabla_Mortalidad!$B$5:$B$75,MIN(71,Cartera_Polizas!$B$70+13-49))*(1+(Cartera_Polizas!$P$70-1)*MAX(0,1-13/Supuestos!$C$20))*(1-Supuestos!$C$18)^13))</f>
        <v>0.0479163420090011</v>
      </c>
      <c r="Q68" s="29" t="n">
        <f aca="false">P68*(1-MIN(1,INDEX(Tabla_Mortalidad!$B$5:$B$75,MIN(71,Cartera_Polizas!$B$70+14-49))*(1+(Cartera_Polizas!$P$70-1)*MAX(0,1-14/Supuestos!$C$20))*(1-Supuestos!$C$18)^14))</f>
        <v>0.0387467203311461</v>
      </c>
      <c r="R68" s="29" t="n">
        <f aca="false">Q68*(1-MIN(1,INDEX(Tabla_Mortalidad!$B$5:$B$75,MIN(71,Cartera_Polizas!$B$70+15-49))*(1+(Cartera_Polizas!$P$70-1)*MAX(0,1-15/Supuestos!$C$20))*(1-Supuestos!$C$18)^15))</f>
        <v>0.031930579009729</v>
      </c>
      <c r="S68" s="29" t="n">
        <f aca="false">R68*(1-MIN(1,INDEX(Tabla_Mortalidad!$B$5:$B$75,MIN(71,Cartera_Polizas!$B$70+16-49))*(1+(Cartera_Polizas!$P$70-1)*MAX(0,1-16/Supuestos!$C$20))*(1-Supuestos!$C$18)^16))</f>
        <v>0.0257647168206235</v>
      </c>
      <c r="T68" s="29" t="n">
        <f aca="false">S68*(1-MIN(1,INDEX(Tabla_Mortalidad!$B$5:$B$75,MIN(71,Cartera_Polizas!$B$70+17-49))*(1+(Cartera_Polizas!$P$70-1)*MAX(0,1-17/Supuestos!$C$20))*(1-Supuestos!$C$18)^17))</f>
        <v>0.0203105995310937</v>
      </c>
      <c r="U68" s="29" t="n">
        <f aca="false">T68*(1-MIN(1,INDEX(Tabla_Mortalidad!$B$5:$B$75,MIN(71,Cartera_Polizas!$B$70+18-49))*(1+(Cartera_Polizas!$P$70-1)*MAX(0,1-18/Supuestos!$C$20))*(1-Supuestos!$C$18)^18))</f>
        <v>0.015604010448573</v>
      </c>
      <c r="V68" s="29" t="n">
        <f aca="false">U68*(1-MIN(1,INDEX(Tabla_Mortalidad!$B$5:$B$75,MIN(71,Cartera_Polizas!$B$70+19-49))*(1+(Cartera_Polizas!$P$70-1)*MAX(0,1-19/Supuestos!$C$20))*(1-Supuestos!$C$18)^19))</f>
        <v>0.0116520674684971</v>
      </c>
      <c r="W68" s="29" t="n">
        <f aca="false">V68*(1-MIN(1,INDEX(Tabla_Mortalidad!$B$5:$B$75,MIN(71,Cartera_Polizas!$B$70+20-49))*(1+(Cartera_Polizas!$P$70-1)*MAX(0,1-20/Supuestos!$C$20))*(1-Supuestos!$C$18)^20))</f>
        <v>0.00843246767119962</v>
      </c>
      <c r="X68" s="29" t="n">
        <f aca="false">W68*(1-MIN(1,INDEX(Tabla_Mortalidad!$B$5:$B$75,MIN(71,Cartera_Polizas!$B$70+21-49))*(1+(Cartera_Polizas!$P$70-1)*MAX(0,1-21/Supuestos!$C$20))*(1-Supuestos!$C$18)^21))</f>
        <v>0.00589537236481338</v>
      </c>
      <c r="Y68" s="29" t="n">
        <f aca="false">X68*(1-MIN(1,INDEX(Tabla_Mortalidad!$B$5:$B$75,MIN(71,Cartera_Polizas!$B$70+22-49))*(1+(Cartera_Polizas!$P$70-1)*MAX(0,1-22/Supuestos!$C$20))*(1-Supuestos!$C$18)^22))</f>
        <v>0.00396806955026943</v>
      </c>
      <c r="Z68" s="29" t="n">
        <f aca="false">Y68*(1-MIN(1,INDEX(Tabla_Mortalidad!$B$5:$B$75,MIN(71,Cartera_Polizas!$B$70+23-49))*(1+(Cartera_Polizas!$P$70-1)*MAX(0,1-23/Supuestos!$C$20))*(1-Supuestos!$C$18)^23))</f>
        <v>0.00256182690633215</v>
      </c>
      <c r="AA68" s="29" t="n">
        <f aca="false">Z68*(1-MIN(1,INDEX(Tabla_Mortalidad!$B$5:$B$75,MIN(71,Cartera_Polizas!$B$70+24-49))*(1+(Cartera_Polizas!$P$70-1)*MAX(0,1-24/Supuestos!$C$20))*(1-Supuestos!$C$18)^24))</f>
        <v>0.00158015951248395</v>
      </c>
      <c r="AB68" s="29" t="n">
        <f aca="false">AA68*(1-MIN(1,INDEX(Tabla_Mortalidad!$B$5:$B$75,MIN(71,Cartera_Polizas!$B$70+25-49))*(1+(Cartera_Polizas!$P$70-1)*MAX(0,1-25/Supuestos!$C$20))*(1-Supuestos!$C$18)^25))</f>
        <v>0.00092727074011021</v>
      </c>
      <c r="AC68" s="29" t="n">
        <f aca="false">AB68*(1-MIN(1,INDEX(Tabla_Mortalidad!$B$5:$B$75,MIN(71,Cartera_Polizas!$B$70+26-49))*(1+(Cartera_Polizas!$P$70-1)*MAX(0,1-26/Supuestos!$C$20))*(1-Supuestos!$C$18)^26))</f>
        <v>0.000515407643283061</v>
      </c>
      <c r="AD68" s="29" t="n">
        <f aca="false">AC68*(1-MIN(1,INDEX(Tabla_Mortalidad!$B$5:$B$75,MIN(71,Cartera_Polizas!$B$70+27-49))*(1+(Cartera_Polizas!$P$70-1)*MAX(0,1-27/Supuestos!$C$20))*(1-Supuestos!$C$18)^27))</f>
        <v>0.000270117282856265</v>
      </c>
      <c r="AE68" s="29" t="n">
        <f aca="false">AD68*(1-MIN(1,INDEX(Tabla_Mortalidad!$B$5:$B$75,MIN(71,Cartera_Polizas!$B$70+28-49))*(1+(Cartera_Polizas!$P$70-1)*MAX(0,1-28/Supuestos!$C$20))*(1-Supuestos!$C$18)^28))</f>
        <v>0.000132862098929696</v>
      </c>
      <c r="AF68" s="29" t="n">
        <f aca="false">AE68*(1-MIN(1,INDEX(Tabla_Mortalidad!$B$5:$B$75,MIN(71,Cartera_Polizas!$B$70+29-49))*(1+(Cartera_Polizas!$P$70-1)*MAX(0,1-29/Supuestos!$C$20))*(1-Supuestos!$C$18)^29))</f>
        <v>6.10536604744103E-005</v>
      </c>
      <c r="AG68" s="29" t="n">
        <f aca="false">AF68*(1-MIN(1,INDEX(Tabla_Mortalidad!$B$5:$B$75,MIN(71,Cartera_Polizas!$B$70+30-49))*(1+(Cartera_Polizas!$P$70-1)*MAX(0,1-30/Supuestos!$C$20))*(1-Supuestos!$C$18)^30))</f>
        <v>2.60975726245178E-005</v>
      </c>
      <c r="AH68" s="29" t="n">
        <f aca="false">AG68*(1-MIN(1,INDEX(Tabla_Mortalidad!$B$5:$B$75,MIN(71,Cartera_Polizas!$B$70+31-49))*(1+(Cartera_Polizas!$P$70-1)*MAX(0,1-31/Supuestos!$C$20))*(1-Supuestos!$C$18)^31))</f>
        <v>1.03366420599969E-005</v>
      </c>
      <c r="AI68" s="29" t="n">
        <f aca="false">AH68*(1-MIN(1,INDEX(Tabla_Mortalidad!$B$5:$B$75,MIN(71,Cartera_Polizas!$B$70+32-49))*(1+(Cartera_Polizas!$P$70-1)*MAX(0,1-32/Supuestos!$C$20))*(1-Supuestos!$C$18)^32))</f>
        <v>3.78171022283173E-006</v>
      </c>
      <c r="AJ68" s="29" t="n">
        <f aca="false">AI68*(1-MIN(1,INDEX(Tabla_Mortalidad!$B$5:$B$75,MIN(71,Cartera_Polizas!$B$70+33-49))*(1+(Cartera_Polizas!$P$70-1)*MAX(0,1-33/Supuestos!$C$20))*(1-Supuestos!$C$18)^33))</f>
        <v>1.27539575624917E-006</v>
      </c>
      <c r="AK68" s="29" t="n">
        <f aca="false">AJ68*(1-MIN(1,INDEX(Tabla_Mortalidad!$B$5:$B$75,MIN(71,Cartera_Polizas!$B$70+34-49))*(1+(Cartera_Polizas!$P$70-1)*MAX(0,1-34/Supuestos!$C$20))*(1-Supuestos!$C$18)^34))</f>
        <v>3.9629569312076E-007</v>
      </c>
      <c r="AL68" s="29" t="n">
        <f aca="false">AK68*(1-MIN(1,INDEX(Tabla_Mortalidad!$B$5:$B$75,MIN(71,Cartera_Polizas!$B$70+35-49))*(1+(Cartera_Polizas!$P$70-1)*MAX(0,1-35/Supuestos!$C$20))*(1-Supuestos!$C$18)^35))</f>
        <v>1.13609330421417E-007</v>
      </c>
      <c r="AM68" s="29" t="n">
        <f aca="false">AL68*(1-MIN(1,INDEX(Tabla_Mortalidad!$B$5:$B$75,MIN(71,Cartera_Polizas!$B$70+36-49))*(1+(Cartera_Polizas!$P$70-1)*MAX(0,1-36/Supuestos!$C$20))*(1-Supuestos!$C$18)^36))</f>
        <v>3.01592248917774E-008</v>
      </c>
      <c r="AN68" s="29" t="n">
        <f aca="false">AM68*(1-MIN(1,INDEX(Tabla_Mortalidad!$B$5:$B$75,MIN(71,Cartera_Polizas!$B$70+37-49))*(1+(Cartera_Polizas!$P$70-1)*MAX(0,1-37/Supuestos!$C$20))*(1-Supuestos!$C$18)^37))</f>
        <v>7.45940071216426E-009</v>
      </c>
      <c r="AO68" s="29" t="n">
        <f aca="false">AN68*(1-MIN(1,INDEX(Tabla_Mortalidad!$B$5:$B$75,MIN(71,Cartera_Polizas!$B$70+38-49))*(1+(Cartera_Polizas!$P$70-1)*MAX(0,1-38/Supuestos!$C$20))*(1-Supuestos!$C$18)^38))</f>
        <v>1.73375879834897E-009</v>
      </c>
      <c r="AP68" s="29" t="n">
        <f aca="false">AO68*(1-MIN(1,INDEX(Tabla_Mortalidad!$B$5:$B$75,MIN(71,Cartera_Polizas!$B$70+39-49))*(1+(Cartera_Polizas!$P$70-1)*MAX(0,1-39/Supuestos!$C$20))*(1-Supuestos!$C$18)^39))</f>
        <v>3.82725004528325E-010</v>
      </c>
      <c r="AQ68" s="29" t="n">
        <f aca="false">AP68*(1-MIN(1,INDEX(Tabla_Mortalidad!$B$5:$B$75,MIN(71,Cartera_Polizas!$B$70+40-49))*(1+(Cartera_Polizas!$P$70-1)*MAX(0,1-40/Supuestos!$C$20))*(1-Supuestos!$C$18)^40))</f>
        <v>6.95334325043025E-011</v>
      </c>
      <c r="AR68" s="29" t="n">
        <f aca="false">AQ68*(1-MIN(1,INDEX(Tabla_Mortalidad!$B$5:$B$75,MIN(71,Cartera_Polizas!$B$70+41-49))*(1+(Cartera_Polizas!$P$70-1)*MAX(0,1-41/Supuestos!$C$20))*(1-Supuestos!$C$18)^41))</f>
        <v>1.29173286367699E-011</v>
      </c>
      <c r="AS68" s="29" t="n">
        <f aca="false">AR68*(1-MIN(1,INDEX(Tabla_Mortalidad!$B$5:$B$75,MIN(71,Cartera_Polizas!$B$70+42-49))*(1+(Cartera_Polizas!$P$70-1)*MAX(0,1-42/Supuestos!$C$20))*(1-Supuestos!$C$18)^42))</f>
        <v>2.45225954002369E-012</v>
      </c>
      <c r="AT68" s="29" t="n">
        <f aca="false">AS68*(1-MIN(1,INDEX(Tabla_Mortalidad!$B$5:$B$75,MIN(71,Cartera_Polizas!$B$70+43-49))*(1+(Cartera_Polizas!$P$70-1)*MAX(0,1-43/Supuestos!$C$20))*(1-Supuestos!$C$18)^43))</f>
        <v>4.75476962148461E-013</v>
      </c>
      <c r="AU68" s="29" t="n">
        <f aca="false">AT68*(1-MIN(1,INDEX(Tabla_Mortalidad!$B$5:$B$75,MIN(71,Cartera_Polizas!$B$70+44-49))*(1+(Cartera_Polizas!$P$70-1)*MAX(0,1-44/Supuestos!$C$20))*(1-Supuestos!$C$18)^44))</f>
        <v>9.41082746920339E-014</v>
      </c>
    </row>
    <row r="69" customFormat="false" ht="15" hidden="false" customHeight="false" outlineLevel="0" collapsed="false">
      <c r="A69" s="14" t="n">
        <f aca="false">Cartera_Polizas!A71</f>
        <v>66</v>
      </c>
      <c r="B69" s="26" t="n">
        <f aca="false">SUM(C69:AU69)+0.5</f>
        <v>4.29974062818122</v>
      </c>
      <c r="C69" s="29" t="n">
        <f aca="false">1-MIN(1,INDEX(Tabla_Mortalidad!$B$5:$B$75,MIN(71,Cartera_Polizas!$B$71+0-49))*(1+(Cartera_Polizas!$P$71-1)*MAX(0,1-0/Supuestos!$C$20))*(1-Supuestos!$C$18)^0)</f>
        <v>0.8195610565</v>
      </c>
      <c r="D69" s="29" t="n">
        <f aca="false">C69*(1-MIN(1,INDEX(Tabla_Mortalidad!$B$5:$B$75,MIN(71,Cartera_Polizas!$B$71+1-49))*(1+(Cartera_Polizas!$P$71-1)*MAX(0,1-1/Supuestos!$C$20))*(1-Supuestos!$C$18)^1))</f>
        <v>0.663732238238259</v>
      </c>
      <c r="E69" s="29" t="n">
        <f aca="false">D69*(1-MIN(1,INDEX(Tabla_Mortalidad!$B$5:$B$75,MIN(71,Cartera_Polizas!$B$71+2-49))*(1+(Cartera_Polizas!$P$71-1)*MAX(0,1-2/Supuestos!$C$20))*(1-Supuestos!$C$18)^2))</f>
        <v>0.531142069928381</v>
      </c>
      <c r="F69" s="29" t="n">
        <f aca="false">E69*(1-MIN(1,INDEX(Tabla_Mortalidad!$B$5:$B$75,MIN(71,Cartera_Polizas!$B$71+3-49))*(1+(Cartera_Polizas!$P$71-1)*MAX(0,1-3/Supuestos!$C$20))*(1-Supuestos!$C$18)^3))</f>
        <v>0.420030118809968</v>
      </c>
      <c r="G69" s="29" t="n">
        <f aca="false">F69*(1-MIN(1,INDEX(Tabla_Mortalidad!$B$5:$B$75,MIN(71,Cartera_Polizas!$B$71+4-49))*(1+(Cartera_Polizas!$P$71-1)*MAX(0,1-4/Supuestos!$C$20))*(1-Supuestos!$C$18)^4))</f>
        <v>0.328347741106876</v>
      </c>
      <c r="H69" s="29" t="n">
        <f aca="false">G69*(1-MIN(1,INDEX(Tabla_Mortalidad!$B$5:$B$75,MIN(71,Cartera_Polizas!$B$71+5-49))*(1+(Cartera_Polizas!$P$71-1)*MAX(0,1-5/Supuestos!$C$20))*(1-Supuestos!$C$18)^5))</f>
        <v>0.253873181219987</v>
      </c>
      <c r="I69" s="29" t="n">
        <f aca="false">H69*(1-MIN(1,INDEX(Tabla_Mortalidad!$B$5:$B$75,MIN(71,Cartera_Polizas!$B$71+6-49))*(1+(Cartera_Polizas!$P$71-1)*MAX(0,1-6/Supuestos!$C$20))*(1-Supuestos!$C$18)^6))</f>
        <v>0.194312718689458</v>
      </c>
      <c r="J69" s="29" t="n">
        <f aca="false">I69*(1-MIN(1,INDEX(Tabla_Mortalidad!$B$5:$B$75,MIN(71,Cartera_Polizas!$B$71+7-49))*(1+(Cartera_Polizas!$P$71-1)*MAX(0,1-7/Supuestos!$C$20))*(1-Supuestos!$C$18)^7))</f>
        <v>0.14740812876599</v>
      </c>
      <c r="K69" s="29" t="n">
        <f aca="false">J69*(1-MIN(1,INDEX(Tabla_Mortalidad!$B$5:$B$75,MIN(71,Cartera_Polizas!$B$71+8-49))*(1+(Cartera_Polizas!$P$71-1)*MAX(0,1-8/Supuestos!$C$20))*(1-Supuestos!$C$18)^8))</f>
        <v>0.111018218293196</v>
      </c>
      <c r="L69" s="29" t="n">
        <f aca="false">K69*(1-MIN(1,INDEX(Tabla_Mortalidad!$B$5:$B$75,MIN(71,Cartera_Polizas!$B$71+9-49))*(1+(Cartera_Polizas!$P$71-1)*MAX(0,1-9/Supuestos!$C$20))*(1-Supuestos!$C$18)^9))</f>
        <v>0.083185771449144</v>
      </c>
      <c r="M69" s="29" t="n">
        <f aca="false">L69*(1-MIN(1,INDEX(Tabla_Mortalidad!$B$5:$B$75,MIN(71,Cartera_Polizas!$B$71+10-49))*(1+(Cartera_Polizas!$P$71-1)*MAX(0,1-10/Supuestos!$C$20))*(1-Supuestos!$C$18)^10))</f>
        <v>0.0621805208057531</v>
      </c>
      <c r="N69" s="29" t="n">
        <f aca="false">M69*(1-MIN(1,INDEX(Tabla_Mortalidad!$B$5:$B$75,MIN(71,Cartera_Polizas!$B$71+11-49))*(1+(Cartera_Polizas!$P$71-1)*MAX(0,1-11/Supuestos!$C$20))*(1-Supuestos!$C$18)^11))</f>
        <v>0.0465203038587762</v>
      </c>
      <c r="O69" s="29" t="n">
        <f aca="false">N69*(1-MIN(1,INDEX(Tabla_Mortalidad!$B$5:$B$75,MIN(71,Cartera_Polizas!$B$71+12-49))*(1+(Cartera_Polizas!$P$71-1)*MAX(0,1-12/Supuestos!$C$20))*(1-Supuestos!$C$18)^12))</f>
        <v>0.0349725982542733</v>
      </c>
      <c r="P69" s="29" t="n">
        <f aca="false">O69*(1-MIN(1,INDEX(Tabla_Mortalidad!$B$5:$B$75,MIN(71,Cartera_Polizas!$B$71+13-49))*(1+(Cartera_Polizas!$P$71-1)*MAX(0,1-13/Supuestos!$C$20))*(1-Supuestos!$C$18)^13))</f>
        <v>0.0265407545210604</v>
      </c>
      <c r="Q69" s="29" t="n">
        <f aca="false">P69*(1-MIN(1,INDEX(Tabla_Mortalidad!$B$5:$B$75,MIN(71,Cartera_Polizas!$B$71+14-49))*(1+(Cartera_Polizas!$P$71-1)*MAX(0,1-14/Supuestos!$C$20))*(1-Supuestos!$C$18)^14))</f>
        <v>0.020440342866614</v>
      </c>
      <c r="R69" s="29" t="n">
        <f aca="false">Q69*(1-MIN(1,INDEX(Tabla_Mortalidad!$B$5:$B$75,MIN(71,Cartera_Polizas!$B$71+15-49))*(1+(Cartera_Polizas!$P$71-1)*MAX(0,1-15/Supuestos!$C$20))*(1-Supuestos!$C$18)^15))</f>
        <v>0.0160697423323411</v>
      </c>
      <c r="S69" s="29" t="n">
        <f aca="false">R69*(1-MIN(1,INDEX(Tabla_Mortalidad!$B$5:$B$75,MIN(71,Cartera_Polizas!$B$71+16-49))*(1+(Cartera_Polizas!$P$71-1)*MAX(0,1-16/Supuestos!$C$20))*(1-Supuestos!$C$18)^16))</f>
        <v>0.0123083702949613</v>
      </c>
      <c r="T69" s="29" t="n">
        <f aca="false">S69*(1-MIN(1,INDEX(Tabla_Mortalidad!$B$5:$B$75,MIN(71,Cartera_Polizas!$B$71+17-49))*(1+(Cartera_Polizas!$P$71-1)*MAX(0,1-17/Supuestos!$C$20))*(1-Supuestos!$C$18)^17))</f>
        <v>0.00915968809282237</v>
      </c>
      <c r="U69" s="29" t="n">
        <f aca="false">T69*(1-MIN(1,INDEX(Tabla_Mortalidad!$B$5:$B$75,MIN(71,Cartera_Polizas!$B$71+18-49))*(1+(Cartera_Polizas!$P$71-1)*MAX(0,1-18/Supuestos!$C$20))*(1-Supuestos!$C$18)^18))</f>
        <v>0.00660326092361081</v>
      </c>
      <c r="V69" s="29" t="n">
        <f aca="false">U69*(1-MIN(1,INDEX(Tabla_Mortalidad!$B$5:$B$75,MIN(71,Cartera_Polizas!$B$71+19-49))*(1+(Cartera_Polizas!$P$71-1)*MAX(0,1-19/Supuestos!$C$20))*(1-Supuestos!$C$18)^19))</f>
        <v>0.00459650573748823</v>
      </c>
      <c r="W69" s="29" t="n">
        <f aca="false">V69*(1-MIN(1,INDEX(Tabla_Mortalidad!$B$5:$B$75,MIN(71,Cartera_Polizas!$B$71+20-49))*(1+(Cartera_Polizas!$P$71-1)*MAX(0,1-20/Supuestos!$C$20))*(1-Supuestos!$C$18)^20))</f>
        <v>0.00307868542906322</v>
      </c>
      <c r="X69" s="29" t="n">
        <f aca="false">W69*(1-MIN(1,INDEX(Tabla_Mortalidad!$B$5:$B$75,MIN(71,Cartera_Polizas!$B$71+21-49))*(1+(Cartera_Polizas!$P$71-1)*MAX(0,1-21/Supuestos!$C$20))*(1-Supuestos!$C$18)^21))</f>
        <v>0.0019766383627758</v>
      </c>
      <c r="Y69" s="29" t="n">
        <f aca="false">X69*(1-MIN(1,INDEX(Tabla_Mortalidad!$B$5:$B$75,MIN(71,Cartera_Polizas!$B$71+22-49))*(1+(Cartera_Polizas!$P$71-1)*MAX(0,1-22/Supuestos!$C$20))*(1-Supuestos!$C$18)^22))</f>
        <v>0.00121157810595985</v>
      </c>
      <c r="Z69" s="29" t="n">
        <f aca="false">Y69*(1-MIN(1,INDEX(Tabla_Mortalidad!$B$5:$B$75,MIN(71,Cartera_Polizas!$B$71+23-49))*(1+(Cartera_Polizas!$P$71-1)*MAX(0,1-23/Supuestos!$C$20))*(1-Supuestos!$C$18)^23))</f>
        <v>0.000705935657665626</v>
      </c>
      <c r="AA69" s="29" t="n">
        <f aca="false">Z69*(1-MIN(1,INDEX(Tabla_Mortalidad!$B$5:$B$75,MIN(71,Cartera_Polizas!$B$71+24-49))*(1+(Cartera_Polizas!$P$71-1)*MAX(0,1-24/Supuestos!$C$20))*(1-Supuestos!$C$18)^24))</f>
        <v>0.000389223100764289</v>
      </c>
      <c r="AB69" s="29" t="n">
        <f aca="false">AA69*(1-MIN(1,INDEX(Tabla_Mortalidad!$B$5:$B$75,MIN(71,Cartera_Polizas!$B$71+25-49))*(1+(Cartera_Polizas!$P$71-1)*MAX(0,1-25/Supuestos!$C$20))*(1-Supuestos!$C$18)^25))</f>
        <v>0.000202119531068553</v>
      </c>
      <c r="AC69" s="29" t="n">
        <f aca="false">AB69*(1-MIN(1,INDEX(Tabla_Mortalidad!$B$5:$B$75,MIN(71,Cartera_Polizas!$B$71+26-49))*(1+(Cartera_Polizas!$P$71-1)*MAX(0,1-26/Supuestos!$C$20))*(1-Supuestos!$C$18)^26))</f>
        <v>9.83813797941087E-005</v>
      </c>
      <c r="AD69" s="29" t="n">
        <f aca="false">AC69*(1-MIN(1,INDEX(Tabla_Mortalidad!$B$5:$B$75,MIN(71,Cartera_Polizas!$B$71+27-49))*(1+(Cartera_Polizas!$P$71-1)*MAX(0,1-27/Supuestos!$C$20))*(1-Supuestos!$C$18)^27))</f>
        <v>4.46731150094377E-005</v>
      </c>
      <c r="AE69" s="29" t="n">
        <f aca="false">AD69*(1-MIN(1,INDEX(Tabla_Mortalidad!$B$5:$B$75,MIN(71,Cartera_Polizas!$B$71+28-49))*(1+(Cartera_Polizas!$P$71-1)*MAX(0,1-28/Supuestos!$C$20))*(1-Supuestos!$C$18)^28))</f>
        <v>1.88379529670992E-005</v>
      </c>
      <c r="AF69" s="29" t="n">
        <f aca="false">AE69*(1-MIN(1,INDEX(Tabla_Mortalidad!$B$5:$B$75,MIN(71,Cartera_Polizas!$B$71+29-49))*(1+(Cartera_Polizas!$P$71-1)*MAX(0,1-29/Supuestos!$C$20))*(1-Supuestos!$C$18)^29))</f>
        <v>7.34664966260139E-006</v>
      </c>
      <c r="AG69" s="29" t="n">
        <f aca="false">AF69*(1-MIN(1,INDEX(Tabla_Mortalidad!$B$5:$B$75,MIN(71,Cartera_Polizas!$B$71+30-49))*(1+(Cartera_Polizas!$P$71-1)*MAX(0,1-30/Supuestos!$C$20))*(1-Supuestos!$C$18)^30))</f>
        <v>2.64086693798678E-006</v>
      </c>
      <c r="AH69" s="29" t="n">
        <f aca="false">AG69*(1-MIN(1,INDEX(Tabla_Mortalidad!$B$5:$B$75,MIN(71,Cartera_Polizas!$B$71+31-49))*(1+(Cartera_Polizas!$P$71-1)*MAX(0,1-31/Supuestos!$C$20))*(1-Supuestos!$C$18)^31))</f>
        <v>8.73007744493167E-007</v>
      </c>
      <c r="AI69" s="29" t="n">
        <f aca="false">AH69*(1-MIN(1,INDEX(Tabla_Mortalidad!$B$5:$B$75,MIN(71,Cartera_Polizas!$B$71+32-49))*(1+(Cartera_Polizas!$P$71-1)*MAX(0,1-32/Supuestos!$C$20))*(1-Supuestos!$C$18)^32))</f>
        <v>2.65201330789167E-007</v>
      </c>
      <c r="AJ69" s="29" t="n">
        <f aca="false">AI69*(1-MIN(1,INDEX(Tabla_Mortalidad!$B$5:$B$75,MIN(71,Cartera_Polizas!$B$71+33-49))*(1+(Cartera_Polizas!$P$71-1)*MAX(0,1-33/Supuestos!$C$20))*(1-Supuestos!$C$18)^33))</f>
        <v>7.41214142667379E-008</v>
      </c>
      <c r="AK69" s="29" t="n">
        <f aca="false">AJ69*(1-MIN(1,INDEX(Tabla_Mortalidad!$B$5:$B$75,MIN(71,Cartera_Polizas!$B$71+34-49))*(1+(Cartera_Polizas!$P$71-1)*MAX(0,1-34/Supuestos!$C$20))*(1-Supuestos!$C$18)^34))</f>
        <v>1.91280326670912E-008</v>
      </c>
      <c r="AL69" s="29" t="n">
        <f aca="false">AK69*(1-MIN(1,INDEX(Tabla_Mortalidad!$B$5:$B$75,MIN(71,Cartera_Polizas!$B$71+35-49))*(1+(Cartera_Polizas!$P$71-1)*MAX(0,1-35/Supuestos!$C$20))*(1-Supuestos!$C$18)^35))</f>
        <v>4.58595496141265E-009</v>
      </c>
      <c r="AM69" s="29" t="n">
        <f aca="false">AL69*(1-MIN(1,INDEX(Tabla_Mortalidad!$B$5:$B$75,MIN(71,Cartera_Polizas!$B$71+36-49))*(1+(Cartera_Polizas!$P$71-1)*MAX(0,1-36/Supuestos!$C$20))*(1-Supuestos!$C$18)^36))</f>
        <v>1.03042887409358E-009</v>
      </c>
      <c r="AN69" s="29" t="n">
        <f aca="false">AM69*(1-MIN(1,INDEX(Tabla_Mortalidad!$B$5:$B$75,MIN(71,Cartera_Polizas!$B$71+37-49))*(1+(Cartera_Polizas!$P$71-1)*MAX(0,1-37/Supuestos!$C$20))*(1-Supuestos!$C$18)^37))</f>
        <v>2.19375579976488E-010</v>
      </c>
      <c r="AO69" s="29" t="n">
        <f aca="false">AN69*(1-MIN(1,INDEX(Tabla_Mortalidad!$B$5:$B$75,MIN(71,Cartera_Polizas!$B$71+38-49))*(1+(Cartera_Polizas!$P$71-1)*MAX(0,1-38/Supuestos!$C$20))*(1-Supuestos!$C$18)^38))</f>
        <v>3.8047380026205E-011</v>
      </c>
      <c r="AP69" s="29" t="n">
        <f aca="false">AO69*(1-MIN(1,INDEX(Tabla_Mortalidad!$B$5:$B$75,MIN(71,Cartera_Polizas!$B$71+39-49))*(1+(Cartera_Polizas!$P$71-1)*MAX(0,1-39/Supuestos!$C$20))*(1-Supuestos!$C$18)^39))</f>
        <v>6.75598643058716E-012</v>
      </c>
      <c r="AQ69" s="29" t="n">
        <f aca="false">AP69*(1-MIN(1,INDEX(Tabla_Mortalidad!$B$5:$B$75,MIN(71,Cartera_Polizas!$B$71+40-49))*(1+(Cartera_Polizas!$P$71-1)*MAX(0,1-40/Supuestos!$C$20))*(1-Supuestos!$C$18)^40))</f>
        <v>1.22742679708153E-012</v>
      </c>
      <c r="AR69" s="29" t="n">
        <f aca="false">AQ69*(1-MIN(1,INDEX(Tabla_Mortalidad!$B$5:$B$75,MIN(71,Cartera_Polizas!$B$71+41-49))*(1+(Cartera_Polizas!$P$71-1)*MAX(0,1-41/Supuestos!$C$20))*(1-Supuestos!$C$18)^41))</f>
        <v>2.2802089217297E-013</v>
      </c>
      <c r="AS69" s="29" t="n">
        <f aca="false">AR69*(1-MIN(1,INDEX(Tabla_Mortalidad!$B$5:$B$75,MIN(71,Cartera_Polizas!$B$71+42-49))*(1+(Cartera_Polizas!$P$71-1)*MAX(0,1-42/Supuestos!$C$20))*(1-Supuestos!$C$18)^42))</f>
        <v>4.32880840829719E-014</v>
      </c>
      <c r="AT69" s="29" t="n">
        <f aca="false">AS69*(1-MIN(1,INDEX(Tabla_Mortalidad!$B$5:$B$75,MIN(71,Cartera_Polizas!$B$71+43-49))*(1+(Cartera_Polizas!$P$71-1)*MAX(0,1-43/Supuestos!$C$20))*(1-Supuestos!$C$18)^43))</f>
        <v>8.39327419511225E-015</v>
      </c>
      <c r="AU69" s="29" t="n">
        <f aca="false">AT69*(1-MIN(1,INDEX(Tabla_Mortalidad!$B$5:$B$75,MIN(71,Cartera_Polizas!$B$71+44-49))*(1+(Cartera_Polizas!$P$71-1)*MAX(0,1-44/Supuestos!$C$20))*(1-Supuestos!$C$18)^44))</f>
        <v>1.66122991522049E-015</v>
      </c>
    </row>
    <row r="70" customFormat="false" ht="15" hidden="false" customHeight="false" outlineLevel="0" collapsed="false">
      <c r="A70" s="14" t="n">
        <f aca="false">Cartera_Polizas!A72</f>
        <v>67</v>
      </c>
      <c r="B70" s="26" t="n">
        <f aca="false">SUM(C70:AU70)+0.5</f>
        <v>4.81426499979498</v>
      </c>
      <c r="C70" s="29" t="n">
        <f aca="false">1-MIN(1,INDEX(Tabla_Mortalidad!$B$5:$B$75,MIN(71,Cartera_Polizas!$B$72+0-49))*(1+(Cartera_Polizas!$P$72-1)*MAX(0,1-0/Supuestos!$C$20))*(1-Supuestos!$C$18)^0)</f>
        <v>0.8544507175</v>
      </c>
      <c r="D70" s="29" t="n">
        <f aca="false">C70*(1-MIN(1,INDEX(Tabla_Mortalidad!$B$5:$B$75,MIN(71,Cartera_Polizas!$B$72+1-49))*(1+(Cartera_Polizas!$P$72-1)*MAX(0,1-1/Supuestos!$C$20))*(1-Supuestos!$C$18)^1))</f>
        <v>0.720910504710388</v>
      </c>
      <c r="E70" s="29" t="n">
        <f aca="false">D70*(1-MIN(1,INDEX(Tabla_Mortalidad!$B$5:$B$75,MIN(71,Cartera_Polizas!$B$72+2-49))*(1+(Cartera_Polizas!$P$72-1)*MAX(0,1-2/Supuestos!$C$20))*(1-Supuestos!$C$18)^2))</f>
        <v>0.600102281003257</v>
      </c>
      <c r="F70" s="29" t="n">
        <f aca="false">E70*(1-MIN(1,INDEX(Tabla_Mortalidad!$B$5:$B$75,MIN(71,Cartera_Polizas!$B$72+3-49))*(1+(Cartera_Polizas!$P$72-1)*MAX(0,1-3/Supuestos!$C$20))*(1-Supuestos!$C$18)^3))</f>
        <v>0.49244042744642</v>
      </c>
      <c r="G70" s="29" t="n">
        <f aca="false">F70*(1-MIN(1,INDEX(Tabla_Mortalidad!$B$5:$B$75,MIN(71,Cartera_Polizas!$B$72+4-49))*(1+(Cartera_Polizas!$P$72-1)*MAX(0,1-4/Supuestos!$C$20))*(1-Supuestos!$C$18)^4))</f>
        <v>0.398015396900202</v>
      </c>
      <c r="H70" s="29" t="n">
        <f aca="false">G70*(1-MIN(1,INDEX(Tabla_Mortalidad!$B$5:$B$75,MIN(71,Cartera_Polizas!$B$72+5-49))*(1+(Cartera_Polizas!$P$72-1)*MAX(0,1-5/Supuestos!$C$20))*(1-Supuestos!$C$18)^5))</f>
        <v>0.316592772993478</v>
      </c>
      <c r="I70" s="29" t="n">
        <f aca="false">H70*(1-MIN(1,INDEX(Tabla_Mortalidad!$B$5:$B$75,MIN(71,Cartera_Polizas!$B$72+6-49))*(1+(Cartera_Polizas!$P$72-1)*MAX(0,1-6/Supuestos!$C$20))*(1-Supuestos!$C$18)^6))</f>
        <v>0.247631723236694</v>
      </c>
      <c r="J70" s="29" t="n">
        <f aca="false">I70*(1-MIN(1,INDEX(Tabla_Mortalidad!$B$5:$B$75,MIN(71,Cartera_Polizas!$B$72+7-49))*(1+(Cartera_Polizas!$P$72-1)*MAX(0,1-7/Supuestos!$C$20))*(1-Supuestos!$C$18)^7))</f>
        <v>0.190320958280724</v>
      </c>
      <c r="K70" s="29" t="n">
        <f aca="false">J70*(1-MIN(1,INDEX(Tabla_Mortalidad!$B$5:$B$75,MIN(71,Cartera_Polizas!$B$72+8-49))*(1+(Cartera_Polizas!$P$72-1)*MAX(0,1-8/Supuestos!$C$20))*(1-Supuestos!$C$18)^8))</f>
        <v>0.143629757135971</v>
      </c>
      <c r="L70" s="29" t="n">
        <f aca="false">K70*(1-MIN(1,INDEX(Tabla_Mortalidad!$B$5:$B$75,MIN(71,Cartera_Polizas!$B$72+9-49))*(1+(Cartera_Polizas!$P$72-1)*MAX(0,1-9/Supuestos!$C$20))*(1-Supuestos!$C$18)^9))</f>
        <v>0.106372587697885</v>
      </c>
      <c r="M70" s="29" t="n">
        <f aca="false">L70*(1-MIN(1,INDEX(Tabla_Mortalidad!$B$5:$B$75,MIN(71,Cartera_Polizas!$B$72+10-49))*(1+(Cartera_Polizas!$P$72-1)*MAX(0,1-10/Supuestos!$C$20))*(1-Supuestos!$C$18)^10))</f>
        <v>0.0772782943732855</v>
      </c>
      <c r="N70" s="29" t="n">
        <f aca="false">M70*(1-MIN(1,INDEX(Tabla_Mortalidad!$B$5:$B$75,MIN(71,Cartera_Polizas!$B$72+11-49))*(1+(Cartera_Polizas!$P$72-1)*MAX(0,1-11/Supuestos!$C$20))*(1-Supuestos!$C$18)^11))</f>
        <v>0.0550586900551011</v>
      </c>
      <c r="O70" s="29" t="n">
        <f aca="false">N70*(1-MIN(1,INDEX(Tabla_Mortalidad!$B$5:$B$75,MIN(71,Cartera_Polizas!$B$72+12-49))*(1+(Cartera_Polizas!$P$72-1)*MAX(0,1-12/Supuestos!$C$20))*(1-Supuestos!$C$18)^12))</f>
        <v>0.0384716174287007</v>
      </c>
      <c r="P70" s="29" t="n">
        <f aca="false">O70*(1-MIN(1,INDEX(Tabla_Mortalidad!$B$5:$B$75,MIN(71,Cartera_Polizas!$B$72+13-49))*(1+(Cartera_Polizas!$P$72-1)*MAX(0,1-13/Supuestos!$C$20))*(1-Supuestos!$C$18)^13))</f>
        <v>0.0263718931692478</v>
      </c>
      <c r="Q70" s="29" t="n">
        <f aca="false">P70*(1-MIN(1,INDEX(Tabla_Mortalidad!$B$5:$B$75,MIN(71,Cartera_Polizas!$B$72+14-49))*(1+(Cartera_Polizas!$P$72-1)*MAX(0,1-14/Supuestos!$C$20))*(1-Supuestos!$C$18)^14))</f>
        <v>0.0177471875111451</v>
      </c>
      <c r="R70" s="29" t="n">
        <f aca="false">Q70*(1-MIN(1,INDEX(Tabla_Mortalidad!$B$5:$B$75,MIN(71,Cartera_Polizas!$B$72+15-49))*(1+(Cartera_Polizas!$P$72-1)*MAX(0,1-15/Supuestos!$C$20))*(1-Supuestos!$C$18)^15))</f>
        <v>0.0117381254824662</v>
      </c>
      <c r="S70" s="29" t="n">
        <f aca="false">R70*(1-MIN(1,INDEX(Tabla_Mortalidad!$B$5:$B$75,MIN(71,Cartera_Polizas!$B$72+16-49))*(1+(Cartera_Polizas!$P$72-1)*MAX(0,1-16/Supuestos!$C$20))*(1-Supuestos!$C$18)^16))</f>
        <v>0.0074297041190129</v>
      </c>
      <c r="T70" s="29" t="n">
        <f aca="false">S70*(1-MIN(1,INDEX(Tabla_Mortalidad!$B$5:$B$75,MIN(71,Cartera_Polizas!$B$72+17-49))*(1+(Cartera_Polizas!$P$72-1)*MAX(0,1-17/Supuestos!$C$20))*(1-Supuestos!$C$18)^17))</f>
        <v>0.00448104521503934</v>
      </c>
      <c r="U70" s="29" t="n">
        <f aca="false">T70*(1-MIN(1,INDEX(Tabla_Mortalidad!$B$5:$B$75,MIN(71,Cartera_Polizas!$B$72+18-49))*(1+(Cartera_Polizas!$P$72-1)*MAX(0,1-18/Supuestos!$C$20))*(1-Supuestos!$C$18)^18))</f>
        <v>0.00256345400132169</v>
      </c>
      <c r="V70" s="29" t="n">
        <f aca="false">U70*(1-MIN(1,INDEX(Tabla_Mortalidad!$B$5:$B$75,MIN(71,Cartera_Polizas!$B$72+19-49))*(1+(Cartera_Polizas!$P$72-1)*MAX(0,1-19/Supuestos!$C$20))*(1-Supuestos!$C$18)^19))</f>
        <v>0.00138419204439329</v>
      </c>
      <c r="W70" s="29" t="n">
        <f aca="false">V70*(1-MIN(1,INDEX(Tabla_Mortalidad!$B$5:$B$75,MIN(71,Cartera_Polizas!$B$72+20-49))*(1+(Cartera_Polizas!$P$72-1)*MAX(0,1-20/Supuestos!$C$20))*(1-Supuestos!$C$18)^20))</f>
        <v>0.000701909264477837</v>
      </c>
      <c r="X70" s="29" t="n">
        <f aca="false">W70*(1-MIN(1,INDEX(Tabla_Mortalidad!$B$5:$B$75,MIN(71,Cartera_Polizas!$B$72+21-49))*(1+(Cartera_Polizas!$P$72-1)*MAX(0,1-21/Supuestos!$C$20))*(1-Supuestos!$C$18)^21))</f>
        <v>0.000332510198396404</v>
      </c>
      <c r="Y70" s="29" t="n">
        <f aca="false">X70*(1-MIN(1,INDEX(Tabla_Mortalidad!$B$5:$B$75,MIN(71,Cartera_Polizas!$B$72+22-49))*(1+(Cartera_Polizas!$P$72-1)*MAX(0,1-22/Supuestos!$C$20))*(1-Supuestos!$C$18)^22))</f>
        <v>0.000146379597909967</v>
      </c>
      <c r="Z70" s="29" t="n">
        <f aca="false">Y70*(1-MIN(1,INDEX(Tabla_Mortalidad!$B$5:$B$75,MIN(71,Cartera_Polizas!$B$72+23-49))*(1+(Cartera_Polizas!$P$72-1)*MAX(0,1-23/Supuestos!$C$20))*(1-Supuestos!$C$18)^23))</f>
        <v>5.95775244151051E-005</v>
      </c>
      <c r="AA70" s="29" t="n">
        <f aca="false">Z70*(1-MIN(1,INDEX(Tabla_Mortalidad!$B$5:$B$75,MIN(71,Cartera_Polizas!$B$72+24-49))*(1+(Cartera_Polizas!$P$72-1)*MAX(0,1-24/Supuestos!$C$20))*(1-Supuestos!$C$18)^24))</f>
        <v>2.23123954109894E-005</v>
      </c>
      <c r="AB70" s="29" t="n">
        <f aca="false">AA70*(1-MIN(1,INDEX(Tabla_Mortalidad!$B$5:$B$75,MIN(71,Cartera_Polizas!$B$72+25-49))*(1+(Cartera_Polizas!$P$72-1)*MAX(0,1-25/Supuestos!$C$20))*(1-Supuestos!$C$18)^25))</f>
        <v>7.6578168049237E-006</v>
      </c>
      <c r="AC70" s="29" t="n">
        <f aca="false">AB70*(1-MIN(1,INDEX(Tabla_Mortalidad!$B$5:$B$75,MIN(71,Cartera_Polizas!$B$72+26-49))*(1+(Cartera_Polizas!$P$72-1)*MAX(0,1-26/Supuestos!$C$20))*(1-Supuestos!$C$18)^26))</f>
        <v>2.40138879586258E-006</v>
      </c>
      <c r="AD70" s="29" t="n">
        <f aca="false">AC70*(1-MIN(1,INDEX(Tabla_Mortalidad!$B$5:$B$75,MIN(71,Cartera_Polizas!$B$72+27-49))*(1+(Cartera_Polizas!$P$72-1)*MAX(0,1-27/Supuestos!$C$20))*(1-Supuestos!$C$18)^27))</f>
        <v>6.87059453913142E-007</v>
      </c>
      <c r="AE70" s="29" t="n">
        <f aca="false">AD70*(1-MIN(1,INDEX(Tabla_Mortalidad!$B$5:$B$75,MIN(71,Cartera_Polizas!$B$72+28-49))*(1+(Cartera_Polizas!$P$72-1)*MAX(0,1-28/Supuestos!$C$20))*(1-Supuestos!$C$18)^28))</f>
        <v>1.79463373379569E-007</v>
      </c>
      <c r="AF70" s="29" t="n">
        <f aca="false">AE70*(1-MIN(1,INDEX(Tabla_Mortalidad!$B$5:$B$75,MIN(71,Cartera_Polizas!$B$72+29-49))*(1+(Cartera_Polizas!$P$72-1)*MAX(0,1-29/Supuestos!$C$20))*(1-Supuestos!$C$18)^29))</f>
        <v>4.29336684290612E-008</v>
      </c>
      <c r="AG70" s="29" t="n">
        <f aca="false">AF70*(1-MIN(1,INDEX(Tabla_Mortalidad!$B$5:$B$75,MIN(71,Cartera_Polizas!$B$72+30-49))*(1+(Cartera_Polizas!$P$72-1)*MAX(0,1-30/Supuestos!$C$20))*(1-Supuestos!$C$18)^30))</f>
        <v>9.46497561892946E-009</v>
      </c>
      <c r="AH70" s="29" t="n">
        <f aca="false">AG70*(1-MIN(1,INDEX(Tabla_Mortalidad!$B$5:$B$75,MIN(71,Cartera_Polizas!$B$72+31-49))*(1+(Cartera_Polizas!$P$72-1)*MAX(0,1-31/Supuestos!$C$20))*(1-Supuestos!$C$18)^31))</f>
        <v>1.94046637432747E-009</v>
      </c>
      <c r="AI70" s="29" t="n">
        <f aca="false">AH70*(1-MIN(1,INDEX(Tabla_Mortalidad!$B$5:$B$75,MIN(71,Cartera_Polizas!$B$72+32-49))*(1+(Cartera_Polizas!$P$72-1)*MAX(0,1-32/Supuestos!$C$20))*(1-Supuestos!$C$18)^32))</f>
        <v>3.74356995227417E-010</v>
      </c>
      <c r="AJ70" s="29" t="n">
        <f aca="false">AI70*(1-MIN(1,INDEX(Tabla_Mortalidad!$B$5:$B$75,MIN(71,Cartera_Polizas!$B$72+33-49))*(1+(Cartera_Polizas!$P$72-1)*MAX(0,1-33/Supuestos!$C$20))*(1-Supuestos!$C$18)^33))</f>
        <v>5.70734004617505E-011</v>
      </c>
      <c r="AK70" s="29" t="n">
        <f aca="false">AJ70*(1-MIN(1,INDEX(Tabla_Mortalidad!$B$5:$B$75,MIN(71,Cartera_Polizas!$B$72+34-49))*(1+(Cartera_Polizas!$P$72-1)*MAX(0,1-34/Supuestos!$C$20))*(1-Supuestos!$C$18)^34))</f>
        <v>8.9431087204703E-012</v>
      </c>
      <c r="AL70" s="29" t="n">
        <f aca="false">AK70*(1-MIN(1,INDEX(Tabla_Mortalidad!$B$5:$B$75,MIN(71,Cartera_Polizas!$B$72+35-49))*(1+(Cartera_Polizas!$P$72-1)*MAX(0,1-35/Supuestos!$C$20))*(1-Supuestos!$C$18)^35))</f>
        <v>1.43904805181787E-012</v>
      </c>
      <c r="AM70" s="29" t="n">
        <f aca="false">AL70*(1-MIN(1,INDEX(Tabla_Mortalidad!$B$5:$B$75,MIN(71,Cartera_Polizas!$B$72+36-49))*(1+(Cartera_Polizas!$P$72-1)*MAX(0,1-36/Supuestos!$C$20))*(1-Supuestos!$C$18)^36))</f>
        <v>2.37596665911805E-013</v>
      </c>
      <c r="AN70" s="29" t="n">
        <f aca="false">AM70*(1-MIN(1,INDEX(Tabla_Mortalidad!$B$5:$B$75,MIN(71,Cartera_Polizas!$B$72+37-49))*(1+(Cartera_Polizas!$P$72-1)*MAX(0,1-37/Supuestos!$C$20))*(1-Supuestos!$C$18)^37))</f>
        <v>4.02206721290663E-014</v>
      </c>
      <c r="AO70" s="29" t="n">
        <f aca="false">AN70*(1-MIN(1,INDEX(Tabla_Mortalidad!$B$5:$B$75,MIN(71,Cartera_Polizas!$B$72+38-49))*(1+(Cartera_Polizas!$P$72-1)*MAX(0,1-38/Supuestos!$C$20))*(1-Supuestos!$C$18)^38))</f>
        <v>6.97566792788872E-015</v>
      </c>
      <c r="AP70" s="29" t="n">
        <f aca="false">AO70*(1-MIN(1,INDEX(Tabla_Mortalidad!$B$5:$B$75,MIN(71,Cartera_Polizas!$B$72+39-49))*(1+(Cartera_Polizas!$P$72-1)*MAX(0,1-39/Supuestos!$C$20))*(1-Supuestos!$C$18)^39))</f>
        <v>1.23865343244763E-015</v>
      </c>
      <c r="AQ70" s="29" t="n">
        <f aca="false">AP70*(1-MIN(1,INDEX(Tabla_Mortalidad!$B$5:$B$75,MIN(71,Cartera_Polizas!$B$72+40-49))*(1+(Cartera_Polizas!$P$72-1)*MAX(0,1-40/Supuestos!$C$20))*(1-Supuestos!$C$18)^40))</f>
        <v>2.25038405701934E-016</v>
      </c>
      <c r="AR70" s="29" t="n">
        <f aca="false">AQ70*(1-MIN(1,INDEX(Tabla_Mortalidad!$B$5:$B$75,MIN(71,Cartera_Polizas!$B$72+41-49))*(1+(Cartera_Polizas!$P$72-1)*MAX(0,1-41/Supuestos!$C$20))*(1-Supuestos!$C$18)^41))</f>
        <v>4.18057175901216E-017</v>
      </c>
      <c r="AS70" s="29" t="n">
        <f aca="false">AR70*(1-MIN(1,INDEX(Tabla_Mortalidad!$B$5:$B$75,MIN(71,Cartera_Polizas!$B$72+42-49))*(1+(Cartera_Polizas!$P$72-1)*MAX(0,1-42/Supuestos!$C$20))*(1-Supuestos!$C$18)^42))</f>
        <v>7.93650704961448E-018</v>
      </c>
      <c r="AT70" s="29" t="n">
        <f aca="false">AS70*(1-MIN(1,INDEX(Tabla_Mortalidad!$B$5:$B$75,MIN(71,Cartera_Polizas!$B$72+43-49))*(1+(Cartera_Polizas!$P$72-1)*MAX(0,1-43/Supuestos!$C$20))*(1-Supuestos!$C$18)^43))</f>
        <v>1.53883640798645E-018</v>
      </c>
      <c r="AU70" s="29" t="n">
        <f aca="false">AT70*(1-MIN(1,INDEX(Tabla_Mortalidad!$B$5:$B$75,MIN(71,Cartera_Polizas!$B$72+44-49))*(1+(Cartera_Polizas!$P$72-1)*MAX(0,1-44/Supuestos!$C$20))*(1-Supuestos!$C$18)^44))</f>
        <v>3.04572568005248E-019</v>
      </c>
    </row>
    <row r="71" customFormat="false" ht="15" hidden="false" customHeight="false" outlineLevel="0" collapsed="false">
      <c r="A71" s="14" t="n">
        <f aca="false">Cartera_Polizas!A73</f>
        <v>68</v>
      </c>
      <c r="B71" s="26" t="n">
        <f aca="false">SUM(C71:AU71)+0.5</f>
        <v>3.62458384182796</v>
      </c>
      <c r="C71" s="29" t="n">
        <f aca="false">1-MIN(1,INDEX(Tabla_Mortalidad!$B$5:$B$75,MIN(71,Cartera_Polizas!$B$73+0-49))*(1+(Cartera_Polizas!$P$73-1)*MAX(0,1-0/Supuestos!$C$20))*(1-Supuestos!$C$18)^0)</f>
        <v>0.79607782</v>
      </c>
      <c r="D71" s="29" t="n">
        <f aca="false">C71*(1-MIN(1,INDEX(Tabla_Mortalidad!$B$5:$B$75,MIN(71,Cartera_Polizas!$B$73+1-49))*(1+(Cartera_Polizas!$P$73-1)*MAX(0,1-1/Supuestos!$C$20))*(1-Supuestos!$C$18)^1))</f>
        <v>0.622796879310385</v>
      </c>
      <c r="E71" s="29" t="n">
        <f aca="false">D71*(1-MIN(1,INDEX(Tabla_Mortalidad!$B$5:$B$75,MIN(71,Cartera_Polizas!$B$73+2-49))*(1+(Cartera_Polizas!$P$73-1)*MAX(0,1-2/Supuestos!$C$20))*(1-Supuestos!$C$18)^2))</f>
        <v>0.478365690581975</v>
      </c>
      <c r="F71" s="29" t="n">
        <f aca="false">E71*(1-MIN(1,INDEX(Tabla_Mortalidad!$B$5:$B$75,MIN(71,Cartera_Polizas!$B$73+3-49))*(1+(Cartera_Polizas!$P$73-1)*MAX(0,1-3/Supuestos!$C$20))*(1-Supuestos!$C$18)^3))</f>
        <v>0.360411672274198</v>
      </c>
      <c r="G71" s="29" t="n">
        <f aca="false">F71*(1-MIN(1,INDEX(Tabla_Mortalidad!$B$5:$B$75,MIN(71,Cartera_Polizas!$B$73+4-49))*(1+(Cartera_Polizas!$P$73-1)*MAX(0,1-4/Supuestos!$C$20))*(1-Supuestos!$C$18)^4))</f>
        <v>0.266129601825169</v>
      </c>
      <c r="H71" s="29" t="n">
        <f aca="false">G71*(1-MIN(1,INDEX(Tabla_Mortalidad!$B$5:$B$75,MIN(71,Cartera_Polizas!$B$73+5-49))*(1+(Cartera_Polizas!$P$73-1)*MAX(0,1-5/Supuestos!$C$20))*(1-Supuestos!$C$18)^5))</f>
        <v>0.192449205787238</v>
      </c>
      <c r="I71" s="29" t="n">
        <f aca="false">H71*(1-MIN(1,INDEX(Tabla_Mortalidad!$B$5:$B$75,MIN(71,Cartera_Polizas!$B$73+6-49))*(1+(Cartera_Polizas!$P$73-1)*MAX(0,1-6/Supuestos!$C$20))*(1-Supuestos!$C$18)^6))</f>
        <v>0.13620697570952</v>
      </c>
      <c r="J71" s="29" t="n">
        <f aca="false">I71*(1-MIN(1,INDEX(Tabla_Mortalidad!$B$5:$B$75,MIN(71,Cartera_Polizas!$B$73+7-49))*(1+(Cartera_Polizas!$P$73-1)*MAX(0,1-7/Supuestos!$C$20))*(1-Supuestos!$C$18)^7))</f>
        <v>0.09430992197044</v>
      </c>
      <c r="K71" s="29" t="n">
        <f aca="false">J71*(1-MIN(1,INDEX(Tabla_Mortalidad!$B$5:$B$75,MIN(71,Cartera_Polizas!$B$73+8-49))*(1+(Cartera_Polizas!$P$73-1)*MAX(0,1-8/Supuestos!$C$20))*(1-Supuestos!$C$18)^8))</f>
        <v>0.0638725145929549</v>
      </c>
      <c r="L71" s="29" t="n">
        <f aca="false">K71*(1-MIN(1,INDEX(Tabla_Mortalidad!$B$5:$B$75,MIN(71,Cartera_Polizas!$B$73+9-49))*(1+(Cartera_Polizas!$P$73-1)*MAX(0,1-9/Supuestos!$C$20))*(1-Supuestos!$C$18)^9))</f>
        <v>0.0423184558227689</v>
      </c>
      <c r="M71" s="29" t="n">
        <f aca="false">L71*(1-MIN(1,INDEX(Tabla_Mortalidad!$B$5:$B$75,MIN(71,Cartera_Polizas!$B$73+10-49))*(1+(Cartera_Polizas!$P$73-1)*MAX(0,1-10/Supuestos!$C$20))*(1-Supuestos!$C$18)^10))</f>
        <v>0.0274434090440448</v>
      </c>
      <c r="N71" s="29" t="n">
        <f aca="false">M71*(1-MIN(1,INDEX(Tabla_Mortalidad!$B$5:$B$75,MIN(71,Cartera_Polizas!$B$73+11-49))*(1+(Cartera_Polizas!$P$73-1)*MAX(0,1-11/Supuestos!$C$20))*(1-Supuestos!$C$18)^11))</f>
        <v>0.0174374411311116</v>
      </c>
      <c r="O71" s="29" t="n">
        <f aca="false">N71*(1-MIN(1,INDEX(Tabla_Mortalidad!$B$5:$B$75,MIN(71,Cartera_Polizas!$B$73+12-49))*(1+(Cartera_Polizas!$P$73-1)*MAX(0,1-12/Supuestos!$C$20))*(1-Supuestos!$C$18)^12))</f>
        <v>0.0108731428912105</v>
      </c>
      <c r="P71" s="29" t="n">
        <f aca="false">O71*(1-MIN(1,INDEX(Tabla_Mortalidad!$B$5:$B$75,MIN(71,Cartera_Polizas!$B$73+13-49))*(1+(Cartera_Polizas!$P$73-1)*MAX(0,1-13/Supuestos!$C$20))*(1-Supuestos!$C$18)^13))</f>
        <v>0.00666858175303566</v>
      </c>
      <c r="Q71" s="29" t="n">
        <f aca="false">P71*(1-MIN(1,INDEX(Tabla_Mortalidad!$B$5:$B$75,MIN(71,Cartera_Polizas!$B$73+14-49))*(1+(Cartera_Polizas!$P$73-1)*MAX(0,1-14/Supuestos!$C$20))*(1-Supuestos!$C$18)^14))</f>
        <v>0.00403472435963471</v>
      </c>
      <c r="R71" s="29" t="n">
        <f aca="false">Q71*(1-MIN(1,INDEX(Tabla_Mortalidad!$B$5:$B$75,MIN(71,Cartera_Polizas!$B$73+15-49))*(1+(Cartera_Polizas!$P$73-1)*MAX(0,1-15/Supuestos!$C$20))*(1-Supuestos!$C$18)^15))</f>
        <v>0.00241731211312223</v>
      </c>
      <c r="S71" s="29" t="n">
        <f aca="false">R71*(1-MIN(1,INDEX(Tabla_Mortalidad!$B$5:$B$75,MIN(71,Cartera_Polizas!$B$73+16-49))*(1+(Cartera_Polizas!$P$73-1)*MAX(0,1-16/Supuestos!$C$20))*(1-Supuestos!$C$18)^16))</f>
        <v>0.00137243967880086</v>
      </c>
      <c r="T71" s="29" t="n">
        <f aca="false">S71*(1-MIN(1,INDEX(Tabla_Mortalidad!$B$5:$B$75,MIN(71,Cartera_Polizas!$B$73+17-49))*(1+(Cartera_Polizas!$P$73-1)*MAX(0,1-17/Supuestos!$C$20))*(1-Supuestos!$C$18)^17))</f>
        <v>0.000734716997284554</v>
      </c>
      <c r="U71" s="29" t="n">
        <f aca="false">T71*(1-MIN(1,INDEX(Tabla_Mortalidad!$B$5:$B$75,MIN(71,Cartera_Polizas!$B$73+18-49))*(1+(Cartera_Polizas!$P$73-1)*MAX(0,1-18/Supuestos!$C$20))*(1-Supuestos!$C$18)^18))</f>
        <v>0.000368918440980211</v>
      </c>
      <c r="V71" s="29" t="n">
        <f aca="false">U71*(1-MIN(1,INDEX(Tabla_Mortalidad!$B$5:$B$75,MIN(71,Cartera_Polizas!$B$73+19-49))*(1+(Cartera_Polizas!$P$73-1)*MAX(0,1-19/Supuestos!$C$20))*(1-Supuestos!$C$18)^19))</f>
        <v>0.000172808765232645</v>
      </c>
      <c r="W71" s="29" t="n">
        <f aca="false">V71*(1-MIN(1,INDEX(Tabla_Mortalidad!$B$5:$B$75,MIN(71,Cartera_Polizas!$B$73+20-49))*(1+(Cartera_Polizas!$P$73-1)*MAX(0,1-20/Supuestos!$C$20))*(1-Supuestos!$C$18)^20))</f>
        <v>7.51002499758417E-005</v>
      </c>
      <c r="X71" s="29" t="n">
        <f aca="false">W71*(1-MIN(1,INDEX(Tabla_Mortalidad!$B$5:$B$75,MIN(71,Cartera_Polizas!$B$73+21-49))*(1+(Cartera_Polizas!$P$73-1)*MAX(0,1-21/Supuestos!$C$20))*(1-Supuestos!$C$18)^21))</f>
        <v>3.01176275318061E-005</v>
      </c>
      <c r="Y71" s="29" t="n">
        <f aca="false">X71*(1-MIN(1,INDEX(Tabla_Mortalidad!$B$5:$B$75,MIN(71,Cartera_Polizas!$B$73+22-49))*(1+(Cartera_Polizas!$P$73-1)*MAX(0,1-22/Supuestos!$C$20))*(1-Supuestos!$C$18)^22))</f>
        <v>1.10895561383478E-005</v>
      </c>
      <c r="Z71" s="29" t="n">
        <f aca="false">Y71*(1-MIN(1,INDEX(Tabla_Mortalidad!$B$5:$B$75,MIN(71,Cartera_Polizas!$B$73+23-49))*(1+(Cartera_Polizas!$P$73-1)*MAX(0,1-23/Supuestos!$C$20))*(1-Supuestos!$C$18)^23))</f>
        <v>3.73265128529381E-006</v>
      </c>
      <c r="AA71" s="29" t="n">
        <f aca="false">Z71*(1-MIN(1,INDEX(Tabla_Mortalidad!$B$5:$B$75,MIN(71,Cartera_Polizas!$B$73+24-49))*(1+(Cartera_Polizas!$P$73-1)*MAX(0,1-24/Supuestos!$C$20))*(1-Supuestos!$C$18)^24))</f>
        <v>1.14469458700582E-006</v>
      </c>
      <c r="AB71" s="29" t="n">
        <f aca="false">AA71*(1-MIN(1,INDEX(Tabla_Mortalidad!$B$5:$B$75,MIN(71,Cartera_Polizas!$B$73+25-49))*(1+(Cartera_Polizas!$P$73-1)*MAX(0,1-25/Supuestos!$C$20))*(1-Supuestos!$C$18)^25))</f>
        <v>3.19274095831835E-007</v>
      </c>
      <c r="AC71" s="29" t="n">
        <f aca="false">AB71*(1-MIN(1,INDEX(Tabla_Mortalidad!$B$5:$B$75,MIN(71,Cartera_Polizas!$B$73+26-49))*(1+(Cartera_Polizas!$P$73-1)*MAX(0,1-26/Supuestos!$C$20))*(1-Supuestos!$C$18)^26))</f>
        <v>8.10194036999793E-008</v>
      </c>
      <c r="AD71" s="29" t="n">
        <f aca="false">AC71*(1-MIN(1,INDEX(Tabla_Mortalidad!$B$5:$B$75,MIN(71,Cartera_Polizas!$B$73+27-49))*(1+(Cartera_Polizas!$P$73-1)*MAX(0,1-27/Supuestos!$C$20))*(1-Supuestos!$C$18)^27))</f>
        <v>1.87615412345438E-008</v>
      </c>
      <c r="AE71" s="29" t="n">
        <f aca="false">AD71*(1-MIN(1,INDEX(Tabla_Mortalidad!$B$5:$B$75,MIN(71,Cartera_Polizas!$B$73+28-49))*(1+(Cartera_Polizas!$P$73-1)*MAX(0,1-28/Supuestos!$C$20))*(1-Supuestos!$C$18)^28))</f>
        <v>3.988731542553E-009</v>
      </c>
      <c r="AF71" s="29" t="n">
        <f aca="false">AE71*(1-MIN(1,INDEX(Tabla_Mortalidad!$B$5:$B$75,MIN(71,Cartera_Polizas!$B$73+29-49))*(1+(Cartera_Polizas!$P$73-1)*MAX(0,1-29/Supuestos!$C$20))*(1-Supuestos!$C$18)^29))</f>
        <v>7.85802432652152E-010</v>
      </c>
      <c r="AG71" s="29" t="n">
        <f aca="false">AF71*(1-MIN(1,INDEX(Tabla_Mortalidad!$B$5:$B$75,MIN(71,Cartera_Polizas!$B$73+30-49))*(1+(Cartera_Polizas!$P$73-1)*MAX(0,1-30/Supuestos!$C$20))*(1-Supuestos!$C$18)^30))</f>
        <v>1.45207975526748E-010</v>
      </c>
      <c r="AH71" s="29" t="n">
        <f aca="false">AG71*(1-MIN(1,INDEX(Tabla_Mortalidad!$B$5:$B$75,MIN(71,Cartera_Polizas!$B$73+31-49))*(1+(Cartera_Polizas!$P$73-1)*MAX(0,1-31/Supuestos!$C$20))*(1-Supuestos!$C$18)^31))</f>
        <v>2.08980020770137E-011</v>
      </c>
      <c r="AI71" s="29" t="n">
        <f aca="false">AH71*(1-MIN(1,INDEX(Tabla_Mortalidad!$B$5:$B$75,MIN(71,Cartera_Polizas!$B$73+32-49))*(1+(Cartera_Polizas!$P$73-1)*MAX(0,1-32/Supuestos!$C$20))*(1-Supuestos!$C$18)^32))</f>
        <v>3.09704504588152E-012</v>
      </c>
      <c r="AJ71" s="29" t="n">
        <f aca="false">AI71*(1-MIN(1,INDEX(Tabla_Mortalidad!$B$5:$B$75,MIN(71,Cartera_Polizas!$B$73+33-49))*(1+(Cartera_Polizas!$P$73-1)*MAX(0,1-33/Supuestos!$C$20))*(1-Supuestos!$C$18)^33))</f>
        <v>4.72166660180339E-013</v>
      </c>
      <c r="AK71" s="29" t="n">
        <f aca="false">AJ71*(1-MIN(1,INDEX(Tabla_Mortalidad!$B$5:$B$75,MIN(71,Cartera_Polizas!$B$73+34-49))*(1+(Cartera_Polizas!$P$73-1)*MAX(0,1-34/Supuestos!$C$20))*(1-Supuestos!$C$18)^34))</f>
        <v>7.39860905782906E-014</v>
      </c>
      <c r="AL71" s="29" t="n">
        <f aca="false">AK71*(1-MIN(1,INDEX(Tabla_Mortalidad!$B$5:$B$75,MIN(71,Cartera_Polizas!$B$73+35-49))*(1+(Cartera_Polizas!$P$73-1)*MAX(0,1-35/Supuestos!$C$20))*(1-Supuestos!$C$18)^35))</f>
        <v>1.19052046482009E-014</v>
      </c>
      <c r="AM71" s="29" t="n">
        <f aca="false">AL71*(1-MIN(1,INDEX(Tabla_Mortalidad!$B$5:$B$75,MIN(71,Cartera_Polizas!$B$73+36-49))*(1+(Cartera_Polizas!$P$73-1)*MAX(0,1-36/Supuestos!$C$20))*(1-Supuestos!$C$18)^36))</f>
        <v>1.96563063188683E-015</v>
      </c>
      <c r="AN71" s="29" t="n">
        <f aca="false">AM71*(1-MIN(1,INDEX(Tabla_Mortalidad!$B$5:$B$75,MIN(71,Cartera_Polizas!$B$73+37-49))*(1+(Cartera_Polizas!$P$73-1)*MAX(0,1-37/Supuestos!$C$20))*(1-Supuestos!$C$18)^37))</f>
        <v>3.32744505772299E-016</v>
      </c>
      <c r="AO71" s="29" t="n">
        <f aca="false">AN71*(1-MIN(1,INDEX(Tabla_Mortalidad!$B$5:$B$75,MIN(71,Cartera_Polizas!$B$73+38-49))*(1+(Cartera_Polizas!$P$73-1)*MAX(0,1-38/Supuestos!$C$20))*(1-Supuestos!$C$18)^38))</f>
        <v>5.77095074306231E-017</v>
      </c>
      <c r="AP71" s="29" t="n">
        <f aca="false">AO71*(1-MIN(1,INDEX(Tabla_Mortalidad!$B$5:$B$75,MIN(71,Cartera_Polizas!$B$73+39-49))*(1+(Cartera_Polizas!$P$73-1)*MAX(0,1-39/Supuestos!$C$20))*(1-Supuestos!$C$18)^39))</f>
        <v>1.02473455162649E-017</v>
      </c>
      <c r="AQ71" s="29" t="n">
        <f aca="false">AP71*(1-MIN(1,INDEX(Tabla_Mortalidad!$B$5:$B$75,MIN(71,Cartera_Polizas!$B$73+40-49))*(1+(Cartera_Polizas!$P$73-1)*MAX(0,1-40/Supuestos!$C$20))*(1-Supuestos!$C$18)^40))</f>
        <v>1.86173649323385E-018</v>
      </c>
      <c r="AR71" s="29" t="n">
        <f aca="false">AQ71*(1-MIN(1,INDEX(Tabla_Mortalidad!$B$5:$B$75,MIN(71,Cartera_Polizas!$B$73+41-49))*(1+(Cartera_Polizas!$P$73-1)*MAX(0,1-41/Supuestos!$C$20))*(1-Supuestos!$C$18)^41))</f>
        <v>3.45857542940674E-019</v>
      </c>
      <c r="AS71" s="29" t="n">
        <f aca="false">AR71*(1-MIN(1,INDEX(Tabla_Mortalidad!$B$5:$B$75,MIN(71,Cartera_Polizas!$B$73+42-49))*(1+(Cartera_Polizas!$P$73-1)*MAX(0,1-42/Supuestos!$C$20))*(1-Supuestos!$C$18)^42))</f>
        <v>6.56585028541552E-020</v>
      </c>
      <c r="AT71" s="29" t="n">
        <f aca="false">AS71*(1-MIN(1,INDEX(Tabla_Mortalidad!$B$5:$B$75,MIN(71,Cartera_Polizas!$B$73+43-49))*(1+(Cartera_Polizas!$P$73-1)*MAX(0,1-43/Supuestos!$C$20))*(1-Supuestos!$C$18)^43))</f>
        <v>1.27307509530611E-020</v>
      </c>
      <c r="AU71" s="29" t="n">
        <f aca="false">AT71*(1-MIN(1,INDEX(Tabla_Mortalidad!$B$5:$B$75,MIN(71,Cartera_Polizas!$B$73+44-49))*(1+(Cartera_Polizas!$P$73-1)*MAX(0,1-44/Supuestos!$C$20))*(1-Supuestos!$C$18)^44))</f>
        <v>2.51972041360958E-021</v>
      </c>
    </row>
    <row r="72" customFormat="false" ht="15" hidden="false" customHeight="false" outlineLevel="0" collapsed="false">
      <c r="A72" s="14" t="n">
        <f aca="false">Cartera_Polizas!A74</f>
        <v>69</v>
      </c>
      <c r="B72" s="26" t="n">
        <f aca="false">SUM(C72:AU72)+0.5</f>
        <v>8.44949335418303</v>
      </c>
      <c r="C72" s="29" t="n">
        <f aca="false">1-MIN(1,INDEX(Tabla_Mortalidad!$B$5:$B$75,MIN(71,Cartera_Polizas!$B$74+0-49))*(1+(Cartera_Polizas!$P$74-1)*MAX(0,1-0/Supuestos!$C$20))*(1-Supuestos!$C$18)^0)</f>
        <v>0.91706975</v>
      </c>
      <c r="D72" s="29" t="n">
        <f aca="false">C72*(1-MIN(1,INDEX(Tabla_Mortalidad!$B$5:$B$75,MIN(71,Cartera_Polizas!$B$74+1-49))*(1+(Cartera_Polizas!$P$74-1)*MAX(0,1-1/Supuestos!$C$20))*(1-Supuestos!$C$18)^1))</f>
        <v>0.836608229624626</v>
      </c>
      <c r="E72" s="29" t="n">
        <f aca="false">D72*(1-MIN(1,INDEX(Tabla_Mortalidad!$B$5:$B$75,MIN(71,Cartera_Polizas!$B$74+2-49))*(1+(Cartera_Polizas!$P$74-1)*MAX(0,1-2/Supuestos!$C$20))*(1-Supuestos!$C$18)^2))</f>
        <v>0.759144369556169</v>
      </c>
      <c r="F72" s="29" t="n">
        <f aca="false">E72*(1-MIN(1,INDEX(Tabla_Mortalidad!$B$5:$B$75,MIN(71,Cartera_Polizas!$B$74+3-49))*(1+(Cartera_Polizas!$P$74-1)*MAX(0,1-3/Supuestos!$C$20))*(1-Supuestos!$C$18)^3))</f>
        <v>0.685167708693981</v>
      </c>
      <c r="G72" s="29" t="n">
        <f aca="false">F72*(1-MIN(1,INDEX(Tabla_Mortalidad!$B$5:$B$75,MIN(71,Cartera_Polizas!$B$74+4-49))*(1+(Cartera_Polizas!$P$74-1)*MAX(0,1-4/Supuestos!$C$20))*(1-Supuestos!$C$18)^4))</f>
        <v>0.615115392443875</v>
      </c>
      <c r="H72" s="29" t="n">
        <f aca="false">G72*(1-MIN(1,INDEX(Tabla_Mortalidad!$B$5:$B$75,MIN(71,Cartera_Polizas!$B$74+5-49))*(1+(Cartera_Polizas!$P$74-1)*MAX(0,1-5/Supuestos!$C$20))*(1-Supuestos!$C$18)^5))</f>
        <v>0.549358541121114</v>
      </c>
      <c r="I72" s="29" t="n">
        <f aca="false">H72*(1-MIN(1,INDEX(Tabla_Mortalidad!$B$5:$B$75,MIN(71,Cartera_Polizas!$B$74+6-49))*(1+(Cartera_Polizas!$P$74-1)*MAX(0,1-6/Supuestos!$C$20))*(1-Supuestos!$C$18)^6))</f>
        <v>0.488189090833817</v>
      </c>
      <c r="J72" s="29" t="n">
        <f aca="false">I72*(1-MIN(1,INDEX(Tabla_Mortalidad!$B$5:$B$75,MIN(71,Cartera_Polizas!$B$74+7-49))*(1+(Cartera_Polizas!$P$74-1)*MAX(0,1-7/Supuestos!$C$20))*(1-Supuestos!$C$18)^7))</f>
        <v>0.431815353746688</v>
      </c>
      <c r="K72" s="29" t="n">
        <f aca="false">J72*(1-MIN(1,INDEX(Tabla_Mortalidad!$B$5:$B$75,MIN(71,Cartera_Polizas!$B$74+8-49))*(1+(Cartera_Polizas!$P$74-1)*MAX(0,1-8/Supuestos!$C$20))*(1-Supuestos!$C$18)^8))</f>
        <v>0.380359246495245</v>
      </c>
      <c r="L72" s="29" t="n">
        <f aca="false">K72*(1-MIN(1,INDEX(Tabla_Mortalidad!$B$5:$B$75,MIN(71,Cartera_Polizas!$B$74+9-49))*(1+(Cartera_Polizas!$P$74-1)*MAX(0,1-9/Supuestos!$C$20))*(1-Supuestos!$C$18)^9))</f>
        <v>0.333853343839005</v>
      </c>
      <c r="M72" s="29" t="n">
        <f aca="false">L72*(1-MIN(1,INDEX(Tabla_Mortalidad!$B$5:$B$75,MIN(71,Cartera_Polizas!$B$74+10-49))*(1+(Cartera_Polizas!$P$74-1)*MAX(0,1-10/Supuestos!$C$20))*(1-Supuestos!$C$18)^10))</f>
        <v>0.292244788824273</v>
      </c>
      <c r="N72" s="29" t="n">
        <f aca="false">M72*(1-MIN(1,INDEX(Tabla_Mortalidad!$B$5:$B$75,MIN(71,Cartera_Polizas!$B$74+11-49))*(1+(Cartera_Polizas!$P$74-1)*MAX(0,1-11/Supuestos!$C$20))*(1-Supuestos!$C$18)^11))</f>
        <v>0.255405786310174</v>
      </c>
      <c r="O72" s="29" t="n">
        <f aca="false">N72*(1-MIN(1,INDEX(Tabla_Mortalidad!$B$5:$B$75,MIN(71,Cartera_Polizas!$B$74+12-49))*(1+(Cartera_Polizas!$P$74-1)*MAX(0,1-12/Supuestos!$C$20))*(1-Supuestos!$C$18)^12))</f>
        <v>0.223141578941107</v>
      </c>
      <c r="P72" s="29" t="n">
        <f aca="false">O72*(1-MIN(1,INDEX(Tabla_Mortalidad!$B$5:$B$75,MIN(71,Cartera_Polizas!$B$74+13-49))*(1+(Cartera_Polizas!$P$74-1)*MAX(0,1-13/Supuestos!$C$20))*(1-Supuestos!$C$18)^13))</f>
        <v>0.1952076899225</v>
      </c>
      <c r="Q72" s="29" t="n">
        <f aca="false">P72*(1-MIN(1,INDEX(Tabla_Mortalidad!$B$5:$B$75,MIN(71,Cartera_Polizas!$B$74+14-49))*(1+(Cartera_Polizas!$P$74-1)*MAX(0,1-14/Supuestos!$C$20))*(1-Supuestos!$C$18)^14))</f>
        <v>0.171324458512881</v>
      </c>
      <c r="R72" s="29" t="n">
        <f aca="false">Q72*(1-MIN(1,INDEX(Tabla_Mortalidad!$B$5:$B$75,MIN(71,Cartera_Polizas!$B$74+15-49))*(1+(Cartera_Polizas!$P$74-1)*MAX(0,1-15/Supuestos!$C$20))*(1-Supuestos!$C$18)^15))</f>
        <v>0.151195617120172</v>
      </c>
      <c r="S72" s="29" t="n">
        <f aca="false">R72*(1-MIN(1,INDEX(Tabla_Mortalidad!$B$5:$B$75,MIN(71,Cartera_Polizas!$B$74+16-49))*(1+(Cartera_Polizas!$P$74-1)*MAX(0,1-16/Supuestos!$C$20))*(1-Supuestos!$C$18)^16))</f>
        <v>0.131616319027691</v>
      </c>
      <c r="T72" s="29" t="n">
        <f aca="false">S72*(1-MIN(1,INDEX(Tabla_Mortalidad!$B$5:$B$75,MIN(71,Cartera_Polizas!$B$74+17-49))*(1+(Cartera_Polizas!$P$74-1)*MAX(0,1-17/Supuestos!$C$20))*(1-Supuestos!$C$18)^17))</f>
        <v>0.112847005030177</v>
      </c>
      <c r="U72" s="29" t="n">
        <f aca="false">T72*(1-MIN(1,INDEX(Tabla_Mortalidad!$B$5:$B$75,MIN(71,Cartera_Polizas!$B$74+18-49))*(1+(Cartera_Polizas!$P$74-1)*MAX(0,1-18/Supuestos!$C$20))*(1-Supuestos!$C$18)^18))</f>
        <v>0.095142310718649</v>
      </c>
      <c r="V72" s="29" t="n">
        <f aca="false">U72*(1-MIN(1,INDEX(Tabla_Mortalidad!$B$5:$B$75,MIN(71,Cartera_Polizas!$B$74+19-49))*(1+(Cartera_Polizas!$P$74-1)*MAX(0,1-19/Supuestos!$C$20))*(1-Supuestos!$C$18)^19))</f>
        <v>0.0787375592188847</v>
      </c>
      <c r="W72" s="29" t="n">
        <f aca="false">V72*(1-MIN(1,INDEX(Tabla_Mortalidad!$B$5:$B$75,MIN(71,Cartera_Polizas!$B$74+20-49))*(1+(Cartera_Polizas!$P$74-1)*MAX(0,1-20/Supuestos!$C$20))*(1-Supuestos!$C$18)^20))</f>
        <v>0.0638349850869834</v>
      </c>
      <c r="X72" s="29" t="n">
        <f aca="false">W72*(1-MIN(1,INDEX(Tabla_Mortalidad!$B$5:$B$75,MIN(71,Cartera_Polizas!$B$74+21-49))*(1+(Cartera_Polizas!$P$74-1)*MAX(0,1-21/Supuestos!$C$20))*(1-Supuestos!$C$18)^21))</f>
        <v>0.0505900393358206</v>
      </c>
      <c r="Y72" s="29" t="n">
        <f aca="false">X72*(1-MIN(1,INDEX(Tabla_Mortalidad!$B$5:$B$75,MIN(71,Cartera_Polizas!$B$74+22-49))*(1+(Cartera_Polizas!$P$74-1)*MAX(0,1-22/Supuestos!$C$20))*(1-Supuestos!$C$18)^22))</f>
        <v>0.039099487665836</v>
      </c>
      <c r="Z72" s="29" t="n">
        <f aca="false">Y72*(1-MIN(1,INDEX(Tabla_Mortalidad!$B$5:$B$75,MIN(71,Cartera_Polizas!$B$74+23-49))*(1+(Cartera_Polizas!$P$74-1)*MAX(0,1-23/Supuestos!$C$20))*(1-Supuestos!$C$18)^23))</f>
        <v>0.029393542641794</v>
      </c>
      <c r="AA72" s="29" t="n">
        <f aca="false">Z72*(1-MIN(1,INDEX(Tabla_Mortalidad!$B$5:$B$75,MIN(71,Cartera_Polizas!$B$74+24-49))*(1+(Cartera_Polizas!$P$74-1)*MAX(0,1-24/Supuestos!$C$20))*(1-Supuestos!$C$18)^24))</f>
        <v>0.0214329911464013</v>
      </c>
      <c r="AB72" s="29" t="n">
        <f aca="false">AA72*(1-MIN(1,INDEX(Tabla_Mortalidad!$B$5:$B$75,MIN(71,Cartera_Polizas!$B$74+25-49))*(1+(Cartera_Polizas!$P$74-1)*MAX(0,1-25/Supuestos!$C$20))*(1-Supuestos!$C$18)^25))</f>
        <v>0.0151124071881607</v>
      </c>
      <c r="AC72" s="29" t="n">
        <f aca="false">AB72*(1-MIN(1,INDEX(Tabla_Mortalidad!$B$5:$B$75,MIN(71,Cartera_Polizas!$B$74+26-49))*(1+(Cartera_Polizas!$P$74-1)*MAX(0,1-26/Supuestos!$C$20))*(1-Supuestos!$C$18)^26))</f>
        <v>0.010269962330335</v>
      </c>
      <c r="AD72" s="29" t="n">
        <f aca="false">AC72*(1-MIN(1,INDEX(Tabla_Mortalidad!$B$5:$B$75,MIN(71,Cartera_Polizas!$B$74+27-49))*(1+(Cartera_Polizas!$P$74-1)*MAX(0,1-27/Supuestos!$C$20))*(1-Supuestos!$C$18)^27))</f>
        <v>0.00670264156681197</v>
      </c>
      <c r="AE72" s="29" t="n">
        <f aca="false">AD72*(1-MIN(1,INDEX(Tabla_Mortalidad!$B$5:$B$75,MIN(71,Cartera_Polizas!$B$74+28-49))*(1+(Cartera_Polizas!$P$74-1)*MAX(0,1-28/Supuestos!$C$20))*(1-Supuestos!$C$18)^28))</f>
        <v>0.00418523765938701</v>
      </c>
      <c r="AF72" s="29" t="n">
        <f aca="false">AE72*(1-MIN(1,INDEX(Tabla_Mortalidad!$B$5:$B$75,MIN(71,Cartera_Polizas!$B$74+29-49))*(1+(Cartera_Polizas!$P$74-1)*MAX(0,1-29/Supuestos!$C$20))*(1-Supuestos!$C$18)^29))</f>
        <v>0.00249031175318472</v>
      </c>
      <c r="AG72" s="29" t="n">
        <f aca="false">AF72*(1-MIN(1,INDEX(Tabla_Mortalidad!$B$5:$B$75,MIN(71,Cartera_Polizas!$B$74+30-49))*(1+(Cartera_Polizas!$P$74-1)*MAX(0,1-30/Supuestos!$C$20))*(1-Supuestos!$C$18)^30))</f>
        <v>0.00140615428442702</v>
      </c>
      <c r="AH72" s="29" t="n">
        <f aca="false">AG72*(1-MIN(1,INDEX(Tabla_Mortalidad!$B$5:$B$75,MIN(71,Cartera_Polizas!$B$74+31-49))*(1+(Cartera_Polizas!$P$74-1)*MAX(0,1-31/Supuestos!$C$20))*(1-Supuestos!$C$18)^31))</f>
        <v>0.000750228166537691</v>
      </c>
      <c r="AI72" s="29" t="n">
        <f aca="false">AH72*(1-MIN(1,INDEX(Tabla_Mortalidad!$B$5:$B$75,MIN(71,Cartera_Polizas!$B$74+32-49))*(1+(Cartera_Polizas!$P$74-1)*MAX(0,1-32/Supuestos!$C$20))*(1-Supuestos!$C$18)^32))</f>
        <v>0.000376580674226797</v>
      </c>
      <c r="AJ72" s="29" t="n">
        <f aca="false">AI72*(1-MIN(1,INDEX(Tabla_Mortalidad!$B$5:$B$75,MIN(71,Cartera_Polizas!$B$74+33-49))*(1+(Cartera_Polizas!$P$74-1)*MAX(0,1-33/Supuestos!$C$20))*(1-Supuestos!$C$18)^33))</f>
        <v>0.00017708902291766</v>
      </c>
      <c r="AK72" s="29" t="n">
        <f aca="false">AJ72*(1-MIN(1,INDEX(Tabla_Mortalidad!$B$5:$B$75,MIN(71,Cartera_Polizas!$B$74+34-49))*(1+(Cartera_Polizas!$P$74-1)*MAX(0,1-34/Supuestos!$C$20))*(1-Supuestos!$C$18)^34))</f>
        <v>7.77099182745765E-005</v>
      </c>
      <c r="AL72" s="29" t="n">
        <f aca="false">AK72*(1-MIN(1,INDEX(Tabla_Mortalidad!$B$5:$B$75,MIN(71,Cartera_Polizas!$B$74+35-49))*(1+(Cartera_Polizas!$P$74-1)*MAX(0,1-35/Supuestos!$C$20))*(1-Supuestos!$C$18)^35))</f>
        <v>3.17106931236717E-005</v>
      </c>
      <c r="AM72" s="29" t="n">
        <f aca="false">AL72*(1-MIN(1,INDEX(Tabla_Mortalidad!$B$5:$B$75,MIN(71,Cartera_Polizas!$B$74+36-49))*(1+(Cartera_Polizas!$P$74-1)*MAX(0,1-36/Supuestos!$C$20))*(1-Supuestos!$C$18)^36))</f>
        <v>1.20006869603858E-005</v>
      </c>
      <c r="AN72" s="29" t="n">
        <f aca="false">AM72*(1-MIN(1,INDEX(Tabla_Mortalidad!$B$5:$B$75,MIN(71,Cartera_Polizas!$B$74+37-49))*(1+(Cartera_Polizas!$P$74-1)*MAX(0,1-37/Supuestos!$C$20))*(1-Supuestos!$C$18)^37))</f>
        <v>4.20515523049422E-006</v>
      </c>
      <c r="AO72" s="29" t="n">
        <f aca="false">AN72*(1-MIN(1,INDEX(Tabla_Mortalidad!$B$5:$B$75,MIN(71,Cartera_Polizas!$B$74+38-49))*(1+(Cartera_Polizas!$P$74-1)*MAX(0,1-38/Supuestos!$C$20))*(1-Supuestos!$C$18)^38))</f>
        <v>1.36417835485755E-006</v>
      </c>
      <c r="AP72" s="29" t="n">
        <f aca="false">AO72*(1-MIN(1,INDEX(Tabla_Mortalidad!$B$5:$B$75,MIN(71,Cartera_Polizas!$B$74+39-49))*(1+(Cartera_Polizas!$P$74-1)*MAX(0,1-39/Supuestos!$C$20))*(1-Supuestos!$C$18)^39))</f>
        <v>4.10396660932321E-007</v>
      </c>
      <c r="AQ72" s="29" t="n">
        <f aca="false">AP72*(1-MIN(1,INDEX(Tabla_Mortalidad!$B$5:$B$75,MIN(71,Cartera_Polizas!$B$74+40-49))*(1+(Cartera_Polizas!$P$74-1)*MAX(0,1-40/Supuestos!$C$20))*(1-Supuestos!$C$18)^40))</f>
        <v>1.14929627632285E-007</v>
      </c>
      <c r="AR72" s="29" t="n">
        <f aca="false">AQ72*(1-MIN(1,INDEX(Tabla_Mortalidad!$B$5:$B$75,MIN(71,Cartera_Polizas!$B$74+41-49))*(1+(Cartera_Polizas!$P$74-1)*MAX(0,1-41/Supuestos!$C$20))*(1-Supuestos!$C$18)^41))</f>
        <v>3.01431408378832E-008</v>
      </c>
      <c r="AS72" s="29" t="n">
        <f aca="false">AR72*(1-MIN(1,INDEX(Tabla_Mortalidad!$B$5:$B$75,MIN(71,Cartera_Polizas!$B$74+42-49))*(1+(Cartera_Polizas!$P$74-1)*MAX(0,1-42/Supuestos!$C$20))*(1-Supuestos!$C$18)^42))</f>
        <v>7.4653329751555E-009</v>
      </c>
      <c r="AT72" s="29" t="n">
        <f aca="false">AS72*(1-MIN(1,INDEX(Tabla_Mortalidad!$B$5:$B$75,MIN(71,Cartera_Polizas!$B$74+43-49))*(1+(Cartera_Polizas!$P$74-1)*MAX(0,1-43/Supuestos!$C$20))*(1-Supuestos!$C$18)^43))</f>
        <v>1.76344027286244E-009</v>
      </c>
      <c r="AU72" s="29" t="n">
        <f aca="false">AT72*(1-MIN(1,INDEX(Tabla_Mortalidad!$B$5:$B$75,MIN(71,Cartera_Polizas!$B$74+44-49))*(1+(Cartera_Polizas!$P$74-1)*MAX(0,1-44/Supuestos!$C$20))*(1-Supuestos!$C$18)^44))</f>
        <v>3.49027050336282E-010</v>
      </c>
    </row>
    <row r="73" customFormat="false" ht="15" hidden="false" customHeight="false" outlineLevel="0" collapsed="false">
      <c r="A73" s="14" t="n">
        <f aca="false">Cartera_Polizas!A75</f>
        <v>70</v>
      </c>
      <c r="B73" s="26" t="n">
        <f aca="false">SUM(C73:AU73)+0.5</f>
        <v>9.10101656511559</v>
      </c>
      <c r="C73" s="29" t="n">
        <f aca="false">1-MIN(1,INDEX(Tabla_Mortalidad!$B$5:$B$75,MIN(71,Cartera_Polizas!$B$75+0-49))*(1+(Cartera_Polizas!$P$75-1)*MAX(0,1-0/Supuestos!$C$20))*(1-Supuestos!$C$18)^0)</f>
        <v>0.9368756255</v>
      </c>
      <c r="D73" s="29" t="n">
        <f aca="false">C73*(1-MIN(1,INDEX(Tabla_Mortalidad!$B$5:$B$75,MIN(71,Cartera_Polizas!$B$75+1-49))*(1+(Cartera_Polizas!$P$75-1)*MAX(0,1-1/Supuestos!$C$20))*(1-Supuestos!$C$18)^1))</f>
        <v>0.87323642539527</v>
      </c>
      <c r="E73" s="29" t="n">
        <f aca="false">D73*(1-MIN(1,INDEX(Tabla_Mortalidad!$B$5:$B$75,MIN(71,Cartera_Polizas!$B$75+2-49))*(1+(Cartera_Polizas!$P$75-1)*MAX(0,1-2/Supuestos!$C$20))*(1-Supuestos!$C$18)^2))</f>
        <v>0.80948106123786</v>
      </c>
      <c r="F73" s="29" t="n">
        <f aca="false">E73*(1-MIN(1,INDEX(Tabla_Mortalidad!$B$5:$B$75,MIN(71,Cartera_Polizas!$B$75+3-49))*(1+(Cartera_Polizas!$P$75-1)*MAX(0,1-3/Supuestos!$C$20))*(1-Supuestos!$C$18)^3))</f>
        <v>0.746034478619279</v>
      </c>
      <c r="G73" s="29" t="n">
        <f aca="false">F73*(1-MIN(1,INDEX(Tabla_Mortalidad!$B$5:$B$75,MIN(71,Cartera_Polizas!$B$75+4-49))*(1+(Cartera_Polizas!$P$75-1)*MAX(0,1-4/Supuestos!$C$20))*(1-Supuestos!$C$18)^4))</f>
        <v>0.683342872643699</v>
      </c>
      <c r="H73" s="29" t="n">
        <f aca="false">G73*(1-MIN(1,INDEX(Tabla_Mortalidad!$B$5:$B$75,MIN(71,Cartera_Polizas!$B$75+5-49))*(1+(Cartera_Polizas!$P$75-1)*MAX(0,1-5/Supuestos!$C$20))*(1-Supuestos!$C$18)^5))</f>
        <v>0.621865882086147</v>
      </c>
      <c r="I73" s="29" t="n">
        <f aca="false">H73*(1-MIN(1,INDEX(Tabla_Mortalidad!$B$5:$B$75,MIN(71,Cartera_Polizas!$B$75+6-49))*(1+(Cartera_Polizas!$P$75-1)*MAX(0,1-6/Supuestos!$C$20))*(1-Supuestos!$C$18)^6))</f>
        <v>0.562062630087249</v>
      </c>
      <c r="J73" s="29" t="n">
        <f aca="false">I73*(1-MIN(1,INDEX(Tabla_Mortalidad!$B$5:$B$75,MIN(71,Cartera_Polizas!$B$75+7-49))*(1+(Cartera_Polizas!$P$75-1)*MAX(0,1-7/Supuestos!$C$20))*(1-Supuestos!$C$18)^7))</f>
        <v>0.504379037915919</v>
      </c>
      <c r="K73" s="29" t="n">
        <f aca="false">J73*(1-MIN(1,INDEX(Tabla_Mortalidad!$B$5:$B$75,MIN(71,Cartera_Polizas!$B$75+8-49))*(1+(Cartera_Polizas!$P$75-1)*MAX(0,1-8/Supuestos!$C$20))*(1-Supuestos!$C$18)^8))</f>
        <v>0.449238250180458</v>
      </c>
      <c r="L73" s="29" t="n">
        <f aca="false">K73*(1-MIN(1,INDEX(Tabla_Mortalidad!$B$5:$B$75,MIN(71,Cartera_Polizas!$B$75+9-49))*(1+(Cartera_Polizas!$P$75-1)*MAX(0,1-9/Supuestos!$C$20))*(1-Supuestos!$C$18)^9))</f>
        <v>0.397022728234615</v>
      </c>
      <c r="M73" s="29" t="n">
        <f aca="false">L73*(1-MIN(1,INDEX(Tabla_Mortalidad!$B$5:$B$75,MIN(71,Cartera_Polizas!$B$75+10-49))*(1+(Cartera_Polizas!$P$75-1)*MAX(0,1-10/Supuestos!$C$20))*(1-Supuestos!$C$18)^10))</f>
        <v>0.348065853473824</v>
      </c>
      <c r="N73" s="29" t="n">
        <f aca="false">M73*(1-MIN(1,INDEX(Tabla_Mortalidad!$B$5:$B$75,MIN(71,Cartera_Polizas!$B$75+11-49))*(1+(Cartera_Polizas!$P$75-1)*MAX(0,1-11/Supuestos!$C$20))*(1-Supuestos!$C$18)^11))</f>
        <v>0.302637648107935</v>
      </c>
      <c r="O73" s="29" t="n">
        <f aca="false">N73*(1-MIN(1,INDEX(Tabla_Mortalidad!$B$5:$B$75,MIN(71,Cartera_Polizas!$B$75+12-49))*(1+(Cartera_Polizas!$P$75-1)*MAX(0,1-12/Supuestos!$C$20))*(1-Supuestos!$C$18)^12))</f>
        <v>0.26093651130549</v>
      </c>
      <c r="P73" s="29" t="n">
        <f aca="false">O73*(1-MIN(1,INDEX(Tabla_Mortalidad!$B$5:$B$75,MIN(71,Cartera_Polizas!$B$75+13-49))*(1+(Cartera_Polizas!$P$75-1)*MAX(0,1-13/Supuestos!$C$20))*(1-Supuestos!$C$18)^13))</f>
        <v>0.223082754997179</v>
      </c>
      <c r="Q73" s="29" t="n">
        <f aca="false">P73*(1-MIN(1,INDEX(Tabla_Mortalidad!$B$5:$B$75,MIN(71,Cartera_Polizas!$B$75+14-49))*(1+(Cartera_Polizas!$P$75-1)*MAX(0,1-14/Supuestos!$C$20))*(1-Supuestos!$C$18)^14))</f>
        <v>0.189115940531624</v>
      </c>
      <c r="R73" s="29" t="n">
        <f aca="false">Q73*(1-MIN(1,INDEX(Tabla_Mortalidad!$B$5:$B$75,MIN(71,Cartera_Polizas!$B$75+15-49))*(1+(Cartera_Polizas!$P$75-1)*MAX(0,1-15/Supuestos!$C$20))*(1-Supuestos!$C$18)^15))</f>
        <v>0.158995779457902</v>
      </c>
      <c r="S73" s="29" t="n">
        <f aca="false">R73*(1-MIN(1,INDEX(Tabla_Mortalidad!$B$5:$B$75,MIN(71,Cartera_Polizas!$B$75+16-49))*(1+(Cartera_Polizas!$P$75-1)*MAX(0,1-16/Supuestos!$C$20))*(1-Supuestos!$C$18)^16))</f>
        <v>0.131165836573274</v>
      </c>
      <c r="T73" s="29" t="n">
        <f aca="false">S73*(1-MIN(1,INDEX(Tabla_Mortalidad!$B$5:$B$75,MIN(71,Cartera_Polizas!$B$75+17-49))*(1+(Cartera_Polizas!$P$75-1)*MAX(0,1-17/Supuestos!$C$20))*(1-Supuestos!$C$18)^17))</f>
        <v>0.105964078734081</v>
      </c>
      <c r="U73" s="29" t="n">
        <f aca="false">T73*(1-MIN(1,INDEX(Tabla_Mortalidad!$B$5:$B$75,MIN(71,Cartera_Polizas!$B$75+18-49))*(1+(Cartera_Polizas!$P$75-1)*MAX(0,1-18/Supuestos!$C$20))*(1-Supuestos!$C$18)^18))</f>
        <v>0.0836447644824731</v>
      </c>
      <c r="V73" s="29" t="n">
        <f aca="false">U73*(1-MIN(1,INDEX(Tabla_Mortalidad!$B$5:$B$75,MIN(71,Cartera_Polizas!$B$75+19-49))*(1+(Cartera_Polizas!$P$75-1)*MAX(0,1-19/Supuestos!$C$20))*(1-Supuestos!$C$18)^19))</f>
        <v>0.0643586214492786</v>
      </c>
      <c r="W73" s="29" t="n">
        <f aca="false">V73*(1-MIN(1,INDEX(Tabla_Mortalidad!$B$5:$B$75,MIN(71,Cartera_Polizas!$B$75+20-49))*(1+(Cartera_Polizas!$P$75-1)*MAX(0,1-20/Supuestos!$C$20))*(1-Supuestos!$C$18)^20))</f>
        <v>0.0481403617226092</v>
      </c>
      <c r="X73" s="29" t="n">
        <f aca="false">W73*(1-MIN(1,INDEX(Tabla_Mortalidad!$B$5:$B$75,MIN(71,Cartera_Polizas!$B$75+21-49))*(1+(Cartera_Polizas!$P$75-1)*MAX(0,1-21/Supuestos!$C$20))*(1-Supuestos!$C$18)^21))</f>
        <v>0.0349051366634798</v>
      </c>
      <c r="Y73" s="29" t="n">
        <f aca="false">X73*(1-MIN(1,INDEX(Tabla_Mortalidad!$B$5:$B$75,MIN(71,Cartera_Polizas!$B$75+22-49))*(1+(Cartera_Polizas!$P$75-1)*MAX(0,1-22/Supuestos!$C$20))*(1-Supuestos!$C$18)^22))</f>
        <v>0.0244556604791067</v>
      </c>
      <c r="Z73" s="29" t="n">
        <f aca="false">Y73*(1-MIN(1,INDEX(Tabla_Mortalidad!$B$5:$B$75,MIN(71,Cartera_Polizas!$B$75+23-49))*(1+(Cartera_Polizas!$P$75-1)*MAX(0,1-23/Supuestos!$C$20))*(1-Supuestos!$C$18)^23))</f>
        <v>0.0165006420248935</v>
      </c>
      <c r="AA73" s="29" t="n">
        <f aca="false">Z73*(1-MIN(1,INDEX(Tabla_Mortalidad!$B$5:$B$75,MIN(71,Cartera_Polizas!$B$75+24-49))*(1+(Cartera_Polizas!$P$75-1)*MAX(0,1-24/Supuestos!$C$20))*(1-Supuestos!$C$18)^24))</f>
        <v>0.0106822241159023</v>
      </c>
      <c r="AB73" s="29" t="n">
        <f aca="false">AA73*(1-MIN(1,INDEX(Tabla_Mortalidad!$B$5:$B$75,MIN(71,Cartera_Polizas!$B$75+25-49))*(1+(Cartera_Polizas!$P$75-1)*MAX(0,1-25/Supuestos!$C$20))*(1-Supuestos!$C$18)^25))</f>
        <v>0.00660936535755746</v>
      </c>
      <c r="AC73" s="29" t="n">
        <f aca="false">AB73*(1-MIN(1,INDEX(Tabla_Mortalidad!$B$5:$B$75,MIN(71,Cartera_Polizas!$B$75+26-49))*(1+(Cartera_Polizas!$P$75-1)*MAX(0,1-26/Supuestos!$C$20))*(1-Supuestos!$C$18)^26))</f>
        <v>0.00389216845536403</v>
      </c>
      <c r="AD73" s="29" t="n">
        <f aca="false">AC73*(1-MIN(1,INDEX(Tabla_Mortalidad!$B$5:$B$75,MIN(71,Cartera_Polizas!$B$75+27-49))*(1+(Cartera_Polizas!$P$75-1)*MAX(0,1-27/Supuestos!$C$20))*(1-Supuestos!$C$18)^27))</f>
        <v>0.00217203939096305</v>
      </c>
      <c r="AE73" s="29" t="n">
        <f aca="false">AD73*(1-MIN(1,INDEX(Tabla_Mortalidad!$B$5:$B$75,MIN(71,Cartera_Polizas!$B$75+28-49))*(1+(Cartera_Polizas!$P$75-1)*MAX(0,1-28/Supuestos!$C$20))*(1-Supuestos!$C$18)^28))</f>
        <v>0.00114350124188086</v>
      </c>
      <c r="AF73" s="29" t="n">
        <f aca="false">AE73*(1-MIN(1,INDEX(Tabla_Mortalidad!$B$5:$B$75,MIN(71,Cartera_Polizas!$B$75+29-49))*(1+(Cartera_Polizas!$P$75-1)*MAX(0,1-29/Supuestos!$C$20))*(1-Supuestos!$C$18)^29))</f>
        <v>0.000565357132563194</v>
      </c>
      <c r="AG73" s="29" t="n">
        <f aca="false">AF73*(1-MIN(1,INDEX(Tabla_Mortalidad!$B$5:$B$75,MIN(71,Cartera_Polizas!$B$75+30-49))*(1+(Cartera_Polizas!$P$75-1)*MAX(0,1-30/Supuestos!$C$20))*(1-Supuestos!$C$18)^30))</f>
        <v>0.000261324409009721</v>
      </c>
      <c r="AH73" s="29" t="n">
        <f aca="false">AG73*(1-MIN(1,INDEX(Tabla_Mortalidad!$B$5:$B$75,MIN(71,Cartera_Polizas!$B$75+31-49))*(1+(Cartera_Polizas!$P$75-1)*MAX(0,1-31/Supuestos!$C$20))*(1-Supuestos!$C$18)^31))</f>
        <v>0.000112452014905172</v>
      </c>
      <c r="AI73" s="29" t="n">
        <f aca="false">AH73*(1-MIN(1,INDEX(Tabla_Mortalidad!$B$5:$B$75,MIN(71,Cartera_Polizas!$B$75+32-49))*(1+(Cartera_Polizas!$P$75-1)*MAX(0,1-32/Supuestos!$C$20))*(1-Supuestos!$C$18)^32))</f>
        <v>4.48791918637546E-005</v>
      </c>
      <c r="AJ73" s="29" t="n">
        <f aca="false">AI73*(1-MIN(1,INDEX(Tabla_Mortalidad!$B$5:$B$75,MIN(71,Cartera_Polizas!$B$75+33-49))*(1+(Cartera_Polizas!$P$75-1)*MAX(0,1-33/Supuestos!$C$20))*(1-Supuestos!$C$18)^33))</f>
        <v>1.65615678561582E-005</v>
      </c>
      <c r="AK73" s="29" t="n">
        <f aca="false">AJ73*(1-MIN(1,INDEX(Tabla_Mortalidad!$B$5:$B$75,MIN(71,Cartera_Polizas!$B$75+34-49))*(1+(Cartera_Polizas!$P$75-1)*MAX(0,1-34/Supuestos!$C$20))*(1-Supuestos!$C$18)^34))</f>
        <v>5.64033058834976E-006</v>
      </c>
      <c r="AL73" s="29" t="n">
        <f aca="false">AK73*(1-MIN(1,INDEX(Tabla_Mortalidad!$B$5:$B$75,MIN(71,Cartera_Polizas!$B$75+35-49))*(1+(Cartera_Polizas!$P$75-1)*MAX(0,1-35/Supuestos!$C$20))*(1-Supuestos!$C$18)^35))</f>
        <v>1.772023141639E-006</v>
      </c>
      <c r="AM73" s="29" t="n">
        <f aca="false">AL73*(1-MIN(1,INDEX(Tabla_Mortalidad!$B$5:$B$75,MIN(71,Cartera_Polizas!$B$75+36-49))*(1+(Cartera_Polizas!$P$75-1)*MAX(0,1-36/Supuestos!$C$20))*(1-Supuestos!$C$18)^36))</f>
        <v>5.14320493595167E-007</v>
      </c>
      <c r="AN73" s="29" t="n">
        <f aca="false">AM73*(1-MIN(1,INDEX(Tabla_Mortalidad!$B$5:$B$75,MIN(71,Cartera_Polizas!$B$75+37-49))*(1+(Cartera_Polizas!$P$75-1)*MAX(0,1-37/Supuestos!$C$20))*(1-Supuestos!$C$18)^37))</f>
        <v>1.38422679473471E-007</v>
      </c>
      <c r="AO73" s="29" t="n">
        <f aca="false">AN73*(1-MIN(1,INDEX(Tabla_Mortalidad!$B$5:$B$75,MIN(71,Cartera_Polizas!$B$75+38-49))*(1+(Cartera_Polizas!$P$75-1)*MAX(0,1-38/Supuestos!$C$20))*(1-Supuestos!$C$18)^38))</f>
        <v>3.475756058182E-008</v>
      </c>
      <c r="AP73" s="29" t="n">
        <f aca="false">AO73*(1-MIN(1,INDEX(Tabla_Mortalidad!$B$5:$B$75,MIN(71,Cartera_Polizas!$B$75+39-49))*(1+(Cartera_Polizas!$P$75-1)*MAX(0,1-39/Supuestos!$C$20))*(1-Supuestos!$C$18)^39))</f>
        <v>8.21195637022574E-009</v>
      </c>
      <c r="AQ73" s="29" t="n">
        <f aca="false">AP73*(1-MIN(1,INDEX(Tabla_Mortalidad!$B$5:$B$75,MIN(71,Cartera_Polizas!$B$75+40-49))*(1+(Cartera_Polizas!$P$75-1)*MAX(0,1-40/Supuestos!$C$20))*(1-Supuestos!$C$18)^40))</f>
        <v>1.84477459890881E-009</v>
      </c>
      <c r="AR73" s="29" t="n">
        <f aca="false">AQ73*(1-MIN(1,INDEX(Tabla_Mortalidad!$B$5:$B$75,MIN(71,Cartera_Polizas!$B$75+41-49))*(1+(Cartera_Polizas!$P$75-1)*MAX(0,1-41/Supuestos!$C$20))*(1-Supuestos!$C$18)^41))</f>
        <v>3.4270650673539E-010</v>
      </c>
      <c r="AS73" s="29" t="n">
        <f aca="false">AR73*(1-MIN(1,INDEX(Tabla_Mortalidad!$B$5:$B$75,MIN(71,Cartera_Polizas!$B$75+42-49))*(1+(Cartera_Polizas!$P$75-1)*MAX(0,1-42/Supuestos!$C$20))*(1-Supuestos!$C$18)^42))</f>
        <v>6.50603018783457E-011</v>
      </c>
      <c r="AT73" s="29" t="n">
        <f aca="false">AS73*(1-MIN(1,INDEX(Tabla_Mortalidad!$B$5:$B$75,MIN(71,Cartera_Polizas!$B$75+43-49))*(1+(Cartera_Polizas!$P$75-1)*MAX(0,1-43/Supuestos!$C$20))*(1-Supuestos!$C$18)^43))</f>
        <v>1.26147637265503E-011</v>
      </c>
      <c r="AU73" s="29" t="n">
        <f aca="false">AT73*(1-MIN(1,INDEX(Tabla_Mortalidad!$B$5:$B$75,MIN(71,Cartera_Polizas!$B$75+44-49))*(1+(Cartera_Polizas!$P$75-1)*MAX(0,1-44/Supuestos!$C$20))*(1-Supuestos!$C$18)^44))</f>
        <v>2.49676376451363E-012</v>
      </c>
    </row>
    <row r="74" customFormat="false" ht="15" hidden="false" customHeight="false" outlineLevel="0" collapsed="false">
      <c r="A74" s="14" t="n">
        <f aca="false">Cartera_Polizas!A76</f>
        <v>71</v>
      </c>
      <c r="B74" s="26" t="n">
        <f aca="false">SUM(C74:AU74)+0.5</f>
        <v>6.77038770327301</v>
      </c>
      <c r="C74" s="29" t="n">
        <f aca="false">1-MIN(1,INDEX(Tabla_Mortalidad!$B$5:$B$75,MIN(71,Cartera_Polizas!$B$76+0-49))*(1+(Cartera_Polizas!$P$76-1)*MAX(0,1-0/Supuestos!$C$20))*(1-Supuestos!$C$18)^0)</f>
        <v>0.915439375</v>
      </c>
      <c r="D74" s="29" t="n">
        <f aca="false">C74*(1-MIN(1,INDEX(Tabla_Mortalidad!$B$5:$B$75,MIN(71,Cartera_Polizas!$B$76+1-49))*(1+(Cartera_Polizas!$P$76-1)*MAX(0,1-1/Supuestos!$C$20))*(1-Supuestos!$C$18)^1))</f>
        <v>0.83047957065446</v>
      </c>
      <c r="E74" s="29" t="n">
        <f aca="false">D74*(1-MIN(1,INDEX(Tabla_Mortalidad!$B$5:$B$75,MIN(71,Cartera_Polizas!$B$76+2-49))*(1+(Cartera_Polizas!$P$76-1)*MAX(0,1-2/Supuestos!$C$20))*(1-Supuestos!$C$18)^2))</f>
        <v>0.745934066896523</v>
      </c>
      <c r="F74" s="29" t="n">
        <f aca="false">E74*(1-MIN(1,INDEX(Tabla_Mortalidad!$B$5:$B$75,MIN(71,Cartera_Polizas!$B$76+3-49))*(1+(Cartera_Polizas!$P$76-1)*MAX(0,1-3/Supuestos!$C$20))*(1-Supuestos!$C$18)^3))</f>
        <v>0.662688398582382</v>
      </c>
      <c r="G74" s="29" t="n">
        <f aca="false">F74*(1-MIN(1,INDEX(Tabla_Mortalidad!$B$5:$B$75,MIN(71,Cartera_Polizas!$B$76+4-49))*(1+(Cartera_Polizas!$P$76-1)*MAX(0,1-4/Supuestos!$C$20))*(1-Supuestos!$C$18)^4))</f>
        <v>0.581672406232588</v>
      </c>
      <c r="H74" s="29" t="n">
        <f aca="false">G74*(1-MIN(1,INDEX(Tabla_Mortalidad!$B$5:$B$75,MIN(71,Cartera_Polizas!$B$76+5-49))*(1+(Cartera_Polizas!$P$76-1)*MAX(0,1-5/Supuestos!$C$20))*(1-Supuestos!$C$18)^5))</f>
        <v>0.503831269272744</v>
      </c>
      <c r="I74" s="29" t="n">
        <f aca="false">H74*(1-MIN(1,INDEX(Tabla_Mortalidad!$B$5:$B$75,MIN(71,Cartera_Polizas!$B$76+6-49))*(1+(Cartera_Polizas!$P$76-1)*MAX(0,1-6/Supuestos!$C$20))*(1-Supuestos!$C$18)^6))</f>
        <v>0.430088288045413</v>
      </c>
      <c r="J74" s="29" t="n">
        <f aca="false">I74*(1-MIN(1,INDEX(Tabla_Mortalidad!$B$5:$B$75,MIN(71,Cartera_Polizas!$B$76+7-49))*(1+(Cartera_Polizas!$P$76-1)*MAX(0,1-7/Supuestos!$C$20))*(1-Supuestos!$C$18)^7))</f>
        <v>0.361303216766872</v>
      </c>
      <c r="K74" s="29" t="n">
        <f aca="false">J74*(1-MIN(1,INDEX(Tabla_Mortalidad!$B$5:$B$75,MIN(71,Cartera_Polizas!$B$76+8-49))*(1+(Cartera_Polizas!$P$76-1)*MAX(0,1-8/Supuestos!$C$20))*(1-Supuestos!$C$18)^8))</f>
        <v>0.298227544065627</v>
      </c>
      <c r="L74" s="29" t="n">
        <f aca="false">K74*(1-MIN(1,INDEX(Tabla_Mortalidad!$B$5:$B$75,MIN(71,Cartera_Polizas!$B$76+9-49))*(1+(Cartera_Polizas!$P$76-1)*MAX(0,1-9/Supuestos!$C$20))*(1-Supuestos!$C$18)^9))</f>
        <v>0.241459725624536</v>
      </c>
      <c r="M74" s="29" t="n">
        <f aca="false">L74*(1-MIN(1,INDEX(Tabla_Mortalidad!$B$5:$B$75,MIN(71,Cartera_Polizas!$B$76+10-49))*(1+(Cartera_Polizas!$P$76-1)*MAX(0,1-10/Supuestos!$C$20))*(1-Supuestos!$C$18)^10))</f>
        <v>0.191407660014063</v>
      </c>
      <c r="N74" s="29" t="n">
        <f aca="false">M74*(1-MIN(1,INDEX(Tabla_Mortalidad!$B$5:$B$75,MIN(71,Cartera_Polizas!$B$76+11-49))*(1+(Cartera_Polizas!$P$76-1)*MAX(0,1-11/Supuestos!$C$20))*(1-Supuestos!$C$18)^11))</f>
        <v>0.148259690001934</v>
      </c>
      <c r="O74" s="29" t="n">
        <f aca="false">N74*(1-MIN(1,INDEX(Tabla_Mortalidad!$B$5:$B$75,MIN(71,Cartera_Polizas!$B$76+12-49))*(1+(Cartera_Polizas!$P$76-1)*MAX(0,1-12/Supuestos!$C$20))*(1-Supuestos!$C$18)^12))</f>
        <v>0.111969268823719</v>
      </c>
      <c r="P74" s="29" t="n">
        <f aca="false">O74*(1-MIN(1,INDEX(Tabla_Mortalidad!$B$5:$B$75,MIN(71,Cartera_Polizas!$B$76+13-49))*(1+(Cartera_Polizas!$P$76-1)*MAX(0,1-13/Supuestos!$C$20))*(1-Supuestos!$C$18)^13))</f>
        <v>0.0822585349191192</v>
      </c>
      <c r="Q74" s="29" t="n">
        <f aca="false">P74*(1-MIN(1,INDEX(Tabla_Mortalidad!$B$5:$B$75,MIN(71,Cartera_Polizas!$B$76+14-49))*(1+(Cartera_Polizas!$P$76-1)*MAX(0,1-14/Supuestos!$C$20))*(1-Supuestos!$C$18)^14))</f>
        <v>0.0586404048129318</v>
      </c>
      <c r="R74" s="29" t="n">
        <f aca="false">Q74*(1-MIN(1,INDEX(Tabla_Mortalidad!$B$5:$B$75,MIN(71,Cartera_Polizas!$B$76+15-49))*(1+(Cartera_Polizas!$P$76-1)*MAX(0,1-15/Supuestos!$C$20))*(1-Supuestos!$C$18)^15))</f>
        <v>0.040458450076557</v>
      </c>
      <c r="S74" s="29" t="n">
        <f aca="false">R74*(1-MIN(1,INDEX(Tabla_Mortalidad!$B$5:$B$75,MIN(71,Cartera_Polizas!$B$76+16-49))*(1+(Cartera_Polizas!$P$76-1)*MAX(0,1-16/Supuestos!$C$20))*(1-Supuestos!$C$18)^16))</f>
        <v>0.0268280227617018</v>
      </c>
      <c r="T74" s="29" t="n">
        <f aca="false">S74*(1-MIN(1,INDEX(Tabla_Mortalidad!$B$5:$B$75,MIN(71,Cartera_Polizas!$B$76+17-49))*(1+(Cartera_Polizas!$P$76-1)*MAX(0,1-17/Supuestos!$C$20))*(1-Supuestos!$C$18)^17))</f>
        <v>0.0170301641133603</v>
      </c>
      <c r="U74" s="29" t="n">
        <f aca="false">T74*(1-MIN(1,INDEX(Tabla_Mortalidad!$B$5:$B$75,MIN(71,Cartera_Polizas!$B$76+18-49))*(1+(Cartera_Polizas!$P$76-1)*MAX(0,1-18/Supuestos!$C$20))*(1-Supuestos!$C$18)^18))</f>
        <v>0.0103051231799154</v>
      </c>
      <c r="V74" s="29" t="n">
        <f aca="false">U74*(1-MIN(1,INDEX(Tabla_Mortalidad!$B$5:$B$75,MIN(71,Cartera_Polizas!$B$76+19-49))*(1+(Cartera_Polizas!$P$76-1)*MAX(0,1-19/Supuestos!$C$20))*(1-Supuestos!$C$18)^19))</f>
        <v>0.00591726105083829</v>
      </c>
      <c r="W74" s="29" t="n">
        <f aca="false">V74*(1-MIN(1,INDEX(Tabla_Mortalidad!$B$5:$B$75,MIN(71,Cartera_Polizas!$B$76+20-49))*(1+(Cartera_Polizas!$P$76-1)*MAX(0,1-20/Supuestos!$C$20))*(1-Supuestos!$C$18)^20))</f>
        <v>0.00320876273619888</v>
      </c>
      <c r="X74" s="29" t="n">
        <f aca="false">W74*(1-MIN(1,INDEX(Tabla_Mortalidad!$B$5:$B$75,MIN(71,Cartera_Polizas!$B$76+21-49))*(1+(Cartera_Polizas!$P$76-1)*MAX(0,1-21/Supuestos!$C$20))*(1-Supuestos!$C$18)^21))</f>
        <v>0.00163503808522463</v>
      </c>
      <c r="Y74" s="29" t="n">
        <f aca="false">X74*(1-MIN(1,INDEX(Tabla_Mortalidad!$B$5:$B$75,MIN(71,Cartera_Polizas!$B$76+22-49))*(1+(Cartera_Polizas!$P$76-1)*MAX(0,1-22/Supuestos!$C$20))*(1-Supuestos!$C$18)^22))</f>
        <v>0.000778856717639785</v>
      </c>
      <c r="Z74" s="29" t="n">
        <f aca="false">Y74*(1-MIN(1,INDEX(Tabla_Mortalidad!$B$5:$B$75,MIN(71,Cartera_Polizas!$B$76+23-49))*(1+(Cartera_Polizas!$P$76-1)*MAX(0,1-23/Supuestos!$C$20))*(1-Supuestos!$C$18)^23))</f>
        <v>0.000345052810571374</v>
      </c>
      <c r="AA74" s="29" t="n">
        <f aca="false">Z74*(1-MIN(1,INDEX(Tabla_Mortalidad!$B$5:$B$75,MIN(71,Cartera_Polizas!$B$76+24-49))*(1+(Cartera_Polizas!$P$76-1)*MAX(0,1-24/Supuestos!$C$20))*(1-Supuestos!$C$18)^24))</f>
        <v>0.000141461986773369</v>
      </c>
      <c r="AB74" s="29" t="n">
        <f aca="false">AA74*(1-MIN(1,INDEX(Tabla_Mortalidad!$B$5:$B$75,MIN(71,Cartera_Polizas!$B$76+25-49))*(1+(Cartera_Polizas!$P$76-1)*MAX(0,1-25/Supuestos!$C$20))*(1-Supuestos!$C$18)^25))</f>
        <v>5.34213835114651E-005</v>
      </c>
      <c r="AC74" s="29" t="n">
        <f aca="false">AB74*(1-MIN(1,INDEX(Tabla_Mortalidad!$B$5:$B$75,MIN(71,Cartera_Polizas!$B$76+26-49))*(1+(Cartera_Polizas!$P$76-1)*MAX(0,1-26/Supuestos!$C$20))*(1-Supuestos!$C$18)^26))</f>
        <v>1.8510137531559E-005</v>
      </c>
      <c r="AD74" s="29" t="n">
        <f aca="false">AC74*(1-MIN(1,INDEX(Tabla_Mortalidad!$B$5:$B$75,MIN(71,Cartera_Polizas!$B$76+27-49))*(1+(Cartera_Polizas!$P$76-1)*MAX(0,1-27/Supuestos!$C$20))*(1-Supuestos!$C$18)^27))</f>
        <v>5.86805927194953E-006</v>
      </c>
      <c r="AE74" s="29" t="n">
        <f aca="false">AD74*(1-MIN(1,INDEX(Tabla_Mortalidad!$B$5:$B$75,MIN(71,Cartera_Polizas!$B$76+28-49))*(1+(Cartera_Polizas!$P$76-1)*MAX(0,1-28/Supuestos!$C$20))*(1-Supuestos!$C$18)^28))</f>
        <v>1.6998515762627E-006</v>
      </c>
      <c r="AF74" s="29" t="n">
        <f aca="false">AE74*(1-MIN(1,INDEX(Tabla_Mortalidad!$B$5:$B$75,MIN(71,Cartera_Polizas!$B$76+29-49))*(1+(Cartera_Polizas!$P$76-1)*MAX(0,1-29/Supuestos!$C$20))*(1-Supuestos!$C$18)^29))</f>
        <v>4.50288961670838E-007</v>
      </c>
      <c r="AG74" s="29" t="n">
        <f aca="false">AF74*(1-MIN(1,INDEX(Tabla_Mortalidad!$B$5:$B$75,MIN(71,Cartera_Polizas!$B$76+30-49))*(1+(Cartera_Polizas!$P$76-1)*MAX(0,1-30/Supuestos!$C$20))*(1-Supuestos!$C$18)^30))</f>
        <v>1.094370717723E-007</v>
      </c>
      <c r="AH74" s="29" t="n">
        <f aca="false">AG74*(1-MIN(1,INDEX(Tabla_Mortalidad!$B$5:$B$75,MIN(71,Cartera_Polizas!$B$76+31-49))*(1+(Cartera_Polizas!$P$76-1)*MAX(0,1-31/Supuestos!$C$20))*(1-Supuestos!$C$18)^31))</f>
        <v>2.45525908544135E-008</v>
      </c>
      <c r="AI74" s="29" t="n">
        <f aca="false">AH74*(1-MIN(1,INDEX(Tabla_Mortalidad!$B$5:$B$75,MIN(71,Cartera_Polizas!$B$76+32-49))*(1+(Cartera_Polizas!$P$76-1)*MAX(0,1-32/Supuestos!$C$20))*(1-Supuestos!$C$18)^32))</f>
        <v>5.13125547231124E-009</v>
      </c>
      <c r="AJ74" s="29" t="n">
        <f aca="false">AI74*(1-MIN(1,INDEX(Tabla_Mortalidad!$B$5:$B$75,MIN(71,Cartera_Polizas!$B$76+33-49))*(1+(Cartera_Polizas!$P$76-1)*MAX(0,1-33/Supuestos!$C$20))*(1-Supuestos!$C$18)^33))</f>
        <v>1.01063432116781E-009</v>
      </c>
      <c r="AK74" s="29" t="n">
        <f aca="false">AJ74*(1-MIN(1,INDEX(Tabla_Mortalidad!$B$5:$B$75,MIN(71,Cartera_Polizas!$B$76+34-49))*(1+(Cartera_Polizas!$P$76-1)*MAX(0,1-34/Supuestos!$C$20))*(1-Supuestos!$C$18)^34))</f>
        <v>1.58361207457748E-010</v>
      </c>
      <c r="AL74" s="29" t="n">
        <f aca="false">AK74*(1-MIN(1,INDEX(Tabla_Mortalidad!$B$5:$B$75,MIN(71,Cartera_Polizas!$B$76+35-49))*(1+(Cartera_Polizas!$P$76-1)*MAX(0,1-35/Supuestos!$C$20))*(1-Supuestos!$C$18)^35))</f>
        <v>2.54821219554193E-011</v>
      </c>
      <c r="AM74" s="29" t="n">
        <f aca="false">AL74*(1-MIN(1,INDEX(Tabla_Mortalidad!$B$5:$B$75,MIN(71,Cartera_Polizas!$B$76+36-49))*(1+(Cartera_Polizas!$P$76-1)*MAX(0,1-36/Supuestos!$C$20))*(1-Supuestos!$C$18)^36))</f>
        <v>4.20727244605721E-012</v>
      </c>
      <c r="AN74" s="29" t="n">
        <f aca="false">AM74*(1-MIN(1,INDEX(Tabla_Mortalidad!$B$5:$B$75,MIN(71,Cartera_Polizas!$B$76+37-49))*(1+(Cartera_Polizas!$P$76-1)*MAX(0,1-37/Supuestos!$C$20))*(1-Supuestos!$C$18)^37))</f>
        <v>7.12212542887009E-013</v>
      </c>
      <c r="AO74" s="29" t="n">
        <f aca="false">AN74*(1-MIN(1,INDEX(Tabla_Mortalidad!$B$5:$B$75,MIN(71,Cartera_Polizas!$B$76+38-49))*(1+(Cartera_Polizas!$P$76-1)*MAX(0,1-38/Supuestos!$C$20))*(1-Supuestos!$C$18)^38))</f>
        <v>1.23522505474657E-013</v>
      </c>
      <c r="AP74" s="29" t="n">
        <f aca="false">AO74*(1-MIN(1,INDEX(Tabla_Mortalidad!$B$5:$B$75,MIN(71,Cartera_Polizas!$B$76+39-49))*(1+(Cartera_Polizas!$P$76-1)*MAX(0,1-39/Supuestos!$C$20))*(1-Supuestos!$C$18)^39))</f>
        <v>2.19336093650638E-014</v>
      </c>
      <c r="AQ74" s="29" t="n">
        <f aca="false">AP74*(1-MIN(1,INDEX(Tabla_Mortalidad!$B$5:$B$75,MIN(71,Cartera_Polizas!$B$76+40-49))*(1+(Cartera_Polizas!$P$76-1)*MAX(0,1-40/Supuestos!$C$20))*(1-Supuestos!$C$18)^40))</f>
        <v>3.98489549498073E-015</v>
      </c>
      <c r="AR74" s="29" t="n">
        <f aca="false">AQ74*(1-MIN(1,INDEX(Tabla_Mortalidad!$B$5:$B$75,MIN(71,Cartera_Polizas!$B$76+41-49))*(1+(Cartera_Polizas!$P$76-1)*MAX(0,1-41/Supuestos!$C$20))*(1-Supuestos!$C$18)^41))</f>
        <v>7.40279932083966E-016</v>
      </c>
      <c r="AS74" s="29" t="n">
        <f aca="false">AR74*(1-MIN(1,INDEX(Tabla_Mortalidad!$B$5:$B$75,MIN(71,Cartera_Polizas!$B$76+42-49))*(1+(Cartera_Polizas!$P$76-1)*MAX(0,1-42/Supuestos!$C$20))*(1-Supuestos!$C$18)^42))</f>
        <v>1.40536683457404E-016</v>
      </c>
      <c r="AT74" s="29" t="n">
        <f aca="false">AS74*(1-MIN(1,INDEX(Tabla_Mortalidad!$B$5:$B$75,MIN(71,Cartera_Polizas!$B$76+43-49))*(1+(Cartera_Polizas!$P$76-1)*MAX(0,1-43/Supuestos!$C$20))*(1-Supuestos!$C$18)^43))</f>
        <v>2.7249136655454E-017</v>
      </c>
      <c r="AU74" s="29" t="n">
        <f aca="false">AT74*(1-MIN(1,INDEX(Tabla_Mortalidad!$B$5:$B$75,MIN(71,Cartera_Polizas!$B$76+44-49))*(1+(Cartera_Polizas!$P$76-1)*MAX(0,1-44/Supuestos!$C$20))*(1-Supuestos!$C$18)^44))</f>
        <v>5.39325654371356E-018</v>
      </c>
    </row>
    <row r="75" customFormat="false" ht="15" hidden="false" customHeight="false" outlineLevel="0" collapsed="false">
      <c r="A75" s="14" t="n">
        <f aca="false">Cartera_Polizas!A77</f>
        <v>72</v>
      </c>
      <c r="B75" s="26" t="n">
        <f aca="false">SUM(C75:AU75)+0.5</f>
        <v>13.8342577495958</v>
      </c>
      <c r="C75" s="29" t="n">
        <f aca="false">1-MIN(1,INDEX(Tabla_Mortalidad!$B$5:$B$75,MIN(71,Cartera_Polizas!$B$77+0-49))*(1+(Cartera_Polizas!$P$77-1)*MAX(0,1-0/Supuestos!$C$20))*(1-Supuestos!$C$18)^0)</f>
        <v>0.969237577</v>
      </c>
      <c r="D75" s="29" t="n">
        <f aca="false">C75*(1-MIN(1,INDEX(Tabla_Mortalidad!$B$5:$B$75,MIN(71,Cartera_Polizas!$B$77+1-49))*(1+(Cartera_Polizas!$P$77-1)*MAX(0,1-1/Supuestos!$C$20))*(1-Supuestos!$C$18)^1))</f>
        <v>0.937035244724585</v>
      </c>
      <c r="E75" s="29" t="n">
        <f aca="false">D75*(1-MIN(1,INDEX(Tabla_Mortalidad!$B$5:$B$75,MIN(71,Cartera_Polizas!$B$77+2-49))*(1+(Cartera_Polizas!$P$77-1)*MAX(0,1-2/Supuestos!$C$20))*(1-Supuestos!$C$18)^2))</f>
        <v>0.903437820635909</v>
      </c>
      <c r="F75" s="29" t="n">
        <f aca="false">E75*(1-MIN(1,INDEX(Tabla_Mortalidad!$B$5:$B$75,MIN(71,Cartera_Polizas!$B$77+3-49))*(1+(Cartera_Polizas!$P$77-1)*MAX(0,1-3/Supuestos!$C$20))*(1-Supuestos!$C$18)^3))</f>
        <v>0.868514543446228</v>
      </c>
      <c r="G75" s="29" t="n">
        <f aca="false">F75*(1-MIN(1,INDEX(Tabla_Mortalidad!$B$5:$B$75,MIN(71,Cartera_Polizas!$B$77+4-49))*(1+(Cartera_Polizas!$P$77-1)*MAX(0,1-4/Supuestos!$C$20))*(1-Supuestos!$C$18)^4))</f>
        <v>0.832354019475417</v>
      </c>
      <c r="H75" s="29" t="n">
        <f aca="false">G75*(1-MIN(1,INDEX(Tabla_Mortalidad!$B$5:$B$75,MIN(71,Cartera_Polizas!$B$77+5-49))*(1+(Cartera_Polizas!$P$77-1)*MAX(0,1-5/Supuestos!$C$20))*(1-Supuestos!$C$18)^5))</f>
        <v>0.795067260625691</v>
      </c>
      <c r="I75" s="29" t="n">
        <f aca="false">H75*(1-MIN(1,INDEX(Tabla_Mortalidad!$B$5:$B$75,MIN(71,Cartera_Polizas!$B$77+6-49))*(1+(Cartera_Polizas!$P$77-1)*MAX(0,1-6/Supuestos!$C$20))*(1-Supuestos!$C$18)^6))</f>
        <v>0.756788931807856</v>
      </c>
      <c r="J75" s="29" t="n">
        <f aca="false">I75*(1-MIN(1,INDEX(Tabla_Mortalidad!$B$5:$B$75,MIN(71,Cartera_Polizas!$B$77+7-49))*(1+(Cartera_Polizas!$P$77-1)*MAX(0,1-7/Supuestos!$C$20))*(1-Supuestos!$C$18)^7))</f>
        <v>0.717678157483747</v>
      </c>
      <c r="K75" s="29" t="n">
        <f aca="false">J75*(1-MIN(1,INDEX(Tabla_Mortalidad!$B$5:$B$75,MIN(71,Cartera_Polizas!$B$77+8-49))*(1+(Cartera_Polizas!$P$77-1)*MAX(0,1-8/Supuestos!$C$20))*(1-Supuestos!$C$18)^8))</f>
        <v>0.677917731981765</v>
      </c>
      <c r="L75" s="29" t="n">
        <f aca="false">K75*(1-MIN(1,INDEX(Tabla_Mortalidad!$B$5:$B$75,MIN(71,Cartera_Polizas!$B$77+9-49))*(1+(Cartera_Polizas!$P$77-1)*MAX(0,1-9/Supuestos!$C$20))*(1-Supuestos!$C$18)^9))</f>
        <v>0.637711237304272</v>
      </c>
      <c r="M75" s="29" t="n">
        <f aca="false">L75*(1-MIN(1,INDEX(Tabla_Mortalidad!$B$5:$B$75,MIN(71,Cartera_Polizas!$B$77+10-49))*(1+(Cartera_Polizas!$P$77-1)*MAX(0,1-10/Supuestos!$C$20))*(1-Supuestos!$C$18)^10))</f>
        <v>0.597282578459789</v>
      </c>
      <c r="N75" s="29" t="n">
        <f aca="false">M75*(1-MIN(1,INDEX(Tabla_Mortalidad!$B$5:$B$75,MIN(71,Cartera_Polizas!$B$77+11-49))*(1+(Cartera_Polizas!$P$77-1)*MAX(0,1-11/Supuestos!$C$20))*(1-Supuestos!$C$18)^11))</f>
        <v>0.556874106721923</v>
      </c>
      <c r="O75" s="29" t="n">
        <f aca="false">N75*(1-MIN(1,INDEX(Tabla_Mortalidad!$B$5:$B$75,MIN(71,Cartera_Polizas!$B$77+12-49))*(1+(Cartera_Polizas!$P$77-1)*MAX(0,1-12/Supuestos!$C$20))*(1-Supuestos!$C$18)^12))</f>
        <v>0.516740884932201</v>
      </c>
      <c r="P75" s="29" t="n">
        <f aca="false">O75*(1-MIN(1,INDEX(Tabla_Mortalidad!$B$5:$B$75,MIN(71,Cartera_Polizas!$B$77+13-49))*(1+(Cartera_Polizas!$P$77-1)*MAX(0,1-13/Supuestos!$C$20))*(1-Supuestos!$C$18)^13))</f>
        <v>0.477145548096887</v>
      </c>
      <c r="Q75" s="29" t="n">
        <f aca="false">P75*(1-MIN(1,INDEX(Tabla_Mortalidad!$B$5:$B$75,MIN(71,Cartera_Polizas!$B$77+14-49))*(1+(Cartera_Polizas!$P$77-1)*MAX(0,1-14/Supuestos!$C$20))*(1-Supuestos!$C$18)^14))</f>
        <v>0.438355023457025</v>
      </c>
      <c r="R75" s="29" t="n">
        <f aca="false">Q75*(1-MIN(1,INDEX(Tabla_Mortalidad!$B$5:$B$75,MIN(71,Cartera_Polizas!$B$77+15-49))*(1+(Cartera_Polizas!$P$77-1)*MAX(0,1-15/Supuestos!$C$20))*(1-Supuestos!$C$18)^15))</f>
        <v>0.400631069570971</v>
      </c>
      <c r="S75" s="29" t="n">
        <f aca="false">R75*(1-MIN(1,INDEX(Tabla_Mortalidad!$B$5:$B$75,MIN(71,Cartera_Polizas!$B$77+16-49))*(1+(Cartera_Polizas!$P$77-1)*MAX(0,1-16/Supuestos!$C$20))*(1-Supuestos!$C$18)^16))</f>
        <v>0.362549644381093</v>
      </c>
      <c r="T75" s="29" t="n">
        <f aca="false">S75*(1-MIN(1,INDEX(Tabla_Mortalidad!$B$5:$B$75,MIN(71,Cartera_Polizas!$B$77+17-49))*(1+(Cartera_Polizas!$P$77-1)*MAX(0,1-17/Supuestos!$C$20))*(1-Supuestos!$C$18)^17))</f>
        <v>0.324509787712427</v>
      </c>
      <c r="U75" s="29" t="n">
        <f aca="false">T75*(1-MIN(1,INDEX(Tabla_Mortalidad!$B$5:$B$75,MIN(71,Cartera_Polizas!$B$77+18-49))*(1+(Cartera_Polizas!$P$77-1)*MAX(0,1-18/Supuestos!$C$20))*(1-Supuestos!$C$18)^18))</f>
        <v>0.286952307033126</v>
      </c>
      <c r="V75" s="29" t="n">
        <f aca="false">U75*(1-MIN(1,INDEX(Tabla_Mortalidad!$B$5:$B$75,MIN(71,Cartera_Polizas!$B$77+19-49))*(1+(Cartera_Polizas!$P$77-1)*MAX(0,1-19/Supuestos!$C$20))*(1-Supuestos!$C$18)^19))</f>
        <v>0.250347604702184</v>
      </c>
      <c r="W75" s="29" t="n">
        <f aca="false">V75*(1-MIN(1,INDEX(Tabla_Mortalidad!$B$5:$B$75,MIN(71,Cartera_Polizas!$B$77+20-49))*(1+(Cartera_Polizas!$P$77-1)*MAX(0,1-20/Supuestos!$C$20))*(1-Supuestos!$C$18)^20))</f>
        <v>0.215179307412296</v>
      </c>
      <c r="X75" s="29" t="n">
        <f aca="false">W75*(1-MIN(1,INDEX(Tabla_Mortalidad!$B$5:$B$75,MIN(71,Cartera_Polizas!$B$77+21-49))*(1+(Cartera_Polizas!$P$77-1)*MAX(0,1-21/Supuestos!$C$20))*(1-Supuestos!$C$18)^21))</f>
        <v>0.181923450501623</v>
      </c>
      <c r="Y75" s="29" t="n">
        <f aca="false">X75*(1-MIN(1,INDEX(Tabla_Mortalidad!$B$5:$B$75,MIN(71,Cartera_Polizas!$B$77+22-49))*(1+(Cartera_Polizas!$P$77-1)*MAX(0,1-22/Supuestos!$C$20))*(1-Supuestos!$C$18)^22))</f>
        <v>0.151023777181577</v>
      </c>
      <c r="Z75" s="29" t="n">
        <f aca="false">Y75*(1-MIN(1,INDEX(Tabla_Mortalidad!$B$5:$B$75,MIN(71,Cartera_Polizas!$B$77+23-49))*(1+(Cartera_Polizas!$P$77-1)*MAX(0,1-23/Supuestos!$C$20))*(1-Supuestos!$C$18)^23))</f>
        <v>0.122866288830493</v>
      </c>
      <c r="AA75" s="29" t="n">
        <f aca="false">Z75*(1-MIN(1,INDEX(Tabla_Mortalidad!$B$5:$B$75,MIN(71,Cartera_Polizas!$B$77+24-49))*(1+(Cartera_Polizas!$P$77-1)*MAX(0,1-24/Supuestos!$C$20))*(1-Supuestos!$C$18)^24))</f>
        <v>0.0977535890084567</v>
      </c>
      <c r="AB75" s="29" t="n">
        <f aca="false">AA75*(1-MIN(1,INDEX(Tabla_Mortalidad!$B$5:$B$75,MIN(71,Cartera_Polizas!$B$77+25-49))*(1+(Cartera_Polizas!$P$77-1)*MAX(0,1-25/Supuestos!$C$20))*(1-Supuestos!$C$18)^25))</f>
        <v>0.0758821269031127</v>
      </c>
      <c r="AC75" s="29" t="n">
        <f aca="false">AB75*(1-MIN(1,INDEX(Tabla_Mortalidad!$B$5:$B$75,MIN(71,Cartera_Polizas!$B$77+26-49))*(1+(Cartera_Polizas!$P$77-1)*MAX(0,1-26/Supuestos!$C$20))*(1-Supuestos!$C$18)^26))</f>
        <v>0.0573265057152571</v>
      </c>
      <c r="AD75" s="29" t="n">
        <f aca="false">AC75*(1-MIN(1,INDEX(Tabla_Mortalidad!$B$5:$B$75,MIN(71,Cartera_Polizas!$B$77+27-49))*(1+(Cartera_Polizas!$P$77-1)*MAX(0,1-27/Supuestos!$C$20))*(1-Supuestos!$C$18)^27))</f>
        <v>0.0420326870519253</v>
      </c>
      <c r="AE75" s="29" t="n">
        <f aca="false">AD75*(1-MIN(1,INDEX(Tabla_Mortalidad!$B$5:$B$75,MIN(71,Cartera_Polizas!$B$77+28-49))*(1+(Cartera_Polizas!$P$77-1)*MAX(0,1-28/Supuestos!$C$20))*(1-Supuestos!$C$18)^28))</f>
        <v>0.0298222610349656</v>
      </c>
      <c r="AF75" s="29" t="n">
        <f aca="false">AE75*(1-MIN(1,INDEX(Tabla_Mortalidad!$B$5:$B$75,MIN(71,Cartera_Polizas!$B$77+29-49))*(1+(Cartera_Polizas!$P$77-1)*MAX(0,1-29/Supuestos!$C$20))*(1-Supuestos!$C$18)^29))</f>
        <v>0.0204089838578192</v>
      </c>
      <c r="AG75" s="29" t="n">
        <f aca="false">AF75*(1-MIN(1,INDEX(Tabla_Mortalidad!$B$5:$B$75,MIN(71,Cartera_Polizas!$B$77+30-49))*(1+(Cartera_Polizas!$P$77-1)*MAX(0,1-30/Supuestos!$C$20))*(1-Supuestos!$C$18)^30))</f>
        <v>0.0134256318262246</v>
      </c>
      <c r="AH75" s="29" t="n">
        <f aca="false">AG75*(1-MIN(1,INDEX(Tabla_Mortalidad!$B$5:$B$75,MIN(71,Cartera_Polizas!$B$77+31-49))*(1+(Cartera_Polizas!$P$77-1)*MAX(0,1-31/Supuestos!$C$20))*(1-Supuestos!$C$18)^31))</f>
        <v>0.00845844057446688</v>
      </c>
      <c r="AI75" s="29" t="n">
        <f aca="false">AH75*(1-MIN(1,INDEX(Tabla_Mortalidad!$B$5:$B$75,MIN(71,Cartera_Polizas!$B$77+32-49))*(1+(Cartera_Polizas!$P$77-1)*MAX(0,1-32/Supuestos!$C$20))*(1-Supuestos!$C$18)^32))</f>
        <v>0.0050840904910431</v>
      </c>
      <c r="AJ75" s="29" t="n">
        <f aca="false">AI75*(1-MIN(1,INDEX(Tabla_Mortalidad!$B$5:$B$75,MIN(71,Cartera_Polizas!$B$77+33-49))*(1+(Cartera_Polizas!$P$77-1)*MAX(0,1-33/Supuestos!$C$20))*(1-Supuestos!$C$18)^33))</f>
        <v>0.00290376585570313</v>
      </c>
      <c r="AK75" s="29" t="n">
        <f aca="false">AJ75*(1-MIN(1,INDEX(Tabla_Mortalidad!$B$5:$B$75,MIN(71,Cartera_Polizas!$B$77+34-49))*(1+(Cartera_Polizas!$P$77-1)*MAX(0,1-34/Supuestos!$C$20))*(1-Supuestos!$C$18)^34))</f>
        <v>0.0015694680059558</v>
      </c>
      <c r="AL75" s="29" t="n">
        <f aca="false">AK75*(1-MIN(1,INDEX(Tabla_Mortalidad!$B$5:$B$75,MIN(71,Cartera_Polizas!$B$77+35-49))*(1+(Cartera_Polizas!$P$77-1)*MAX(0,1-35/Supuestos!$C$20))*(1-Supuestos!$C$18)^35))</f>
        <v>0.000799468554504113</v>
      </c>
      <c r="AM75" s="29" t="n">
        <f aca="false">AL75*(1-MIN(1,INDEX(Tabla_Mortalidad!$B$5:$B$75,MIN(71,Cartera_Polizas!$B$77+36-49))*(1+(Cartera_Polizas!$P$77-1)*MAX(0,1-36/Supuestos!$C$20))*(1-Supuestos!$C$18)^36))</f>
        <v>0.000382275254528063</v>
      </c>
      <c r="AN75" s="29" t="n">
        <f aca="false">AM75*(1-MIN(1,INDEX(Tabla_Mortalidad!$B$5:$B$75,MIN(71,Cartera_Polizas!$B$77+37-49))*(1+(Cartera_Polizas!$P$77-1)*MAX(0,1-37/Supuestos!$C$20))*(1-Supuestos!$C$18)^37))</f>
        <v>0.000170951233242223</v>
      </c>
      <c r="AO75" s="29" t="n">
        <f aca="false">AN75*(1-MIN(1,INDEX(Tabla_Mortalidad!$B$5:$B$75,MIN(71,Cartera_Polizas!$B$77+38-49))*(1+(Cartera_Polizas!$P$77-1)*MAX(0,1-38/Supuestos!$C$20))*(1-Supuestos!$C$18)^38))</f>
        <v>7.1269508379064E-005</v>
      </c>
      <c r="AP75" s="29" t="n">
        <f aca="false">AO75*(1-MIN(1,INDEX(Tabla_Mortalidad!$B$5:$B$75,MIN(71,Cartera_Polizas!$B$77+39-49))*(1+(Cartera_Polizas!$P$77-1)*MAX(0,1-39/Supuestos!$C$20))*(1-Supuestos!$C$18)^39))</f>
        <v>2.76325942989659E-005</v>
      </c>
      <c r="AQ75" s="29" t="n">
        <f aca="false">AP75*(1-MIN(1,INDEX(Tabla_Mortalidad!$B$5:$B$75,MIN(71,Cartera_Polizas!$B$77+40-49))*(1+(Cartera_Polizas!$P$77-1)*MAX(0,1-40/Supuestos!$C$20))*(1-Supuestos!$C$18)^40))</f>
        <v>9.95062878034252E-006</v>
      </c>
      <c r="AR75" s="29" t="n">
        <f aca="false">AQ75*(1-MIN(1,INDEX(Tabla_Mortalidad!$B$5:$B$75,MIN(71,Cartera_Polizas!$B$77+41-49))*(1+(Cartera_Polizas!$P$77-1)*MAX(0,1-41/Supuestos!$C$20))*(1-Supuestos!$C$18)^41))</f>
        <v>3.32838089127673E-006</v>
      </c>
      <c r="AS75" s="29" t="n">
        <f aca="false">AR75*(1-MIN(1,INDEX(Tabla_Mortalidad!$B$5:$B$75,MIN(71,Cartera_Polizas!$B$77+42-49))*(1+(Cartera_Polizas!$P$77-1)*MAX(0,1-42/Supuestos!$C$20))*(1-Supuestos!$C$18)^42))</f>
        <v>1.03603530739748E-006</v>
      </c>
      <c r="AT75" s="29" t="n">
        <f aca="false">AS75*(1-MIN(1,INDEX(Tabla_Mortalidad!$B$5:$B$75,MIN(71,Cartera_Polizas!$B$77+43-49))*(1+(Cartera_Polizas!$P$77-1)*MAX(0,1-43/Supuestos!$C$20))*(1-Supuestos!$C$18)^43))</f>
        <v>3.01269376036487E-007</v>
      </c>
      <c r="AU75" s="29" t="n">
        <f aca="false">AT75*(1-MIN(1,INDEX(Tabla_Mortalidad!$B$5:$B$75,MIN(71,Cartera_Polizas!$B$77+44-49))*(1+(Cartera_Polizas!$P$77-1)*MAX(0,1-44/Supuestos!$C$20))*(1-Supuestos!$C$18)^44))</f>
        <v>8.23325232282629E-008</v>
      </c>
    </row>
    <row r="76" customFormat="false" ht="15" hidden="false" customHeight="false" outlineLevel="0" collapsed="false">
      <c r="A76" s="14" t="n">
        <f aca="false">Cartera_Polizas!A78</f>
        <v>73</v>
      </c>
      <c r="B76" s="26" t="n">
        <f aca="false">SUM(C76:AU76)+0.5</f>
        <v>8.07218027340954</v>
      </c>
      <c r="C76" s="29" t="n">
        <f aca="false">1-MIN(1,INDEX(Tabla_Mortalidad!$B$5:$B$75,MIN(71,Cartera_Polizas!$B$78+0-49))*(1+(Cartera_Polizas!$P$78-1)*MAX(0,1-0/Supuestos!$C$20))*(1-Supuestos!$C$18)^0)</f>
        <v>0.926296568</v>
      </c>
      <c r="D76" s="29" t="n">
        <f aca="false">C76*(1-MIN(1,INDEX(Tabla_Mortalidad!$B$5:$B$75,MIN(71,Cartera_Polizas!$B$78+1-49))*(1+(Cartera_Polizas!$P$78-1)*MAX(0,1-1/Supuestos!$C$20))*(1-Supuestos!$C$18)^1))</f>
        <v>0.852691151157256</v>
      </c>
      <c r="E76" s="29" t="n">
        <f aca="false">D76*(1-MIN(1,INDEX(Tabla_Mortalidad!$B$5:$B$75,MIN(71,Cartera_Polizas!$B$78+2-49))*(1+(Cartera_Polizas!$P$78-1)*MAX(0,1-2/Supuestos!$C$20))*(1-Supuestos!$C$18)^2))</f>
        <v>0.779716925958809</v>
      </c>
      <c r="F76" s="29" t="n">
        <f aca="false">E76*(1-MIN(1,INDEX(Tabla_Mortalidad!$B$5:$B$75,MIN(71,Cartera_Polizas!$B$78+3-49))*(1+(Cartera_Polizas!$P$78-1)*MAX(0,1-3/Supuestos!$C$20))*(1-Supuestos!$C$18)^3))</f>
        <v>0.70793225637076</v>
      </c>
      <c r="G76" s="29" t="n">
        <f aca="false">F76*(1-MIN(1,INDEX(Tabla_Mortalidad!$B$5:$B$75,MIN(71,Cartera_Polizas!$B$78+4-49))*(1+(Cartera_Polizas!$P$78-1)*MAX(0,1-4/Supuestos!$C$20))*(1-Supuestos!$C$18)^4))</f>
        <v>0.637904390453646</v>
      </c>
      <c r="H76" s="29" t="n">
        <f aca="false">G76*(1-MIN(1,INDEX(Tabla_Mortalidad!$B$5:$B$75,MIN(71,Cartera_Polizas!$B$78+5-49))*(1+(Cartera_Polizas!$P$78-1)*MAX(0,1-5/Supuestos!$C$20))*(1-Supuestos!$C$18)^5))</f>
        <v>0.570194015519472</v>
      </c>
      <c r="I76" s="29" t="n">
        <f aca="false">H76*(1-MIN(1,INDEX(Tabla_Mortalidad!$B$5:$B$75,MIN(71,Cartera_Polizas!$B$78+6-49))*(1+(Cartera_Polizas!$P$78-1)*MAX(0,1-6/Supuestos!$C$20))*(1-Supuestos!$C$18)^6))</f>
        <v>0.505342818382814</v>
      </c>
      <c r="J76" s="29" t="n">
        <f aca="false">I76*(1-MIN(1,INDEX(Tabla_Mortalidad!$B$5:$B$75,MIN(71,Cartera_Polizas!$B$78+7-49))*(1+(Cartera_Polizas!$P$78-1)*MAX(0,1-7/Supuestos!$C$20))*(1-Supuestos!$C$18)^7))</f>
        <v>0.443850574274839</v>
      </c>
      <c r="K76" s="29" t="n">
        <f aca="false">J76*(1-MIN(1,INDEX(Tabla_Mortalidad!$B$5:$B$75,MIN(71,Cartera_Polizas!$B$78+8-49))*(1+(Cartera_Polizas!$P$78-1)*MAX(0,1-8/Supuestos!$C$20))*(1-Supuestos!$C$18)^8))</f>
        <v>0.386162791546786</v>
      </c>
      <c r="L76" s="29" t="n">
        <f aca="false">K76*(1-MIN(1,INDEX(Tabla_Mortalidad!$B$5:$B$75,MIN(71,Cartera_Polizas!$B$78+9-49))*(1+(Cartera_Polizas!$P$78-1)*MAX(0,1-9/Supuestos!$C$20))*(1-Supuestos!$C$18)^9))</f>
        <v>0.332650895691141</v>
      </c>
      <c r="M76" s="29" t="n">
        <f aca="false">L76*(1-MIN(1,INDEX(Tabla_Mortalidad!$B$5:$B$75,MIN(71,Cartera_Polizas!$B$78+10-49))*(1+(Cartera_Polizas!$P$78-1)*MAX(0,1-10/Supuestos!$C$20))*(1-Supuestos!$C$18)^10))</f>
        <v>0.28359918917086</v>
      </c>
      <c r="N76" s="29" t="n">
        <f aca="false">M76*(1-MIN(1,INDEX(Tabla_Mortalidad!$B$5:$B$75,MIN(71,Cartera_Polizas!$B$78+11-49))*(1+(Cartera_Polizas!$P$78-1)*MAX(0,1-11/Supuestos!$C$20))*(1-Supuestos!$C$18)^11))</f>
        <v>0.239193872841741</v>
      </c>
      <c r="O76" s="29" t="n">
        <f aca="false">N76*(1-MIN(1,INDEX(Tabla_Mortalidad!$B$5:$B$75,MIN(71,Cartera_Polizas!$B$78+12-49))*(1+(Cartera_Polizas!$P$78-1)*MAX(0,1-12/Supuestos!$C$20))*(1-Supuestos!$C$18)^12))</f>
        <v>0.199516809204757</v>
      </c>
      <c r="P76" s="29" t="n">
        <f aca="false">O76*(1-MIN(1,INDEX(Tabla_Mortalidad!$B$5:$B$75,MIN(71,Cartera_Polizas!$B$78+13-49))*(1+(Cartera_Polizas!$P$78-1)*MAX(0,1-13/Supuestos!$C$20))*(1-Supuestos!$C$18)^13))</f>
        <v>0.164544075838047</v>
      </c>
      <c r="Q76" s="29" t="n">
        <f aca="false">P76*(1-MIN(1,INDEX(Tabla_Mortalidad!$B$5:$B$75,MIN(71,Cartera_Polizas!$B$78+14-49))*(1+(Cartera_Polizas!$P$78-1)*MAX(0,1-14/Supuestos!$C$20))*(1-Supuestos!$C$18)^14))</f>
        <v>0.13414950804608</v>
      </c>
      <c r="R76" s="29" t="n">
        <f aca="false">Q76*(1-MIN(1,INDEX(Tabla_Mortalidad!$B$5:$B$75,MIN(71,Cartera_Polizas!$B$78+15-49))*(1+(Cartera_Polizas!$P$78-1)*MAX(0,1-15/Supuestos!$C$20))*(1-Supuestos!$C$18)^15))</f>
        <v>0.108114781316278</v>
      </c>
      <c r="S76" s="29" t="n">
        <f aca="false">R76*(1-MIN(1,INDEX(Tabla_Mortalidad!$B$5:$B$75,MIN(71,Cartera_Polizas!$B$78+16-49))*(1+(Cartera_Polizas!$P$78-1)*MAX(0,1-16/Supuestos!$C$20))*(1-Supuestos!$C$18)^16))</f>
        <v>0.0851130199736765</v>
      </c>
      <c r="T76" s="29" t="n">
        <f aca="false">S76*(1-MIN(1,INDEX(Tabla_Mortalidad!$B$5:$B$75,MIN(71,Cartera_Polizas!$B$78+17-49))*(1+(Cartera_Polizas!$P$78-1)*MAX(0,1-17/Supuestos!$C$20))*(1-Supuestos!$C$18)^17))</f>
        <v>0.0652906097513216</v>
      </c>
      <c r="U76" s="29" t="n">
        <f aca="false">T76*(1-MIN(1,INDEX(Tabla_Mortalidad!$B$5:$B$75,MIN(71,Cartera_Polizas!$B$78+18-49))*(1+(Cartera_Polizas!$P$78-1)*MAX(0,1-18/Supuestos!$C$20))*(1-Supuestos!$C$18)^18))</f>
        <v>0.0486717171534877</v>
      </c>
      <c r="V76" s="29" t="n">
        <f aca="false">U76*(1-MIN(1,INDEX(Tabla_Mortalidad!$B$5:$B$75,MIN(71,Cartera_Polizas!$B$78+19-49))*(1+(Cartera_Polizas!$P$78-1)*MAX(0,1-19/Supuestos!$C$20))*(1-Supuestos!$C$18)^19))</f>
        <v>0.0351555831598146</v>
      </c>
      <c r="W76" s="29" t="n">
        <f aca="false">V76*(1-MIN(1,INDEX(Tabla_Mortalidad!$B$5:$B$75,MIN(71,Cartera_Polizas!$B$78+20-49))*(1+(Cartera_Polizas!$P$78-1)*MAX(0,1-20/Supuestos!$C$20))*(1-Supuestos!$C$18)^20))</f>
        <v>0.0245250921955712</v>
      </c>
      <c r="X76" s="29" t="n">
        <f aca="false">W76*(1-MIN(1,INDEX(Tabla_Mortalidad!$B$5:$B$75,MIN(71,Cartera_Polizas!$B$78+21-49))*(1+(Cartera_Polizas!$P$78-1)*MAX(0,1-21/Supuestos!$C$20))*(1-Supuestos!$C$18)^21))</f>
        <v>0.0164671103935793</v>
      </c>
      <c r="Y76" s="29" t="n">
        <f aca="false">X76*(1-MIN(1,INDEX(Tabla_Mortalidad!$B$5:$B$75,MIN(71,Cartera_Polizas!$B$78+22-49))*(1+(Cartera_Polizas!$P$78-1)*MAX(0,1-22/Supuestos!$C$20))*(1-Supuestos!$C$18)^22))</f>
        <v>0.0106020119734812</v>
      </c>
      <c r="Z76" s="29" t="n">
        <f aca="false">Y76*(1-MIN(1,INDEX(Tabla_Mortalidad!$B$5:$B$75,MIN(71,Cartera_Polizas!$B$78+23-49))*(1+(Cartera_Polizas!$P$78-1)*MAX(0,1-23/Supuestos!$C$20))*(1-Supuestos!$C$18)^23))</f>
        <v>0.00651900808912486</v>
      </c>
      <c r="AA76" s="29" t="n">
        <f aca="false">Z76*(1-MIN(1,INDEX(Tabla_Mortalidad!$B$5:$B$75,MIN(71,Cartera_Polizas!$B$78+24-49))*(1+(Cartera_Polizas!$P$78-1)*MAX(0,1-24/Supuestos!$C$20))*(1-Supuestos!$C$18)^24))</f>
        <v>0.00381195539607261</v>
      </c>
      <c r="AB76" s="29" t="n">
        <f aca="false">AA76*(1-MIN(1,INDEX(Tabla_Mortalidad!$B$5:$B$75,MIN(71,Cartera_Polizas!$B$78+25-49))*(1+(Cartera_Polizas!$P$78-1)*MAX(0,1-25/Supuestos!$C$20))*(1-Supuestos!$C$18)^25))</f>
        <v>0.0021103021978833</v>
      </c>
      <c r="AC76" s="29" t="n">
        <f aca="false">AB76*(1-MIN(1,INDEX(Tabla_Mortalidad!$B$5:$B$75,MIN(71,Cartera_Polizas!$B$78+26-49))*(1+(Cartera_Polizas!$P$78-1)*MAX(0,1-26/Supuestos!$C$20))*(1-Supuestos!$C$18)^26))</f>
        <v>0.00110093032808044</v>
      </c>
      <c r="AD76" s="29" t="n">
        <f aca="false">AC76*(1-MIN(1,INDEX(Tabla_Mortalidad!$B$5:$B$75,MIN(71,Cartera_Polizas!$B$78+27-49))*(1+(Cartera_Polizas!$P$78-1)*MAX(0,1-27/Supuestos!$C$20))*(1-Supuestos!$C$18)^27))</f>
        <v>0.000538701463152463</v>
      </c>
      <c r="AE76" s="29" t="n">
        <f aca="false">AD76*(1-MIN(1,INDEX(Tabla_Mortalidad!$B$5:$B$75,MIN(71,Cartera_Polizas!$B$78+28-49))*(1+(Cartera_Polizas!$P$78-1)*MAX(0,1-28/Supuestos!$C$20))*(1-Supuestos!$C$18)^28))</f>
        <v>0.000246084534227345</v>
      </c>
      <c r="AF76" s="29" t="n">
        <f aca="false">AE76*(1-MIN(1,INDEX(Tabla_Mortalidad!$B$5:$B$75,MIN(71,Cartera_Polizas!$B$78+29-49))*(1+(Cartera_Polizas!$P$78-1)*MAX(0,1-29/Supuestos!$C$20))*(1-Supuestos!$C$18)^29))</f>
        <v>0.000104481566817281</v>
      </c>
      <c r="AG76" s="29" t="n">
        <f aca="false">AF76*(1-MIN(1,INDEX(Tabla_Mortalidad!$B$5:$B$75,MIN(71,Cartera_Polizas!$B$78+30-49))*(1+(Cartera_Polizas!$P$78-1)*MAX(0,1-30/Supuestos!$C$20))*(1-Supuestos!$C$18)^30))</f>
        <v>4.10656410400569E-005</v>
      </c>
      <c r="AH76" s="29" t="n">
        <f aca="false">AG76*(1-MIN(1,INDEX(Tabla_Mortalidad!$B$5:$B$75,MIN(71,Cartera_Polizas!$B$78+31-49))*(1+(Cartera_Polizas!$P$78-1)*MAX(0,1-31/Supuestos!$C$20))*(1-Supuestos!$C$18)^31))</f>
        <v>1.48932001192069E-005</v>
      </c>
      <c r="AI76" s="29" t="n">
        <f aca="false">AH76*(1-MIN(1,INDEX(Tabla_Mortalidad!$B$5:$B$75,MIN(71,Cartera_Polizas!$B$78+32-49))*(1+(Cartera_Polizas!$P$78-1)*MAX(0,1-32/Supuestos!$C$20))*(1-Supuestos!$C$18)^32))</f>
        <v>4.97318674379057E-006</v>
      </c>
      <c r="AJ76" s="29" t="n">
        <f aca="false">AI76*(1-MIN(1,INDEX(Tabla_Mortalidad!$B$5:$B$75,MIN(71,Cartera_Polizas!$B$78+33-49))*(1+(Cartera_Polizas!$P$78-1)*MAX(0,1-33/Supuestos!$C$20))*(1-Supuestos!$C$18)^33))</f>
        <v>1.52806137760884E-006</v>
      </c>
      <c r="AK76" s="29" t="n">
        <f aca="false">AJ76*(1-MIN(1,INDEX(Tabla_Mortalidad!$B$5:$B$75,MIN(71,Cartera_Polizas!$B$78+34-49))*(1+(Cartera_Polizas!$P$78-1)*MAX(0,1-34/Supuestos!$C$20))*(1-Supuestos!$C$18)^34))</f>
        <v>4.32584479330249E-007</v>
      </c>
      <c r="AL76" s="29" t="n">
        <f aca="false">AK76*(1-MIN(1,INDEX(Tabla_Mortalidad!$B$5:$B$75,MIN(71,Cartera_Polizas!$B$78+35-49))*(1+(Cartera_Polizas!$P$78-1)*MAX(0,1-35/Supuestos!$C$20))*(1-Supuestos!$C$18)^35))</f>
        <v>1.13239022105406E-007</v>
      </c>
      <c r="AM76" s="29" t="n">
        <f aca="false">AL76*(1-MIN(1,INDEX(Tabla_Mortalidad!$B$5:$B$75,MIN(71,Cartera_Polizas!$B$78+36-49))*(1+(Cartera_Polizas!$P$78-1)*MAX(0,1-36/Supuestos!$C$20))*(1-Supuestos!$C$18)^36))</f>
        <v>2.75795591593313E-008</v>
      </c>
      <c r="AN76" s="29" t="n">
        <f aca="false">AM76*(1-MIN(1,INDEX(Tabla_Mortalidad!$B$5:$B$75,MIN(71,Cartera_Polizas!$B$78+37-49))*(1+(Cartera_Polizas!$P$78-1)*MAX(0,1-37/Supuestos!$C$20))*(1-Supuestos!$C$18)^37))</f>
        <v>6.30382843838065E-009</v>
      </c>
      <c r="AO76" s="29" t="n">
        <f aca="false">AN76*(1-MIN(1,INDEX(Tabla_Mortalidad!$B$5:$B$75,MIN(71,Cartera_Polizas!$B$78+38-49))*(1+(Cartera_Polizas!$P$78-1)*MAX(0,1-38/Supuestos!$C$20))*(1-Supuestos!$C$18)^38))</f>
        <v>1.36687718993073E-009</v>
      </c>
      <c r="AP76" s="29" t="n">
        <f aca="false">AO76*(1-MIN(1,INDEX(Tabla_Mortalidad!$B$5:$B$75,MIN(71,Cartera_Polizas!$B$78+39-49))*(1+(Cartera_Polizas!$P$78-1)*MAX(0,1-39/Supuestos!$C$20))*(1-Supuestos!$C$18)^39))</f>
        <v>2.42713262807868E-010</v>
      </c>
      <c r="AQ76" s="29" t="n">
        <f aca="false">AP76*(1-MIN(1,INDEX(Tabla_Mortalidad!$B$5:$B$75,MIN(71,Cartera_Polizas!$B$78+40-49))*(1+(Cartera_Polizas!$P$78-1)*MAX(0,1-40/Supuestos!$C$20))*(1-Supuestos!$C$18)^40))</f>
        <v>4.40961162131254E-011</v>
      </c>
      <c r="AR76" s="29" t="n">
        <f aca="false">AQ76*(1-MIN(1,INDEX(Tabla_Mortalidad!$B$5:$B$75,MIN(71,Cartera_Polizas!$B$78+41-49))*(1+(Cartera_Polizas!$P$78-1)*MAX(0,1-41/Supuestos!$C$20))*(1-Supuestos!$C$18)^41))</f>
        <v>8.19180075275148E-012</v>
      </c>
      <c r="AS76" s="29" t="n">
        <f aca="false">AR76*(1-MIN(1,INDEX(Tabla_Mortalidad!$B$5:$B$75,MIN(71,Cartera_Polizas!$B$78+42-49))*(1+(Cartera_Polizas!$P$78-1)*MAX(0,1-42/Supuestos!$C$20))*(1-Supuestos!$C$18)^42))</f>
        <v>1.55515293531552E-012</v>
      </c>
      <c r="AT76" s="29" t="n">
        <f aca="false">AS76*(1-MIN(1,INDEX(Tabla_Mortalidad!$B$5:$B$75,MIN(71,Cartera_Polizas!$B$78+43-49))*(1+(Cartera_Polizas!$P$78-1)*MAX(0,1-43/Supuestos!$C$20))*(1-Supuestos!$C$18)^43))</f>
        <v>3.01533904259149E-013</v>
      </c>
      <c r="AU76" s="29" t="n">
        <f aca="false">AT76*(1-MIN(1,INDEX(Tabla_Mortalidad!$B$5:$B$75,MIN(71,Cartera_Polizas!$B$78+44-49))*(1+(Cartera_Polizas!$P$78-1)*MAX(0,1-44/Supuestos!$C$20))*(1-Supuestos!$C$18)^44))</f>
        <v>5.96807789861356E-014</v>
      </c>
    </row>
    <row r="77" customFormat="false" ht="15" hidden="false" customHeight="false" outlineLevel="0" collapsed="false">
      <c r="A77" s="14" t="n">
        <f aca="false">Cartera_Polizas!A79</f>
        <v>74</v>
      </c>
      <c r="B77" s="26" t="n">
        <f aca="false">SUM(C77:AU77)+0.5</f>
        <v>7.69177941782636</v>
      </c>
      <c r="C77" s="29" t="n">
        <f aca="false">1-MIN(1,INDEX(Tabla_Mortalidad!$B$5:$B$75,MIN(71,Cartera_Polizas!$B$79+0-49))*(1+(Cartera_Polizas!$P$79-1)*MAX(0,1-0/Supuestos!$C$20))*(1-Supuestos!$C$18)^0)</f>
        <v>0.925787862</v>
      </c>
      <c r="D77" s="29" t="n">
        <f aca="false">C77*(1-MIN(1,INDEX(Tabla_Mortalidad!$B$5:$B$75,MIN(71,Cartera_Polizas!$B$79+1-49))*(1+(Cartera_Polizas!$P$79-1)*MAX(0,1-1/Supuestos!$C$20))*(1-Supuestos!$C$18)^1))</f>
        <v>0.851062536585968</v>
      </c>
      <c r="E77" s="29" t="n">
        <f aca="false">D77*(1-MIN(1,INDEX(Tabla_Mortalidad!$B$5:$B$75,MIN(71,Cartera_Polizas!$B$79+2-49))*(1+(Cartera_Polizas!$P$79-1)*MAX(0,1-2/Supuestos!$C$20))*(1-Supuestos!$C$18)^2))</f>
        <v>0.776401128641301</v>
      </c>
      <c r="F77" s="29" t="n">
        <f aca="false">E77*(1-MIN(1,INDEX(Tabla_Mortalidad!$B$5:$B$75,MIN(71,Cartera_Polizas!$B$79+3-49))*(1+(Cartera_Polizas!$P$79-1)*MAX(0,1-3/Supuestos!$C$20))*(1-Supuestos!$C$18)^3))</f>
        <v>0.702426615713095</v>
      </c>
      <c r="G77" s="29" t="n">
        <f aca="false">F77*(1-MIN(1,INDEX(Tabla_Mortalidad!$B$5:$B$75,MIN(71,Cartera_Polizas!$B$79+4-49))*(1+(Cartera_Polizas!$P$79-1)*MAX(0,1-4/Supuestos!$C$20))*(1-Supuestos!$C$18)^4))</f>
        <v>0.629799377862407</v>
      </c>
      <c r="H77" s="29" t="n">
        <f aca="false">G77*(1-MIN(1,INDEX(Tabla_Mortalidad!$B$5:$B$75,MIN(71,Cartera_Polizas!$B$79+5-49))*(1+(Cartera_Polizas!$P$79-1)*MAX(0,1-5/Supuestos!$C$20))*(1-Supuestos!$C$18)^5))</f>
        <v>0.559194623950048</v>
      </c>
      <c r="I77" s="29" t="n">
        <f aca="false">H77*(1-MIN(1,INDEX(Tabla_Mortalidad!$B$5:$B$75,MIN(71,Cartera_Polizas!$B$79+6-49))*(1+(Cartera_Polizas!$P$79-1)*MAX(0,1-6/Supuestos!$C$20))*(1-Supuestos!$C$18)^6))</f>
        <v>0.49128790177088</v>
      </c>
      <c r="J77" s="29" t="n">
        <f aca="false">I77*(1-MIN(1,INDEX(Tabla_Mortalidad!$B$5:$B$75,MIN(71,Cartera_Polizas!$B$79+7-49))*(1+(Cartera_Polizas!$P$79-1)*MAX(0,1-7/Supuestos!$C$20))*(1-Supuestos!$C$18)^7))</f>
        <v>0.426728226802216</v>
      </c>
      <c r="K77" s="29" t="n">
        <f aca="false">J77*(1-MIN(1,INDEX(Tabla_Mortalidad!$B$5:$B$75,MIN(71,Cartera_Polizas!$B$79+8-49))*(1+(Cartera_Polizas!$P$79-1)*MAX(0,1-8/Supuestos!$C$20))*(1-Supuestos!$C$18)^8))</f>
        <v>0.366114400326822</v>
      </c>
      <c r="L77" s="29" t="n">
        <f aca="false">K77*(1-MIN(1,INDEX(Tabla_Mortalidad!$B$5:$B$75,MIN(71,Cartera_Polizas!$B$79+9-49))*(1+(Cartera_Polizas!$P$79-1)*MAX(0,1-9/Supuestos!$C$20))*(1-Supuestos!$C$18)^9))</f>
        <v>0.309969366157197</v>
      </c>
      <c r="M77" s="29" t="n">
        <f aca="false">L77*(1-MIN(1,INDEX(Tabla_Mortalidad!$B$5:$B$75,MIN(71,Cartera_Polizas!$B$79+10-49))*(1+(Cartera_Polizas!$P$79-1)*MAX(0,1-10/Supuestos!$C$20))*(1-Supuestos!$C$18)^10))</f>
        <v>0.258716286365337</v>
      </c>
      <c r="N77" s="29" t="n">
        <f aca="false">M77*(1-MIN(1,INDEX(Tabla_Mortalidad!$B$5:$B$75,MIN(71,Cartera_Polizas!$B$79+11-49))*(1+(Cartera_Polizas!$P$79-1)*MAX(0,1-11/Supuestos!$C$20))*(1-Supuestos!$C$18)^11))</f>
        <v>0.212657485988772</v>
      </c>
      <c r="O77" s="29" t="n">
        <f aca="false">N77*(1-MIN(1,INDEX(Tabla_Mortalidad!$B$5:$B$75,MIN(71,Cartera_Polizas!$B$79+12-49))*(1+(Cartera_Polizas!$P$79-1)*MAX(0,1-12/Supuestos!$C$20))*(1-Supuestos!$C$18)^12))</f>
        <v>0.171958058322063</v>
      </c>
      <c r="P77" s="29" t="n">
        <f aca="false">O77*(1-MIN(1,INDEX(Tabla_Mortalidad!$B$5:$B$75,MIN(71,Cartera_Polizas!$B$79+13-49))*(1+(Cartera_Polizas!$P$79-1)*MAX(0,1-13/Supuestos!$C$20))*(1-Supuestos!$C$18)^13))</f>
        <v>0.136638220205912</v>
      </c>
      <c r="Q77" s="29" t="n">
        <f aca="false">P77*(1-MIN(1,INDEX(Tabla_Mortalidad!$B$5:$B$75,MIN(71,Cartera_Polizas!$B$79+14-49))*(1+(Cartera_Polizas!$P$79-1)*MAX(0,1-14/Supuestos!$C$20))*(1-Supuestos!$C$18)^14))</f>
        <v>0.106573331756887</v>
      </c>
      <c r="R77" s="29" t="n">
        <f aca="false">Q77*(1-MIN(1,INDEX(Tabla_Mortalidad!$B$5:$B$75,MIN(71,Cartera_Polizas!$B$79+15-49))*(1+(Cartera_Polizas!$P$79-1)*MAX(0,1-15/Supuestos!$C$20))*(1-Supuestos!$C$18)^15))</f>
        <v>0.0815028406857112</v>
      </c>
      <c r="S77" s="29" t="n">
        <f aca="false">R77*(1-MIN(1,INDEX(Tabla_Mortalidad!$B$5:$B$75,MIN(71,Cartera_Polizas!$B$79+16-49))*(1+(Cartera_Polizas!$P$79-1)*MAX(0,1-16/Supuestos!$C$20))*(1-Supuestos!$C$18)^16))</f>
        <v>0.0605483098800354</v>
      </c>
      <c r="T77" s="29" t="n">
        <f aca="false">S77*(1-MIN(1,INDEX(Tabla_Mortalidad!$B$5:$B$75,MIN(71,Cartera_Polizas!$B$79+17-49))*(1+(Cartera_Polizas!$P$79-1)*MAX(0,1-17/Supuestos!$C$20))*(1-Supuestos!$C$18)^17))</f>
        <v>0.0435646343768861</v>
      </c>
      <c r="U77" s="29" t="n">
        <f aca="false">T77*(1-MIN(1,INDEX(Tabla_Mortalidad!$B$5:$B$75,MIN(71,Cartera_Polizas!$B$79+18-49))*(1+(Cartera_Polizas!$P$79-1)*MAX(0,1-18/Supuestos!$C$20))*(1-Supuestos!$C$18)^18))</f>
        <v>0.0302586524786425</v>
      </c>
      <c r="V77" s="29" t="n">
        <f aca="false">U77*(1-MIN(1,INDEX(Tabla_Mortalidad!$B$5:$B$75,MIN(71,Cartera_Polizas!$B$79+19-49))*(1+(Cartera_Polizas!$P$79-1)*MAX(0,1-19/Supuestos!$C$20))*(1-Supuestos!$C$18)^19))</f>
        <v>0.0202166793343319</v>
      </c>
      <c r="W77" s="29" t="n">
        <f aca="false">V77*(1-MIN(1,INDEX(Tabla_Mortalidad!$B$5:$B$75,MIN(71,Cartera_Polizas!$B$79+20-49))*(1+(Cartera_Polizas!$P$79-1)*MAX(0,1-20/Supuestos!$C$20))*(1-Supuestos!$C$18)^20))</f>
        <v>0.0129435456805618</v>
      </c>
      <c r="X77" s="29" t="n">
        <f aca="false">W77*(1-MIN(1,INDEX(Tabla_Mortalidad!$B$5:$B$75,MIN(71,Cartera_Polizas!$B$79+21-49))*(1+(Cartera_Polizas!$P$79-1)*MAX(0,1-21/Supuestos!$C$20))*(1-Supuestos!$C$18)^21))</f>
        <v>0.00790855580043537</v>
      </c>
      <c r="Y77" s="29" t="n">
        <f aca="false">X77*(1-MIN(1,INDEX(Tabla_Mortalidad!$B$5:$B$75,MIN(71,Cartera_Polizas!$B$79+22-49))*(1+(Cartera_Polizas!$P$79-1)*MAX(0,1-22/Supuestos!$C$20))*(1-Supuestos!$C$18)^22))</f>
        <v>0.00459139739345082</v>
      </c>
      <c r="Z77" s="29" t="n">
        <f aca="false">Y77*(1-MIN(1,INDEX(Tabla_Mortalidad!$B$5:$B$75,MIN(71,Cartera_Polizas!$B$79+23-49))*(1+(Cartera_Polizas!$P$79-1)*MAX(0,1-23/Supuestos!$C$20))*(1-Supuestos!$C$18)^23))</f>
        <v>0.00252115133785903</v>
      </c>
      <c r="AA77" s="29" t="n">
        <f aca="false">Z77*(1-MIN(1,INDEX(Tabla_Mortalidad!$B$5:$B$75,MIN(71,Cartera_Polizas!$B$79+24-49))*(1+(Cartera_Polizas!$P$79-1)*MAX(0,1-24/Supuestos!$C$20))*(1-Supuestos!$C$18)^24))</f>
        <v>0.00130311764876866</v>
      </c>
      <c r="AB77" s="29" t="n">
        <f aca="false">AA77*(1-MIN(1,INDEX(Tabla_Mortalidad!$B$5:$B$75,MIN(71,Cartera_Polizas!$B$79+25-49))*(1+(Cartera_Polizas!$P$79-1)*MAX(0,1-25/Supuestos!$C$20))*(1-Supuestos!$C$18)^25))</f>
        <v>0.000630929628664118</v>
      </c>
      <c r="AC77" s="29" t="n">
        <f aca="false">AB77*(1-MIN(1,INDEX(Tabla_Mortalidad!$B$5:$B$75,MIN(71,Cartera_Polizas!$B$79+26-49))*(1+(Cartera_Polizas!$P$79-1)*MAX(0,1-26/Supuestos!$C$20))*(1-Supuestos!$C$18)^26))</f>
        <v>0.00028476231818032</v>
      </c>
      <c r="AD77" s="29" t="n">
        <f aca="false">AC77*(1-MIN(1,INDEX(Tabla_Mortalidad!$B$5:$B$75,MIN(71,Cartera_Polizas!$B$79+27-49))*(1+(Cartera_Polizas!$P$79-1)*MAX(0,1-27/Supuestos!$C$20))*(1-Supuestos!$C$18)^27))</f>
        <v>0.000119252259578088</v>
      </c>
      <c r="AE77" s="29" t="n">
        <f aca="false">AD77*(1-MIN(1,INDEX(Tabla_Mortalidad!$B$5:$B$75,MIN(71,Cartera_Polizas!$B$79+28-49))*(1+(Cartera_Polizas!$P$79-1)*MAX(0,1-28/Supuestos!$C$20))*(1-Supuestos!$C$18)^28))</f>
        <v>4.61418670826784E-005</v>
      </c>
      <c r="AF77" s="29" t="n">
        <f aca="false">AE77*(1-MIN(1,INDEX(Tabla_Mortalidad!$B$5:$B$75,MIN(71,Cartera_Polizas!$B$79+29-49))*(1+(Cartera_Polizas!$P$79-1)*MAX(0,1-29/Supuestos!$C$20))*(1-Supuestos!$C$18)^29))</f>
        <v>1.64378884469296E-005</v>
      </c>
      <c r="AG77" s="29" t="n">
        <f aca="false">AF77*(1-MIN(1,INDEX(Tabla_Mortalidad!$B$5:$B$75,MIN(71,Cartera_Polizas!$B$79+30-49))*(1+(Cartera_Polizas!$P$79-1)*MAX(0,1-30/Supuestos!$C$20))*(1-Supuestos!$C$18)^30))</f>
        <v>5.37867857117674E-006</v>
      </c>
      <c r="AH77" s="29" t="n">
        <f aca="false">AG77*(1-MIN(1,INDEX(Tabla_Mortalidad!$B$5:$B$75,MIN(71,Cartera_Polizas!$B$79+31-49))*(1+(Cartera_Polizas!$P$79-1)*MAX(0,1-31/Supuestos!$C$20))*(1-Supuestos!$C$18)^31))</f>
        <v>1.61511121362562E-006</v>
      </c>
      <c r="AI77" s="29" t="n">
        <f aca="false">AH77*(1-MIN(1,INDEX(Tabla_Mortalidad!$B$5:$B$75,MIN(71,Cartera_Polizas!$B$79+32-49))*(1+(Cartera_Polizas!$P$79-1)*MAX(0,1-32/Supuestos!$C$20))*(1-Supuestos!$C$18)^32))</f>
        <v>4.45561476887544E-007</v>
      </c>
      <c r="AJ77" s="29" t="n">
        <f aca="false">AI77*(1-MIN(1,INDEX(Tabla_Mortalidad!$B$5:$B$75,MIN(71,Cartera_Polizas!$B$79+33-49))*(1+(Cartera_Polizas!$P$79-1)*MAX(0,1-33/Supuestos!$C$20))*(1-Supuestos!$C$18)^33))</f>
        <v>1.13321963092693E-007</v>
      </c>
      <c r="AK77" s="29" t="n">
        <f aca="false">AJ77*(1-MIN(1,INDEX(Tabla_Mortalidad!$B$5:$B$75,MIN(71,Cartera_Polizas!$B$79+34-49))*(1+(Cartera_Polizas!$P$79-1)*MAX(0,1-34/Supuestos!$C$20))*(1-Supuestos!$C$18)^34))</f>
        <v>2.67360652488574E-008</v>
      </c>
      <c r="AL77" s="29" t="n">
        <f aca="false">AK77*(1-MIN(1,INDEX(Tabla_Mortalidad!$B$5:$B$75,MIN(71,Cartera_Polizas!$B$79+35-49))*(1+(Cartera_Polizas!$P$79-1)*MAX(0,1-35/Supuestos!$C$20))*(1-Supuestos!$C$18)^35))</f>
        <v>5.90322440817546E-009</v>
      </c>
      <c r="AM77" s="29" t="n">
        <f aca="false">AL77*(1-MIN(1,INDEX(Tabla_Mortalidad!$B$5:$B$75,MIN(71,Cartera_Polizas!$B$79+36-49))*(1+(Cartera_Polizas!$P$79-1)*MAX(0,1-36/Supuestos!$C$20))*(1-Supuestos!$C$18)^36))</f>
        <v>1.23343188937311E-009</v>
      </c>
      <c r="AN77" s="29" t="n">
        <f aca="false">AM77*(1-MIN(1,INDEX(Tabla_Mortalidad!$B$5:$B$75,MIN(71,Cartera_Polizas!$B$79+37-49))*(1+(Cartera_Polizas!$P$79-1)*MAX(0,1-37/Supuestos!$C$20))*(1-Supuestos!$C$18)^37))</f>
        <v>2.08796951866426E-010</v>
      </c>
      <c r="AO77" s="29" t="n">
        <f aca="false">AN77*(1-MIN(1,INDEX(Tabla_Mortalidad!$B$5:$B$75,MIN(71,Cartera_Polizas!$B$79+38-49))*(1+(Cartera_Polizas!$P$79-1)*MAX(0,1-38/Supuestos!$C$20))*(1-Supuestos!$C$18)^38))</f>
        <v>3.62126768021608E-011</v>
      </c>
      <c r="AP77" s="29" t="n">
        <f aca="false">AO77*(1-MIN(1,INDEX(Tabla_Mortalidad!$B$5:$B$75,MIN(71,Cartera_Polizas!$B$79+39-49))*(1+(Cartera_Polizas!$P$79-1)*MAX(0,1-39/Supuestos!$C$20))*(1-Supuestos!$C$18)^39))</f>
        <v>6.4302023666842E-012</v>
      </c>
      <c r="AQ77" s="29" t="n">
        <f aca="false">AP77*(1-MIN(1,INDEX(Tabla_Mortalidad!$B$5:$B$75,MIN(71,Cartera_Polizas!$B$79+40-49))*(1+(Cartera_Polizas!$P$79-1)*MAX(0,1-40/Supuestos!$C$20))*(1-Supuestos!$C$18)^40))</f>
        <v>1.1682383877789E-012</v>
      </c>
      <c r="AR77" s="29" t="n">
        <f aca="false">AQ77*(1-MIN(1,INDEX(Tabla_Mortalidad!$B$5:$B$75,MIN(71,Cartera_Polizas!$B$79+41-49))*(1+(Cartera_Polizas!$P$79-1)*MAX(0,1-41/Supuestos!$C$20))*(1-Supuestos!$C$18)^41))</f>
        <v>2.17025373802689E-013</v>
      </c>
      <c r="AS77" s="29" t="n">
        <f aca="false">AR77*(1-MIN(1,INDEX(Tabla_Mortalidad!$B$5:$B$75,MIN(71,Cartera_Polizas!$B$79+42-49))*(1+(Cartera_Polizas!$P$79-1)*MAX(0,1-42/Supuestos!$C$20))*(1-Supuestos!$C$18)^42))</f>
        <v>4.12006660432797E-014</v>
      </c>
      <c r="AT77" s="29" t="n">
        <f aca="false">AS77*(1-MIN(1,INDEX(Tabla_Mortalidad!$B$5:$B$75,MIN(71,Cartera_Polizas!$B$79+43-49))*(1+(Cartera_Polizas!$P$79-1)*MAX(0,1-43/Supuestos!$C$20))*(1-Supuestos!$C$18)^43))</f>
        <v>7.98853759523459E-015</v>
      </c>
      <c r="AU77" s="29" t="n">
        <f aca="false">AT77*(1-MIN(1,INDEX(Tabla_Mortalidad!$B$5:$B$75,MIN(71,Cartera_Polizas!$B$79+44-49))*(1+(Cartera_Polizas!$P$79-1)*MAX(0,1-44/Supuestos!$C$20))*(1-Supuestos!$C$18)^44))</f>
        <v>1.5811228518896E-015</v>
      </c>
    </row>
    <row r="78" customFormat="false" ht="15" hidden="false" customHeight="false" outlineLevel="0" collapsed="false">
      <c r="A78" s="14" t="n">
        <f aca="false">Cartera_Polizas!A80</f>
        <v>75</v>
      </c>
      <c r="B78" s="26" t="n">
        <f aca="false">SUM(C78:AU78)+0.5</f>
        <v>6.08814643668054</v>
      </c>
      <c r="C78" s="29" t="n">
        <f aca="false">1-MIN(1,INDEX(Tabla_Mortalidad!$B$5:$B$75,MIN(71,Cartera_Polizas!$B$80+0-49))*(1+(Cartera_Polizas!$P$80-1)*MAX(0,1-0/Supuestos!$C$20))*(1-Supuestos!$C$18)^0)</f>
        <v>0.9073081</v>
      </c>
      <c r="D78" s="29" t="n">
        <f aca="false">C78*(1-MIN(1,INDEX(Tabla_Mortalidad!$B$5:$B$75,MIN(71,Cartera_Polizas!$B$80+1-49))*(1+(Cartera_Polizas!$P$80-1)*MAX(0,1-1/Supuestos!$C$20))*(1-Supuestos!$C$18)^1))</f>
        <v>0.813788092312643</v>
      </c>
      <c r="E78" s="29" t="n">
        <f aca="false">D78*(1-MIN(1,INDEX(Tabla_Mortalidad!$B$5:$B$75,MIN(71,Cartera_Polizas!$B$80+2-49))*(1+(Cartera_Polizas!$P$80-1)*MAX(0,1-2/Supuestos!$C$20))*(1-Supuestos!$C$18)^2))</f>
        <v>0.720582923123285</v>
      </c>
      <c r="F78" s="29" t="n">
        <f aca="false">E78*(1-MIN(1,INDEX(Tabla_Mortalidad!$B$5:$B$75,MIN(71,Cartera_Polizas!$B$80+3-49))*(1+(Cartera_Polizas!$P$80-1)*MAX(0,1-3/Supuestos!$C$20))*(1-Supuestos!$C$18)^3))</f>
        <v>0.628954616619319</v>
      </c>
      <c r="G78" s="29" t="n">
        <f aca="false">F78*(1-MIN(1,INDEX(Tabla_Mortalidad!$B$5:$B$75,MIN(71,Cartera_Polizas!$B$80+4-49))*(1+(Cartera_Polizas!$P$80-1)*MAX(0,1-4/Supuestos!$C$20))*(1-Supuestos!$C$18)^4))</f>
        <v>0.540242802586884</v>
      </c>
      <c r="H78" s="29" t="n">
        <f aca="false">G78*(1-MIN(1,INDEX(Tabla_Mortalidad!$B$5:$B$75,MIN(71,Cartera_Polizas!$B$80+5-49))*(1+(Cartera_Polizas!$P$80-1)*MAX(0,1-5/Supuestos!$C$20))*(1-Supuestos!$C$18)^5))</f>
        <v>0.455807490701078</v>
      </c>
      <c r="I78" s="29" t="n">
        <f aca="false">H78*(1-MIN(1,INDEX(Tabla_Mortalidad!$B$5:$B$75,MIN(71,Cartera_Polizas!$B$80+6-49))*(1+(Cartera_Polizas!$P$80-1)*MAX(0,1-6/Supuestos!$C$20))*(1-Supuestos!$C$18)^6))</f>
        <v>0.376956850623237</v>
      </c>
      <c r="J78" s="29" t="n">
        <f aca="false">I78*(1-MIN(1,INDEX(Tabla_Mortalidad!$B$5:$B$75,MIN(71,Cartera_Polizas!$B$80+7-49))*(1+(Cartera_Polizas!$P$80-1)*MAX(0,1-7/Supuestos!$C$20))*(1-Supuestos!$C$18)^7))</f>
        <v>0.304868013669274</v>
      </c>
      <c r="K78" s="29" t="n">
        <f aca="false">J78*(1-MIN(1,INDEX(Tabla_Mortalidad!$B$5:$B$75,MIN(71,Cartera_Polizas!$B$80+8-49))*(1+(Cartera_Polizas!$P$80-1)*MAX(0,1-8/Supuestos!$C$20))*(1-Supuestos!$C$18)^8))</f>
        <v>0.24050327467514</v>
      </c>
      <c r="L78" s="29" t="n">
        <f aca="false">K78*(1-MIN(1,INDEX(Tabla_Mortalidad!$B$5:$B$75,MIN(71,Cartera_Polizas!$B$80+9-49))*(1+(Cartera_Polizas!$P$80-1)*MAX(0,1-9/Supuestos!$C$20))*(1-Supuestos!$C$18)^9))</f>
        <v>0.184531633623829</v>
      </c>
      <c r="M78" s="29" t="n">
        <f aca="false">L78*(1-MIN(1,INDEX(Tabla_Mortalidad!$B$5:$B$75,MIN(71,Cartera_Polizas!$B$80+10-49))*(1+(Cartera_Polizas!$P$80-1)*MAX(0,1-10/Supuestos!$C$20))*(1-Supuestos!$C$18)^10))</f>
        <v>0.137269395898365</v>
      </c>
      <c r="N78" s="29" t="n">
        <f aca="false">M78*(1-MIN(1,INDEX(Tabla_Mortalidad!$B$5:$B$75,MIN(71,Cartera_Polizas!$B$80+11-49))*(1+(Cartera_Polizas!$P$80-1)*MAX(0,1-11/Supuestos!$C$20))*(1-Supuestos!$C$18)^11))</f>
        <v>0.0986481310203406</v>
      </c>
      <c r="O78" s="29" t="n">
        <f aca="false">N78*(1-MIN(1,INDEX(Tabla_Mortalidad!$B$5:$B$75,MIN(71,Cartera_Polizas!$B$80+12-49))*(1+(Cartera_Polizas!$P$80-1)*MAX(0,1-12/Supuestos!$C$20))*(1-Supuestos!$C$18)^12))</f>
        <v>0.0682190169987748</v>
      </c>
      <c r="P78" s="29" t="n">
        <f aca="false">O78*(1-MIN(1,INDEX(Tabla_Mortalidad!$B$5:$B$75,MIN(71,Cartera_Polizas!$B$80+13-49))*(1+(Cartera_Polizas!$P$80-1)*MAX(0,1-13/Supuestos!$C$20))*(1-Supuestos!$C$18)^13))</f>
        <v>0.0451989331537288</v>
      </c>
      <c r="Q78" s="29" t="n">
        <f aca="false">P78*(1-MIN(1,INDEX(Tabla_Mortalidad!$B$5:$B$75,MIN(71,Cartera_Polizas!$B$80+14-49))*(1+(Cartera_Polizas!$P$80-1)*MAX(0,1-14/Supuestos!$C$20))*(1-Supuestos!$C$18)^14))</f>
        <v>0.0285534481126863</v>
      </c>
      <c r="R78" s="29" t="n">
        <f aca="false">Q78*(1-MIN(1,INDEX(Tabla_Mortalidad!$B$5:$B$75,MIN(71,Cartera_Polizas!$B$80+15-49))*(1+(Cartera_Polizas!$P$80-1)*MAX(0,1-15/Supuestos!$C$20))*(1-Supuestos!$C$18)^15))</f>
        <v>0.0171071403748763</v>
      </c>
      <c r="S78" s="29" t="n">
        <f aca="false">R78*(1-MIN(1,INDEX(Tabla_Mortalidad!$B$5:$B$75,MIN(71,Cartera_Polizas!$B$80+16-49))*(1+(Cartera_Polizas!$P$80-1)*MAX(0,1-16/Supuestos!$C$20))*(1-Supuestos!$C$18)^16))</f>
        <v>0.00971265485902488</v>
      </c>
      <c r="T78" s="29" t="n">
        <f aca="false">S78*(1-MIN(1,INDEX(Tabla_Mortalidad!$B$5:$B$75,MIN(71,Cartera_Polizas!$B$80+17-49))*(1+(Cartera_Polizas!$P$80-1)*MAX(0,1-17/Supuestos!$C$20))*(1-Supuestos!$C$18)^17))</f>
        <v>0.00519953825578622</v>
      </c>
      <c r="U78" s="29" t="n">
        <f aca="false">T78*(1-MIN(1,INDEX(Tabla_Mortalidad!$B$5:$B$75,MIN(71,Cartera_Polizas!$B$80+18-49))*(1+(Cartera_Polizas!$P$80-1)*MAX(0,1-18/Supuestos!$C$20))*(1-Supuestos!$C$18)^18))</f>
        <v>0.00261080872530665</v>
      </c>
      <c r="V78" s="29" t="n">
        <f aca="false">U78*(1-MIN(1,INDEX(Tabla_Mortalidad!$B$5:$B$75,MIN(71,Cartera_Polizas!$B$80+19-49))*(1+(Cartera_Polizas!$P$80-1)*MAX(0,1-19/Supuestos!$C$20))*(1-Supuestos!$C$18)^19))</f>
        <v>0.00122295494603117</v>
      </c>
      <c r="W78" s="29" t="n">
        <f aca="false">V78*(1-MIN(1,INDEX(Tabla_Mortalidad!$B$5:$B$75,MIN(71,Cartera_Polizas!$B$80+20-49))*(1+(Cartera_Polizas!$P$80-1)*MAX(0,1-20/Supuestos!$C$20))*(1-Supuestos!$C$18)^20))</f>
        <v>0.000531478956130999</v>
      </c>
      <c r="X78" s="29" t="n">
        <f aca="false">W78*(1-MIN(1,INDEX(Tabla_Mortalidad!$B$5:$B$75,MIN(71,Cartera_Polizas!$B$80+21-49))*(1+(Cartera_Polizas!$P$80-1)*MAX(0,1-21/Supuestos!$C$20))*(1-Supuestos!$C$18)^21))</f>
        <v>0.000213140239172248</v>
      </c>
      <c r="Y78" s="29" t="n">
        <f aca="false">X78*(1-MIN(1,INDEX(Tabla_Mortalidad!$B$5:$B$75,MIN(71,Cartera_Polizas!$B$80+22-49))*(1+(Cartera_Polizas!$P$80-1)*MAX(0,1-22/Supuestos!$C$20))*(1-Supuestos!$C$18)^22))</f>
        <v>7.84799747305924E-005</v>
      </c>
      <c r="Z78" s="29" t="n">
        <f aca="false">Y78*(1-MIN(1,INDEX(Tabla_Mortalidad!$B$5:$B$75,MIN(71,Cartera_Polizas!$B$80+23-49))*(1+(Cartera_Polizas!$P$80-1)*MAX(0,1-23/Supuestos!$C$20))*(1-Supuestos!$C$18)^23))</f>
        <v>2.64156991401113E-005</v>
      </c>
      <c r="AA78" s="29" t="n">
        <f aca="false">Z78*(1-MIN(1,INDEX(Tabla_Mortalidad!$B$5:$B$75,MIN(71,Cartera_Polizas!$B$80+24-49))*(1+(Cartera_Polizas!$P$80-1)*MAX(0,1-24/Supuestos!$C$20))*(1-Supuestos!$C$18)^24))</f>
        <v>8.10091956266938E-006</v>
      </c>
      <c r="AB78" s="29" t="n">
        <f aca="false">AA78*(1-MIN(1,INDEX(Tabla_Mortalidad!$B$5:$B$75,MIN(71,Cartera_Polizas!$B$80+25-49))*(1+(Cartera_Polizas!$P$80-1)*MAX(0,1-25/Supuestos!$C$20))*(1-Supuestos!$C$18)^25))</f>
        <v>2.25947933897634E-006</v>
      </c>
      <c r="AC78" s="29" t="n">
        <f aca="false">AB78*(1-MIN(1,INDEX(Tabla_Mortalidad!$B$5:$B$75,MIN(71,Cartera_Polizas!$B$80+26-49))*(1+(Cartera_Polizas!$P$80-1)*MAX(0,1-26/Supuestos!$C$20))*(1-Supuestos!$C$18)^26))</f>
        <v>5.7336837252436E-007</v>
      </c>
      <c r="AD78" s="29" t="n">
        <f aca="false">AC78*(1-MIN(1,INDEX(Tabla_Mortalidad!$B$5:$B$75,MIN(71,Cartera_Polizas!$B$80+27-49))*(1+(Cartera_Polizas!$P$80-1)*MAX(0,1-27/Supuestos!$C$20))*(1-Supuestos!$C$18)^27))</f>
        <v>1.32774050072425E-007</v>
      </c>
      <c r="AE78" s="29" t="n">
        <f aca="false">AD78*(1-MIN(1,INDEX(Tabla_Mortalidad!$B$5:$B$75,MIN(71,Cartera_Polizas!$B$80+28-49))*(1+(Cartera_Polizas!$P$80-1)*MAX(0,1-28/Supuestos!$C$20))*(1-Supuestos!$C$18)^28))</f>
        <v>2.82279603224329E-008</v>
      </c>
      <c r="AF78" s="29" t="n">
        <f aca="false">AE78*(1-MIN(1,INDEX(Tabla_Mortalidad!$B$5:$B$75,MIN(71,Cartera_Polizas!$B$80+29-49))*(1+(Cartera_Polizas!$P$80-1)*MAX(0,1-29/Supuestos!$C$20))*(1-Supuestos!$C$18)^29))</f>
        <v>5.56106613181063E-009</v>
      </c>
      <c r="AG78" s="29" t="n">
        <f aca="false">AF78*(1-MIN(1,INDEX(Tabla_Mortalidad!$B$5:$B$75,MIN(71,Cartera_Polizas!$B$80+30-49))*(1+(Cartera_Polizas!$P$80-1)*MAX(0,1-30/Supuestos!$C$20))*(1-Supuestos!$C$18)^30))</f>
        <v>1.02762618339723E-009</v>
      </c>
      <c r="AH78" s="29" t="n">
        <f aca="false">AG78*(1-MIN(1,INDEX(Tabla_Mortalidad!$B$5:$B$75,MIN(71,Cartera_Polizas!$B$80+31-49))*(1+(Cartera_Polizas!$P$80-1)*MAX(0,1-31/Supuestos!$C$20))*(1-Supuestos!$C$18)^31))</f>
        <v>1.47893626621583E-010</v>
      </c>
      <c r="AI78" s="29" t="n">
        <f aca="false">AH78*(1-MIN(1,INDEX(Tabla_Mortalidad!$B$5:$B$75,MIN(71,Cartera_Polizas!$B$80+32-49))*(1+(Cartera_Polizas!$P$80-1)*MAX(0,1-32/Supuestos!$C$20))*(1-Supuestos!$C$18)^32))</f>
        <v>2.19175604422793E-011</v>
      </c>
      <c r="AJ78" s="29" t="n">
        <f aca="false">AI78*(1-MIN(1,INDEX(Tabla_Mortalidad!$B$5:$B$75,MIN(71,Cartera_Polizas!$B$80+33-49))*(1+(Cartera_Polizas!$P$80-1)*MAX(0,1-33/Supuestos!$C$20))*(1-Supuestos!$C$18)^33))</f>
        <v>3.34148879335597E-012</v>
      </c>
      <c r="AK78" s="29" t="n">
        <f aca="false">AJ78*(1-MIN(1,INDEX(Tabla_Mortalidad!$B$5:$B$75,MIN(71,Cartera_Polizas!$B$80+34-49))*(1+(Cartera_Polizas!$P$80-1)*MAX(0,1-34/Supuestos!$C$20))*(1-Supuestos!$C$18)^34))</f>
        <v>5.23594131862578E-013</v>
      </c>
      <c r="AL78" s="29" t="n">
        <f aca="false">AK78*(1-MIN(1,INDEX(Tabla_Mortalidad!$B$5:$B$75,MIN(71,Cartera_Polizas!$B$80+35-49))*(1+(Cartera_Polizas!$P$80-1)*MAX(0,1-35/Supuestos!$C$20))*(1-Supuestos!$C$18)^35))</f>
        <v>8.42522593598176E-014</v>
      </c>
      <c r="AM78" s="29" t="n">
        <f aca="false">AL78*(1-MIN(1,INDEX(Tabla_Mortalidad!$B$5:$B$75,MIN(71,Cartera_Polizas!$B$80+36-49))*(1+(Cartera_Polizas!$P$80-1)*MAX(0,1-36/Supuestos!$C$20))*(1-Supuestos!$C$18)^36))</f>
        <v>1.39106236891407E-014</v>
      </c>
      <c r="AN78" s="29" t="n">
        <f aca="false">AM78*(1-MIN(1,INDEX(Tabla_Mortalidad!$B$5:$B$75,MIN(71,Cartera_Polizas!$B$80+37-49))*(1+(Cartera_Polizas!$P$80-1)*MAX(0,1-37/Supuestos!$C$20))*(1-Supuestos!$C$18)^37))</f>
        <v>2.35480844129114E-015</v>
      </c>
      <c r="AO78" s="29" t="n">
        <f aca="false">AN78*(1-MIN(1,INDEX(Tabla_Mortalidad!$B$5:$B$75,MIN(71,Cartera_Polizas!$B$80+38-49))*(1+(Cartera_Polizas!$P$80-1)*MAX(0,1-38/Supuestos!$C$20))*(1-Supuestos!$C$18)^38))</f>
        <v>4.08405947755542E-016</v>
      </c>
      <c r="AP78" s="29" t="n">
        <f aca="false">AO78*(1-MIN(1,INDEX(Tabla_Mortalidad!$B$5:$B$75,MIN(71,Cartera_Polizas!$B$80+39-49))*(1+(Cartera_Polizas!$P$80-1)*MAX(0,1-39/Supuestos!$C$20))*(1-Supuestos!$C$18)^39))</f>
        <v>7.25197119829841E-017</v>
      </c>
      <c r="AQ78" s="29" t="n">
        <f aca="false">AP78*(1-MIN(1,INDEX(Tabla_Mortalidad!$B$5:$B$75,MIN(71,Cartera_Polizas!$B$80+40-49))*(1+(Cartera_Polizas!$P$80-1)*MAX(0,1-40/Supuestos!$C$20))*(1-Supuestos!$C$18)^40))</f>
        <v>1.31753724965391E-017</v>
      </c>
      <c r="AR78" s="29" t="n">
        <f aca="false">AQ78*(1-MIN(1,INDEX(Tabla_Mortalidad!$B$5:$B$75,MIN(71,Cartera_Polizas!$B$80+41-49))*(1+(Cartera_Polizas!$P$80-1)*MAX(0,1-41/Supuestos!$C$20))*(1-Supuestos!$C$18)^41))</f>
        <v>2.44760844273184E-018</v>
      </c>
      <c r="AS78" s="29" t="n">
        <f aca="false">AR78*(1-MIN(1,INDEX(Tabla_Mortalidad!$B$5:$B$75,MIN(71,Cartera_Polizas!$B$80+42-49))*(1+(Cartera_Polizas!$P$80-1)*MAX(0,1-42/Supuestos!$C$20))*(1-Supuestos!$C$18)^42))</f>
        <v>4.64660404849199E-019</v>
      </c>
      <c r="AT78" s="29" t="n">
        <f aca="false">AS78*(1-MIN(1,INDEX(Tabla_Mortalidad!$B$5:$B$75,MIN(71,Cartera_Polizas!$B$80+43-49))*(1+(Cartera_Polizas!$P$80-1)*MAX(0,1-43/Supuestos!$C$20))*(1-Supuestos!$C$18)^43))</f>
        <v>9.00945899577322E-020</v>
      </c>
      <c r="AU78" s="29" t="n">
        <f aca="false">AT78*(1-MIN(1,INDEX(Tabla_Mortalidad!$B$5:$B$75,MIN(71,Cartera_Polizas!$B$80+44-49))*(1+(Cartera_Polizas!$P$80-1)*MAX(0,1-44/Supuestos!$C$20))*(1-Supuestos!$C$18)^44))</f>
        <v>1.78318763998519E-020</v>
      </c>
    </row>
    <row r="79" customFormat="false" ht="15" hidden="false" customHeight="false" outlineLevel="0" collapsed="false">
      <c r="A79" s="14" t="n">
        <f aca="false">Cartera_Polizas!A81</f>
        <v>76</v>
      </c>
      <c r="B79" s="26" t="n">
        <f aca="false">SUM(C79:AU79)+0.5</f>
        <v>6.93823652514313</v>
      </c>
      <c r="C79" s="29" t="n">
        <f aca="false">1-MIN(1,INDEX(Tabla_Mortalidad!$B$5:$B$75,MIN(71,Cartera_Polizas!$B$81+0-49))*(1+(Cartera_Polizas!$P$81-1)*MAX(0,1-0/Supuestos!$C$20))*(1-Supuestos!$C$18)^0)</f>
        <v>0.91966740625</v>
      </c>
      <c r="D79" s="29" t="n">
        <f aca="false">C79*(1-MIN(1,INDEX(Tabla_Mortalidad!$B$5:$B$75,MIN(71,Cartera_Polizas!$B$81+1-49))*(1+(Cartera_Polizas!$P$81-1)*MAX(0,1-1/Supuestos!$C$20))*(1-Supuestos!$C$18)^1))</f>
        <v>0.838328035359082</v>
      </c>
      <c r="E79" s="29" t="n">
        <f aca="false">D79*(1-MIN(1,INDEX(Tabla_Mortalidad!$B$5:$B$75,MIN(71,Cartera_Polizas!$B$81+2-49))*(1+(Cartera_Polizas!$P$81-1)*MAX(0,1-2/Supuestos!$C$20))*(1-Supuestos!$C$18)^2))</f>
        <v>0.756737407282388</v>
      </c>
      <c r="F79" s="29" t="n">
        <f aca="false">E79*(1-MIN(1,INDEX(Tabla_Mortalidad!$B$5:$B$75,MIN(71,Cartera_Polizas!$B$81+3-49))*(1+(Cartera_Polizas!$P$81-1)*MAX(0,1-3/Supuestos!$C$20))*(1-Supuestos!$C$18)^3))</f>
        <v>0.675740920920414</v>
      </c>
      <c r="G79" s="29" t="n">
        <f aca="false">F79*(1-MIN(1,INDEX(Tabla_Mortalidad!$B$5:$B$75,MIN(71,Cartera_Polizas!$B$81+4-49))*(1+(Cartera_Polizas!$P$81-1)*MAX(0,1-4/Supuestos!$C$20))*(1-Supuestos!$C$18)^4))</f>
        <v>0.596250799196988</v>
      </c>
      <c r="H79" s="29" t="n">
        <f aca="false">G79*(1-MIN(1,INDEX(Tabla_Mortalidad!$B$5:$B$75,MIN(71,Cartera_Polizas!$B$81+5-49))*(1+(Cartera_Polizas!$P$81-1)*MAX(0,1-5/Supuestos!$C$20))*(1-Supuestos!$C$18)^5))</f>
        <v>0.519220771073472</v>
      </c>
      <c r="I79" s="29" t="n">
        <f aca="false">H79*(1-MIN(1,INDEX(Tabla_Mortalidad!$B$5:$B$75,MIN(71,Cartera_Polizas!$B$81+6-49))*(1+(Cartera_Polizas!$P$81-1)*MAX(0,1-6/Supuestos!$C$20))*(1-Supuestos!$C$18)^6))</f>
        <v>0.445611217927503</v>
      </c>
      <c r="J79" s="29" t="n">
        <f aca="false">I79*(1-MIN(1,INDEX(Tabla_Mortalidad!$B$5:$B$75,MIN(71,Cartera_Polizas!$B$81+7-49))*(1+(Cartera_Polizas!$P$81-1)*MAX(0,1-7/Supuestos!$C$20))*(1-Supuestos!$C$18)^7))</f>
        <v>0.37634793034703</v>
      </c>
      <c r="K79" s="29" t="n">
        <f aca="false">J79*(1-MIN(1,INDEX(Tabla_Mortalidad!$B$5:$B$75,MIN(71,Cartera_Polizas!$B$81+8-49))*(1+(Cartera_Polizas!$P$81-1)*MAX(0,1-8/Supuestos!$C$20))*(1-Supuestos!$C$18)^8))</f>
        <v>0.312275398624864</v>
      </c>
      <c r="L79" s="29" t="n">
        <f aca="false">K79*(1-MIN(1,INDEX(Tabla_Mortalidad!$B$5:$B$75,MIN(71,Cartera_Polizas!$B$81+9-49))*(1+(Cartera_Polizas!$P$81-1)*MAX(0,1-9/Supuestos!$C$20))*(1-Supuestos!$C$18)^9))</f>
        <v>0.254107315046827</v>
      </c>
      <c r="M79" s="29" t="n">
        <f aca="false">L79*(1-MIN(1,INDEX(Tabla_Mortalidad!$B$5:$B$75,MIN(71,Cartera_Polizas!$B$81+10-49))*(1+(Cartera_Polizas!$P$81-1)*MAX(0,1-10/Supuestos!$C$20))*(1-Supuestos!$C$18)^10))</f>
        <v>0.20238166496405</v>
      </c>
      <c r="N79" s="29" t="n">
        <f aca="false">M79*(1-MIN(1,INDEX(Tabla_Mortalidad!$B$5:$B$75,MIN(71,Cartera_Polizas!$B$81+11-49))*(1+(Cartera_Polizas!$P$81-1)*MAX(0,1-11/Supuestos!$C$20))*(1-Supuestos!$C$18)^11))</f>
        <v>0.157422137353715</v>
      </c>
      <c r="O79" s="29" t="n">
        <f aca="false">N79*(1-MIN(1,INDEX(Tabla_Mortalidad!$B$5:$B$75,MIN(71,Cartera_Polizas!$B$81+12-49))*(1+(Cartera_Polizas!$P$81-1)*MAX(0,1-12/Supuestos!$C$20))*(1-Supuestos!$C$18)^12))</f>
        <v>0.119311893535364</v>
      </c>
      <c r="P79" s="29" t="n">
        <f aca="false">O79*(1-MIN(1,INDEX(Tabla_Mortalidad!$B$5:$B$75,MIN(71,Cartera_Polizas!$B$81+13-49))*(1+(Cartera_Polizas!$P$81-1)*MAX(0,1-13/Supuestos!$C$20))*(1-Supuestos!$C$18)^13))</f>
        <v>0.0878863651782493</v>
      </c>
      <c r="Q79" s="29" t="n">
        <f aca="false">P79*(1-MIN(1,INDEX(Tabla_Mortalidad!$B$5:$B$75,MIN(71,Cartera_Polizas!$B$81+14-49))*(1+(Cartera_Polizas!$P$81-1)*MAX(0,1-14/Supuestos!$C$20))*(1-Supuestos!$C$18)^14))</f>
        <v>0.0627462138158307</v>
      </c>
      <c r="R79" s="29" t="n">
        <f aca="false">Q79*(1-MIN(1,INDEX(Tabla_Mortalidad!$B$5:$B$75,MIN(71,Cartera_Polizas!$B$81+15-49))*(1+(Cartera_Polizas!$P$81-1)*MAX(0,1-15/Supuestos!$C$20))*(1-Supuestos!$C$18)^15))</f>
        <v>0.0432912181841031</v>
      </c>
      <c r="S79" s="29" t="n">
        <f aca="false">R79*(1-MIN(1,INDEX(Tabla_Mortalidad!$B$5:$B$75,MIN(71,Cartera_Polizas!$B$81+16-49))*(1+(Cartera_Polizas!$P$81-1)*MAX(0,1-16/Supuestos!$C$20))*(1-Supuestos!$C$18)^16))</f>
        <v>0.0287064330103412</v>
      </c>
      <c r="T79" s="29" t="n">
        <f aca="false">S79*(1-MIN(1,INDEX(Tabla_Mortalidad!$B$5:$B$75,MIN(71,Cartera_Polizas!$B$81+17-49))*(1+(Cartera_Polizas!$P$81-1)*MAX(0,1-17/Supuestos!$C$20))*(1-Supuestos!$C$18)^17))</f>
        <v>0.0182225604032656</v>
      </c>
      <c r="U79" s="29" t="n">
        <f aca="false">T79*(1-MIN(1,INDEX(Tabla_Mortalidad!$B$5:$B$75,MIN(71,Cartera_Polizas!$B$81+18-49))*(1+(Cartera_Polizas!$P$81-1)*MAX(0,1-18/Supuestos!$C$20))*(1-Supuestos!$C$18)^18))</f>
        <v>0.0110266541390392</v>
      </c>
      <c r="V79" s="29" t="n">
        <f aca="false">U79*(1-MIN(1,INDEX(Tabla_Mortalidad!$B$5:$B$75,MIN(71,Cartera_Polizas!$B$81+19-49))*(1+(Cartera_Polizas!$P$81-1)*MAX(0,1-19/Supuestos!$C$20))*(1-Supuestos!$C$18)^19))</f>
        <v>0.00633156828102434</v>
      </c>
      <c r="W79" s="29" t="n">
        <f aca="false">V79*(1-MIN(1,INDEX(Tabla_Mortalidad!$B$5:$B$75,MIN(71,Cartera_Polizas!$B$81+20-49))*(1+(Cartera_Polizas!$P$81-1)*MAX(0,1-20/Supuestos!$C$20))*(1-Supuestos!$C$18)^20))</f>
        <v>0.00343342978910345</v>
      </c>
      <c r="X79" s="29" t="n">
        <f aca="false">W79*(1-MIN(1,INDEX(Tabla_Mortalidad!$B$5:$B$75,MIN(71,Cartera_Polizas!$B$81+21-49))*(1+(Cartera_Polizas!$P$81-1)*MAX(0,1-21/Supuestos!$C$20))*(1-Supuestos!$C$18)^21))</f>
        <v>0.00174951809455972</v>
      </c>
      <c r="Y79" s="29" t="n">
        <f aca="false">X79*(1-MIN(1,INDEX(Tabla_Mortalidad!$B$5:$B$75,MIN(71,Cartera_Polizas!$B$81+22-49))*(1+(Cartera_Polizas!$P$81-1)*MAX(0,1-22/Supuestos!$C$20))*(1-Supuestos!$C$18)^22))</f>
        <v>0.000833389712994355</v>
      </c>
      <c r="Z79" s="29" t="n">
        <f aca="false">Y79*(1-MIN(1,INDEX(Tabla_Mortalidad!$B$5:$B$75,MIN(71,Cartera_Polizas!$B$81+23-49))*(1+(Cartera_Polizas!$P$81-1)*MAX(0,1-23/Supuestos!$C$20))*(1-Supuestos!$C$18)^23))</f>
        <v>0.00036921227776194</v>
      </c>
      <c r="AA79" s="29" t="n">
        <f aca="false">Z79*(1-MIN(1,INDEX(Tabla_Mortalidad!$B$5:$B$75,MIN(71,Cartera_Polizas!$B$81+24-49))*(1+(Cartera_Polizas!$P$81-1)*MAX(0,1-24/Supuestos!$C$20))*(1-Supuestos!$C$18)^24))</f>
        <v>0.000151366691570597</v>
      </c>
      <c r="AB79" s="29" t="n">
        <f aca="false">AA79*(1-MIN(1,INDEX(Tabla_Mortalidad!$B$5:$B$75,MIN(71,Cartera_Polizas!$B$81+25-49))*(1+(Cartera_Polizas!$P$81-1)*MAX(0,1-25/Supuestos!$C$20))*(1-Supuestos!$C$18)^25))</f>
        <v>5.71617737435652E-005</v>
      </c>
      <c r="AC79" s="29" t="n">
        <f aca="false">AB79*(1-MIN(1,INDEX(Tabla_Mortalidad!$B$5:$B$75,MIN(71,Cartera_Polizas!$B$81+26-49))*(1+(Cartera_Polizas!$P$81-1)*MAX(0,1-26/Supuestos!$C$20))*(1-Supuestos!$C$18)^26))</f>
        <v>1.98061567109015E-005</v>
      </c>
      <c r="AD79" s="29" t="n">
        <f aca="false">AC79*(1-MIN(1,INDEX(Tabla_Mortalidad!$B$5:$B$75,MIN(71,Cartera_Polizas!$B$81+27-49))*(1+(Cartera_Polizas!$P$81-1)*MAX(0,1-27/Supuestos!$C$20))*(1-Supuestos!$C$18)^27))</f>
        <v>6.27892155479314E-006</v>
      </c>
      <c r="AE79" s="29" t="n">
        <f aca="false">AD79*(1-MIN(1,INDEX(Tabla_Mortalidad!$B$5:$B$75,MIN(71,Cartera_Polizas!$B$81+28-49))*(1+(Cartera_Polizas!$P$81-1)*MAX(0,1-28/Supuestos!$C$20))*(1-Supuestos!$C$18)^28))</f>
        <v>1.81886961387134E-006</v>
      </c>
      <c r="AF79" s="29" t="n">
        <f aca="false">AE79*(1-MIN(1,INDEX(Tabla_Mortalidad!$B$5:$B$75,MIN(71,Cartera_Polizas!$B$81+29-49))*(1+(Cartera_Polizas!$P$81-1)*MAX(0,1-29/Supuestos!$C$20))*(1-Supuestos!$C$18)^29))</f>
        <v>4.81816719342907E-007</v>
      </c>
      <c r="AG79" s="29" t="n">
        <f aca="false">AF79*(1-MIN(1,INDEX(Tabla_Mortalidad!$B$5:$B$75,MIN(71,Cartera_Polizas!$B$81+30-49))*(1+(Cartera_Polizas!$P$81-1)*MAX(0,1-30/Supuestos!$C$20))*(1-Supuestos!$C$18)^30))</f>
        <v>1.1709949695451E-007</v>
      </c>
      <c r="AH79" s="29" t="n">
        <f aca="false">AG79*(1-MIN(1,INDEX(Tabla_Mortalidad!$B$5:$B$75,MIN(71,Cartera_Polizas!$B$81+31-49))*(1+(Cartera_Polizas!$P$81-1)*MAX(0,1-31/Supuestos!$C$20))*(1-Supuestos!$C$18)^31))</f>
        <v>2.62716828166216E-008</v>
      </c>
      <c r="AI79" s="29" t="n">
        <f aca="false">AH79*(1-MIN(1,INDEX(Tabla_Mortalidad!$B$5:$B$75,MIN(71,Cartera_Polizas!$B$81+32-49))*(1+(Cartera_Polizas!$P$81-1)*MAX(0,1-32/Supuestos!$C$20))*(1-Supuestos!$C$18)^32))</f>
        <v>5.49052916732748E-009</v>
      </c>
      <c r="AJ79" s="29" t="n">
        <f aca="false">AI79*(1-MIN(1,INDEX(Tabla_Mortalidad!$B$5:$B$75,MIN(71,Cartera_Polizas!$B$81+33-49))*(1+(Cartera_Polizas!$P$81-1)*MAX(0,1-33/Supuestos!$C$20))*(1-Supuestos!$C$18)^33))</f>
        <v>1.08139562487515E-009</v>
      </c>
      <c r="AK79" s="29" t="n">
        <f aca="false">AJ79*(1-MIN(1,INDEX(Tabla_Mortalidad!$B$5:$B$75,MIN(71,Cartera_Polizas!$B$81+34-49))*(1+(Cartera_Polizas!$P$81-1)*MAX(0,1-34/Supuestos!$C$20))*(1-Supuestos!$C$18)^34))</f>
        <v>1.69449140315036E-010</v>
      </c>
      <c r="AL79" s="29" t="n">
        <f aca="false">AK79*(1-MIN(1,INDEX(Tabla_Mortalidad!$B$5:$B$75,MIN(71,Cartera_Polizas!$B$81+35-49))*(1+(Cartera_Polizas!$P$81-1)*MAX(0,1-35/Supuestos!$C$20))*(1-Supuestos!$C$18)^35))</f>
        <v>2.72662966396031E-011</v>
      </c>
      <c r="AM79" s="29" t="n">
        <f aca="false">AL79*(1-MIN(1,INDEX(Tabla_Mortalidad!$B$5:$B$75,MIN(71,Cartera_Polizas!$B$81+36-49))*(1+(Cartera_Polizas!$P$81-1)*MAX(0,1-36/Supuestos!$C$20))*(1-Supuestos!$C$18)^36))</f>
        <v>4.50185187711293E-012</v>
      </c>
      <c r="AN79" s="29" t="n">
        <f aca="false">AM79*(1-MIN(1,INDEX(Tabla_Mortalidad!$B$5:$B$75,MIN(71,Cartera_Polizas!$B$81+37-49))*(1+(Cartera_Polizas!$P$81-1)*MAX(0,1-37/Supuestos!$C$20))*(1-Supuestos!$C$18)^37))</f>
        <v>7.62079331492774E-013</v>
      </c>
      <c r="AO79" s="29" t="n">
        <f aca="false">AN79*(1-MIN(1,INDEX(Tabla_Mortalidad!$B$5:$B$75,MIN(71,Cartera_Polizas!$B$81+38-49))*(1+(Cartera_Polizas!$P$81-1)*MAX(0,1-38/Supuestos!$C$20))*(1-Supuestos!$C$18)^38))</f>
        <v>1.32171146572145E-013</v>
      </c>
      <c r="AP79" s="29" t="n">
        <f aca="false">AO79*(1-MIN(1,INDEX(Tabla_Mortalidad!$B$5:$B$75,MIN(71,Cartera_Polizas!$B$81+39-49))*(1+(Cartera_Polizas!$P$81-1)*MAX(0,1-39/Supuestos!$C$20))*(1-Supuestos!$C$18)^39))</f>
        <v>2.3469328824785E-014</v>
      </c>
      <c r="AQ79" s="29" t="n">
        <f aca="false">AP79*(1-MIN(1,INDEX(Tabla_Mortalidad!$B$5:$B$75,MIN(71,Cartera_Polizas!$B$81+40-49))*(1+(Cartera_Polizas!$P$81-1)*MAX(0,1-40/Supuestos!$C$20))*(1-Supuestos!$C$18)^40))</f>
        <v>4.26390482056599E-015</v>
      </c>
      <c r="AR79" s="29" t="n">
        <f aca="false">AQ79*(1-MIN(1,INDEX(Tabla_Mortalidad!$B$5:$B$75,MIN(71,Cartera_Polizas!$B$81+41-49))*(1+(Cartera_Polizas!$P$81-1)*MAX(0,1-41/Supuestos!$C$20))*(1-Supuestos!$C$18)^41))</f>
        <v>7.92111907315239E-016</v>
      </c>
      <c r="AS79" s="29" t="n">
        <f aca="false">AR79*(1-MIN(1,INDEX(Tabla_Mortalidad!$B$5:$B$75,MIN(71,Cartera_Polizas!$B$81+42-49))*(1+(Cartera_Polizas!$P$81-1)*MAX(0,1-42/Supuestos!$C$20))*(1-Supuestos!$C$18)^42))</f>
        <v>1.50376601548312E-016</v>
      </c>
      <c r="AT79" s="29" t="n">
        <f aca="false">AS79*(1-MIN(1,INDEX(Tabla_Mortalidad!$B$5:$B$75,MIN(71,Cartera_Polizas!$B$81+43-49))*(1+(Cartera_Polizas!$P$81-1)*MAX(0,1-43/Supuestos!$C$20))*(1-Supuestos!$C$18)^43))</f>
        <v>2.91570319191053E-017</v>
      </c>
      <c r="AU79" s="29" t="n">
        <f aca="false">AT79*(1-MIN(1,INDEX(Tabla_Mortalidad!$B$5:$B$75,MIN(71,Cartera_Polizas!$B$81+44-49))*(1+(Cartera_Polizas!$P$81-1)*MAX(0,1-44/Supuestos!$C$20))*(1-Supuestos!$C$18)^44))</f>
        <v>5.77087469527242E-018</v>
      </c>
    </row>
    <row r="80" customFormat="false" ht="15" hidden="false" customHeight="false" outlineLevel="0" collapsed="false">
      <c r="A80" s="14" t="n">
        <f aca="false">Cartera_Polizas!A82</f>
        <v>77</v>
      </c>
      <c r="B80" s="26" t="n">
        <f aca="false">SUM(C80:AU80)+0.5</f>
        <v>6.75592308640667</v>
      </c>
      <c r="C80" s="29" t="n">
        <f aca="false">1-MIN(1,INDEX(Tabla_Mortalidad!$B$5:$B$75,MIN(71,Cartera_Polizas!$B$82+0-49))*(1+(Cartera_Polizas!$P$82-1)*MAX(0,1-0/Supuestos!$C$20))*(1-Supuestos!$C$18)^0)</f>
        <v>0.898657781</v>
      </c>
      <c r="D80" s="29" t="n">
        <f aca="false">C80*(1-MIN(1,INDEX(Tabla_Mortalidad!$B$5:$B$75,MIN(71,Cartera_Polizas!$B$82+1-49))*(1+(Cartera_Polizas!$P$82-1)*MAX(0,1-1/Supuestos!$C$20))*(1-Supuestos!$C$18)^1))</f>
        <v>0.8015672726945</v>
      </c>
      <c r="E80" s="29" t="n">
        <f aca="false">D80*(1-MIN(1,INDEX(Tabla_Mortalidad!$B$5:$B$75,MIN(71,Cartera_Polizas!$B$82+2-49))*(1+(Cartera_Polizas!$P$82-1)*MAX(0,1-2/Supuestos!$C$20))*(1-Supuestos!$C$18)^2))</f>
        <v>0.709411224764462</v>
      </c>
      <c r="F80" s="29" t="n">
        <f aca="false">E80*(1-MIN(1,INDEX(Tabla_Mortalidad!$B$5:$B$75,MIN(71,Cartera_Polizas!$B$82+3-49))*(1+(Cartera_Polizas!$P$82-1)*MAX(0,1-3/Supuestos!$C$20))*(1-Supuestos!$C$18)^3))</f>
        <v>0.622793005344486</v>
      </c>
      <c r="G80" s="29" t="n">
        <f aca="false">F80*(1-MIN(1,INDEX(Tabla_Mortalidad!$B$5:$B$75,MIN(71,Cartera_Polizas!$B$82+4-49))*(1+(Cartera_Polizas!$P$82-1)*MAX(0,1-4/Supuestos!$C$20))*(1-Supuestos!$C$18)^4))</f>
        <v>0.542211648592174</v>
      </c>
      <c r="H80" s="29" t="n">
        <f aca="false">G80*(1-MIN(1,INDEX(Tabla_Mortalidad!$B$5:$B$75,MIN(71,Cartera_Polizas!$B$82+5-49))*(1+(Cartera_Polizas!$P$82-1)*MAX(0,1-5/Supuestos!$C$20))*(1-Supuestos!$C$18)^5))</f>
        <v>0.468044505830308</v>
      </c>
      <c r="I80" s="29" t="n">
        <f aca="false">H80*(1-MIN(1,INDEX(Tabla_Mortalidad!$B$5:$B$75,MIN(71,Cartera_Polizas!$B$82+6-49))*(1+(Cartera_Polizas!$P$82-1)*MAX(0,1-6/Supuestos!$C$20))*(1-Supuestos!$C$18)^6))</f>
        <v>0.400539418345828</v>
      </c>
      <c r="J80" s="29" t="n">
        <f aca="false">I80*(1-MIN(1,INDEX(Tabla_Mortalidad!$B$5:$B$75,MIN(71,Cartera_Polizas!$B$82+7-49))*(1+(Cartera_Polizas!$P$82-1)*MAX(0,1-7/Supuestos!$C$20))*(1-Supuestos!$C$18)^7))</f>
        <v>0.339801838267909</v>
      </c>
      <c r="K80" s="29" t="n">
        <f aca="false">J80*(1-MIN(1,INDEX(Tabla_Mortalidad!$B$5:$B$75,MIN(71,Cartera_Polizas!$B$82+8-49))*(1+(Cartera_Polizas!$P$82-1)*MAX(0,1-8/Supuestos!$C$20))*(1-Supuestos!$C$18)^8))</f>
        <v>0.285799910137331</v>
      </c>
      <c r="L80" s="29" t="n">
        <f aca="false">K80*(1-MIN(1,INDEX(Tabla_Mortalidad!$B$5:$B$75,MIN(71,Cartera_Polizas!$B$82+9-49))*(1+(Cartera_Polizas!$P$82-1)*MAX(0,1-9/Supuestos!$C$20))*(1-Supuestos!$C$18)^9))</f>
        <v>0.23836718079786</v>
      </c>
      <c r="M80" s="29" t="n">
        <f aca="false">L80*(1-MIN(1,INDEX(Tabla_Mortalidad!$B$5:$B$75,MIN(71,Cartera_Polizas!$B$82+10-49))*(1+(Cartera_Polizas!$P$82-1)*MAX(0,1-10/Supuestos!$C$20))*(1-Supuestos!$C$18)^10))</f>
        <v>0.197216534862039</v>
      </c>
      <c r="N80" s="29" t="n">
        <f aca="false">M80*(1-MIN(1,INDEX(Tabla_Mortalidad!$B$5:$B$75,MIN(71,Cartera_Polizas!$B$82+11-49))*(1+(Cartera_Polizas!$P$82-1)*MAX(0,1-11/Supuestos!$C$20))*(1-Supuestos!$C$18)^11))</f>
        <v>0.161958350877067</v>
      </c>
      <c r="O80" s="29" t="n">
        <f aca="false">N80*(1-MIN(1,INDEX(Tabla_Mortalidad!$B$5:$B$75,MIN(71,Cartera_Polizas!$B$82+12-49))*(1+(Cartera_Polizas!$P$82-1)*MAX(0,1-12/Supuestos!$C$20))*(1-Supuestos!$C$18)^12))</f>
        <v>0.13212320225905</v>
      </c>
      <c r="P80" s="29" t="n">
        <f aca="false">O80*(1-MIN(1,INDEX(Tabla_Mortalidad!$B$5:$B$75,MIN(71,Cartera_Polizas!$B$82+13-49))*(1+(Cartera_Polizas!$P$82-1)*MAX(0,1-13/Supuestos!$C$20))*(1-Supuestos!$C$18)^13))</f>
        <v>0.107186780369793</v>
      </c>
      <c r="Q80" s="29" t="n">
        <f aca="false">P80*(1-MIN(1,INDEX(Tabla_Mortalidad!$B$5:$B$75,MIN(71,Cartera_Polizas!$B$82+14-49))*(1+(Cartera_Polizas!$P$82-1)*MAX(0,1-14/Supuestos!$C$20))*(1-Supuestos!$C$18)^14))</f>
        <v>0.0865951144274395</v>
      </c>
      <c r="R80" s="29" t="n">
        <f aca="false">Q80*(1-MIN(1,INDEX(Tabla_Mortalidad!$B$5:$B$75,MIN(71,Cartera_Polizas!$B$82+15-49))*(1+(Cartera_Polizas!$P$82-1)*MAX(0,1-15/Supuestos!$C$20))*(1-Supuestos!$C$18)^15))</f>
        <v>0.0697893864520533</v>
      </c>
      <c r="S80" s="29" t="n">
        <f aca="false">R80*(1-MIN(1,INDEX(Tabla_Mortalidad!$B$5:$B$75,MIN(71,Cartera_Polizas!$B$82+16-49))*(1+(Cartera_Polizas!$P$82-1)*MAX(0,1-16/Supuestos!$C$20))*(1-Supuestos!$C$18)^16))</f>
        <v>0.0549414739661496</v>
      </c>
      <c r="T80" s="29" t="n">
        <f aca="false">S80*(1-MIN(1,INDEX(Tabla_Mortalidad!$B$5:$B$75,MIN(71,Cartera_Polizas!$B$82+17-49))*(1+(Cartera_Polizas!$P$82-1)*MAX(0,1-17/Supuestos!$C$20))*(1-Supuestos!$C$18)^17))</f>
        <v>0.0421458707139718</v>
      </c>
      <c r="U80" s="29" t="n">
        <f aca="false">T80*(1-MIN(1,INDEX(Tabla_Mortalidad!$B$5:$B$75,MIN(71,Cartera_Polizas!$B$82+18-49))*(1+(Cartera_Polizas!$P$82-1)*MAX(0,1-18/Supuestos!$C$20))*(1-Supuestos!$C$18)^18))</f>
        <v>0.0314181764635209</v>
      </c>
      <c r="V80" s="29" t="n">
        <f aca="false">U80*(1-MIN(1,INDEX(Tabla_Mortalidad!$B$5:$B$75,MIN(71,Cartera_Polizas!$B$82+19-49))*(1+(Cartera_Polizas!$P$82-1)*MAX(0,1-19/Supuestos!$C$20))*(1-Supuestos!$C$18)^19))</f>
        <v>0.0226933500601569</v>
      </c>
      <c r="W80" s="29" t="n">
        <f aca="false">V80*(1-MIN(1,INDEX(Tabla_Mortalidad!$B$5:$B$75,MIN(71,Cartera_Polizas!$B$82+20-49))*(1+(Cartera_Polizas!$P$82-1)*MAX(0,1-20/Supuestos!$C$20))*(1-Supuestos!$C$18)^20))</f>
        <v>0.0158312407995525</v>
      </c>
      <c r="X80" s="29" t="n">
        <f aca="false">W80*(1-MIN(1,INDEX(Tabla_Mortalidad!$B$5:$B$75,MIN(71,Cartera_Polizas!$B$82+21-49))*(1+(Cartera_Polizas!$P$82-1)*MAX(0,1-21/Supuestos!$C$20))*(1-Supuestos!$C$18)^21))</f>
        <v>0.010629717019398</v>
      </c>
      <c r="Y80" s="29" t="n">
        <f aca="false">X80*(1-MIN(1,INDEX(Tabla_Mortalidad!$B$5:$B$75,MIN(71,Cartera_Polizas!$B$82+22-49))*(1+(Cartera_Polizas!$P$82-1)*MAX(0,1-22/Supuestos!$C$20))*(1-Supuestos!$C$18)^22))</f>
        <v>0.00684372573091608</v>
      </c>
      <c r="Z80" s="29" t="n">
        <f aca="false">Y80*(1-MIN(1,INDEX(Tabla_Mortalidad!$B$5:$B$75,MIN(71,Cartera_Polizas!$B$82+23-49))*(1+(Cartera_Polizas!$P$82-1)*MAX(0,1-23/Supuestos!$C$20))*(1-Supuestos!$C$18)^23))</f>
        <v>0.00420809781305545</v>
      </c>
      <c r="AA80" s="29" t="n">
        <f aca="false">Z80*(1-MIN(1,INDEX(Tabla_Mortalidad!$B$5:$B$75,MIN(71,Cartera_Polizas!$B$82+24-49))*(1+(Cartera_Polizas!$P$82-1)*MAX(0,1-24/Supuestos!$C$20))*(1-Supuestos!$C$18)^24))</f>
        <v>0.00246066287177003</v>
      </c>
      <c r="AB80" s="29" t="n">
        <f aca="false">AA80*(1-MIN(1,INDEX(Tabla_Mortalidad!$B$5:$B$75,MIN(71,Cartera_Polizas!$B$82+25-49))*(1+(Cartera_Polizas!$P$82-1)*MAX(0,1-25/Supuestos!$C$20))*(1-Supuestos!$C$18)^25))</f>
        <v>0.0013622253481497</v>
      </c>
      <c r="AC80" s="29" t="n">
        <f aca="false">AB80*(1-MIN(1,INDEX(Tabla_Mortalidad!$B$5:$B$75,MIN(71,Cartera_Polizas!$B$82+26-49))*(1+(Cartera_Polizas!$P$82-1)*MAX(0,1-26/Supuestos!$C$20))*(1-Supuestos!$C$18)^26))</f>
        <v>0.000710663714875622</v>
      </c>
      <c r="AD80" s="29" t="n">
        <f aca="false">AC80*(1-MIN(1,INDEX(Tabla_Mortalidad!$B$5:$B$75,MIN(71,Cartera_Polizas!$B$82+27-49))*(1+(Cartera_Polizas!$P$82-1)*MAX(0,1-27/Supuestos!$C$20))*(1-Supuestos!$C$18)^27))</f>
        <v>0.000347738247596801</v>
      </c>
      <c r="AE80" s="29" t="n">
        <f aca="false">AD80*(1-MIN(1,INDEX(Tabla_Mortalidad!$B$5:$B$75,MIN(71,Cartera_Polizas!$B$82+28-49))*(1+(Cartera_Polizas!$P$82-1)*MAX(0,1-28/Supuestos!$C$20))*(1-Supuestos!$C$18)^28))</f>
        <v>0.000158850514702747</v>
      </c>
      <c r="AF80" s="29" t="n">
        <f aca="false">AE80*(1-MIN(1,INDEX(Tabla_Mortalidad!$B$5:$B$75,MIN(71,Cartera_Polizas!$B$82+29-49))*(1+(Cartera_Polizas!$P$82-1)*MAX(0,1-29/Supuestos!$C$20))*(1-Supuestos!$C$18)^29))</f>
        <v>6.74441029704916E-005</v>
      </c>
      <c r="AG80" s="29" t="n">
        <f aca="false">AF80*(1-MIN(1,INDEX(Tabla_Mortalidad!$B$5:$B$75,MIN(71,Cartera_Polizas!$B$82+30-49))*(1+(Cartera_Polizas!$P$82-1)*MAX(0,1-30/Supuestos!$C$20))*(1-Supuestos!$C$18)^30))</f>
        <v>2.65083632187335E-005</v>
      </c>
      <c r="AH80" s="29" t="n">
        <f aca="false">AG80*(1-MIN(1,INDEX(Tabla_Mortalidad!$B$5:$B$75,MIN(71,Cartera_Polizas!$B$82+31-49))*(1+(Cartera_Polizas!$P$82-1)*MAX(0,1-31/Supuestos!$C$20))*(1-Supuestos!$C$18)^31))</f>
        <v>9.61373908334039E-006</v>
      </c>
      <c r="AI80" s="29" t="n">
        <f aca="false">AH80*(1-MIN(1,INDEX(Tabla_Mortalidad!$B$5:$B$75,MIN(71,Cartera_Polizas!$B$82+32-49))*(1+(Cartera_Polizas!$P$82-1)*MAX(0,1-32/Supuestos!$C$20))*(1-Supuestos!$C$18)^32))</f>
        <v>3.21025161717062E-006</v>
      </c>
      <c r="AJ80" s="29" t="n">
        <f aca="false">AI80*(1-MIN(1,INDEX(Tabla_Mortalidad!$B$5:$B$75,MIN(71,Cartera_Polizas!$B$82+33-49))*(1+(Cartera_Polizas!$P$82-1)*MAX(0,1-33/Supuestos!$C$20))*(1-Supuestos!$C$18)^33))</f>
        <v>9.86381923970506E-007</v>
      </c>
      <c r="AK80" s="29" t="n">
        <f aca="false">AJ80*(1-MIN(1,INDEX(Tabla_Mortalidad!$B$5:$B$75,MIN(71,Cartera_Polizas!$B$82+34-49))*(1+(Cartera_Polizas!$P$82-1)*MAX(0,1-34/Supuestos!$C$20))*(1-Supuestos!$C$18)^34))</f>
        <v>2.79238463358882E-007</v>
      </c>
      <c r="AL80" s="29" t="n">
        <f aca="false">AK80*(1-MIN(1,INDEX(Tabla_Mortalidad!$B$5:$B$75,MIN(71,Cartera_Polizas!$B$82+35-49))*(1+(Cartera_Polizas!$P$82-1)*MAX(0,1-35/Supuestos!$C$20))*(1-Supuestos!$C$18)^35))</f>
        <v>7.30971452649733E-008</v>
      </c>
      <c r="AM80" s="29" t="n">
        <f aca="false">AL80*(1-MIN(1,INDEX(Tabla_Mortalidad!$B$5:$B$75,MIN(71,Cartera_Polizas!$B$82+36-49))*(1+(Cartera_Polizas!$P$82-1)*MAX(0,1-36/Supuestos!$C$20))*(1-Supuestos!$C$18)^36))</f>
        <v>1.78029358142728E-008</v>
      </c>
      <c r="AN80" s="29" t="n">
        <f aca="false">AM80*(1-MIN(1,INDEX(Tabla_Mortalidad!$B$5:$B$75,MIN(71,Cartera_Polizas!$B$82+37-49))*(1+(Cartera_Polizas!$P$82-1)*MAX(0,1-37/Supuestos!$C$20))*(1-Supuestos!$C$18)^37))</f>
        <v>4.06919677085221E-009</v>
      </c>
      <c r="AO80" s="29" t="n">
        <f aca="false">AN80*(1-MIN(1,INDEX(Tabla_Mortalidad!$B$5:$B$75,MIN(71,Cartera_Polizas!$B$82+38-49))*(1+(Cartera_Polizas!$P$82-1)*MAX(0,1-38/Supuestos!$C$20))*(1-Supuestos!$C$18)^38))</f>
        <v>8.82335599990803E-010</v>
      </c>
      <c r="AP80" s="29" t="n">
        <f aca="false">AO80*(1-MIN(1,INDEX(Tabla_Mortalidad!$B$5:$B$75,MIN(71,Cartera_Polizas!$B$82+39-49))*(1+(Cartera_Polizas!$P$82-1)*MAX(0,1-39/Supuestos!$C$20))*(1-Supuestos!$C$18)^39))</f>
        <v>1.56674318616846E-010</v>
      </c>
      <c r="AQ80" s="29" t="n">
        <f aca="false">AP80*(1-MIN(1,INDEX(Tabla_Mortalidad!$B$5:$B$75,MIN(71,Cartera_Polizas!$B$82+40-49))*(1+(Cartera_Polizas!$P$82-1)*MAX(0,1-40/Supuestos!$C$20))*(1-Supuestos!$C$18)^40))</f>
        <v>2.84645712451635E-011</v>
      </c>
      <c r="AR80" s="29" t="n">
        <f aca="false">AQ80*(1-MIN(1,INDEX(Tabla_Mortalidad!$B$5:$B$75,MIN(71,Cartera_Polizas!$B$82+41-49))*(1+(Cartera_Polizas!$P$82-1)*MAX(0,1-41/Supuestos!$C$20))*(1-Supuestos!$C$18)^41))</f>
        <v>5.28790551589377E-012</v>
      </c>
      <c r="AS80" s="29" t="n">
        <f aca="false">AR80*(1-MIN(1,INDEX(Tabla_Mortalidad!$B$5:$B$75,MIN(71,Cartera_Polizas!$B$82+42-49))*(1+(Cartera_Polizas!$P$82-1)*MAX(0,1-42/Supuestos!$C$20))*(1-Supuestos!$C$18)^42))</f>
        <v>1.0038698490013E-012</v>
      </c>
      <c r="AT80" s="29" t="n">
        <f aca="false">AS80*(1-MIN(1,INDEX(Tabla_Mortalidad!$B$5:$B$75,MIN(71,Cartera_Polizas!$B$82+43-49))*(1+(Cartera_Polizas!$P$82-1)*MAX(0,1-43/Supuestos!$C$20))*(1-Supuestos!$C$18)^43))</f>
        <v>1.94643747289066E-013</v>
      </c>
      <c r="AU80" s="29" t="n">
        <f aca="false">AT80*(1-MIN(1,INDEX(Tabla_Mortalidad!$B$5:$B$75,MIN(71,Cartera_Polizas!$B$82+44-49))*(1+(Cartera_Polizas!$P$82-1)*MAX(0,1-44/Supuestos!$C$20))*(1-Supuestos!$C$18)^44))</f>
        <v>3.85246577545997E-014</v>
      </c>
    </row>
    <row r="81" customFormat="false" ht="15" hidden="false" customHeight="false" outlineLevel="0" collapsed="false">
      <c r="A81" s="14" t="n">
        <f aca="false">Cartera_Polizas!A83</f>
        <v>78</v>
      </c>
      <c r="B81" s="26" t="n">
        <f aca="false">SUM(C81:AU81)+0.5</f>
        <v>9.18848081019783</v>
      </c>
      <c r="C81" s="29" t="n">
        <f aca="false">1-MIN(1,INDEX(Tabla_Mortalidad!$B$5:$B$75,MIN(71,Cartera_Polizas!$B$83+0-49))*(1+(Cartera_Polizas!$P$83-1)*MAX(0,1-0/Supuestos!$C$20))*(1-Supuestos!$C$18)^0)</f>
        <v>0.9452982340625</v>
      </c>
      <c r="D81" s="29" t="n">
        <f aca="false">C81*(1-MIN(1,INDEX(Tabla_Mortalidad!$B$5:$B$75,MIN(71,Cartera_Polizas!$B$83+1-49))*(1+(Cartera_Polizas!$P$83-1)*MAX(0,1-1/Supuestos!$C$20))*(1-Supuestos!$C$18)^1))</f>
        <v>0.888755161655049</v>
      </c>
      <c r="E81" s="29" t="n">
        <f aca="false">D81*(1-MIN(1,INDEX(Tabla_Mortalidad!$B$5:$B$75,MIN(71,Cartera_Polizas!$B$83+2-49))*(1+(Cartera_Polizas!$P$83-1)*MAX(0,1-2/Supuestos!$C$20))*(1-Supuestos!$C$18)^2))</f>
        <v>0.830651628663499</v>
      </c>
      <c r="F81" s="29" t="n">
        <f aca="false">E81*(1-MIN(1,INDEX(Tabla_Mortalidad!$B$5:$B$75,MIN(71,Cartera_Polizas!$B$83+3-49))*(1+(Cartera_Polizas!$P$83-1)*MAX(0,1-3/Supuestos!$C$20))*(1-Supuestos!$C$18)^3))</f>
        <v>0.771329091146163</v>
      </c>
      <c r="G81" s="29" t="n">
        <f aca="false">F81*(1-MIN(1,INDEX(Tabla_Mortalidad!$B$5:$B$75,MIN(71,Cartera_Polizas!$B$83+4-49))*(1+(Cartera_Polizas!$P$83-1)*MAX(0,1-4/Supuestos!$C$20))*(1-Supuestos!$C$18)^4))</f>
        <v>0.711187015111653</v>
      </c>
      <c r="H81" s="29" t="n">
        <f aca="false">G81*(1-MIN(1,INDEX(Tabla_Mortalidad!$B$5:$B$75,MIN(71,Cartera_Polizas!$B$83+5-49))*(1+(Cartera_Polizas!$P$83-1)*MAX(0,1-5/Supuestos!$C$20))*(1-Supuestos!$C$18)^5))</f>
        <v>0.650679850072677</v>
      </c>
      <c r="I81" s="29" t="n">
        <f aca="false">H81*(1-MIN(1,INDEX(Tabla_Mortalidad!$B$5:$B$75,MIN(71,Cartera_Polizas!$B$83+6-49))*(1+(Cartera_Polizas!$P$83-1)*MAX(0,1-6/Supuestos!$C$20))*(1-Supuestos!$C$18)^6))</f>
        <v>0.590315206971076</v>
      </c>
      <c r="J81" s="29" t="n">
        <f aca="false">I81*(1-MIN(1,INDEX(Tabla_Mortalidad!$B$5:$B$75,MIN(71,Cartera_Polizas!$B$83+7-49))*(1+(Cartera_Polizas!$P$83-1)*MAX(0,1-7/Supuestos!$C$20))*(1-Supuestos!$C$18)^7))</f>
        <v>0.530640251168274</v>
      </c>
      <c r="K81" s="29" t="n">
        <f aca="false">J81*(1-MIN(1,INDEX(Tabla_Mortalidad!$B$5:$B$75,MIN(71,Cartera_Polizas!$B$83+8-49))*(1+(Cartera_Polizas!$P$83-1)*MAX(0,1-8/Supuestos!$C$20))*(1-Supuestos!$C$18)^8))</f>
        <v>0.472233946278191</v>
      </c>
      <c r="L81" s="29" t="n">
        <f aca="false">K81*(1-MIN(1,INDEX(Tabla_Mortalidad!$B$5:$B$75,MIN(71,Cartera_Polizas!$B$83+9-49))*(1+(Cartera_Polizas!$P$83-1)*MAX(0,1-9/Supuestos!$C$20))*(1-Supuestos!$C$18)^9))</f>
        <v>0.415687792575082</v>
      </c>
      <c r="M81" s="29" t="n">
        <f aca="false">L81*(1-MIN(1,INDEX(Tabla_Mortalidad!$B$5:$B$75,MIN(71,Cartera_Polizas!$B$83+10-49))*(1+(Cartera_Polizas!$P$83-1)*MAX(0,1-10/Supuestos!$C$20))*(1-Supuestos!$C$18)^10))</f>
        <v>0.361587367393855</v>
      </c>
      <c r="N81" s="29" t="n">
        <f aca="false">M81*(1-MIN(1,INDEX(Tabla_Mortalidad!$B$5:$B$75,MIN(71,Cartera_Polizas!$B$83+11-49))*(1+(Cartera_Polizas!$P$83-1)*MAX(0,1-11/Supuestos!$C$20))*(1-Supuestos!$C$18)^11))</f>
        <v>0.310489894610406</v>
      </c>
      <c r="O81" s="29" t="n">
        <f aca="false">N81*(1-MIN(1,INDEX(Tabla_Mortalidad!$B$5:$B$75,MIN(71,Cartera_Polizas!$B$83+12-49))*(1+(Cartera_Polizas!$P$83-1)*MAX(0,1-12/Supuestos!$C$20))*(1-Supuestos!$C$18)^12))</f>
        <v>0.262900552416596</v>
      </c>
      <c r="P81" s="29" t="n">
        <f aca="false">O81*(1-MIN(1,INDEX(Tabla_Mortalidad!$B$5:$B$75,MIN(71,Cartera_Polizas!$B$83+13-49))*(1+(Cartera_Polizas!$P$83-1)*MAX(0,1-13/Supuestos!$C$20))*(1-Supuestos!$C$18)^13))</f>
        <v>0.219248286931708</v>
      </c>
      <c r="Q81" s="29" t="n">
        <f aca="false">P81*(1-MIN(1,INDEX(Tabla_Mortalidad!$B$5:$B$75,MIN(71,Cartera_Polizas!$B$83+14-49))*(1+(Cartera_Polizas!$P$83-1)*MAX(0,1-14/Supuestos!$C$20))*(1-Supuestos!$C$18)^14))</f>
        <v>0.179862712021589</v>
      </c>
      <c r="R81" s="29" t="n">
        <f aca="false">Q81*(1-MIN(1,INDEX(Tabla_Mortalidad!$B$5:$B$75,MIN(71,Cartera_Polizas!$B$83+15-49))*(1+(Cartera_Polizas!$P$83-1)*MAX(0,1-15/Supuestos!$C$20))*(1-Supuestos!$C$18)^15))</f>
        <v>0.144956310764011</v>
      </c>
      <c r="S81" s="29" t="n">
        <f aca="false">R81*(1-MIN(1,INDEX(Tabla_Mortalidad!$B$5:$B$75,MIN(71,Cartera_Polizas!$B$83+16-49))*(1+(Cartera_Polizas!$P$83-1)*MAX(0,1-16/Supuestos!$C$20))*(1-Supuestos!$C$18)^16))</f>
        <v>0.11411639762074</v>
      </c>
      <c r="T81" s="29" t="n">
        <f aca="false">S81*(1-MIN(1,INDEX(Tabla_Mortalidad!$B$5:$B$75,MIN(71,Cartera_Polizas!$B$83+17-49))*(1+(Cartera_Polizas!$P$83-1)*MAX(0,1-17/Supuestos!$C$20))*(1-Supuestos!$C$18)^17))</f>
        <v>0.0875392411829206</v>
      </c>
      <c r="U81" s="29" t="n">
        <f aca="false">T81*(1-MIN(1,INDEX(Tabla_Mortalidad!$B$5:$B$75,MIN(71,Cartera_Polizas!$B$83+18-49))*(1+(Cartera_Polizas!$P$83-1)*MAX(0,1-18/Supuestos!$C$20))*(1-Supuestos!$C$18)^18))</f>
        <v>0.0652572430080547</v>
      </c>
      <c r="V81" s="29" t="n">
        <f aca="false">U81*(1-MIN(1,INDEX(Tabla_Mortalidad!$B$5:$B$75,MIN(71,Cartera_Polizas!$B$83+19-49))*(1+(Cartera_Polizas!$P$83-1)*MAX(0,1-19/Supuestos!$C$20))*(1-Supuestos!$C$18)^19))</f>
        <v>0.0471353091183367</v>
      </c>
      <c r="W81" s="29" t="n">
        <f aca="false">V81*(1-MIN(1,INDEX(Tabla_Mortalidad!$B$5:$B$75,MIN(71,Cartera_Polizas!$B$83+20-49))*(1+(Cartera_Polizas!$P$83-1)*MAX(0,1-20/Supuestos!$C$20))*(1-Supuestos!$C$18)^20))</f>
        <v>0.0328823389598995</v>
      </c>
      <c r="X81" s="29" t="n">
        <f aca="false">W81*(1-MIN(1,INDEX(Tabla_Mortalidad!$B$5:$B$75,MIN(71,Cartera_Polizas!$B$83+21-49))*(1+(Cartera_Polizas!$P$83-1)*MAX(0,1-21/Supuestos!$C$20))*(1-Supuestos!$C$18)^21))</f>
        <v>0.0220784941941845</v>
      </c>
      <c r="Y81" s="29" t="n">
        <f aca="false">X81*(1-MIN(1,INDEX(Tabla_Mortalidad!$B$5:$B$75,MIN(71,Cartera_Polizas!$B$83+22-49))*(1+(Cartera_Polizas!$P$83-1)*MAX(0,1-22/Supuestos!$C$20))*(1-Supuestos!$C$18)^22))</f>
        <v>0.0142147865781265</v>
      </c>
      <c r="Z81" s="29" t="n">
        <f aca="false">Y81*(1-MIN(1,INDEX(Tabla_Mortalidad!$B$5:$B$75,MIN(71,Cartera_Polizas!$B$83+23-49))*(1+(Cartera_Polizas!$P$83-1)*MAX(0,1-23/Supuestos!$C$20))*(1-Supuestos!$C$18)^23))</f>
        <v>0.00874044557955381</v>
      </c>
      <c r="AA81" s="29" t="n">
        <f aca="false">Z81*(1-MIN(1,INDEX(Tabla_Mortalidad!$B$5:$B$75,MIN(71,Cartera_Polizas!$B$83+24-49))*(1+(Cartera_Polizas!$P$83-1)*MAX(0,1-24/Supuestos!$C$20))*(1-Supuestos!$C$18)^24))</f>
        <v>0.00511092918363473</v>
      </c>
      <c r="AB81" s="29" t="n">
        <f aca="false">AA81*(1-MIN(1,INDEX(Tabla_Mortalidad!$B$5:$B$75,MIN(71,Cartera_Polizas!$B$83+25-49))*(1+(Cartera_Polizas!$P$83-1)*MAX(0,1-25/Supuestos!$C$20))*(1-Supuestos!$C$18)^25))</f>
        <v>0.002829415344304</v>
      </c>
      <c r="AC81" s="29" t="n">
        <f aca="false">AB81*(1-MIN(1,INDEX(Tabla_Mortalidad!$B$5:$B$75,MIN(71,Cartera_Polizas!$B$83+26-49))*(1+(Cartera_Polizas!$P$83-1)*MAX(0,1-26/Supuestos!$C$20))*(1-Supuestos!$C$18)^26))</f>
        <v>0.00147608677392501</v>
      </c>
      <c r="AD81" s="29" t="n">
        <f aca="false">AC81*(1-MIN(1,INDEX(Tabla_Mortalidad!$B$5:$B$75,MIN(71,Cartera_Polizas!$B$83+27-49))*(1+(Cartera_Polizas!$P$83-1)*MAX(0,1-27/Supuestos!$C$20))*(1-Supuestos!$C$18)^27))</f>
        <v>0.000722271050739285</v>
      </c>
      <c r="AE81" s="29" t="n">
        <f aca="false">AD81*(1-MIN(1,INDEX(Tabla_Mortalidad!$B$5:$B$75,MIN(71,Cartera_Polizas!$B$83+28-49))*(1+(Cartera_Polizas!$P$83-1)*MAX(0,1-28/Supuestos!$C$20))*(1-Supuestos!$C$18)^28))</f>
        <v>0.000329941066183383</v>
      </c>
      <c r="AF81" s="29" t="n">
        <f aca="false">AE81*(1-MIN(1,INDEX(Tabla_Mortalidad!$B$5:$B$75,MIN(71,Cartera_Polizas!$B$83+29-49))*(1+(Cartera_Polizas!$P$83-1)*MAX(0,1-29/Supuestos!$C$20))*(1-Supuestos!$C$18)^29))</f>
        <v>0.000140085030781968</v>
      </c>
      <c r="AG81" s="29" t="n">
        <f aca="false">AF81*(1-MIN(1,INDEX(Tabla_Mortalidad!$B$5:$B$75,MIN(71,Cartera_Polizas!$B$83+30-49))*(1+(Cartera_Polizas!$P$83-1)*MAX(0,1-30/Supuestos!$C$20))*(1-Supuestos!$C$18)^30))</f>
        <v>5.50592967201385E-005</v>
      </c>
      <c r="AH81" s="29" t="n">
        <f aca="false">AG81*(1-MIN(1,INDEX(Tabla_Mortalidad!$B$5:$B$75,MIN(71,Cartera_Polizas!$B$83+31-49))*(1+(Cartera_Polizas!$P$83-1)*MAX(0,1-31/Supuestos!$C$20))*(1-Supuestos!$C$18)^31))</f>
        <v>1.99682533550603E-005</v>
      </c>
      <c r="AI81" s="29" t="n">
        <f aca="false">AH81*(1-MIN(1,INDEX(Tabla_Mortalidad!$B$5:$B$75,MIN(71,Cartera_Polizas!$B$83+32-49))*(1+(Cartera_Polizas!$P$83-1)*MAX(0,1-32/Supuestos!$C$20))*(1-Supuestos!$C$18)^32))</f>
        <v>6.66786534036886E-006</v>
      </c>
      <c r="AJ81" s="29" t="n">
        <f aca="false">AI81*(1-MIN(1,INDEX(Tabla_Mortalidad!$B$5:$B$75,MIN(71,Cartera_Polizas!$B$83+33-49))*(1+(Cartera_Polizas!$P$83-1)*MAX(0,1-33/Supuestos!$C$20))*(1-Supuestos!$C$18)^33))</f>
        <v>2.04876832956977E-006</v>
      </c>
      <c r="AK81" s="29" t="n">
        <f aca="false">AJ81*(1-MIN(1,INDEX(Tabla_Mortalidad!$B$5:$B$75,MIN(71,Cartera_Polizas!$B$83+34-49))*(1+(Cartera_Polizas!$P$83-1)*MAX(0,1-34/Supuestos!$C$20))*(1-Supuestos!$C$18)^34))</f>
        <v>5.79993313162652E-007</v>
      </c>
      <c r="AL81" s="29" t="n">
        <f aca="false">AK81*(1-MIN(1,INDEX(Tabla_Mortalidad!$B$5:$B$75,MIN(71,Cartera_Polizas!$B$83+35-49))*(1+(Cartera_Polizas!$P$83-1)*MAX(0,1-35/Supuestos!$C$20))*(1-Supuestos!$C$18)^35))</f>
        <v>1.51826703796445E-007</v>
      </c>
      <c r="AM81" s="29" t="n">
        <f aca="false">AL81*(1-MIN(1,INDEX(Tabla_Mortalidad!$B$5:$B$75,MIN(71,Cartera_Polizas!$B$83+36-49))*(1+(Cartera_Polizas!$P$83-1)*MAX(0,1-36/Supuestos!$C$20))*(1-Supuestos!$C$18)^36))</f>
        <v>3.69776555949297E-008</v>
      </c>
      <c r="AN81" s="29" t="n">
        <f aca="false">AM81*(1-MIN(1,INDEX(Tabla_Mortalidad!$B$5:$B$75,MIN(71,Cartera_Polizas!$B$83+37-49))*(1+(Cartera_Polizas!$P$83-1)*MAX(0,1-37/Supuestos!$C$20))*(1-Supuestos!$C$18)^37))</f>
        <v>8.45194064115763E-009</v>
      </c>
      <c r="AO81" s="29" t="n">
        <f aca="false">AN81*(1-MIN(1,INDEX(Tabla_Mortalidad!$B$5:$B$75,MIN(71,Cartera_Polizas!$B$83+38-49))*(1+(Cartera_Polizas!$P$83-1)*MAX(0,1-38/Supuestos!$C$20))*(1-Supuestos!$C$18)^38))</f>
        <v>1.8326585163245E-009</v>
      </c>
      <c r="AP81" s="29" t="n">
        <f aca="false">AO81*(1-MIN(1,INDEX(Tabla_Mortalidad!$B$5:$B$75,MIN(71,Cartera_Polizas!$B$83+39-49))*(1+(Cartera_Polizas!$P$83-1)*MAX(0,1-39/Supuestos!$C$20))*(1-Supuestos!$C$18)^39))</f>
        <v>3.25420989820079E-010</v>
      </c>
      <c r="AQ81" s="29" t="n">
        <f aca="false">AP81*(1-MIN(1,INDEX(Tabla_Mortalidad!$B$5:$B$75,MIN(71,Cartera_Polizas!$B$83+40-49))*(1+(Cartera_Polizas!$P$83-1)*MAX(0,1-40/Supuestos!$C$20))*(1-Supuestos!$C$18)^40))</f>
        <v>5.91224460471935E-011</v>
      </c>
      <c r="AR81" s="29" t="n">
        <f aca="false">AQ81*(1-MIN(1,INDEX(Tabla_Mortalidad!$B$5:$B$75,MIN(71,Cartera_Polizas!$B$83+41-49))*(1+(Cartera_Polizas!$P$83-1)*MAX(0,1-41/Supuestos!$C$20))*(1-Supuestos!$C$18)^41))</f>
        <v>1.09832642787201E-011</v>
      </c>
      <c r="AS81" s="29" t="n">
        <f aca="false">AR81*(1-MIN(1,INDEX(Tabla_Mortalidad!$B$5:$B$75,MIN(71,Cartera_Polizas!$B$83+42-49))*(1+(Cartera_Polizas!$P$83-1)*MAX(0,1-42/Supuestos!$C$20))*(1-Supuestos!$C$18)^42))</f>
        <v>2.08509169081786E-012</v>
      </c>
      <c r="AT81" s="29" t="n">
        <f aca="false">AS81*(1-MIN(1,INDEX(Tabla_Mortalidad!$B$5:$B$75,MIN(71,Cartera_Polizas!$B$83+43-49))*(1+(Cartera_Polizas!$P$83-1)*MAX(0,1-43/Supuestos!$C$20))*(1-Supuestos!$C$18)^43))</f>
        <v>4.04285536163721E-013</v>
      </c>
      <c r="AU81" s="29" t="n">
        <f aca="false">AT81*(1-MIN(1,INDEX(Tabla_Mortalidad!$B$5:$B$75,MIN(71,Cartera_Polizas!$B$83+44-49))*(1+(Cartera_Polizas!$P$83-1)*MAX(0,1-44/Supuestos!$C$20))*(1-Supuestos!$C$18)^44))</f>
        <v>8.00177870225228E-014</v>
      </c>
    </row>
    <row r="82" customFormat="false" ht="15" hidden="false" customHeight="false" outlineLevel="0" collapsed="false">
      <c r="A82" s="14" t="n">
        <f aca="false">Cartera_Polizas!A84</f>
        <v>79</v>
      </c>
      <c r="B82" s="26" t="n">
        <f aca="false">SUM(C82:AU82)+0.5</f>
        <v>7.23916863483146</v>
      </c>
      <c r="C82" s="29" t="n">
        <f aca="false">1-MIN(1,INDEX(Tabla_Mortalidad!$B$5:$B$75,MIN(71,Cartera_Polizas!$B$84+0-49))*(1+(Cartera_Polizas!$P$84-1)*MAX(0,1-0/Supuestos!$C$20))*(1-Supuestos!$C$18)^0)</f>
        <v>0.9128111565</v>
      </c>
      <c r="D82" s="29" t="n">
        <f aca="false">C82*(1-MIN(1,INDEX(Tabla_Mortalidad!$B$5:$B$75,MIN(71,Cartera_Polizas!$B$84+1-49))*(1+(Cartera_Polizas!$P$84-1)*MAX(0,1-1/Supuestos!$C$20))*(1-Supuestos!$C$18)^1))</f>
        <v>0.827237265843322</v>
      </c>
      <c r="E82" s="29" t="n">
        <f aca="false">D82*(1-MIN(1,INDEX(Tabla_Mortalidad!$B$5:$B$75,MIN(71,Cartera_Polizas!$B$84+2-49))*(1+(Cartera_Polizas!$P$84-1)*MAX(0,1-2/Supuestos!$C$20))*(1-Supuestos!$C$18)^2))</f>
        <v>0.743956315736492</v>
      </c>
      <c r="F82" s="29" t="n">
        <f aca="false">E82*(1-MIN(1,INDEX(Tabla_Mortalidad!$B$5:$B$75,MIN(71,Cartera_Polizas!$B$84+3-49))*(1+(Cartera_Polizas!$P$84-1)*MAX(0,1-3/Supuestos!$C$20))*(1-Supuestos!$C$18)^3))</f>
        <v>0.663633576007994</v>
      </c>
      <c r="G82" s="29" t="n">
        <f aca="false">F82*(1-MIN(1,INDEX(Tabla_Mortalidad!$B$5:$B$75,MIN(71,Cartera_Polizas!$B$84+4-49))*(1+(Cartera_Polizas!$P$84-1)*MAX(0,1-4/Supuestos!$C$20))*(1-Supuestos!$C$18)^4))</f>
        <v>0.586901100778545</v>
      </c>
      <c r="H82" s="29" t="n">
        <f aca="false">G82*(1-MIN(1,INDEX(Tabla_Mortalidad!$B$5:$B$75,MIN(71,Cartera_Polizas!$B$84+5-49))*(1+(Cartera_Polizas!$P$84-1)*MAX(0,1-5/Supuestos!$C$20))*(1-Supuestos!$C$18)^5))</f>
        <v>0.514341646872417</v>
      </c>
      <c r="I82" s="29" t="n">
        <f aca="false">H82*(1-MIN(1,INDEX(Tabla_Mortalidad!$B$5:$B$75,MIN(71,Cartera_Polizas!$B$84+6-49))*(1+(Cartera_Polizas!$P$84-1)*MAX(0,1-6/Supuestos!$C$20))*(1-Supuestos!$C$18)^6))</f>
        <v>0.44646200744809</v>
      </c>
      <c r="J82" s="29" t="n">
        <f aca="false">I82*(1-MIN(1,INDEX(Tabla_Mortalidad!$B$5:$B$75,MIN(71,Cartera_Polizas!$B$84+7-49))*(1+(Cartera_Polizas!$P$84-1)*MAX(0,1-7/Supuestos!$C$20))*(1-Supuestos!$C$18)^7))</f>
        <v>0.383679926396138</v>
      </c>
      <c r="K82" s="29" t="n">
        <f aca="false">J82*(1-MIN(1,INDEX(Tabla_Mortalidad!$B$5:$B$75,MIN(71,Cartera_Polizas!$B$84+8-49))*(1+(Cartera_Polizas!$P$84-1)*MAX(0,1-8/Supuestos!$C$20))*(1-Supuestos!$C$18)^8))</f>
        <v>0.326304391297317</v>
      </c>
      <c r="L82" s="29" t="n">
        <f aca="false">K82*(1-MIN(1,INDEX(Tabla_Mortalidad!$B$5:$B$75,MIN(71,Cartera_Polizas!$B$84+9-49))*(1+(Cartera_Polizas!$P$84-1)*MAX(0,1-9/Supuestos!$C$20))*(1-Supuestos!$C$18)^9))</f>
        <v>0.274525349712101</v>
      </c>
      <c r="M82" s="29" t="n">
        <f aca="false">L82*(1-MIN(1,INDEX(Tabla_Mortalidad!$B$5:$B$75,MIN(71,Cartera_Polizas!$B$84+10-49))*(1+(Cartera_Polizas!$P$84-1)*MAX(0,1-10/Supuestos!$C$20))*(1-Supuestos!$C$18)^10))</f>
        <v>0.228407386360718</v>
      </c>
      <c r="N82" s="29" t="n">
        <f aca="false">M82*(1-MIN(1,INDEX(Tabla_Mortalidad!$B$5:$B$75,MIN(71,Cartera_Polizas!$B$84+11-49))*(1+(Cartera_Polizas!$P$84-1)*MAX(0,1-11/Supuestos!$C$20))*(1-Supuestos!$C$18)^11))</f>
        <v>0.187889985696273</v>
      </c>
      <c r="O82" s="29" t="n">
        <f aca="false">N82*(1-MIN(1,INDEX(Tabla_Mortalidad!$B$5:$B$75,MIN(71,Cartera_Polizas!$B$84+12-49))*(1+(Cartera_Polizas!$P$84-1)*MAX(0,1-12/Supuestos!$C$20))*(1-Supuestos!$C$18)^12))</f>
        <v>0.152793929441059</v>
      </c>
      <c r="P82" s="29" t="n">
        <f aca="false">O82*(1-MIN(1,INDEX(Tabla_Mortalidad!$B$5:$B$75,MIN(71,Cartera_Polizas!$B$84+13-49))*(1+(Cartera_Polizas!$P$84-1)*MAX(0,1-13/Supuestos!$C$20))*(1-Supuestos!$C$18)^13))</f>
        <v>0.122833431117796</v>
      </c>
      <c r="Q82" s="29" t="n">
        <f aca="false">P82*(1-MIN(1,INDEX(Tabla_Mortalidad!$B$5:$B$75,MIN(71,Cartera_Polizas!$B$84+14-49))*(1+(Cartera_Polizas!$P$84-1)*MAX(0,1-14/Supuestos!$C$20))*(1-Supuestos!$C$18)^14))</f>
        <v>0.0976348060695404</v>
      </c>
      <c r="R82" s="29" t="n">
        <f aca="false">Q82*(1-MIN(1,INDEX(Tabla_Mortalidad!$B$5:$B$75,MIN(71,Cartera_Polizas!$B$84+15-49))*(1+(Cartera_Polizas!$P$84-1)*MAX(0,1-15/Supuestos!$C$20))*(1-Supuestos!$C$18)^15))</f>
        <v>0.0767583100950944</v>
      </c>
      <c r="S82" s="29" t="n">
        <f aca="false">R82*(1-MIN(1,INDEX(Tabla_Mortalidad!$B$5:$B$75,MIN(71,Cartera_Polizas!$B$84+16-49))*(1+(Cartera_Polizas!$P$84-1)*MAX(0,1-16/Supuestos!$C$20))*(1-Supuestos!$C$18)^16))</f>
        <v>0.0587918389932423</v>
      </c>
      <c r="T82" s="29" t="n">
        <f aca="false">S82*(1-MIN(1,INDEX(Tabla_Mortalidad!$B$5:$B$75,MIN(71,Cartera_Polizas!$B$84+17-49))*(1+(Cartera_Polizas!$P$84-1)*MAX(0,1-17/Supuestos!$C$20))*(1-Supuestos!$C$18)^17))</f>
        <v>0.043751926102027</v>
      </c>
      <c r="U82" s="29" t="n">
        <f aca="false">T82*(1-MIN(1,INDEX(Tabla_Mortalidad!$B$5:$B$75,MIN(71,Cartera_Polizas!$B$84+18-49))*(1+(Cartera_Polizas!$P$84-1)*MAX(0,1-18/Supuestos!$C$20))*(1-Supuestos!$C$18)^18))</f>
        <v>0.0315409630802399</v>
      </c>
      <c r="V82" s="29" t="n">
        <f aca="false">U82*(1-MIN(1,INDEX(Tabla_Mortalidad!$B$5:$B$75,MIN(71,Cartera_Polizas!$B$84+19-49))*(1+(Cartera_Polizas!$P$84-1)*MAX(0,1-19/Supuestos!$C$20))*(1-Supuestos!$C$18)^19))</f>
        <v>0.0219555488479697</v>
      </c>
      <c r="W82" s="29" t="n">
        <f aca="false">V82*(1-MIN(1,INDEX(Tabla_Mortalidad!$B$5:$B$75,MIN(71,Cartera_Polizas!$B$84+20-49))*(1+(Cartera_Polizas!$P$84-1)*MAX(0,1-20/Supuestos!$C$20))*(1-Supuestos!$C$18)^20))</f>
        <v>0.0147055681393029</v>
      </c>
      <c r="X82" s="29" t="n">
        <f aca="false">W82*(1-MIN(1,INDEX(Tabla_Mortalidad!$B$5:$B$75,MIN(71,Cartera_Polizas!$B$84+21-49))*(1+(Cartera_Polizas!$P$84-1)*MAX(0,1-21/Supuestos!$C$20))*(1-Supuestos!$C$18)^21))</f>
        <v>0.0094415590031244</v>
      </c>
      <c r="Y82" s="29" t="n">
        <f aca="false">X82*(1-MIN(1,INDEX(Tabla_Mortalidad!$B$5:$B$75,MIN(71,Cartera_Polizas!$B$84+22-49))*(1+(Cartera_Polizas!$P$84-1)*MAX(0,1-22/Supuestos!$C$20))*(1-Supuestos!$C$18)^22))</f>
        <v>0.00578719222986724</v>
      </c>
      <c r="Z82" s="29" t="n">
        <f aca="false">Y82*(1-MIN(1,INDEX(Tabla_Mortalidad!$B$5:$B$75,MIN(71,Cartera_Polizas!$B$84+23-49))*(1+(Cartera_Polizas!$P$84-1)*MAX(0,1-23/Supuestos!$C$20))*(1-Supuestos!$C$18)^23))</f>
        <v>0.00337195376239667</v>
      </c>
      <c r="AA82" s="29" t="n">
        <f aca="false">Z82*(1-MIN(1,INDEX(Tabla_Mortalidad!$B$5:$B$75,MIN(71,Cartera_Polizas!$B$84+24-49))*(1+(Cartera_Polizas!$P$84-1)*MAX(0,1-24/Supuestos!$C$20))*(1-Supuestos!$C$18)^24))</f>
        <v>0.00185915286298726</v>
      </c>
      <c r="AB82" s="29" t="n">
        <f aca="false">AA82*(1-MIN(1,INDEX(Tabla_Mortalidad!$B$5:$B$75,MIN(71,Cartera_Polizas!$B$84+25-49))*(1+(Cartera_Polizas!$P$84-1)*MAX(0,1-25/Supuestos!$C$20))*(1-Supuestos!$C$18)^25))</f>
        <v>0.000965438855283431</v>
      </c>
      <c r="AC82" s="29" t="n">
        <f aca="false">AB82*(1-MIN(1,INDEX(Tabla_Mortalidad!$B$5:$B$75,MIN(71,Cartera_Polizas!$B$84+26-49))*(1+(Cartera_Polizas!$P$84-1)*MAX(0,1-26/Supuestos!$C$20))*(1-Supuestos!$C$18)^26))</f>
        <v>0.000469925920505989</v>
      </c>
      <c r="AD82" s="29" t="n">
        <f aca="false">AC82*(1-MIN(1,INDEX(Tabla_Mortalidad!$B$5:$B$75,MIN(71,Cartera_Polizas!$B$84+27-49))*(1+(Cartera_Polizas!$P$84-1)*MAX(0,1-27/Supuestos!$C$20))*(1-Supuestos!$C$18)^27))</f>
        <v>0.00021338443043403</v>
      </c>
      <c r="AE82" s="29" t="n">
        <f aca="false">AD82*(1-MIN(1,INDEX(Tabla_Mortalidad!$B$5:$B$75,MIN(71,Cartera_Polizas!$B$84+28-49))*(1+(Cartera_Polizas!$P$84-1)*MAX(0,1-28/Supuestos!$C$20))*(1-Supuestos!$C$18)^28))</f>
        <v>8.9980872468336E-005</v>
      </c>
      <c r="AF82" s="29" t="n">
        <f aca="false">AE82*(1-MIN(1,INDEX(Tabla_Mortalidad!$B$5:$B$75,MIN(71,Cartera_Polizas!$B$84+29-49))*(1+(Cartera_Polizas!$P$84-1)*MAX(0,1-29/Supuestos!$C$20))*(1-Supuestos!$C$18)^29))</f>
        <v>3.50918142493841E-005</v>
      </c>
      <c r="AG82" s="29" t="n">
        <f aca="false">AF82*(1-MIN(1,INDEX(Tabla_Mortalidad!$B$5:$B$75,MIN(71,Cartera_Polizas!$B$84+30-49))*(1+(Cartera_Polizas!$P$84-1)*MAX(0,1-30/Supuestos!$C$20))*(1-Supuestos!$C$18)^30))</f>
        <v>1.26142958084593E-005</v>
      </c>
      <c r="AH82" s="29" t="n">
        <f aca="false">AG82*(1-MIN(1,INDEX(Tabla_Mortalidad!$B$5:$B$75,MIN(71,Cartera_Polizas!$B$84+31-49))*(1+(Cartera_Polizas!$P$84-1)*MAX(0,1-31/Supuestos!$C$20))*(1-Supuestos!$C$18)^31))</f>
        <v>4.16998591398467E-006</v>
      </c>
      <c r="AI82" s="29" t="n">
        <f aca="false">AH82*(1-MIN(1,INDEX(Tabla_Mortalidad!$B$5:$B$75,MIN(71,Cartera_Polizas!$B$84+32-49))*(1+(Cartera_Polizas!$P$84-1)*MAX(0,1-32/Supuestos!$C$20))*(1-Supuestos!$C$18)^32))</f>
        <v>1.26675372668411E-006</v>
      </c>
      <c r="AJ82" s="29" t="n">
        <f aca="false">AI82*(1-MIN(1,INDEX(Tabla_Mortalidad!$B$5:$B$75,MIN(71,Cartera_Polizas!$B$84+33-49))*(1+(Cartera_Polizas!$P$84-1)*MAX(0,1-33/Supuestos!$C$20))*(1-Supuestos!$C$18)^33))</f>
        <v>3.54046404933511E-007</v>
      </c>
      <c r="AK82" s="29" t="n">
        <f aca="false">AJ82*(1-MIN(1,INDEX(Tabla_Mortalidad!$B$5:$B$75,MIN(71,Cartera_Polizas!$B$84+34-49))*(1+(Cartera_Polizas!$P$84-1)*MAX(0,1-34/Supuestos!$C$20))*(1-Supuestos!$C$18)^34))</f>
        <v>9.13664595613825E-008</v>
      </c>
      <c r="AL82" s="29" t="n">
        <f aca="false">AK82*(1-MIN(1,INDEX(Tabla_Mortalidad!$B$5:$B$75,MIN(71,Cartera_Polizas!$B$84+35-49))*(1+(Cartera_Polizas!$P$84-1)*MAX(0,1-35/Supuestos!$C$20))*(1-Supuestos!$C$18)^35))</f>
        <v>2.19051522874646E-008</v>
      </c>
      <c r="AM82" s="29" t="n">
        <f aca="false">AL82*(1-MIN(1,INDEX(Tabla_Mortalidad!$B$5:$B$75,MIN(71,Cartera_Polizas!$B$84+36-49))*(1+(Cartera_Polizas!$P$84-1)*MAX(0,1-36/Supuestos!$C$20))*(1-Supuestos!$C$18)^36))</f>
        <v>4.92191955619811E-009</v>
      </c>
      <c r="AN82" s="29" t="n">
        <f aca="false">AM82*(1-MIN(1,INDEX(Tabla_Mortalidad!$B$5:$B$75,MIN(71,Cartera_Polizas!$B$84+37-49))*(1+(Cartera_Polizas!$P$84-1)*MAX(0,1-37/Supuestos!$C$20))*(1-Supuestos!$C$18)^37))</f>
        <v>1.04786364627872E-009</v>
      </c>
      <c r="AO82" s="29" t="n">
        <f aca="false">AN82*(1-MIN(1,INDEX(Tabla_Mortalidad!$B$5:$B$75,MIN(71,Cartera_Polizas!$B$84+38-49))*(1+(Cartera_Polizas!$P$84-1)*MAX(0,1-38/Supuestos!$C$20))*(1-Supuestos!$C$18)^38))</f>
        <v>1.81736118349564E-010</v>
      </c>
      <c r="AP82" s="29" t="n">
        <f aca="false">AO82*(1-MIN(1,INDEX(Tabla_Mortalidad!$B$5:$B$75,MIN(71,Cartera_Polizas!$B$84+39-49))*(1+(Cartera_Polizas!$P$84-1)*MAX(0,1-39/Supuestos!$C$20))*(1-Supuestos!$C$18)^39))</f>
        <v>3.22704677344824E-011</v>
      </c>
      <c r="AQ82" s="29" t="n">
        <f aca="false">AP82*(1-MIN(1,INDEX(Tabla_Mortalidad!$B$5:$B$75,MIN(71,Cartera_Polizas!$B$84+40-49))*(1+(Cartera_Polizas!$P$84-1)*MAX(0,1-40/Supuestos!$C$20))*(1-Supuestos!$C$18)^40))</f>
        <v>5.86289467254245E-012</v>
      </c>
      <c r="AR82" s="29" t="n">
        <f aca="false">AQ82*(1-MIN(1,INDEX(Tabla_Mortalidad!$B$5:$B$75,MIN(71,Cartera_Polizas!$B$84+41-49))*(1+(Cartera_Polizas!$P$84-1)*MAX(0,1-41/Supuestos!$C$20))*(1-Supuestos!$C$18)^41))</f>
        <v>1.08915861795421E-012</v>
      </c>
      <c r="AS82" s="29" t="n">
        <f aca="false">AR82*(1-MIN(1,INDEX(Tabla_Mortalidad!$B$5:$B$75,MIN(71,Cartera_Polizas!$B$84+42-49))*(1+(Cartera_Polizas!$P$84-1)*MAX(0,1-42/Supuestos!$C$20))*(1-Supuestos!$C$18)^42))</f>
        <v>2.06768728007303E-013</v>
      </c>
      <c r="AT82" s="29" t="n">
        <f aca="false">AS82*(1-MIN(1,INDEX(Tabla_Mortalidad!$B$5:$B$75,MIN(71,Cartera_Polizas!$B$84+43-49))*(1+(Cartera_Polizas!$P$84-1)*MAX(0,1-43/Supuestos!$C$20))*(1-Supuestos!$C$18)^43))</f>
        <v>4.00910935631488E-014</v>
      </c>
      <c r="AU82" s="29" t="n">
        <f aca="false">AT82*(1-MIN(1,INDEX(Tabla_Mortalidad!$B$5:$B$75,MIN(71,Cartera_Polizas!$B$84+44-49))*(1+(Cartera_Polizas!$P$84-1)*MAX(0,1-44/Supuestos!$C$20))*(1-Supuestos!$C$18)^44))</f>
        <v>7.93498727824126E-015</v>
      </c>
    </row>
    <row r="83" customFormat="false" ht="15" hidden="false" customHeight="false" outlineLevel="0" collapsed="false">
      <c r="A83" s="14" t="n">
        <f aca="false">Cartera_Polizas!A85</f>
        <v>80</v>
      </c>
      <c r="B83" s="26" t="n">
        <f aca="false">SUM(C83:AU83)+0.5</f>
        <v>3.13365126350184</v>
      </c>
      <c r="C83" s="29" t="n">
        <f aca="false">1-MIN(1,INDEX(Tabla_Mortalidad!$B$5:$B$75,MIN(71,Cartera_Polizas!$B$85+0-49))*(1+(Cartera_Polizas!$P$85-1)*MAX(0,1-0/Supuestos!$C$20))*(1-Supuestos!$C$18)^0)</f>
        <v>0.76313832</v>
      </c>
      <c r="D83" s="29" t="n">
        <f aca="false">C83*(1-MIN(1,INDEX(Tabla_Mortalidad!$B$5:$B$75,MIN(71,Cartera_Polizas!$B$85+1-49))*(1+(Cartera_Polizas!$P$85-1)*MAX(0,1-1/Supuestos!$C$20))*(1-Supuestos!$C$18)^1))</f>
        <v>0.570086828920663</v>
      </c>
      <c r="E83" s="29" t="n">
        <f aca="false">D83*(1-MIN(1,INDEX(Tabla_Mortalidad!$B$5:$B$75,MIN(71,Cartera_Polizas!$B$85+2-49))*(1+(Cartera_Polizas!$P$85-1)*MAX(0,1-2/Supuestos!$C$20))*(1-Supuestos!$C$18)^2))</f>
        <v>0.416355265295917</v>
      </c>
      <c r="F83" s="29" t="n">
        <f aca="false">E83*(1-MIN(1,INDEX(Tabla_Mortalidad!$B$5:$B$75,MIN(71,Cartera_Polizas!$B$85+3-49))*(1+(Cartera_Polizas!$P$85-1)*MAX(0,1-3/Supuestos!$C$20))*(1-Supuestos!$C$18)^3))</f>
        <v>0.296917383348721</v>
      </c>
      <c r="G83" s="29" t="n">
        <f aca="false">F83*(1-MIN(1,INDEX(Tabla_Mortalidad!$B$5:$B$75,MIN(71,Cartera_Polizas!$B$85+4-49))*(1+(Cartera_Polizas!$P$85-1)*MAX(0,1-4/Supuestos!$C$20))*(1-Supuestos!$C$18)^4))</f>
        <v>0.206510963352022</v>
      </c>
      <c r="H83" s="29" t="n">
        <f aca="false">G83*(1-MIN(1,INDEX(Tabla_Mortalidad!$B$5:$B$75,MIN(71,Cartera_Polizas!$B$85+5-49))*(1+(Cartera_Polizas!$P$85-1)*MAX(0,1-5/Supuestos!$C$20))*(1-Supuestos!$C$18)^5))</f>
        <v>0.139932566842944</v>
      </c>
      <c r="I83" s="29" t="n">
        <f aca="false">H83*(1-MIN(1,INDEX(Tabla_Mortalidad!$B$5:$B$75,MIN(71,Cartera_Polizas!$B$85+6-49))*(1+(Cartera_Polizas!$P$85-1)*MAX(0,1-6/Supuestos!$C$20))*(1-Supuestos!$C$18)^6))</f>
        <v>0.0922918086590133</v>
      </c>
      <c r="J83" s="29" t="n">
        <f aca="false">I83*(1-MIN(1,INDEX(Tabla_Mortalidad!$B$5:$B$75,MIN(71,Cartera_Polizas!$B$85+7-49))*(1+(Cartera_Polizas!$P$85-1)*MAX(0,1-7/Supuestos!$C$20))*(1-Supuestos!$C$18)^7))</f>
        <v>0.0592065994290602</v>
      </c>
      <c r="K83" s="29" t="n">
        <f aca="false">J83*(1-MIN(1,INDEX(Tabla_Mortalidad!$B$5:$B$75,MIN(71,Cartera_Polizas!$B$85+8-49))*(1+(Cartera_Polizas!$P$85-1)*MAX(0,1-8/Supuestos!$C$20))*(1-Supuestos!$C$18)^8))</f>
        <v>0.0369286103017496</v>
      </c>
      <c r="L83" s="29" t="n">
        <f aca="false">K83*(1-MIN(1,INDEX(Tabla_Mortalidad!$B$5:$B$75,MIN(71,Cartera_Polizas!$B$85+9-49))*(1+(Cartera_Polizas!$P$85-1)*MAX(0,1-9/Supuestos!$C$20))*(1-Supuestos!$C$18)^9))</f>
        <v>0.0223941848299573</v>
      </c>
      <c r="M83" s="29" t="n">
        <f aca="false">L83*(1-MIN(1,INDEX(Tabla_Mortalidad!$B$5:$B$75,MIN(71,Cartera_Polizas!$B$85+10-49))*(1+(Cartera_Polizas!$P$85-1)*MAX(0,1-10/Supuestos!$C$20))*(1-Supuestos!$C$18)^10))</f>
        <v>0.0132097343384247</v>
      </c>
      <c r="N83" s="29" t="n">
        <f aca="false">M83*(1-MIN(1,INDEX(Tabla_Mortalidad!$B$5:$B$75,MIN(71,Cartera_Polizas!$B$85+11-49))*(1+(Cartera_Polizas!$P$85-1)*MAX(0,1-11/Supuestos!$C$20))*(1-Supuestos!$C$18)^11))</f>
        <v>0.00758775017979983</v>
      </c>
      <c r="O83" s="29" t="n">
        <f aca="false">N83*(1-MIN(1,INDEX(Tabla_Mortalidad!$B$5:$B$75,MIN(71,Cartera_Polizas!$B$85+12-49))*(1+(Cartera_Polizas!$P$85-1)*MAX(0,1-12/Supuestos!$C$20))*(1-Supuestos!$C$18)^12))</f>
        <v>0.00425188707189708</v>
      </c>
      <c r="P83" s="29" t="n">
        <f aca="false">O83*(1-MIN(1,INDEX(Tabla_Mortalidad!$B$5:$B$75,MIN(71,Cartera_Polizas!$B$85+13-49))*(1+(Cartera_Polizas!$P$85-1)*MAX(0,1-13/Supuestos!$C$20))*(1-Supuestos!$C$18)^13))</f>
        <v>0.00233053651221084</v>
      </c>
      <c r="Q83" s="29" t="n">
        <f aca="false">P83*(1-MIN(1,INDEX(Tabla_Mortalidad!$B$5:$B$75,MIN(71,Cartera_Polizas!$B$85+14-49))*(1+(Cartera_Polizas!$P$85-1)*MAX(0,1-14/Supuestos!$C$20))*(1-Supuestos!$C$18)^14))</f>
        <v>0.00125400694810221</v>
      </c>
      <c r="R83" s="29" t="n">
        <f aca="false">Q83*(1-MIN(1,INDEX(Tabla_Mortalidad!$B$5:$B$75,MIN(71,Cartera_Polizas!$B$85+15-49))*(1+(Cartera_Polizas!$P$85-1)*MAX(0,1-15/Supuestos!$C$20))*(1-Supuestos!$C$18)^15))</f>
        <v>0.000665444730530325</v>
      </c>
      <c r="S83" s="29" t="n">
        <f aca="false">R83*(1-MIN(1,INDEX(Tabla_Mortalidad!$B$5:$B$75,MIN(71,Cartera_Polizas!$B$85+16-49))*(1+(Cartera_Polizas!$P$85-1)*MAX(0,1-16/Supuestos!$C$20))*(1-Supuestos!$C$18)^16))</f>
        <v>0.000330797119636483</v>
      </c>
      <c r="T83" s="29" t="n">
        <f aca="false">S83*(1-MIN(1,INDEX(Tabla_Mortalidad!$B$5:$B$75,MIN(71,Cartera_Polizas!$B$85+17-49))*(1+(Cartera_Polizas!$P$85-1)*MAX(0,1-17/Supuestos!$C$20))*(1-Supuestos!$C$18)^17))</f>
        <v>0.00015318024872692</v>
      </c>
      <c r="U83" s="29" t="n">
        <f aca="false">T83*(1-MIN(1,INDEX(Tabla_Mortalidad!$B$5:$B$75,MIN(71,Cartera_Polizas!$B$85+18-49))*(1+(Cartera_Polizas!$P$85-1)*MAX(0,1-18/Supuestos!$C$20))*(1-Supuestos!$C$18)^18))</f>
        <v>6.5697331684013E-005</v>
      </c>
      <c r="V83" s="29" t="n">
        <f aca="false">U83*(1-MIN(1,INDEX(Tabla_Mortalidad!$B$5:$B$75,MIN(71,Cartera_Polizas!$B$85+19-49))*(1+(Cartera_Polizas!$P$85-1)*MAX(0,1-19/Supuestos!$C$20))*(1-Supuestos!$C$18)^19))</f>
        <v>2.59502765126924E-005</v>
      </c>
      <c r="W83" s="29" t="n">
        <f aca="false">V83*(1-MIN(1,INDEX(Tabla_Mortalidad!$B$5:$B$75,MIN(71,Cartera_Polizas!$B$85+20-49))*(1+(Cartera_Polizas!$P$85-1)*MAX(0,1-20/Supuestos!$C$20))*(1-Supuestos!$C$18)^20))</f>
        <v>9.38991388116656E-006</v>
      </c>
      <c r="X83" s="29" t="n">
        <f aca="false">W83*(1-MIN(1,INDEX(Tabla_Mortalidad!$B$5:$B$75,MIN(71,Cartera_Polizas!$B$85+21-49))*(1+(Cartera_Polizas!$P$85-1)*MAX(0,1-21/Supuestos!$C$20))*(1-Supuestos!$C$18)^21))</f>
        <v>3.09780218869741E-006</v>
      </c>
      <c r="Y83" s="29" t="n">
        <f aca="false">X83*(1-MIN(1,INDEX(Tabla_Mortalidad!$B$5:$B$75,MIN(71,Cartera_Polizas!$B$85+22-49))*(1+(Cartera_Polizas!$P$85-1)*MAX(0,1-22/Supuestos!$C$20))*(1-Supuestos!$C$18)^22))</f>
        <v>9.28364866118021E-007</v>
      </c>
      <c r="Z83" s="29" t="n">
        <f aca="false">Y83*(1-MIN(1,INDEX(Tabla_Mortalidad!$B$5:$B$75,MIN(71,Cartera_Polizas!$B$85+23-49))*(1+(Cartera_Polizas!$P$85-1)*MAX(0,1-23/Supuestos!$C$20))*(1-Supuestos!$C$18)^23))</f>
        <v>2.52191357644658E-007</v>
      </c>
      <c r="AA83" s="29" t="n">
        <f aca="false">Z83*(1-MIN(1,INDEX(Tabla_Mortalidad!$B$5:$B$75,MIN(71,Cartera_Polizas!$B$85+24-49))*(1+(Cartera_Polizas!$P$85-1)*MAX(0,1-24/Supuestos!$C$20))*(1-Supuestos!$C$18)^24))</f>
        <v>6.21002432264442E-008</v>
      </c>
      <c r="AB83" s="29" t="n">
        <f aca="false">AA83*(1-MIN(1,INDEX(Tabla_Mortalidad!$B$5:$B$75,MIN(71,Cartera_Polizas!$B$85+25-49))*(1+(Cartera_Polizas!$P$85-1)*MAX(0,1-25/Supuestos!$C$20))*(1-Supuestos!$C$18)^25))</f>
        <v>1.38996589227005E-008</v>
      </c>
      <c r="AC83" s="29" t="n">
        <f aca="false">AB83*(1-MIN(1,INDEX(Tabla_Mortalidad!$B$5:$B$75,MIN(71,Cartera_Polizas!$B$85+26-49))*(1+(Cartera_Polizas!$P$85-1)*MAX(0,1-26/Supuestos!$C$20))*(1-Supuestos!$C$18)^26))</f>
        <v>2.84481608188372E-009</v>
      </c>
      <c r="AD83" s="29" t="n">
        <f aca="false">AC83*(1-MIN(1,INDEX(Tabla_Mortalidad!$B$5:$B$75,MIN(71,Cartera_Polizas!$B$85+27-49))*(1+(Cartera_Polizas!$P$85-1)*MAX(0,1-27/Supuestos!$C$20))*(1-Supuestos!$C$18)^27))</f>
        <v>5.37428494993199E-010</v>
      </c>
      <c r="AE83" s="29" t="n">
        <f aca="false">AD83*(1-MIN(1,INDEX(Tabla_Mortalidad!$B$5:$B$75,MIN(71,Cartera_Polizas!$B$85+28-49))*(1+(Cartera_Polizas!$P$85-1)*MAX(0,1-28/Supuestos!$C$20))*(1-Supuestos!$C$18)^28))</f>
        <v>9.48968465252764E-011</v>
      </c>
      <c r="AF83" s="29" t="n">
        <f aca="false">AE83*(1-MIN(1,INDEX(Tabla_Mortalidad!$B$5:$B$75,MIN(71,Cartera_Polizas!$B$85+29-49))*(1+(Cartera_Polizas!$P$85-1)*MAX(0,1-29/Supuestos!$C$20))*(1-Supuestos!$C$18)^29))</f>
        <v>1.28388097283891E-011</v>
      </c>
      <c r="AG83" s="29" t="n">
        <f aca="false">AF83*(1-MIN(1,INDEX(Tabla_Mortalidad!$B$5:$B$75,MIN(71,Cartera_Polizas!$B$85+30-49))*(1+(Cartera_Polizas!$P$85-1)*MAX(0,1-30/Supuestos!$C$20))*(1-Supuestos!$C$18)^30))</f>
        <v>1.79250079508251E-012</v>
      </c>
      <c r="AH83" s="29" t="n">
        <f aca="false">AG83*(1-MIN(1,INDEX(Tabla_Mortalidad!$B$5:$B$75,MIN(71,Cartera_Polizas!$B$85+31-49))*(1+(Cartera_Polizas!$P$85-1)*MAX(0,1-31/Supuestos!$C$20))*(1-Supuestos!$C$18)^31))</f>
        <v>2.57972643739412E-013</v>
      </c>
      <c r="AI83" s="29" t="n">
        <f aca="false">AH83*(1-MIN(1,INDEX(Tabla_Mortalidad!$B$5:$B$75,MIN(71,Cartera_Polizas!$B$85+32-49))*(1+(Cartera_Polizas!$P$85-1)*MAX(0,1-32/Supuestos!$C$20))*(1-Supuestos!$C$18)^32))</f>
        <v>3.8231066076163E-014</v>
      </c>
      <c r="AJ83" s="29" t="n">
        <f aca="false">AI83*(1-MIN(1,INDEX(Tabla_Mortalidad!$B$5:$B$75,MIN(71,Cartera_Polizas!$B$85+33-49))*(1+(Cartera_Polizas!$P$85-1)*MAX(0,1-33/Supuestos!$C$20))*(1-Supuestos!$C$18)^33))</f>
        <v>5.82859936387451E-015</v>
      </c>
      <c r="AK83" s="29" t="n">
        <f aca="false">AJ83*(1-MIN(1,INDEX(Tabla_Mortalidad!$B$5:$B$75,MIN(71,Cartera_Polizas!$B$85+34-49))*(1+(Cartera_Polizas!$P$85-1)*MAX(0,1-34/Supuestos!$C$20))*(1-Supuestos!$C$18)^34))</f>
        <v>9.13311584336515E-016</v>
      </c>
      <c r="AL83" s="29" t="n">
        <f aca="false">AK83*(1-MIN(1,INDEX(Tabla_Mortalidad!$B$5:$B$75,MIN(71,Cartera_Polizas!$B$85+35-49))*(1+(Cartera_Polizas!$P$85-1)*MAX(0,1-35/Supuestos!$C$20))*(1-Supuestos!$C$18)^35))</f>
        <v>1.46962236200237E-016</v>
      </c>
      <c r="AM83" s="29" t="n">
        <f aca="false">AL83*(1-MIN(1,INDEX(Tabla_Mortalidad!$B$5:$B$75,MIN(71,Cartera_Polizas!$B$85+36-49))*(1+(Cartera_Polizas!$P$85-1)*MAX(0,1-36/Supuestos!$C$20))*(1-Supuestos!$C$18)^36))</f>
        <v>2.42644693427783E-017</v>
      </c>
      <c r="AN83" s="29" t="n">
        <f aca="false">AM83*(1-MIN(1,INDEX(Tabla_Mortalidad!$B$5:$B$75,MIN(71,Cartera_Polizas!$B$85+37-49))*(1+(Cartera_Polizas!$P$85-1)*MAX(0,1-37/Supuestos!$C$20))*(1-Supuestos!$C$18)^37))</f>
        <v>4.10752087819249E-018</v>
      </c>
      <c r="AO83" s="29" t="n">
        <f aca="false">AN83*(1-MIN(1,INDEX(Tabla_Mortalidad!$B$5:$B$75,MIN(71,Cartera_Polizas!$B$85+38-49))*(1+(Cartera_Polizas!$P$85-1)*MAX(0,1-38/Supuestos!$C$20))*(1-Supuestos!$C$18)^38))</f>
        <v>7.12387440000889E-019</v>
      </c>
      <c r="AP83" s="29" t="n">
        <f aca="false">AO83*(1-MIN(1,INDEX(Tabla_Mortalidad!$B$5:$B$75,MIN(71,Cartera_Polizas!$B$85+39-49))*(1+(Cartera_Polizas!$P$85-1)*MAX(0,1-39/Supuestos!$C$20))*(1-Supuestos!$C$18)^39))</f>
        <v>1.26497011743039E-019</v>
      </c>
      <c r="AQ83" s="29" t="n">
        <f aca="false">AP83*(1-MIN(1,INDEX(Tabla_Mortalidad!$B$5:$B$75,MIN(71,Cartera_Polizas!$B$85+40-49))*(1+(Cartera_Polizas!$P$85-1)*MAX(0,1-40/Supuestos!$C$20))*(1-Supuestos!$C$18)^40))</f>
        <v>2.29819617844687E-020</v>
      </c>
      <c r="AR83" s="29" t="n">
        <f aca="false">AQ83*(1-MIN(1,INDEX(Tabla_Mortalidad!$B$5:$B$75,MIN(71,Cartera_Polizas!$B$85+41-49))*(1+(Cartera_Polizas!$P$85-1)*MAX(0,1-41/Supuestos!$C$20))*(1-Supuestos!$C$18)^41))</f>
        <v>4.26939304440782E-021</v>
      </c>
      <c r="AS83" s="29" t="n">
        <f aca="false">AR83*(1-MIN(1,INDEX(Tabla_Mortalidad!$B$5:$B$75,MIN(71,Cartera_Polizas!$B$85+42-49))*(1+(Cartera_Polizas!$P$85-1)*MAX(0,1-42/Supuestos!$C$20))*(1-Supuestos!$C$18)^42))</f>
        <v>8.10512770686762E-022</v>
      </c>
      <c r="AT83" s="29" t="n">
        <f aca="false">AS83*(1-MIN(1,INDEX(Tabla_Mortalidad!$B$5:$B$75,MIN(71,Cartera_Polizas!$B$85+43-49))*(1+(Cartera_Polizas!$P$85-1)*MAX(0,1-43/Supuestos!$C$20))*(1-Supuestos!$C$18)^43))</f>
        <v>1.57153084206149E-022</v>
      </c>
      <c r="AU83" s="29" t="n">
        <f aca="false">AT83*(1-MIN(1,INDEX(Tabla_Mortalidad!$B$5:$B$75,MIN(71,Cartera_Polizas!$B$85+44-49))*(1+(Cartera_Polizas!$P$85-1)*MAX(0,1-44/Supuestos!$C$20))*(1-Supuestos!$C$18)^44))</f>
        <v>3.11043579279763E-023</v>
      </c>
    </row>
    <row r="84" customFormat="false" ht="15" hidden="false" customHeight="false" outlineLevel="0" collapsed="false">
      <c r="A84" s="14" t="n">
        <f aca="false">Cartera_Polizas!A86</f>
        <v>81</v>
      </c>
      <c r="B84" s="26" t="n">
        <f aca="false">SUM(C84:AU84)+0.5</f>
        <v>7.15904155560467</v>
      </c>
      <c r="C84" s="29" t="n">
        <f aca="false">1-MIN(1,INDEX(Tabla_Mortalidad!$B$5:$B$75,MIN(71,Cartera_Polizas!$B$86+0-49))*(1+(Cartera_Polizas!$P$86-1)*MAX(0,1-0/Supuestos!$C$20))*(1-Supuestos!$C$18)^0)</f>
        <v>0.90787071</v>
      </c>
      <c r="D84" s="29" t="n">
        <f aca="false">C84*(1-MIN(1,INDEX(Tabla_Mortalidad!$B$5:$B$75,MIN(71,Cartera_Polizas!$B$86+1-49))*(1+(Cartera_Polizas!$P$86-1)*MAX(0,1-1/Supuestos!$C$20))*(1-Supuestos!$C$18)^1))</f>
        <v>0.818433044319765</v>
      </c>
      <c r="E84" s="29" t="n">
        <f aca="false">D84*(1-MIN(1,INDEX(Tabla_Mortalidad!$B$5:$B$75,MIN(71,Cartera_Polizas!$B$86+2-49))*(1+(Cartera_Polizas!$P$86-1)*MAX(0,1-2/Supuestos!$C$20))*(1-Supuestos!$C$18)^2))</f>
        <v>0.732355515976103</v>
      </c>
      <c r="F84" s="29" t="n">
        <f aca="false">E84*(1-MIN(1,INDEX(Tabla_Mortalidad!$B$5:$B$75,MIN(71,Cartera_Polizas!$B$86+3-49))*(1+(Cartera_Polizas!$P$86-1)*MAX(0,1-3/Supuestos!$C$20))*(1-Supuestos!$C$18)^3))</f>
        <v>0.650267610436683</v>
      </c>
      <c r="G84" s="29" t="n">
        <f aca="false">F84*(1-MIN(1,INDEX(Tabla_Mortalidad!$B$5:$B$75,MIN(71,Cartera_Polizas!$B$86+4-49))*(1+(Cartera_Polizas!$P$86-1)*MAX(0,1-4/Supuestos!$C$20))*(1-Supuestos!$C$18)^4))</f>
        <v>0.572735552417977</v>
      </c>
      <c r="H84" s="29" t="n">
        <f aca="false">G84*(1-MIN(1,INDEX(Tabla_Mortalidad!$B$5:$B$75,MIN(71,Cartera_Polizas!$B$86+5-49))*(1+(Cartera_Polizas!$P$86-1)*MAX(0,1-5/Supuestos!$C$20))*(1-Supuestos!$C$18)^5))</f>
        <v>0.500242946257768</v>
      </c>
      <c r="I84" s="29" t="n">
        <f aca="false">H84*(1-MIN(1,INDEX(Tabla_Mortalidad!$B$5:$B$75,MIN(71,Cartera_Polizas!$B$86+6-49))*(1+(Cartera_Polizas!$P$86-1)*MAX(0,1-6/Supuestos!$C$20))*(1-Supuestos!$C$18)^6))</f>
        <v>0.433178515087024</v>
      </c>
      <c r="J84" s="29" t="n">
        <f aca="false">I84*(1-MIN(1,INDEX(Tabla_Mortalidad!$B$5:$B$75,MIN(71,Cartera_Polizas!$B$86+7-49))*(1+(Cartera_Polizas!$P$86-1)*MAX(0,1-7/Supuestos!$C$20))*(1-Supuestos!$C$18)^7))</f>
        <v>0.371816882581834</v>
      </c>
      <c r="K84" s="29" t="n">
        <f aca="false">J84*(1-MIN(1,INDEX(Tabla_Mortalidad!$B$5:$B$75,MIN(71,Cartera_Polizas!$B$86+8-49))*(1+(Cartera_Polizas!$P$86-1)*MAX(0,1-8/Supuestos!$C$20))*(1-Supuestos!$C$18)^8))</f>
        <v>0.316315178042703</v>
      </c>
      <c r="L84" s="29" t="n">
        <f aca="false">K84*(1-MIN(1,INDEX(Tabla_Mortalidad!$B$5:$B$75,MIN(71,Cartera_Polizas!$B$86+9-49))*(1+(Cartera_Polizas!$P$86-1)*MAX(0,1-9/Supuestos!$C$20))*(1-Supuestos!$C$18)^9))</f>
        <v>0.266706093382899</v>
      </c>
      <c r="M84" s="29" t="n">
        <f aca="false">L84*(1-MIN(1,INDEX(Tabla_Mortalidad!$B$5:$B$75,MIN(71,Cartera_Polizas!$B$86+10-49))*(1+(Cartera_Polizas!$P$86-1)*MAX(0,1-10/Supuestos!$C$20))*(1-Supuestos!$C$18)^10))</f>
        <v>0.222901566145514</v>
      </c>
      <c r="N84" s="29" t="n">
        <f aca="false">M84*(1-MIN(1,INDEX(Tabla_Mortalidad!$B$5:$B$75,MIN(71,Cartera_Polizas!$B$86+11-49))*(1+(Cartera_Polizas!$P$86-1)*MAX(0,1-11/Supuestos!$C$20))*(1-Supuestos!$C$18)^11))</f>
        <v>0.184701006393358</v>
      </c>
      <c r="O84" s="29" t="n">
        <f aca="false">N84*(1-MIN(1,INDEX(Tabla_Mortalidad!$B$5:$B$75,MIN(71,Cartera_Polizas!$B$86+12-49))*(1+(Cartera_Polizas!$P$86-1)*MAX(0,1-12/Supuestos!$C$20))*(1-Supuestos!$C$18)^12))</f>
        <v>0.15180525539192</v>
      </c>
      <c r="P84" s="29" t="n">
        <f aca="false">O84*(1-MIN(1,INDEX(Tabla_Mortalidad!$B$5:$B$75,MIN(71,Cartera_Polizas!$B$86+13-49))*(1+(Cartera_Polizas!$P$86-1)*MAX(0,1-13/Supuestos!$C$20))*(1-Supuestos!$C$18)^13))</f>
        <v>0.123834660786677</v>
      </c>
      <c r="Q84" s="29" t="n">
        <f aca="false">P84*(1-MIN(1,INDEX(Tabla_Mortalidad!$B$5:$B$75,MIN(71,Cartera_Polizas!$B$86+14-49))*(1+(Cartera_Polizas!$P$86-1)*MAX(0,1-14/Supuestos!$C$20))*(1-Supuestos!$C$18)^14))</f>
        <v>0.100349823188597</v>
      </c>
      <c r="R84" s="29" t="n">
        <f aca="false">Q84*(1-MIN(1,INDEX(Tabla_Mortalidad!$B$5:$B$75,MIN(71,Cartera_Polizas!$B$86+15-49))*(1+(Cartera_Polizas!$P$86-1)*MAX(0,1-15/Supuestos!$C$20))*(1-Supuestos!$C$18)^15))</f>
        <v>0.0808746848735047</v>
      </c>
      <c r="S84" s="29" t="n">
        <f aca="false">R84*(1-MIN(1,INDEX(Tabla_Mortalidad!$B$5:$B$75,MIN(71,Cartera_Polizas!$B$86+16-49))*(1+(Cartera_Polizas!$P$86-1)*MAX(0,1-16/Supuestos!$C$20))*(1-Supuestos!$C$18)^16))</f>
        <v>0.0636683401214724</v>
      </c>
      <c r="T84" s="29" t="n">
        <f aca="false">S84*(1-MIN(1,INDEX(Tabla_Mortalidad!$B$5:$B$75,MIN(71,Cartera_Polizas!$B$86+17-49))*(1+(Cartera_Polizas!$P$86-1)*MAX(0,1-17/Supuestos!$C$20))*(1-Supuestos!$C$18)^17))</f>
        <v>0.0488402919984641</v>
      </c>
      <c r="U84" s="29" t="n">
        <f aca="false">T84*(1-MIN(1,INDEX(Tabla_Mortalidad!$B$5:$B$75,MIN(71,Cartera_Polizas!$B$86+18-49))*(1+(Cartera_Polizas!$P$86-1)*MAX(0,1-18/Supuestos!$C$20))*(1-Supuestos!$C$18)^18))</f>
        <v>0.0364086181289627</v>
      </c>
      <c r="V84" s="29" t="n">
        <f aca="false">U84*(1-MIN(1,INDEX(Tabla_Mortalidad!$B$5:$B$75,MIN(71,Cartera_Polizas!$B$86+19-49))*(1+(Cartera_Polizas!$P$86-1)*MAX(0,1-19/Supuestos!$C$20))*(1-Supuestos!$C$18)^19))</f>
        <v>0.0262979462658009</v>
      </c>
      <c r="W84" s="29" t="n">
        <f aca="false">V84*(1-MIN(1,INDEX(Tabla_Mortalidad!$B$5:$B$75,MIN(71,Cartera_Polizas!$B$86+20-49))*(1+(Cartera_Polizas!$P$86-1)*MAX(0,1-20/Supuestos!$C$20))*(1-Supuestos!$C$18)^20))</f>
        <v>0.0183458642626126</v>
      </c>
      <c r="X84" s="29" t="n">
        <f aca="false">W84*(1-MIN(1,INDEX(Tabla_Mortalidad!$B$5:$B$75,MIN(71,Cartera_Polizas!$B$86+21-49))*(1+(Cartera_Polizas!$P$86-1)*MAX(0,1-21/Supuestos!$C$20))*(1-Supuestos!$C$18)^21))</f>
        <v>0.0123181340020657</v>
      </c>
      <c r="Y84" s="29" t="n">
        <f aca="false">X84*(1-MIN(1,INDEX(Tabla_Mortalidad!$B$5:$B$75,MIN(71,Cartera_Polizas!$B$86+22-49))*(1+(Cartera_Polizas!$P$86-1)*MAX(0,1-22/Supuestos!$C$20))*(1-Supuestos!$C$18)^22))</f>
        <v>0.00793077844621528</v>
      </c>
      <c r="Z84" s="29" t="n">
        <f aca="false">Y84*(1-MIN(1,INDEX(Tabla_Mortalidad!$B$5:$B$75,MIN(71,Cartera_Polizas!$B$86+23-49))*(1+(Cartera_Polizas!$P$86-1)*MAX(0,1-23/Supuestos!$C$20))*(1-Supuestos!$C$18)^23))</f>
        <v>0.00487650919214709</v>
      </c>
      <c r="AA84" s="29" t="n">
        <f aca="false">Z84*(1-MIN(1,INDEX(Tabla_Mortalidad!$B$5:$B$75,MIN(71,Cartera_Polizas!$B$86+24-49))*(1+(Cartera_Polizas!$P$86-1)*MAX(0,1-24/Supuestos!$C$20))*(1-Supuestos!$C$18)^24))</f>
        <v>0.00285151287969919</v>
      </c>
      <c r="AB84" s="29" t="n">
        <f aca="false">AA84*(1-MIN(1,INDEX(Tabla_Mortalidad!$B$5:$B$75,MIN(71,Cartera_Polizas!$B$86+25-49))*(1+(Cartera_Polizas!$P$86-1)*MAX(0,1-25/Supuestos!$C$20))*(1-Supuestos!$C$18)^25))</f>
        <v>0.00157860029094819</v>
      </c>
      <c r="AC84" s="29" t="n">
        <f aca="false">AB84*(1-MIN(1,INDEX(Tabla_Mortalidad!$B$5:$B$75,MIN(71,Cartera_Polizas!$B$86+26-49))*(1+(Cartera_Polizas!$P$86-1)*MAX(0,1-26/Supuestos!$C$20))*(1-Supuestos!$C$18)^26))</f>
        <v>0.000823545053388402</v>
      </c>
      <c r="AD84" s="29" t="n">
        <f aca="false">AC84*(1-MIN(1,INDEX(Tabla_Mortalidad!$B$5:$B$75,MIN(71,Cartera_Polizas!$B$86+27-49))*(1+(Cartera_Polizas!$P$86-1)*MAX(0,1-27/Supuestos!$C$20))*(1-Supuestos!$C$18)^27))</f>
        <v>0.000402972753058622</v>
      </c>
      <c r="AE84" s="29" t="n">
        <f aca="false">AD84*(1-MIN(1,INDEX(Tabla_Mortalidad!$B$5:$B$75,MIN(71,Cartera_Polizas!$B$86+28-49))*(1+(Cartera_Polizas!$P$86-1)*MAX(0,1-28/Supuestos!$C$20))*(1-Supuestos!$C$18)^28))</f>
        <v>0.00018408222183476</v>
      </c>
      <c r="AF84" s="29" t="n">
        <f aca="false">AE84*(1-MIN(1,INDEX(Tabla_Mortalidad!$B$5:$B$75,MIN(71,Cartera_Polizas!$B$86+29-49))*(1+(Cartera_Polizas!$P$86-1)*MAX(0,1-29/Supuestos!$C$20))*(1-Supuestos!$C$18)^29))</f>
        <v>7.8156878167457E-005</v>
      </c>
      <c r="AG84" s="29" t="n">
        <f aca="false">AF84*(1-MIN(1,INDEX(Tabla_Mortalidad!$B$5:$B$75,MIN(71,Cartera_Polizas!$B$86+30-49))*(1+(Cartera_Polizas!$P$86-1)*MAX(0,1-30/Supuestos!$C$20))*(1-Supuestos!$C$18)^30))</f>
        <v>3.07189335057465E-005</v>
      </c>
      <c r="AH84" s="29" t="n">
        <f aca="false">AG84*(1-MIN(1,INDEX(Tabla_Mortalidad!$B$5:$B$75,MIN(71,Cartera_Polizas!$B$86+31-49))*(1+(Cartera_Polizas!$P$86-1)*MAX(0,1-31/Supuestos!$C$20))*(1-Supuestos!$C$18)^31))</f>
        <v>1.11407788253793E-005</v>
      </c>
      <c r="AI84" s="29" t="n">
        <f aca="false">AH84*(1-MIN(1,INDEX(Tabla_Mortalidad!$B$5:$B$75,MIN(71,Cartera_Polizas!$B$86+32-49))*(1+(Cartera_Polizas!$P$86-1)*MAX(0,1-32/Supuestos!$C$20))*(1-Supuestos!$C$18)^32))</f>
        <v>3.72016578884387E-006</v>
      </c>
      <c r="AJ84" s="29" t="n">
        <f aca="false">AI84*(1-MIN(1,INDEX(Tabla_Mortalidad!$B$5:$B$75,MIN(71,Cartera_Polizas!$B$86+33-49))*(1+(Cartera_Polizas!$P$86-1)*MAX(0,1-33/Supuestos!$C$20))*(1-Supuestos!$C$18)^33))</f>
        <v>1.14305815427739E-006</v>
      </c>
      <c r="AK84" s="29" t="n">
        <f aca="false">AJ84*(1-MIN(1,INDEX(Tabla_Mortalidad!$B$5:$B$75,MIN(71,Cartera_Polizas!$B$86+34-49))*(1+(Cartera_Polizas!$P$86-1)*MAX(0,1-34/Supuestos!$C$20))*(1-Supuestos!$C$18)^34))</f>
        <v>3.23592509933103E-007</v>
      </c>
      <c r="AL84" s="29" t="n">
        <f aca="false">AK84*(1-MIN(1,INDEX(Tabla_Mortalidad!$B$5:$B$75,MIN(71,Cartera_Polizas!$B$86+35-49))*(1+(Cartera_Polizas!$P$86-1)*MAX(0,1-35/Supuestos!$C$20))*(1-Supuestos!$C$18)^35))</f>
        <v>8.47078458343944E-008</v>
      </c>
      <c r="AM84" s="29" t="n">
        <f aca="false">AL84*(1-MIN(1,INDEX(Tabla_Mortalidad!$B$5:$B$75,MIN(71,Cartera_Polizas!$B$86+36-49))*(1+(Cartera_Polizas!$P$86-1)*MAX(0,1-36/Supuestos!$C$20))*(1-Supuestos!$C$18)^36))</f>
        <v>2.06307419652087E-008</v>
      </c>
      <c r="AN84" s="29" t="n">
        <f aca="false">AM84*(1-MIN(1,INDEX(Tabla_Mortalidad!$B$5:$B$75,MIN(71,Cartera_Polizas!$B$86+37-49))*(1+(Cartera_Polizas!$P$86-1)*MAX(0,1-37/Supuestos!$C$20))*(1-Supuestos!$C$18)^37))</f>
        <v>4.71554520338204E-009</v>
      </c>
      <c r="AO84" s="29" t="n">
        <f aca="false">AN84*(1-MIN(1,INDEX(Tabla_Mortalidad!$B$5:$B$75,MIN(71,Cartera_Polizas!$B$86+38-49))*(1+(Cartera_Polizas!$P$86-1)*MAX(0,1-38/Supuestos!$C$20))*(1-Supuestos!$C$18)^38))</f>
        <v>1.02248518334454E-009</v>
      </c>
      <c r="AP84" s="29" t="n">
        <f aca="false">AO84*(1-MIN(1,INDEX(Tabla_Mortalidad!$B$5:$B$75,MIN(71,Cartera_Polizas!$B$86+39-49))*(1+(Cartera_Polizas!$P$86-1)*MAX(0,1-39/Supuestos!$C$20))*(1-Supuestos!$C$18)^39))</f>
        <v>1.81560360250676E-010</v>
      </c>
      <c r="AQ84" s="29" t="n">
        <f aca="false">AP84*(1-MIN(1,INDEX(Tabla_Mortalidad!$B$5:$B$75,MIN(71,Cartera_Polizas!$B$86+40-49))*(1+(Cartera_Polizas!$P$86-1)*MAX(0,1-40/Supuestos!$C$20))*(1-Supuestos!$C$18)^40))</f>
        <v>3.29858642774225E-011</v>
      </c>
      <c r="AR84" s="29" t="n">
        <f aca="false">AQ84*(1-MIN(1,INDEX(Tabla_Mortalidad!$B$5:$B$75,MIN(71,Cartera_Polizas!$B$86+41-49))*(1+(Cartera_Polizas!$P$86-1)*MAX(0,1-41/Supuestos!$C$20))*(1-Supuestos!$C$18)^41))</f>
        <v>6.1278328121223E-012</v>
      </c>
      <c r="AS84" s="29" t="n">
        <f aca="false">AR84*(1-MIN(1,INDEX(Tabla_Mortalidad!$B$5:$B$75,MIN(71,Cartera_Polizas!$B$86+42-49))*(1+(Cartera_Polizas!$P$86-1)*MAX(0,1-42/Supuestos!$C$20))*(1-Supuestos!$C$18)^42))</f>
        <v>1.16332384936168E-012</v>
      </c>
      <c r="AT84" s="29" t="n">
        <f aca="false">AS84*(1-MIN(1,INDEX(Tabla_Mortalidad!$B$5:$B$75,MIN(71,Cartera_Polizas!$B$86+43-49))*(1+(Cartera_Polizas!$P$86-1)*MAX(0,1-43/Supuestos!$C$20))*(1-Supuestos!$C$18)^43))</f>
        <v>2.25560827009364E-013</v>
      </c>
      <c r="AU84" s="29" t="n">
        <f aca="false">AT84*(1-MIN(1,INDEX(Tabla_Mortalidad!$B$5:$B$75,MIN(71,Cartera_Polizas!$B$86+44-49))*(1+(Cartera_Polizas!$P$86-1)*MAX(0,1-44/Supuestos!$C$20))*(1-Supuestos!$C$18)^44))</f>
        <v>4.46438880488425E-014</v>
      </c>
    </row>
    <row r="85" customFormat="false" ht="15" hidden="false" customHeight="false" outlineLevel="0" collapsed="false">
      <c r="A85" s="14" t="n">
        <f aca="false">Cartera_Polizas!A87</f>
        <v>82</v>
      </c>
      <c r="B85" s="26" t="n">
        <f aca="false">SUM(C85:AU85)+0.5</f>
        <v>9.15171337311395</v>
      </c>
      <c r="C85" s="29" t="n">
        <f aca="false">1-MIN(1,INDEX(Tabla_Mortalidad!$B$5:$B$75,MIN(71,Cartera_Polizas!$B$87+0-49))*(1+(Cartera_Polizas!$P$87-1)*MAX(0,1-0/Supuestos!$C$20))*(1-Supuestos!$C$18)^0)</f>
        <v>0.944722426</v>
      </c>
      <c r="D85" s="29" t="n">
        <f aca="false">C85*(1-MIN(1,INDEX(Tabla_Mortalidad!$B$5:$B$75,MIN(71,Cartera_Polizas!$B$87+1-49))*(1+(Cartera_Polizas!$P$87-1)*MAX(0,1-1/Supuestos!$C$20))*(1-Supuestos!$C$18)^1))</f>
        <v>0.887651342777358</v>
      </c>
      <c r="E85" s="29" t="n">
        <f aca="false">D85*(1-MIN(1,INDEX(Tabla_Mortalidad!$B$5:$B$75,MIN(71,Cartera_Polizas!$B$87+2-49))*(1+(Cartera_Polizas!$P$87-1)*MAX(0,1-2/Supuestos!$C$20))*(1-Supuestos!$C$18)^2))</f>
        <v>0.829076495009565</v>
      </c>
      <c r="F85" s="29" t="n">
        <f aca="false">E85*(1-MIN(1,INDEX(Tabla_Mortalidad!$B$5:$B$75,MIN(71,Cartera_Polizas!$B$87+3-49))*(1+(Cartera_Polizas!$P$87-1)*MAX(0,1-3/Supuestos!$C$20))*(1-Supuestos!$C$18)^3))</f>
        <v>0.769347693638731</v>
      </c>
      <c r="G85" s="29" t="n">
        <f aca="false">F85*(1-MIN(1,INDEX(Tabla_Mortalidad!$B$5:$B$75,MIN(71,Cartera_Polizas!$B$87+4-49))*(1+(Cartera_Polizas!$P$87-1)*MAX(0,1-4/Supuestos!$C$20))*(1-Supuestos!$C$18)^4))</f>
        <v>0.70887176478709</v>
      </c>
      <c r="H85" s="29" t="n">
        <f aca="false">G85*(1-MIN(1,INDEX(Tabla_Mortalidad!$B$5:$B$75,MIN(71,Cartera_Polizas!$B$87+5-49))*(1+(Cartera_Polizas!$P$87-1)*MAX(0,1-5/Supuestos!$C$20))*(1-Supuestos!$C$18)^5))</f>
        <v>0.648109063364867</v>
      </c>
      <c r="I85" s="29" t="n">
        <f aca="false">H85*(1-MIN(1,INDEX(Tabla_Mortalidad!$B$5:$B$75,MIN(71,Cartera_Polizas!$B$87+6-49))*(1+(Cartera_Polizas!$P$87-1)*MAX(0,1-6/Supuestos!$C$20))*(1-Supuestos!$C$18)^6))</f>
        <v>0.587571196907452</v>
      </c>
      <c r="J85" s="29" t="n">
        <f aca="false">I85*(1-MIN(1,INDEX(Tabla_Mortalidad!$B$5:$B$75,MIN(71,Cartera_Polizas!$B$87+7-49))*(1+(Cartera_Polizas!$P$87-1)*MAX(0,1-7/Supuestos!$C$20))*(1-Supuestos!$C$18)^7))</f>
        <v>0.52780694892364</v>
      </c>
      <c r="K85" s="29" t="n">
        <f aca="false">J85*(1-MIN(1,INDEX(Tabla_Mortalidad!$B$5:$B$75,MIN(71,Cartera_Polizas!$B$87+8-49))*(1+(Cartera_Polizas!$P$87-1)*MAX(0,1-8/Supuestos!$C$20))*(1-Supuestos!$C$18)^8))</f>
        <v>0.46939415818604</v>
      </c>
      <c r="L85" s="29" t="n">
        <f aca="false">K85*(1-MIN(1,INDEX(Tabla_Mortalidad!$B$5:$B$75,MIN(71,Cartera_Polizas!$B$87+9-49))*(1+(Cartera_Polizas!$P$87-1)*MAX(0,1-9/Supuestos!$C$20))*(1-Supuestos!$C$18)^9))</f>
        <v>0.412920184126904</v>
      </c>
      <c r="M85" s="29" t="n">
        <f aca="false">L85*(1-MIN(1,INDEX(Tabla_Mortalidad!$B$5:$B$75,MIN(71,Cartera_Polizas!$B$87+10-49))*(1+(Cartera_Polizas!$P$87-1)*MAX(0,1-10/Supuestos!$C$20))*(1-Supuestos!$C$18)^10))</f>
        <v>0.358963355895171</v>
      </c>
      <c r="N85" s="29" t="n">
        <f aca="false">M85*(1-MIN(1,INDEX(Tabla_Mortalidad!$B$5:$B$75,MIN(71,Cartera_Polizas!$B$87+11-49))*(1+(Cartera_Polizas!$P$87-1)*MAX(0,1-11/Supuestos!$C$20))*(1-Supuestos!$C$18)^11))</f>
        <v>0.30807066309165</v>
      </c>
      <c r="O85" s="29" t="n">
        <f aca="false">N85*(1-MIN(1,INDEX(Tabla_Mortalidad!$B$5:$B$75,MIN(71,Cartera_Polizas!$B$87+12-49))*(1+(Cartera_Polizas!$P$87-1)*MAX(0,1-12/Supuestos!$C$20))*(1-Supuestos!$C$18)^12))</f>
        <v>0.260734433464298</v>
      </c>
      <c r="P85" s="29" t="n">
        <f aca="false">O85*(1-MIN(1,INDEX(Tabla_Mortalidad!$B$5:$B$75,MIN(71,Cartera_Polizas!$B$87+13-49))*(1+(Cartera_Polizas!$P$87-1)*MAX(0,1-13/Supuestos!$C$20))*(1-Supuestos!$C$18)^13))</f>
        <v>0.217368778086836</v>
      </c>
      <c r="Q85" s="29" t="n">
        <f aca="false">P85*(1-MIN(1,INDEX(Tabla_Mortalidad!$B$5:$B$75,MIN(71,Cartera_Polizas!$B$87+14-49))*(1+(Cartera_Polizas!$P$87-1)*MAX(0,1-14/Supuestos!$C$20))*(1-Supuestos!$C$18)^14))</f>
        <v>0.178287369849129</v>
      </c>
      <c r="R85" s="29" t="n">
        <f aca="false">Q85*(1-MIN(1,INDEX(Tabla_Mortalidad!$B$5:$B$75,MIN(71,Cartera_Polizas!$B$87+15-49))*(1+(Cartera_Polizas!$P$87-1)*MAX(0,1-15/Supuestos!$C$20))*(1-Supuestos!$C$18)^15))</f>
        <v>0.143686699142213</v>
      </c>
      <c r="S85" s="29" t="n">
        <f aca="false">R85*(1-MIN(1,INDEX(Tabla_Mortalidad!$B$5:$B$75,MIN(71,Cartera_Polizas!$B$87+16-49))*(1+(Cartera_Polizas!$P$87-1)*MAX(0,1-16/Supuestos!$C$20))*(1-Supuestos!$C$18)^16))</f>
        <v>0.113116899883157</v>
      </c>
      <c r="T85" s="29" t="n">
        <f aca="false">S85*(1-MIN(1,INDEX(Tabla_Mortalidad!$B$5:$B$75,MIN(71,Cartera_Polizas!$B$87+17-49))*(1+(Cartera_Polizas!$P$87-1)*MAX(0,1-17/Supuestos!$C$20))*(1-Supuestos!$C$18)^17))</f>
        <v>0.0867725216287085</v>
      </c>
      <c r="U85" s="29" t="n">
        <f aca="false">T85*(1-MIN(1,INDEX(Tabla_Mortalidad!$B$5:$B$75,MIN(71,Cartera_Polizas!$B$87+18-49))*(1+(Cartera_Polizas!$P$87-1)*MAX(0,1-18/Supuestos!$C$20))*(1-Supuestos!$C$18)^18))</f>
        <v>0.0646856821446962</v>
      </c>
      <c r="V85" s="29" t="n">
        <f aca="false">U85*(1-MIN(1,INDEX(Tabla_Mortalidad!$B$5:$B$75,MIN(71,Cartera_Polizas!$B$87+19-49))*(1+(Cartera_Polizas!$P$87-1)*MAX(0,1-19/Supuestos!$C$20))*(1-Supuestos!$C$18)^19))</f>
        <v>0.0467224706848924</v>
      </c>
      <c r="W85" s="29" t="n">
        <f aca="false">V85*(1-MIN(1,INDEX(Tabla_Mortalidad!$B$5:$B$75,MIN(71,Cartera_Polizas!$B$87+20-49))*(1+(Cartera_Polizas!$P$87-1)*MAX(0,1-20/Supuestos!$C$20))*(1-Supuestos!$C$18)^20))</f>
        <v>0.032594336323275</v>
      </c>
      <c r="X85" s="29" t="n">
        <f aca="false">W85*(1-MIN(1,INDEX(Tabla_Mortalidad!$B$5:$B$75,MIN(71,Cartera_Polizas!$B$87+21-49))*(1+(Cartera_Polizas!$P$87-1)*MAX(0,1-21/Supuestos!$C$20))*(1-Supuestos!$C$18)^21))</f>
        <v>0.021885117909475</v>
      </c>
      <c r="Y85" s="29" t="n">
        <f aca="false">X85*(1-MIN(1,INDEX(Tabla_Mortalidad!$B$5:$B$75,MIN(71,Cartera_Polizas!$B$87+22-49))*(1+(Cartera_Polizas!$P$87-1)*MAX(0,1-22/Supuestos!$C$20))*(1-Supuestos!$C$18)^22))</f>
        <v>0.0140902852152962</v>
      </c>
      <c r="Z85" s="29" t="n">
        <f aca="false">Y85*(1-MIN(1,INDEX(Tabla_Mortalidad!$B$5:$B$75,MIN(71,Cartera_Polizas!$B$87+23-49))*(1+(Cartera_Polizas!$P$87-1)*MAX(0,1-23/Supuestos!$C$20))*(1-Supuestos!$C$18)^23))</f>
        <v>0.00866389167700892</v>
      </c>
      <c r="AA85" s="29" t="n">
        <f aca="false">Z85*(1-MIN(1,INDEX(Tabla_Mortalidad!$B$5:$B$75,MIN(71,Cartera_Polizas!$B$87+24-49))*(1+(Cartera_Polizas!$P$87-1)*MAX(0,1-24/Supuestos!$C$20))*(1-Supuestos!$C$18)^24))</f>
        <v>0.00506616469524834</v>
      </c>
      <c r="AB85" s="29" t="n">
        <f aca="false">AA85*(1-MIN(1,INDEX(Tabla_Mortalidad!$B$5:$B$75,MIN(71,Cartera_Polizas!$B$87+25-49))*(1+(Cartera_Polizas!$P$87-1)*MAX(0,1-25/Supuestos!$C$20))*(1-Supuestos!$C$18)^25))</f>
        <v>0.0028046336801937</v>
      </c>
      <c r="AC85" s="29" t="n">
        <f aca="false">AB85*(1-MIN(1,INDEX(Tabla_Mortalidad!$B$5:$B$75,MIN(71,Cartera_Polizas!$B$87+26-49))*(1+(Cartera_Polizas!$P$87-1)*MAX(0,1-26/Supuestos!$C$20))*(1-Supuestos!$C$18)^26))</f>
        <v>0.00146315834802151</v>
      </c>
      <c r="AD85" s="29" t="n">
        <f aca="false">AC85*(1-MIN(1,INDEX(Tabla_Mortalidad!$B$5:$B$75,MIN(71,Cartera_Polizas!$B$87+27-49))*(1+(Cartera_Polizas!$P$87-1)*MAX(0,1-27/Supuestos!$C$20))*(1-Supuestos!$C$18)^27))</f>
        <v>0.000715944981075442</v>
      </c>
      <c r="AE85" s="29" t="n">
        <f aca="false">AD85*(1-MIN(1,INDEX(Tabla_Mortalidad!$B$5:$B$75,MIN(71,Cartera_Polizas!$B$87+28-49))*(1+(Cartera_Polizas!$P$87-1)*MAX(0,1-28/Supuestos!$C$20))*(1-Supuestos!$C$18)^28))</f>
        <v>0.000327051250555991</v>
      </c>
      <c r="AF85" s="29" t="n">
        <f aca="false">AE85*(1-MIN(1,INDEX(Tabla_Mortalidad!$B$5:$B$75,MIN(71,Cartera_Polizas!$B$87+29-49))*(1+(Cartera_Polizas!$P$87-1)*MAX(0,1-29/Supuestos!$C$20))*(1-Supuestos!$C$18)^29))</f>
        <v>0.000138858084661559</v>
      </c>
      <c r="AG85" s="29" t="n">
        <f aca="false">AF85*(1-MIN(1,INDEX(Tabla_Mortalidad!$B$5:$B$75,MIN(71,Cartera_Polizas!$B$87+30-49))*(1+(Cartera_Polizas!$P$87-1)*MAX(0,1-30/Supuestos!$C$20))*(1-Supuestos!$C$18)^30))</f>
        <v>5.45770553976637E-005</v>
      </c>
      <c r="AH85" s="29" t="n">
        <f aca="false">AG85*(1-MIN(1,INDEX(Tabla_Mortalidad!$B$5:$B$75,MIN(71,Cartera_Polizas!$B$87+31-49))*(1+(Cartera_Polizas!$P$87-1)*MAX(0,1-31/Supuestos!$C$20))*(1-Supuestos!$C$18)^31))</f>
        <v>1.97933597861431E-005</v>
      </c>
      <c r="AI85" s="29" t="n">
        <f aca="false">AH85*(1-MIN(1,INDEX(Tabla_Mortalidad!$B$5:$B$75,MIN(71,Cartera_Polizas!$B$87+32-49))*(1+(Cartera_Polizas!$P$87-1)*MAX(0,1-32/Supuestos!$C$20))*(1-Supuestos!$C$18)^32))</f>
        <v>6.60946430019271E-006</v>
      </c>
      <c r="AJ85" s="29" t="n">
        <f aca="false">AI85*(1-MIN(1,INDEX(Tabla_Mortalidad!$B$5:$B$75,MIN(71,Cartera_Polizas!$B$87+33-49))*(1+(Cartera_Polizas!$P$87-1)*MAX(0,1-33/Supuestos!$C$20))*(1-Supuestos!$C$18)^33))</f>
        <v>2.0308240257455E-006</v>
      </c>
      <c r="AK85" s="29" t="n">
        <f aca="false">AJ85*(1-MIN(1,INDEX(Tabla_Mortalidad!$B$5:$B$75,MIN(71,Cartera_Polizas!$B$87+34-49))*(1+(Cartera_Polizas!$P$87-1)*MAX(0,1-34/Supuestos!$C$20))*(1-Supuestos!$C$18)^34))</f>
        <v>5.7491339461978E-007</v>
      </c>
      <c r="AL85" s="29" t="n">
        <f aca="false">AK85*(1-MIN(1,INDEX(Tabla_Mortalidad!$B$5:$B$75,MIN(71,Cartera_Polizas!$B$87+35-49))*(1+(Cartera_Polizas!$P$87-1)*MAX(0,1-35/Supuestos!$C$20))*(1-Supuestos!$C$18)^35))</f>
        <v>1.5049691727923E-007</v>
      </c>
      <c r="AM85" s="29" t="n">
        <f aca="false">AL85*(1-MIN(1,INDEX(Tabla_Mortalidad!$B$5:$B$75,MIN(71,Cartera_Polizas!$B$87+36-49))*(1+(Cartera_Polizas!$P$87-1)*MAX(0,1-36/Supuestos!$C$20))*(1-Supuestos!$C$18)^36))</f>
        <v>3.66537837949182E-008</v>
      </c>
      <c r="AN85" s="29" t="n">
        <f aca="false">AM85*(1-MIN(1,INDEX(Tabla_Mortalidad!$B$5:$B$75,MIN(71,Cartera_Polizas!$B$87+37-49))*(1+(Cartera_Polizas!$P$87-1)*MAX(0,1-37/Supuestos!$C$20))*(1-Supuestos!$C$18)^37))</f>
        <v>8.37791363254929E-009</v>
      </c>
      <c r="AO85" s="29" t="n">
        <f aca="false">AN85*(1-MIN(1,INDEX(Tabla_Mortalidad!$B$5:$B$75,MIN(71,Cartera_Polizas!$B$87+38-49))*(1+(Cartera_Polizas!$P$87-1)*MAX(0,1-38/Supuestos!$C$20))*(1-Supuestos!$C$18)^38))</f>
        <v>1.81660702785291E-009</v>
      </c>
      <c r="AP85" s="29" t="n">
        <f aca="false">AO85*(1-MIN(1,INDEX(Tabla_Mortalidad!$B$5:$B$75,MIN(71,Cartera_Polizas!$B$87+39-49))*(1+(Cartera_Polizas!$P$87-1)*MAX(0,1-39/Supuestos!$C$20))*(1-Supuestos!$C$18)^39))</f>
        <v>3.22570763648655E-010</v>
      </c>
      <c r="AQ85" s="29" t="n">
        <f aca="false">AP85*(1-MIN(1,INDEX(Tabla_Mortalidad!$B$5:$B$75,MIN(71,Cartera_Polizas!$B$87+40-49))*(1+(Cartera_Polizas!$P$87-1)*MAX(0,1-40/Supuestos!$C$20))*(1-Supuestos!$C$18)^40))</f>
        <v>5.86046173013113E-011</v>
      </c>
      <c r="AR85" s="29" t="n">
        <f aca="false">AQ85*(1-MIN(1,INDEX(Tabla_Mortalidad!$B$5:$B$75,MIN(71,Cartera_Polizas!$B$87+41-49))*(1+(Cartera_Polizas!$P$87-1)*MAX(0,1-41/Supuestos!$C$20))*(1-Supuestos!$C$18)^41))</f>
        <v>1.08870664664272E-011</v>
      </c>
      <c r="AS85" s="29" t="n">
        <f aca="false">AR85*(1-MIN(1,INDEX(Tabla_Mortalidad!$B$5:$B$75,MIN(71,Cartera_Polizas!$B$87+42-49))*(1+(Cartera_Polizas!$P$87-1)*MAX(0,1-42/Supuestos!$C$20))*(1-Supuestos!$C$18)^42))</f>
        <v>2.06682924588377E-012</v>
      </c>
      <c r="AT85" s="29" t="n">
        <f aca="false">AS85*(1-MIN(1,INDEX(Tabla_Mortalidad!$B$5:$B$75,MIN(71,Cartera_Polizas!$B$87+43-49))*(1+(Cartera_Polizas!$P$87-1)*MAX(0,1-43/Supuestos!$C$20))*(1-Supuestos!$C$18)^43))</f>
        <v>4.00744568457431E-013</v>
      </c>
      <c r="AU85" s="29" t="n">
        <f aca="false">AT85*(1-MIN(1,INDEX(Tabla_Mortalidad!$B$5:$B$75,MIN(71,Cartera_Polizas!$B$87+44-49))*(1+(Cartera_Polizas!$P$87-1)*MAX(0,1-44/Supuestos!$C$20))*(1-Supuestos!$C$18)^44))</f>
        <v>7.93169447354992E-014</v>
      </c>
    </row>
    <row r="86" customFormat="false" ht="15" hidden="false" customHeight="false" outlineLevel="0" collapsed="false">
      <c r="A86" s="14" t="n">
        <f aca="false">Cartera_Polizas!A88</f>
        <v>83</v>
      </c>
      <c r="B86" s="26" t="n">
        <f aca="false">SUM(C86:AU86)+0.5</f>
        <v>4.86707681301698</v>
      </c>
      <c r="C86" s="29" t="n">
        <f aca="false">1-MIN(1,INDEX(Tabla_Mortalidad!$B$5:$B$75,MIN(71,Cartera_Polizas!$B$88+0-49))*(1+(Cartera_Polizas!$P$88-1)*MAX(0,1-0/Supuestos!$C$20))*(1-Supuestos!$C$18)^0)</f>
        <v>0.8512668</v>
      </c>
      <c r="D86" s="29" t="n">
        <f aca="false">C86*(1-MIN(1,INDEX(Tabla_Mortalidad!$B$5:$B$75,MIN(71,Cartera_Polizas!$B$88+1-49))*(1+(Cartera_Polizas!$P$88-1)*MAX(0,1-1/Supuestos!$C$20))*(1-Supuestos!$C$18)^1))</f>
        <v>0.716295851644993</v>
      </c>
      <c r="E86" s="29" t="n">
        <f aca="false">D86*(1-MIN(1,INDEX(Tabla_Mortalidad!$B$5:$B$75,MIN(71,Cartera_Polizas!$B$88+2-49))*(1+(Cartera_Polizas!$P$88-1)*MAX(0,1-2/Supuestos!$C$20))*(1-Supuestos!$C$18)^2))</f>
        <v>0.595457150922234</v>
      </c>
      <c r="F86" s="29" t="n">
        <f aca="false">E86*(1-MIN(1,INDEX(Tabla_Mortalidad!$B$5:$B$75,MIN(71,Cartera_Polizas!$B$88+3-49))*(1+(Cartera_Polizas!$P$88-1)*MAX(0,1-3/Supuestos!$C$20))*(1-Supuestos!$C$18)^3))</f>
        <v>0.4887924217525</v>
      </c>
      <c r="G86" s="29" t="n">
        <f aca="false">F86*(1-MIN(1,INDEX(Tabla_Mortalidad!$B$5:$B$75,MIN(71,Cartera_Polizas!$B$88+4-49))*(1+(Cartera_Polizas!$P$88-1)*MAX(0,1-4/Supuestos!$C$20))*(1-Supuestos!$C$18)^4))</f>
        <v>0.396029608493199</v>
      </c>
      <c r="H86" s="29" t="n">
        <f aca="false">G86*(1-MIN(1,INDEX(Tabla_Mortalidad!$B$5:$B$75,MIN(71,Cartera_Polizas!$B$88+5-49))*(1+(Cartera_Polizas!$P$88-1)*MAX(0,1-5/Supuestos!$C$20))*(1-Supuestos!$C$18)^5))</f>
        <v>0.316597776153372</v>
      </c>
      <c r="I86" s="29" t="n">
        <f aca="false">H86*(1-MIN(1,INDEX(Tabla_Mortalidad!$B$5:$B$75,MIN(71,Cartera_Polizas!$B$88+6-49))*(1+(Cartera_Polizas!$P$88-1)*MAX(0,1-6/Supuestos!$C$20))*(1-Supuestos!$C$18)^6))</f>
        <v>0.249666671915825</v>
      </c>
      <c r="J86" s="29" t="n">
        <f aca="false">I86*(1-MIN(1,INDEX(Tabla_Mortalidad!$B$5:$B$75,MIN(71,Cartera_Polizas!$B$88+7-49))*(1+(Cartera_Polizas!$P$88-1)*MAX(0,1-7/Supuestos!$C$20))*(1-Supuestos!$C$18)^7))</f>
        <v>0.19419712608559</v>
      </c>
      <c r="K86" s="29" t="n">
        <f aca="false">J86*(1-MIN(1,INDEX(Tabla_Mortalidad!$B$5:$B$75,MIN(71,Cartera_Polizas!$B$88+8-49))*(1+(Cartera_Polizas!$P$88-1)*MAX(0,1-8/Supuestos!$C$20))*(1-Supuestos!$C$18)^8))</f>
        <v>0.149001299932513</v>
      </c>
      <c r="L86" s="29" t="n">
        <f aca="false">K86*(1-MIN(1,INDEX(Tabla_Mortalidad!$B$5:$B$75,MIN(71,Cartera_Polizas!$B$88+9-49))*(1+(Cartera_Polizas!$P$88-1)*MAX(0,1-9/Supuestos!$C$20))*(1-Supuestos!$C$18)^9))</f>
        <v>0.112806811618982</v>
      </c>
      <c r="M86" s="29" t="n">
        <f aca="false">L86*(1-MIN(1,INDEX(Tabla_Mortalidad!$B$5:$B$75,MIN(71,Cartera_Polizas!$B$88+10-49))*(1+(Cartera_Polizas!$P$88-1)*MAX(0,1-10/Supuestos!$C$20))*(1-Supuestos!$C$18)^10))</f>
        <v>0.0843194915857123</v>
      </c>
      <c r="N86" s="29" t="n">
        <f aca="false">M86*(1-MIN(1,INDEX(Tabla_Mortalidad!$B$5:$B$75,MIN(71,Cartera_Polizas!$B$88+11-49))*(1+(Cartera_Polizas!$P$88-1)*MAX(0,1-11/Supuestos!$C$20))*(1-Supuestos!$C$18)^11))</f>
        <v>0.0622814231874646</v>
      </c>
      <c r="O86" s="29" t="n">
        <f aca="false">N86*(1-MIN(1,INDEX(Tabla_Mortalidad!$B$5:$B$75,MIN(71,Cartera_Polizas!$B$88+12-49))*(1+(Cartera_Polizas!$P$88-1)*MAX(0,1-12/Supuestos!$C$20))*(1-Supuestos!$C$18)^12))</f>
        <v>0.0455179536696264</v>
      </c>
      <c r="P86" s="29" t="n">
        <f aca="false">O86*(1-MIN(1,INDEX(Tabla_Mortalidad!$B$5:$B$75,MIN(71,Cartera_Polizas!$B$88+13-49))*(1+(Cartera_Polizas!$P$88-1)*MAX(0,1-13/Supuestos!$C$20))*(1-Supuestos!$C$18)^13))</f>
        <v>0.0329718504903196</v>
      </c>
      <c r="Q86" s="29" t="n">
        <f aca="false">P86*(1-MIN(1,INDEX(Tabla_Mortalidad!$B$5:$B$75,MIN(71,Cartera_Polizas!$B$88+14-49))*(1+(Cartera_Polizas!$P$88-1)*MAX(0,1-14/Supuestos!$C$20))*(1-Supuestos!$C$18)^14))</f>
        <v>0.0237243127795242</v>
      </c>
      <c r="R86" s="29" t="n">
        <f aca="false">Q86*(1-MIN(1,INDEX(Tabla_Mortalidad!$B$5:$B$75,MIN(71,Cartera_Polizas!$B$88+15-49))*(1+(Cartera_Polizas!$P$88-1)*MAX(0,1-15/Supuestos!$C$20))*(1-Supuestos!$C$18)^15))</f>
        <v>0.0170026435360914</v>
      </c>
      <c r="S86" s="29" t="n">
        <f aca="false">R86*(1-MIN(1,INDEX(Tabla_Mortalidad!$B$5:$B$75,MIN(71,Cartera_Polizas!$B$88+16-49))*(1+(Cartera_Polizas!$P$88-1)*MAX(0,1-16/Supuestos!$C$20))*(1-Supuestos!$C$18)^16))</f>
        <v>0.0117571888077803</v>
      </c>
      <c r="T86" s="29" t="n">
        <f aca="false">S86*(1-MIN(1,INDEX(Tabla_Mortalidad!$B$5:$B$75,MIN(71,Cartera_Polizas!$B$88+17-49))*(1+(Cartera_Polizas!$P$88-1)*MAX(0,1-17/Supuestos!$C$20))*(1-Supuestos!$C$18)^17))</f>
        <v>0.00781600397167324</v>
      </c>
      <c r="U86" s="29" t="n">
        <f aca="false">T86*(1-MIN(1,INDEX(Tabla_Mortalidad!$B$5:$B$75,MIN(71,Cartera_Polizas!$B$88+18-49))*(1+(Cartera_Polizas!$P$88-1)*MAX(0,1-18/Supuestos!$C$20))*(1-Supuestos!$C$18)^18))</f>
        <v>0.0049757946027011</v>
      </c>
      <c r="V86" s="29" t="n">
        <f aca="false">U86*(1-MIN(1,INDEX(Tabla_Mortalidad!$B$5:$B$75,MIN(71,Cartera_Polizas!$B$88+19-49))*(1+(Cartera_Polizas!$P$88-1)*MAX(0,1-19/Supuestos!$C$20))*(1-Supuestos!$C$18)^19))</f>
        <v>0.00302072769635456</v>
      </c>
      <c r="W86" s="29" t="n">
        <f aca="false">V86*(1-MIN(1,INDEX(Tabla_Mortalidad!$B$5:$B$75,MIN(71,Cartera_Polizas!$B$88+20-49))*(1+(Cartera_Polizas!$P$88-1)*MAX(0,1-20/Supuestos!$C$20))*(1-Supuestos!$C$18)^20))</f>
        <v>0.00174095027423825</v>
      </c>
      <c r="X86" s="29" t="n">
        <f aca="false">W86*(1-MIN(1,INDEX(Tabla_Mortalidad!$B$5:$B$75,MIN(71,Cartera_Polizas!$B$88+21-49))*(1+(Cartera_Polizas!$P$88-1)*MAX(0,1-21/Supuestos!$C$20))*(1-Supuestos!$C$18)^21))</f>
        <v>0.000948052337351995</v>
      </c>
      <c r="Y86" s="29" t="n">
        <f aca="false">X86*(1-MIN(1,INDEX(Tabla_Mortalidad!$B$5:$B$75,MIN(71,Cartera_Polizas!$B$88+22-49))*(1+(Cartera_Polizas!$P$88-1)*MAX(0,1-22/Supuestos!$C$20))*(1-Supuestos!$C$18)^22))</f>
        <v>0.000485408761281725</v>
      </c>
      <c r="Z86" s="29" t="n">
        <f aca="false">Y86*(1-MIN(1,INDEX(Tabla_Mortalidad!$B$5:$B$75,MIN(71,Cartera_Polizas!$B$88+23-49))*(1+(Cartera_Polizas!$P$88-1)*MAX(0,1-23/Supuestos!$C$20))*(1-Supuestos!$C$18)^23))</f>
        <v>0.000232497253517256</v>
      </c>
      <c r="AA86" s="29" t="n">
        <f aca="false">Z86*(1-MIN(1,INDEX(Tabla_Mortalidad!$B$5:$B$75,MIN(71,Cartera_Polizas!$B$88+24-49))*(1+(Cartera_Polizas!$P$88-1)*MAX(0,1-24/Supuestos!$C$20))*(1-Supuestos!$C$18)^24))</f>
        <v>0.000103649516056922</v>
      </c>
      <c r="AB86" s="29" t="n">
        <f aca="false">AA86*(1-MIN(1,INDEX(Tabla_Mortalidad!$B$5:$B$75,MIN(71,Cartera_Polizas!$B$88+25-49))*(1+(Cartera_Polizas!$P$88-1)*MAX(0,1-25/Supuestos!$C$20))*(1-Supuestos!$C$18)^25))</f>
        <v>4.27991787600789E-005</v>
      </c>
      <c r="AC86" s="29" t="n">
        <f aca="false">AB86*(1-MIN(1,INDEX(Tabla_Mortalidad!$B$5:$B$75,MIN(71,Cartera_Polizas!$B$88+26-49))*(1+(Cartera_Polizas!$P$88-1)*MAX(0,1-26/Supuestos!$C$20))*(1-Supuestos!$C$18)^26))</f>
        <v>1.62957676665238E-005</v>
      </c>
      <c r="AD86" s="29" t="n">
        <f aca="false">AC86*(1-MIN(1,INDEX(Tabla_Mortalidad!$B$5:$B$75,MIN(71,Cartera_Polizas!$B$88+27-49))*(1+(Cartera_Polizas!$P$88-1)*MAX(0,1-27/Supuestos!$C$20))*(1-Supuestos!$C$18)^27))</f>
        <v>5.6996170530014E-006</v>
      </c>
      <c r="AE86" s="29" t="n">
        <f aca="false">AD86*(1-MIN(1,INDEX(Tabla_Mortalidad!$B$5:$B$75,MIN(71,Cartera_Polizas!$B$88+28-49))*(1+(Cartera_Polizas!$P$88-1)*MAX(0,1-28/Supuestos!$C$20))*(1-Supuestos!$C$18)^28))</f>
        <v>1.82634870545711E-006</v>
      </c>
      <c r="AF86" s="29" t="n">
        <f aca="false">AE86*(1-MIN(1,INDEX(Tabla_Mortalidad!$B$5:$B$75,MIN(71,Cartera_Polizas!$B$88+29-49))*(1+(Cartera_Polizas!$P$88-1)*MAX(0,1-29/Supuestos!$C$20))*(1-Supuestos!$C$18)^29))</f>
        <v>5.35540727143683E-007</v>
      </c>
      <c r="AG86" s="29" t="n">
        <f aca="false">AF86*(1-MIN(1,INDEX(Tabla_Mortalidad!$B$5:$B$75,MIN(71,Cartera_Polizas!$B$88+30-49))*(1+(Cartera_Polizas!$P$88-1)*MAX(0,1-30/Supuestos!$C$20))*(1-Supuestos!$C$18)^30))</f>
        <v>1.43832579107683E-007</v>
      </c>
      <c r="AH86" s="29" t="n">
        <f aca="false">AG86*(1-MIN(1,INDEX(Tabla_Mortalidad!$B$5:$B$75,MIN(71,Cartera_Polizas!$B$88+31-49))*(1+(Cartera_Polizas!$P$88-1)*MAX(0,1-31/Supuestos!$C$20))*(1-Supuestos!$C$18)^31))</f>
        <v>3.55010796973018E-008</v>
      </c>
      <c r="AI86" s="29" t="n">
        <f aca="false">AH86*(1-MIN(1,INDEX(Tabla_Mortalidad!$B$5:$B$75,MIN(71,Cartera_Polizas!$B$88+32-49))*(1+(Cartera_Polizas!$P$88-1)*MAX(0,1-32/Supuestos!$C$20))*(1-Supuestos!$C$18)^32))</f>
        <v>8.10247317429472E-009</v>
      </c>
      <c r="AJ86" s="29" t="n">
        <f aca="false">AI86*(1-MIN(1,INDEX(Tabla_Mortalidad!$B$5:$B$75,MIN(71,Cartera_Polizas!$B$88+33-49))*(1+(Cartera_Polizas!$P$88-1)*MAX(0,1-33/Supuestos!$C$20))*(1-Supuestos!$C$18)^33))</f>
        <v>1.72538467776211E-009</v>
      </c>
      <c r="AK86" s="29" t="n">
        <f aca="false">AJ86*(1-MIN(1,INDEX(Tabla_Mortalidad!$B$5:$B$75,MIN(71,Cartera_Polizas!$B$88+34-49))*(1+(Cartera_Polizas!$P$88-1)*MAX(0,1-34/Supuestos!$C$20))*(1-Supuestos!$C$18)^34))</f>
        <v>3.46753589867013E-010</v>
      </c>
      <c r="AL86" s="29" t="n">
        <f aca="false">AK86*(1-MIN(1,INDEX(Tabla_Mortalidad!$B$5:$B$75,MIN(71,Cartera_Polizas!$B$88+35-49))*(1+(Cartera_Polizas!$P$88-1)*MAX(0,1-35/Supuestos!$C$20))*(1-Supuestos!$C$18)^35))</f>
        <v>5.57966020044913E-011</v>
      </c>
      <c r="AM86" s="29" t="n">
        <f aca="false">AL86*(1-MIN(1,INDEX(Tabla_Mortalidad!$B$5:$B$75,MIN(71,Cartera_Polizas!$B$88+36-49))*(1+(Cartera_Polizas!$P$88-1)*MAX(0,1-36/Supuestos!$C$20))*(1-Supuestos!$C$18)^36))</f>
        <v>9.21240023133915E-012</v>
      </c>
      <c r="AN86" s="29" t="n">
        <f aca="false">AM86*(1-MIN(1,INDEX(Tabla_Mortalidad!$B$5:$B$75,MIN(71,Cartera_Polizas!$B$88+37-49))*(1+(Cartera_Polizas!$P$88-1)*MAX(0,1-37/Supuestos!$C$20))*(1-Supuestos!$C$18)^37))</f>
        <v>1.55948707362739E-012</v>
      </c>
      <c r="AO86" s="29" t="n">
        <f aca="false">AN86*(1-MIN(1,INDEX(Tabla_Mortalidad!$B$5:$B$75,MIN(71,Cartera_Polizas!$B$88+38-49))*(1+(Cartera_Polizas!$P$88-1)*MAX(0,1-38/Supuestos!$C$20))*(1-Supuestos!$C$18)^38))</f>
        <v>2.70469472229384E-013</v>
      </c>
      <c r="AP86" s="29" t="n">
        <f aca="false">AO86*(1-MIN(1,INDEX(Tabla_Mortalidad!$B$5:$B$75,MIN(71,Cartera_Polizas!$B$88+39-49))*(1+(Cartera_Polizas!$P$88-1)*MAX(0,1-39/Supuestos!$C$20))*(1-Supuestos!$C$18)^39))</f>
        <v>4.80266468548228E-014</v>
      </c>
      <c r="AQ86" s="29" t="n">
        <f aca="false">AP86*(1-MIN(1,INDEX(Tabla_Mortalidad!$B$5:$B$75,MIN(71,Cartera_Polizas!$B$88+40-49))*(1+(Cartera_Polizas!$P$88-1)*MAX(0,1-40/Supuestos!$C$20))*(1-Supuestos!$C$18)^40))</f>
        <v>8.72547538827096E-015</v>
      </c>
      <c r="AR86" s="29" t="n">
        <f aca="false">AQ86*(1-MIN(1,INDEX(Tabla_Mortalidad!$B$5:$B$75,MIN(71,Cartera_Polizas!$B$88+41-49))*(1+(Cartera_Polizas!$P$88-1)*MAX(0,1-41/Supuestos!$C$20))*(1-Supuestos!$C$18)^41))</f>
        <v>1.62094447293925E-015</v>
      </c>
      <c r="AS86" s="29" t="n">
        <f aca="false">AR86*(1-MIN(1,INDEX(Tabla_Mortalidad!$B$5:$B$75,MIN(71,Cartera_Polizas!$B$88+42-49))*(1+(Cartera_Polizas!$P$88-1)*MAX(0,1-42/Supuestos!$C$20))*(1-Supuestos!$C$18)^42))</f>
        <v>3.07724349158304E-016</v>
      </c>
      <c r="AT86" s="29" t="n">
        <f aca="false">AS86*(1-MIN(1,INDEX(Tabla_Mortalidad!$B$5:$B$75,MIN(71,Cartera_Polizas!$B$88+43-49))*(1+(Cartera_Polizas!$P$88-1)*MAX(0,1-43/Supuestos!$C$20))*(1-Supuestos!$C$18)^43))</f>
        <v>5.96657231132597E-017</v>
      </c>
      <c r="AU86" s="29" t="n">
        <f aca="false">AT86*(1-MIN(1,INDEX(Tabla_Mortalidad!$B$5:$B$75,MIN(71,Cartera_Polizas!$B$88+44-49))*(1+(Cartera_Polizas!$P$88-1)*MAX(0,1-44/Supuestos!$C$20))*(1-Supuestos!$C$18)^44))</f>
        <v>1.18092751225416E-017</v>
      </c>
    </row>
    <row r="87" customFormat="false" ht="15" hidden="false" customHeight="false" outlineLevel="0" collapsed="false">
      <c r="A87" s="14" t="n">
        <f aca="false">Cartera_Polizas!A89</f>
        <v>84</v>
      </c>
      <c r="B87" s="26" t="n">
        <f aca="false">SUM(C87:AU87)+0.5</f>
        <v>8.77647126919738</v>
      </c>
      <c r="C87" s="29" t="n">
        <f aca="false">1-MIN(1,INDEX(Tabla_Mortalidad!$B$5:$B$75,MIN(71,Cartera_Polizas!$B$89+0-49))*(1+(Cartera_Polizas!$P$89-1)*MAX(0,1-0/Supuestos!$C$20))*(1-Supuestos!$C$18)^0)</f>
        <v>0.942301500625</v>
      </c>
      <c r="D87" s="29" t="n">
        <f aca="false">C87*(1-MIN(1,INDEX(Tabla_Mortalidad!$B$5:$B$75,MIN(71,Cartera_Polizas!$B$89+1-49))*(1+(Cartera_Polizas!$P$89-1)*MAX(0,1-1/Supuestos!$C$20))*(1-Supuestos!$C$18)^1))</f>
        <v>0.882687241455258</v>
      </c>
      <c r="E87" s="29" t="n">
        <f aca="false">D87*(1-MIN(1,INDEX(Tabla_Mortalidad!$B$5:$B$75,MIN(71,Cartera_Polizas!$B$89+2-49))*(1+(Cartera_Polizas!$P$89-1)*MAX(0,1-2/Supuestos!$C$20))*(1-Supuestos!$C$18)^2))</f>
        <v>0.821485165441495</v>
      </c>
      <c r="F87" s="29" t="n">
        <f aca="false">E87*(1-MIN(1,INDEX(Tabla_Mortalidad!$B$5:$B$75,MIN(71,Cartera_Polizas!$B$89+3-49))*(1+(Cartera_Polizas!$P$89-1)*MAX(0,1-3/Supuestos!$C$20))*(1-Supuestos!$C$18)^3))</f>
        <v>0.759090207230009</v>
      </c>
      <c r="G87" s="29" t="n">
        <f aca="false">F87*(1-MIN(1,INDEX(Tabla_Mortalidad!$B$5:$B$75,MIN(71,Cartera_Polizas!$B$89+4-49))*(1+(Cartera_Polizas!$P$89-1)*MAX(0,1-4/Supuestos!$C$20))*(1-Supuestos!$C$18)^4))</f>
        <v>0.695963204702491</v>
      </c>
      <c r="H87" s="29" t="n">
        <f aca="false">G87*(1-MIN(1,INDEX(Tabla_Mortalidad!$B$5:$B$75,MIN(71,Cartera_Polizas!$B$89+5-49))*(1+(Cartera_Polizas!$P$89-1)*MAX(0,1-5/Supuestos!$C$20))*(1-Supuestos!$C$18)^5))</f>
        <v>0.632631010131056</v>
      </c>
      <c r="I87" s="29" t="n">
        <f aca="false">H87*(1-MIN(1,INDEX(Tabla_Mortalidad!$B$5:$B$75,MIN(71,Cartera_Polizas!$B$89+6-49))*(1+(Cartera_Polizas!$P$89-1)*MAX(0,1-6/Supuestos!$C$20))*(1-Supuestos!$C$18)^6))</f>
        <v>0.569674071020894</v>
      </c>
      <c r="J87" s="29" t="n">
        <f aca="false">I87*(1-MIN(1,INDEX(Tabla_Mortalidad!$B$5:$B$75,MIN(71,Cartera_Polizas!$B$89+7-49))*(1+(Cartera_Polizas!$P$89-1)*MAX(0,1-7/Supuestos!$C$20))*(1-Supuestos!$C$18)^7))</f>
        <v>0.507719654861883</v>
      </c>
      <c r="K87" s="29" t="n">
        <f aca="false">J87*(1-MIN(1,INDEX(Tabla_Mortalidad!$B$5:$B$75,MIN(71,Cartera_Polizas!$B$89+8-49))*(1+(Cartera_Polizas!$P$89-1)*MAX(0,1-8/Supuestos!$C$20))*(1-Supuestos!$C$18)^8))</f>
        <v>0.447422312043968</v>
      </c>
      <c r="L87" s="29" t="n">
        <f aca="false">K87*(1-MIN(1,INDEX(Tabla_Mortalidad!$B$5:$B$75,MIN(71,Cartera_Polizas!$B$89+9-49))*(1+(Cartera_Polizas!$P$89-1)*MAX(0,1-9/Supuestos!$C$20))*(1-Supuestos!$C$18)^9))</f>
        <v>0.389444235983989</v>
      </c>
      <c r="M87" s="29" t="n">
        <f aca="false">L87*(1-MIN(1,INDEX(Tabla_Mortalidad!$B$5:$B$75,MIN(71,Cartera_Polizas!$B$89+10-49))*(1+(Cartera_Polizas!$P$89-1)*MAX(0,1-10/Supuestos!$C$20))*(1-Supuestos!$C$18)^10))</f>
        <v>0.334430306047239</v>
      </c>
      <c r="N87" s="29" t="n">
        <f aca="false">M87*(1-MIN(1,INDEX(Tabla_Mortalidad!$B$5:$B$75,MIN(71,Cartera_Polizas!$B$89+11-49))*(1+(Cartera_Polizas!$P$89-1)*MAX(0,1-11/Supuestos!$C$20))*(1-Supuestos!$C$18)^11))</f>
        <v>0.282980547126772</v>
      </c>
      <c r="O87" s="29" t="n">
        <f aca="false">N87*(1-MIN(1,INDEX(Tabla_Mortalidad!$B$5:$B$75,MIN(71,Cartera_Polizas!$B$89+12-49))*(1+(Cartera_Polizas!$P$89-1)*MAX(0,1-12/Supuestos!$C$20))*(1-Supuestos!$C$18)^12))</f>
        <v>0.23562080920764</v>
      </c>
      <c r="P87" s="29" t="n">
        <f aca="false">O87*(1-MIN(1,INDEX(Tabla_Mortalidad!$B$5:$B$75,MIN(71,Cartera_Polizas!$B$89+13-49))*(1+(Cartera_Polizas!$P$89-1)*MAX(0,1-13/Supuestos!$C$20))*(1-Supuestos!$C$18)^13))</f>
        <v>0.19277349491358</v>
      </c>
      <c r="Q87" s="29" t="n">
        <f aca="false">P87*(1-MIN(1,INDEX(Tabla_Mortalidad!$B$5:$B$75,MIN(71,Cartera_Polizas!$B$89+14-49))*(1+(Cartera_Polizas!$P$89-1)*MAX(0,1-14/Supuestos!$C$20))*(1-Supuestos!$C$18)^14))</f>
        <v>0.15473323227921</v>
      </c>
      <c r="R87" s="29" t="n">
        <f aca="false">Q87*(1-MIN(1,INDEX(Tabla_Mortalidad!$B$5:$B$75,MIN(71,Cartera_Polizas!$B$89+15-49))*(1+(Cartera_Polizas!$P$89-1)*MAX(0,1-15/Supuestos!$C$20))*(1-Supuestos!$C$18)^15))</f>
        <v>0.121647821135061</v>
      </c>
      <c r="S87" s="29" t="n">
        <f aca="false">R87*(1-MIN(1,INDEX(Tabla_Mortalidad!$B$5:$B$75,MIN(71,Cartera_Polizas!$B$89+16-49))*(1+(Cartera_Polizas!$P$89-1)*MAX(0,1-16/Supuestos!$C$20))*(1-Supuestos!$C$18)^16))</f>
        <v>0.0931742648475573</v>
      </c>
      <c r="T87" s="29" t="n">
        <f aca="false">S87*(1-MIN(1,INDEX(Tabla_Mortalidad!$B$5:$B$75,MIN(71,Cartera_Polizas!$B$89+17-49))*(1+(Cartera_Polizas!$P$89-1)*MAX(0,1-17/Supuestos!$C$20))*(1-Supuestos!$C$18)^17))</f>
        <v>0.0693387657203509</v>
      </c>
      <c r="U87" s="29" t="n">
        <f aca="false">T87*(1-MIN(1,INDEX(Tabla_Mortalidad!$B$5:$B$75,MIN(71,Cartera_Polizas!$B$89+18-49))*(1+(Cartera_Polizas!$P$89-1)*MAX(0,1-18/Supuestos!$C$20))*(1-Supuestos!$C$18)^18))</f>
        <v>0.0499866324631058</v>
      </c>
      <c r="V87" s="29" t="n">
        <f aca="false">U87*(1-MIN(1,INDEX(Tabla_Mortalidad!$B$5:$B$75,MIN(71,Cartera_Polizas!$B$89+19-49))*(1+(Cartera_Polizas!$P$89-1)*MAX(0,1-19/Supuestos!$C$20))*(1-Supuestos!$C$18)^19))</f>
        <v>0.0347955117285811</v>
      </c>
      <c r="W87" s="29" t="n">
        <f aca="false">V87*(1-MIN(1,INDEX(Tabla_Mortalidad!$B$5:$B$75,MIN(71,Cartera_Polizas!$B$89+20-49))*(1+(Cartera_Polizas!$P$89-1)*MAX(0,1-20/Supuestos!$C$20))*(1-Supuestos!$C$18)^20))</f>
        <v>0.0233056241139643</v>
      </c>
      <c r="X87" s="29" t="n">
        <f aca="false">W87*(1-MIN(1,INDEX(Tabla_Mortalidad!$B$5:$B$75,MIN(71,Cartera_Polizas!$B$89+21-49))*(1+(Cartera_Polizas!$P$89-1)*MAX(0,1-21/Supuestos!$C$20))*(1-Supuestos!$C$18)^21))</f>
        <v>0.0149631366222797</v>
      </c>
      <c r="Y87" s="29" t="n">
        <f aca="false">X87*(1-MIN(1,INDEX(Tabla_Mortalidad!$B$5:$B$75,MIN(71,Cartera_Polizas!$B$89+22-49))*(1+(Cartera_Polizas!$P$89-1)*MAX(0,1-22/Supuestos!$C$20))*(1-Supuestos!$C$18)^22))</f>
        <v>0.00917163658737322</v>
      </c>
      <c r="Z87" s="29" t="n">
        <f aca="false">Y87*(1-MIN(1,INDEX(Tabla_Mortalidad!$B$5:$B$75,MIN(71,Cartera_Polizas!$B$89+23-49))*(1+(Cartera_Polizas!$P$89-1)*MAX(0,1-23/Supuestos!$C$20))*(1-Supuestos!$C$18)^23))</f>
        <v>0.00534392729146263</v>
      </c>
      <c r="AA87" s="29" t="n">
        <f aca="false">Z87*(1-MIN(1,INDEX(Tabla_Mortalidad!$B$5:$B$75,MIN(71,Cartera_Polizas!$B$89+24-49))*(1+(Cartera_Polizas!$P$89-1)*MAX(0,1-24/Supuestos!$C$20))*(1-Supuestos!$C$18)^24))</f>
        <v>0.00294641576474552</v>
      </c>
      <c r="AB87" s="29" t="n">
        <f aca="false">AA87*(1-MIN(1,INDEX(Tabla_Mortalidad!$B$5:$B$75,MIN(71,Cartera_Polizas!$B$89+25-49))*(1+(Cartera_Polizas!$P$89-1)*MAX(0,1-25/Supuestos!$C$20))*(1-Supuestos!$C$18)^25))</f>
        <v>0.00153004323621584</v>
      </c>
      <c r="AC87" s="29" t="n">
        <f aca="false">AB87*(1-MIN(1,INDEX(Tabla_Mortalidad!$B$5:$B$75,MIN(71,Cartera_Polizas!$B$89+26-49))*(1+(Cartera_Polizas!$P$89-1)*MAX(0,1-26/Supuestos!$C$20))*(1-Supuestos!$C$18)^26))</f>
        <v>0.000744746259442403</v>
      </c>
      <c r="AD87" s="29" t="n">
        <f aca="false">AC87*(1-MIN(1,INDEX(Tabla_Mortalidad!$B$5:$B$75,MIN(71,Cartera_Polizas!$B$89+27-49))*(1+(Cartera_Polizas!$P$89-1)*MAX(0,1-27/Supuestos!$C$20))*(1-Supuestos!$C$18)^27))</f>
        <v>0.000338175123895866</v>
      </c>
      <c r="AE87" s="29" t="n">
        <f aca="false">AD87*(1-MIN(1,INDEX(Tabla_Mortalidad!$B$5:$B$75,MIN(71,Cartera_Polizas!$B$89+28-49))*(1+(Cartera_Polizas!$P$89-1)*MAX(0,1-28/Supuestos!$C$20))*(1-Supuestos!$C$18)^28))</f>
        <v>0.000142603153535352</v>
      </c>
      <c r="AF87" s="29" t="n">
        <f aca="false">AE87*(1-MIN(1,INDEX(Tabla_Mortalidad!$B$5:$B$75,MIN(71,Cartera_Polizas!$B$89+29-49))*(1+(Cartera_Polizas!$P$89-1)*MAX(0,1-29/Supuestos!$C$20))*(1-Supuestos!$C$18)^29))</f>
        <v>5.56140792811265E-005</v>
      </c>
      <c r="AG87" s="29" t="n">
        <f aca="false">AF87*(1-MIN(1,INDEX(Tabla_Mortalidad!$B$5:$B$75,MIN(71,Cartera_Polizas!$B$89+30-49))*(1+(Cartera_Polizas!$P$89-1)*MAX(0,1-30/Supuestos!$C$20))*(1-Supuestos!$C$18)^30))</f>
        <v>1.99913416326017E-005</v>
      </c>
      <c r="AH87" s="29" t="n">
        <f aca="false">AG87*(1-MIN(1,INDEX(Tabla_Mortalidad!$B$5:$B$75,MIN(71,Cartera_Polizas!$B$89+31-49))*(1+(Cartera_Polizas!$P$89-1)*MAX(0,1-31/Supuestos!$C$20))*(1-Supuestos!$C$18)^31))</f>
        <v>6.60866165463629E-006</v>
      </c>
      <c r="AI87" s="29" t="n">
        <f aca="false">AH87*(1-MIN(1,INDEX(Tabla_Mortalidad!$B$5:$B$75,MIN(71,Cartera_Polizas!$B$89+32-49))*(1+(Cartera_Polizas!$P$89-1)*MAX(0,1-32/Supuestos!$C$20))*(1-Supuestos!$C$18)^32))</f>
        <v>2.00757195637752E-006</v>
      </c>
      <c r="AJ87" s="29" t="n">
        <f aca="false">AI87*(1-MIN(1,INDEX(Tabla_Mortalidad!$B$5:$B$75,MIN(71,Cartera_Polizas!$B$89+33-49))*(1+(Cartera_Polizas!$P$89-1)*MAX(0,1-33/Supuestos!$C$20))*(1-Supuestos!$C$18)^33))</f>
        <v>5.6109851412187E-007</v>
      </c>
      <c r="AK87" s="29" t="n">
        <f aca="false">AJ87*(1-MIN(1,INDEX(Tabla_Mortalidad!$B$5:$B$75,MIN(71,Cartera_Polizas!$B$89+34-49))*(1+(Cartera_Polizas!$P$89-1)*MAX(0,1-34/Supuestos!$C$20))*(1-Supuestos!$C$18)^34))</f>
        <v>1.44799054547935E-007</v>
      </c>
      <c r="AL87" s="29" t="n">
        <f aca="false">AK87*(1-MIN(1,INDEX(Tabla_Mortalidad!$B$5:$B$75,MIN(71,Cartera_Polizas!$B$89+35-49))*(1+(Cartera_Polizas!$P$89-1)*MAX(0,1-35/Supuestos!$C$20))*(1-Supuestos!$C$18)^35))</f>
        <v>3.47156424379394E-008</v>
      </c>
      <c r="AM87" s="29" t="n">
        <f aca="false">AL87*(1-MIN(1,INDEX(Tabla_Mortalidad!$B$5:$B$75,MIN(71,Cartera_Polizas!$B$89+36-49))*(1+(Cartera_Polizas!$P$89-1)*MAX(0,1-36/Supuestos!$C$20))*(1-Supuestos!$C$18)^36))</f>
        <v>7.80033834866582E-009</v>
      </c>
      <c r="AN87" s="29" t="n">
        <f aca="false">AM87*(1-MIN(1,INDEX(Tabla_Mortalidad!$B$5:$B$75,MIN(71,Cartera_Polizas!$B$89+37-49))*(1+(Cartera_Polizas!$P$89-1)*MAX(0,1-37/Supuestos!$C$20))*(1-Supuestos!$C$18)^37))</f>
        <v>1.6606713886552E-009</v>
      </c>
      <c r="AO87" s="29" t="n">
        <f aca="false">AN87*(1-MIN(1,INDEX(Tabla_Mortalidad!$B$5:$B$75,MIN(71,Cartera_Polizas!$B$89+38-49))*(1+(Cartera_Polizas!$P$89-1)*MAX(0,1-38/Supuestos!$C$20))*(1-Supuestos!$C$18)^38))</f>
        <v>2.88018362980883E-010</v>
      </c>
      <c r="AP87" s="29" t="n">
        <f aca="false">AO87*(1-MIN(1,INDEX(Tabla_Mortalidad!$B$5:$B$75,MIN(71,Cartera_Polizas!$B$89+39-49))*(1+(Cartera_Polizas!$P$89-1)*MAX(0,1-39/Supuestos!$C$20))*(1-Supuestos!$C$18)^39))</f>
        <v>5.11427633313668E-011</v>
      </c>
      <c r="AQ87" s="29" t="n">
        <f aca="false">AP87*(1-MIN(1,INDEX(Tabla_Mortalidad!$B$5:$B$75,MIN(71,Cartera_Polizas!$B$89+40-49))*(1+(Cartera_Polizas!$P$89-1)*MAX(0,1-40/Supuestos!$C$20))*(1-Supuestos!$C$18)^40))</f>
        <v>9.29161105260873E-012</v>
      </c>
      <c r="AR87" s="29" t="n">
        <f aca="false">AQ87*(1-MIN(1,INDEX(Tabla_Mortalidad!$B$5:$B$75,MIN(71,Cartera_Polizas!$B$89+41-49))*(1+(Cartera_Polizas!$P$89-1)*MAX(0,1-41/Supuestos!$C$20))*(1-Supuestos!$C$18)^41))</f>
        <v>1.72611633294767E-012</v>
      </c>
      <c r="AS87" s="29" t="n">
        <f aca="false">AR87*(1-MIN(1,INDEX(Tabla_Mortalidad!$B$5:$B$75,MIN(71,Cartera_Polizas!$B$89+42-49))*(1+(Cartera_Polizas!$P$89-1)*MAX(0,1-42/Supuestos!$C$20))*(1-Supuestos!$C$18)^42))</f>
        <v>3.27690450842326E-013</v>
      </c>
      <c r="AT87" s="29" t="n">
        <f aca="false">AS87*(1-MIN(1,INDEX(Tabla_Mortalidad!$B$5:$B$75,MIN(71,Cartera_Polizas!$B$89+43-49))*(1+(Cartera_Polizas!$P$89-1)*MAX(0,1-43/Supuestos!$C$20))*(1-Supuestos!$C$18)^43))</f>
        <v>6.35370186346848E-014</v>
      </c>
      <c r="AU87" s="29" t="n">
        <f aca="false">AT87*(1-MIN(1,INDEX(Tabla_Mortalidad!$B$5:$B$75,MIN(71,Cartera_Polizas!$B$89+44-49))*(1+(Cartera_Polizas!$P$89-1)*MAX(0,1-44/Supuestos!$C$20))*(1-Supuestos!$C$18)^44))</f>
        <v>1.25754971928983E-014</v>
      </c>
    </row>
    <row r="88" customFormat="false" ht="15" hidden="false" customHeight="false" outlineLevel="0" collapsed="false">
      <c r="A88" s="14" t="n">
        <f aca="false">Cartera_Polizas!A90</f>
        <v>85</v>
      </c>
      <c r="B88" s="26" t="n">
        <f aca="false">SUM(C88:AU88)+0.5</f>
        <v>7.4784270766979</v>
      </c>
      <c r="C88" s="29" t="n">
        <f aca="false">1-MIN(1,INDEX(Tabla_Mortalidad!$B$5:$B$75,MIN(71,Cartera_Polizas!$B$90+0-49))*(1+(Cartera_Polizas!$P$90-1)*MAX(0,1-0/Supuestos!$C$20))*(1-Supuestos!$C$18)^0)</f>
        <v>0.917939912</v>
      </c>
      <c r="D88" s="29" t="n">
        <f aca="false">C88*(1-MIN(1,INDEX(Tabla_Mortalidad!$B$5:$B$75,MIN(71,Cartera_Polizas!$B$90+1-49))*(1+(Cartera_Polizas!$P$90-1)*MAX(0,1-1/Supuestos!$C$20))*(1-Supuestos!$C$18)^1))</f>
        <v>0.836751589076704</v>
      </c>
      <c r="E88" s="29" t="n">
        <f aca="false">D88*(1-MIN(1,INDEX(Tabla_Mortalidad!$B$5:$B$75,MIN(71,Cartera_Polizas!$B$90+2-49))*(1+(Cartera_Polizas!$P$90-1)*MAX(0,1-2/Supuestos!$C$20))*(1-Supuestos!$C$18)^2))</f>
        <v>0.757073095828133</v>
      </c>
      <c r="F88" s="29" t="n">
        <f aca="false">E88*(1-MIN(1,INDEX(Tabla_Mortalidad!$B$5:$B$75,MIN(71,Cartera_Polizas!$B$90+3-49))*(1+(Cartera_Polizas!$P$90-1)*MAX(0,1-3/Supuestos!$C$20))*(1-Supuestos!$C$18)^3))</f>
        <v>0.679549186213019</v>
      </c>
      <c r="G88" s="29" t="n">
        <f aca="false">F88*(1-MIN(1,INDEX(Tabla_Mortalidad!$B$5:$B$75,MIN(71,Cartera_Polizas!$B$90+4-49))*(1+(Cartera_Polizas!$P$90-1)*MAX(0,1-4/Supuestos!$C$20))*(1-Supuestos!$C$18)^4))</f>
        <v>0.604813072986603</v>
      </c>
      <c r="H88" s="29" t="n">
        <f aca="false">G88*(1-MIN(1,INDEX(Tabla_Mortalidad!$B$5:$B$75,MIN(71,Cartera_Polizas!$B$90+5-49))*(1+(Cartera_Polizas!$P$90-1)*MAX(0,1-5/Supuestos!$C$20))*(1-Supuestos!$C$18)^5))</f>
        <v>0.533471543233573</v>
      </c>
      <c r="I88" s="29" t="n">
        <f aca="false">H88*(1-MIN(1,INDEX(Tabla_Mortalidad!$B$5:$B$75,MIN(71,Cartera_Polizas!$B$90+6-49))*(1+(Cartera_Polizas!$P$90-1)*MAX(0,1-6/Supuestos!$C$20))*(1-Supuestos!$C$18)^6))</f>
        <v>0.46607861534225</v>
      </c>
      <c r="J88" s="29" t="n">
        <f aca="false">I88*(1-MIN(1,INDEX(Tabla_Mortalidad!$B$5:$B$75,MIN(71,Cartera_Polizas!$B$90+7-49))*(1+(Cartera_Polizas!$P$90-1)*MAX(0,1-7/Supuestos!$C$20))*(1-Supuestos!$C$18)^7))</f>
        <v>0.4031210840286</v>
      </c>
      <c r="K88" s="29" t="n">
        <f aca="false">J88*(1-MIN(1,INDEX(Tabla_Mortalidad!$B$5:$B$75,MIN(71,Cartera_Polizas!$B$90+8-49))*(1+(Cartera_Polizas!$P$90-1)*MAX(0,1-8/Supuestos!$C$20))*(1-Supuestos!$C$18)^8))</f>
        <v>0.344996171186389</v>
      </c>
      <c r="L88" s="29" t="n">
        <f aca="false">K88*(1-MIN(1,INDEX(Tabla_Mortalidad!$B$5:$B$75,MIN(71,Cartera_Polizas!$B$90+9-49))*(1+(Cartera_Polizas!$P$90-1)*MAX(0,1-9/Supuestos!$C$20))*(1-Supuestos!$C$18)^9))</f>
        <v>0.291997086323619</v>
      </c>
      <c r="M88" s="29" t="n">
        <f aca="false">L88*(1-MIN(1,INDEX(Tabla_Mortalidad!$B$5:$B$75,MIN(71,Cartera_Polizas!$B$90+10-49))*(1+(Cartera_Polizas!$P$90-1)*MAX(0,1-10/Supuestos!$C$20))*(1-Supuestos!$C$18)^10))</f>
        <v>0.244301370866734</v>
      </c>
      <c r="N88" s="29" t="n">
        <f aca="false">M88*(1-MIN(1,INDEX(Tabla_Mortalidad!$B$5:$B$75,MIN(71,Cartera_Polizas!$B$90+11-49))*(1+(Cartera_Polizas!$P$90-1)*MAX(0,1-11/Supuestos!$C$20))*(1-Supuestos!$C$18)^11))</f>
        <v>0.201965007568982</v>
      </c>
      <c r="O88" s="29" t="n">
        <f aca="false">N88*(1-MIN(1,INDEX(Tabla_Mortalidad!$B$5:$B$75,MIN(71,Cartera_Polizas!$B$90+12-49))*(1+(Cartera_Polizas!$P$90-1)*MAX(0,1-12/Supuestos!$C$20))*(1-Supuestos!$C$18)^12))</f>
        <v>0.164922339602811</v>
      </c>
      <c r="P88" s="29" t="n">
        <f aca="false">O88*(1-MIN(1,INDEX(Tabla_Mortalidad!$B$5:$B$75,MIN(71,Cartera_Polizas!$B$90+13-49))*(1+(Cartera_Polizas!$P$90-1)*MAX(0,1-13/Supuestos!$C$20))*(1-Supuestos!$C$18)^13))</f>
        <v>0.132991961713913</v>
      </c>
      <c r="Q88" s="29" t="n">
        <f aca="false">P88*(1-MIN(1,INDEX(Tabla_Mortalidad!$B$5:$B$75,MIN(71,Cartera_Polizas!$B$90+14-49))*(1+(Cartera_Polizas!$P$90-1)*MAX(0,1-14/Supuestos!$C$20))*(1-Supuestos!$C$18)^14))</f>
        <v>0.105890081931556</v>
      </c>
      <c r="R88" s="29" t="n">
        <f aca="false">Q88*(1-MIN(1,INDEX(Tabla_Mortalidad!$B$5:$B$75,MIN(71,Cartera_Polizas!$B$90+15-49))*(1+(Cartera_Polizas!$P$90-1)*MAX(0,1-15/Supuestos!$C$20))*(1-Supuestos!$C$18)^15))</f>
        <v>0.0832484241235466</v>
      </c>
      <c r="S88" s="29" t="n">
        <f aca="false">R88*(1-MIN(1,INDEX(Tabla_Mortalidad!$B$5:$B$75,MIN(71,Cartera_Polizas!$B$90+16-49))*(1+(Cartera_Polizas!$P$90-1)*MAX(0,1-16/Supuestos!$C$20))*(1-Supuestos!$C$18)^16))</f>
        <v>0.0637628413320877</v>
      </c>
      <c r="T88" s="29" t="n">
        <f aca="false">S88*(1-MIN(1,INDEX(Tabla_Mortalidad!$B$5:$B$75,MIN(71,Cartera_Polizas!$B$90+17-49))*(1+(Cartera_Polizas!$P$90-1)*MAX(0,1-17/Supuestos!$C$20))*(1-Supuestos!$C$18)^17))</f>
        <v>0.0474512648317981</v>
      </c>
      <c r="U88" s="29" t="n">
        <f aca="false">T88*(1-MIN(1,INDEX(Tabla_Mortalidad!$B$5:$B$75,MIN(71,Cartera_Polizas!$B$90+18-49))*(1+(Cartera_Polizas!$P$90-1)*MAX(0,1-18/Supuestos!$C$20))*(1-Supuestos!$C$18)^18))</f>
        <v>0.0342078332432795</v>
      </c>
      <c r="V88" s="29" t="n">
        <f aca="false">U88*(1-MIN(1,INDEX(Tabla_Mortalidad!$B$5:$B$75,MIN(71,Cartera_Polizas!$B$90+19-49))*(1+(Cartera_Polizas!$P$90-1)*MAX(0,1-19/Supuestos!$C$20))*(1-Supuestos!$C$18)^19))</f>
        <v>0.023811947398225</v>
      </c>
      <c r="W88" s="29" t="n">
        <f aca="false">V88*(1-MIN(1,INDEX(Tabla_Mortalidad!$B$5:$B$75,MIN(71,Cartera_Polizas!$B$90+20-49))*(1+(Cartera_Polizas!$P$90-1)*MAX(0,1-20/Supuestos!$C$20))*(1-Supuestos!$C$18)^20))</f>
        <v>0.0159489620331889</v>
      </c>
      <c r="X88" s="29" t="n">
        <f aca="false">W88*(1-MIN(1,INDEX(Tabla_Mortalidad!$B$5:$B$75,MIN(71,Cartera_Polizas!$B$90+21-49))*(1+(Cartera_Polizas!$P$90-1)*MAX(0,1-21/Supuestos!$C$20))*(1-Supuestos!$C$18)^21))</f>
        <v>0.0102398672835011</v>
      </c>
      <c r="Y88" s="29" t="n">
        <f aca="false">X88*(1-MIN(1,INDEX(Tabla_Mortalidad!$B$5:$B$75,MIN(71,Cartera_Polizas!$B$90+22-49))*(1+(Cartera_Polizas!$P$90-1)*MAX(0,1-22/Supuestos!$C$20))*(1-Supuestos!$C$18)^22))</f>
        <v>0.00627651432971388</v>
      </c>
      <c r="Z88" s="29" t="n">
        <f aca="false">Y88*(1-MIN(1,INDEX(Tabla_Mortalidad!$B$5:$B$75,MIN(71,Cartera_Polizas!$B$90+23-49))*(1+(Cartera_Polizas!$P$90-1)*MAX(0,1-23/Supuestos!$C$20))*(1-Supuestos!$C$18)^23))</f>
        <v>0.00365706119101919</v>
      </c>
      <c r="AA88" s="29" t="n">
        <f aca="false">Z88*(1-MIN(1,INDEX(Tabla_Mortalidad!$B$5:$B$75,MIN(71,Cartera_Polizas!$B$90+24-49))*(1+(Cartera_Polizas!$P$90-1)*MAX(0,1-24/Supuestos!$C$20))*(1-Supuestos!$C$18)^24))</f>
        <v>0.00201634905532346</v>
      </c>
      <c r="AB88" s="29" t="n">
        <f aca="false">AA88*(1-MIN(1,INDEX(Tabla_Mortalidad!$B$5:$B$75,MIN(71,Cartera_Polizas!$B$90+25-49))*(1+(Cartera_Polizas!$P$90-1)*MAX(0,1-25/Supuestos!$C$20))*(1-Supuestos!$C$18)^25))</f>
        <v>0.00104706921231611</v>
      </c>
      <c r="AC88" s="29" t="n">
        <f aca="false">AB88*(1-MIN(1,INDEX(Tabla_Mortalidad!$B$5:$B$75,MIN(71,Cartera_Polizas!$B$90+26-49))*(1+(Cartera_Polizas!$P$90-1)*MAX(0,1-26/Supuestos!$C$20))*(1-Supuestos!$C$18)^26))</f>
        <v>0.000509659374841171</v>
      </c>
      <c r="AD88" s="29" t="n">
        <f aca="false">AC88*(1-MIN(1,INDEX(Tabla_Mortalidad!$B$5:$B$75,MIN(71,Cartera_Polizas!$B$90+27-49))*(1+(Cartera_Polizas!$P$90-1)*MAX(0,1-27/Supuestos!$C$20))*(1-Supuestos!$C$18)^27))</f>
        <v>0.000231426636987268</v>
      </c>
      <c r="AE88" s="29" t="n">
        <f aca="false">AD88*(1-MIN(1,INDEX(Tabla_Mortalidad!$B$5:$B$75,MIN(71,Cartera_Polizas!$B$90+28-49))*(1+(Cartera_Polizas!$P$90-1)*MAX(0,1-28/Supuestos!$C$20))*(1-Supuestos!$C$18)^28))</f>
        <v>9.75889884101229E-005</v>
      </c>
      <c r="AF88" s="29" t="n">
        <f aca="false">AE88*(1-MIN(1,INDEX(Tabla_Mortalidad!$B$5:$B$75,MIN(71,Cartera_Polizas!$B$90+29-49))*(1+(Cartera_Polizas!$P$90-1)*MAX(0,1-29/Supuestos!$C$20))*(1-Supuestos!$C$18)^29))</f>
        <v>3.80589180803779E-005</v>
      </c>
      <c r="AG88" s="29" t="n">
        <f aca="false">AF88*(1-MIN(1,INDEX(Tabla_Mortalidad!$B$5:$B$75,MIN(71,Cartera_Polizas!$B$90+30-49))*(1+(Cartera_Polizas!$P$90-1)*MAX(0,1-30/Supuestos!$C$20))*(1-Supuestos!$C$18)^30))</f>
        <v>1.36808672074922E-005</v>
      </c>
      <c r="AH88" s="29" t="n">
        <f aca="false">AG88*(1-MIN(1,INDEX(Tabla_Mortalidad!$B$5:$B$75,MIN(71,Cartera_Polizas!$B$90+31-49))*(1+(Cartera_Polizas!$P$90-1)*MAX(0,1-31/Supuestos!$C$20))*(1-Supuestos!$C$18)^31))</f>
        <v>4.52256902902812E-006</v>
      </c>
      <c r="AI88" s="29" t="n">
        <f aca="false">AH88*(1-MIN(1,INDEX(Tabla_Mortalidad!$B$5:$B$75,MIN(71,Cartera_Polizas!$B$90+32-49))*(1+(Cartera_Polizas!$P$90-1)*MAX(0,1-32/Supuestos!$C$20))*(1-Supuestos!$C$18)^32))</f>
        <v>1.3738610369149E-006</v>
      </c>
      <c r="AJ88" s="29" t="n">
        <f aca="false">AI88*(1-MIN(1,INDEX(Tabla_Mortalidad!$B$5:$B$75,MIN(71,Cartera_Polizas!$B$90+33-49))*(1+(Cartera_Polizas!$P$90-1)*MAX(0,1-33/Supuestos!$C$20))*(1-Supuestos!$C$18)^33))</f>
        <v>3.83981945939238E-007</v>
      </c>
      <c r="AK88" s="29" t="n">
        <f aca="false">AJ88*(1-MIN(1,INDEX(Tabla_Mortalidad!$B$5:$B$75,MIN(71,Cartera_Polizas!$B$90+34-49))*(1+(Cartera_Polizas!$P$90-1)*MAX(0,1-34/Supuestos!$C$20))*(1-Supuestos!$C$18)^34))</f>
        <v>9.90917304824684E-008</v>
      </c>
      <c r="AL88" s="29" t="n">
        <f aca="false">AK88*(1-MIN(1,INDEX(Tabla_Mortalidad!$B$5:$B$75,MIN(71,Cartera_Polizas!$B$90+35-49))*(1+(Cartera_Polizas!$P$90-1)*MAX(0,1-35/Supuestos!$C$20))*(1-Supuestos!$C$18)^35))</f>
        <v>2.37572896779325E-008</v>
      </c>
      <c r="AM88" s="29" t="n">
        <f aca="false">AL88*(1-MIN(1,INDEX(Tabla_Mortalidad!$B$5:$B$75,MIN(71,Cartera_Polizas!$B$90+36-49))*(1+(Cartera_Polizas!$P$90-1)*MAX(0,1-36/Supuestos!$C$20))*(1-Supuestos!$C$18)^36))</f>
        <v>5.33808060923614E-009</v>
      </c>
      <c r="AN88" s="29" t="n">
        <f aca="false">AM88*(1-MIN(1,INDEX(Tabla_Mortalidad!$B$5:$B$75,MIN(71,Cartera_Polizas!$B$90+37-49))*(1+(Cartera_Polizas!$P$90-1)*MAX(0,1-37/Supuestos!$C$20))*(1-Supuestos!$C$18)^37))</f>
        <v>1.13646323298397E-009</v>
      </c>
      <c r="AO88" s="29" t="n">
        <f aca="false">AN88*(1-MIN(1,INDEX(Tabla_Mortalidad!$B$5:$B$75,MIN(71,Cartera_Polizas!$B$90+38-49))*(1+(Cartera_Polizas!$P$90-1)*MAX(0,1-38/Supuestos!$C$20))*(1-Supuestos!$C$18)^38))</f>
        <v>1.97102378103273E-010</v>
      </c>
      <c r="AP88" s="29" t="n">
        <f aca="false">AO88*(1-MIN(1,INDEX(Tabla_Mortalidad!$B$5:$B$75,MIN(71,Cartera_Polizas!$B$90+39-49))*(1+(Cartera_Polizas!$P$90-1)*MAX(0,1-39/Supuestos!$C$20))*(1-Supuestos!$C$18)^39))</f>
        <v>3.49990194064617E-011</v>
      </c>
      <c r="AQ88" s="29" t="n">
        <f aca="false">AP88*(1-MIN(1,INDEX(Tabla_Mortalidad!$B$5:$B$75,MIN(71,Cartera_Polizas!$B$90+40-49))*(1+(Cartera_Polizas!$P$90-1)*MAX(0,1-40/Supuestos!$C$20))*(1-Supuestos!$C$18)^40))</f>
        <v>6.35861761009103E-012</v>
      </c>
      <c r="AR88" s="29" t="n">
        <f aca="false">AQ88*(1-MIN(1,INDEX(Tabla_Mortalidad!$B$5:$B$75,MIN(71,Cartera_Polizas!$B$90+41-49))*(1+(Cartera_Polizas!$P$90-1)*MAX(0,1-41/Supuestos!$C$20))*(1-Supuestos!$C$18)^41))</f>
        <v>1.18124980152556E-012</v>
      </c>
      <c r="AS88" s="29" t="n">
        <f aca="false">AR88*(1-MIN(1,INDEX(Tabla_Mortalidad!$B$5:$B$75,MIN(71,Cartera_Polizas!$B$90+42-49))*(1+(Cartera_Polizas!$P$90-1)*MAX(0,1-42/Supuestos!$C$20))*(1-Supuestos!$C$18)^42))</f>
        <v>2.24251559776565E-013</v>
      </c>
      <c r="AT88" s="29" t="n">
        <f aca="false">AS88*(1-MIN(1,INDEX(Tabla_Mortalidad!$B$5:$B$75,MIN(71,Cartera_Polizas!$B$90+43-49))*(1+(Cartera_Polizas!$P$90-1)*MAX(0,1-43/Supuestos!$C$20))*(1-Supuestos!$C$18)^43))</f>
        <v>4.34808994151514E-014</v>
      </c>
      <c r="AU88" s="29" t="n">
        <f aca="false">AT88*(1-MIN(1,INDEX(Tabla_Mortalidad!$B$5:$B$75,MIN(71,Cartera_Polizas!$B$90+44-49))*(1+(Cartera_Polizas!$P$90-1)*MAX(0,1-44/Supuestos!$C$20))*(1-Supuestos!$C$18)^44))</f>
        <v>8.60591101517999E-015</v>
      </c>
    </row>
    <row r="89" customFormat="false" ht="15" hidden="false" customHeight="false" outlineLevel="0" collapsed="false">
      <c r="A89" s="14" t="n">
        <f aca="false">Cartera_Polizas!A91</f>
        <v>86</v>
      </c>
      <c r="B89" s="26" t="n">
        <f aca="false">SUM(C89:AU89)+0.5</f>
        <v>12.1321670001565</v>
      </c>
      <c r="C89" s="29" t="n">
        <f aca="false">1-MIN(1,INDEX(Tabla_Mortalidad!$B$5:$B$75,MIN(71,Cartera_Polizas!$B$91+0-49))*(1+(Cartera_Polizas!$P$91-1)*MAX(0,1-0/Supuestos!$C$20))*(1-Supuestos!$C$18)^0)</f>
        <v>0.967716446875</v>
      </c>
      <c r="D89" s="29" t="n">
        <f aca="false">C89*(1-MIN(1,INDEX(Tabla_Mortalidad!$B$5:$B$75,MIN(71,Cartera_Polizas!$B$91+1-49))*(1+(Cartera_Polizas!$P$91-1)*MAX(0,1-1/Supuestos!$C$20))*(1-Supuestos!$C$18)^1))</f>
        <v>0.933337246976821</v>
      </c>
      <c r="E89" s="29" t="n">
        <f aca="false">D89*(1-MIN(1,INDEX(Tabla_Mortalidad!$B$5:$B$75,MIN(71,Cartera_Polizas!$B$91+2-49))*(1+(Cartera_Polizas!$P$91-1)*MAX(0,1-2/Supuestos!$C$20))*(1-Supuestos!$C$18)^2))</f>
        <v>0.896857906211826</v>
      </c>
      <c r="F89" s="29" t="n">
        <f aca="false">E89*(1-MIN(1,INDEX(Tabla_Mortalidad!$B$5:$B$75,MIN(71,Cartera_Polizas!$B$91+3-49))*(1+(Cartera_Polizas!$P$91-1)*MAX(0,1-3/Supuestos!$C$20))*(1-Supuestos!$C$18)^3))</f>
        <v>0.858303926380582</v>
      </c>
      <c r="G89" s="29" t="n">
        <f aca="false">F89*(1-MIN(1,INDEX(Tabla_Mortalidad!$B$5:$B$75,MIN(71,Cartera_Polizas!$B$91+4-49))*(1+(Cartera_Polizas!$P$91-1)*MAX(0,1-4/Supuestos!$C$20))*(1-Supuestos!$C$18)^4))</f>
        <v>0.817735735471143</v>
      </c>
      <c r="H89" s="29" t="n">
        <f aca="false">G89*(1-MIN(1,INDEX(Tabla_Mortalidad!$B$5:$B$75,MIN(71,Cartera_Polizas!$B$91+5-49))*(1+(Cartera_Polizas!$P$91-1)*MAX(0,1-5/Supuestos!$C$20))*(1-Supuestos!$C$18)^5))</f>
        <v>0.775252207777373</v>
      </c>
      <c r="I89" s="29" t="n">
        <f aca="false">H89*(1-MIN(1,INDEX(Tabla_Mortalidad!$B$5:$B$75,MIN(71,Cartera_Polizas!$B$91+6-49))*(1+(Cartera_Polizas!$P$91-1)*MAX(0,1-6/Supuestos!$C$20))*(1-Supuestos!$C$18)^6))</f>
        <v>0.730997233596846</v>
      </c>
      <c r="J89" s="29" t="n">
        <f aca="false">I89*(1-MIN(1,INDEX(Tabla_Mortalidad!$B$5:$B$75,MIN(71,Cartera_Polizas!$B$91+7-49))*(1+(Cartera_Polizas!$P$91-1)*MAX(0,1-7/Supuestos!$C$20))*(1-Supuestos!$C$18)^7))</f>
        <v>0.685165508001521</v>
      </c>
      <c r="K89" s="29" t="n">
        <f aca="false">J89*(1-MIN(1,INDEX(Tabla_Mortalidad!$B$5:$B$75,MIN(71,Cartera_Polizas!$B$91+8-49))*(1+(Cartera_Polizas!$P$91-1)*MAX(0,1-8/Supuestos!$C$20))*(1-Supuestos!$C$18)^8))</f>
        <v>0.638004195907574</v>
      </c>
      <c r="L89" s="29" t="n">
        <f aca="false">K89*(1-MIN(1,INDEX(Tabla_Mortalidad!$B$5:$B$75,MIN(71,Cartera_Polizas!$B$91+9-49))*(1+(Cartera_Polizas!$P$91-1)*MAX(0,1-9/Supuestos!$C$20))*(1-Supuestos!$C$18)^9))</f>
        <v>0.589814639093577</v>
      </c>
      <c r="M89" s="29" t="n">
        <f aca="false">L89*(1-MIN(1,INDEX(Tabla_Mortalidad!$B$5:$B$75,MIN(71,Cartera_Polizas!$B$91+10-49))*(1+(Cartera_Polizas!$P$91-1)*MAX(0,1-10/Supuestos!$C$20))*(1-Supuestos!$C$18)^10))</f>
        <v>0.540955424498791</v>
      </c>
      <c r="N89" s="29" t="n">
        <f aca="false">M89*(1-MIN(1,INDEX(Tabla_Mortalidad!$B$5:$B$75,MIN(71,Cartera_Polizas!$B$91+11-49))*(1+(Cartera_Polizas!$P$91-1)*MAX(0,1-11/Supuestos!$C$20))*(1-Supuestos!$C$18)^11))</f>
        <v>0.491836266895642</v>
      </c>
      <c r="O89" s="29" t="n">
        <f aca="false">N89*(1-MIN(1,INDEX(Tabla_Mortalidad!$B$5:$B$75,MIN(71,Cartera_Polizas!$B$91+12-49))*(1+(Cartera_Polizas!$P$91-1)*MAX(0,1-12/Supuestos!$C$20))*(1-Supuestos!$C$18)^12))</f>
        <v>0.442916385908449</v>
      </c>
      <c r="P89" s="29" t="n">
        <f aca="false">O89*(1-MIN(1,INDEX(Tabla_Mortalidad!$B$5:$B$75,MIN(71,Cartera_Polizas!$B$91+13-49))*(1+(Cartera_Polizas!$P$91-1)*MAX(0,1-13/Supuestos!$C$20))*(1-Supuestos!$C$18)^13))</f>
        <v>0.394693038816758</v>
      </c>
      <c r="Q89" s="29" t="n">
        <f aca="false">P89*(1-MIN(1,INDEX(Tabla_Mortalidad!$B$5:$B$75,MIN(71,Cartera_Polizas!$B$91+14-49))*(1+(Cartera_Polizas!$P$91-1)*MAX(0,1-14/Supuestos!$C$20))*(1-Supuestos!$C$18)^14))</f>
        <v>0.34768959904803</v>
      </c>
      <c r="R89" s="29" t="n">
        <f aca="false">Q89*(1-MIN(1,INDEX(Tabla_Mortalidad!$B$5:$B$75,MIN(71,Cartera_Polizas!$B$91+15-49))*(1+(Cartera_Polizas!$P$91-1)*MAX(0,1-15/Supuestos!$C$20))*(1-Supuestos!$C$18)^15))</f>
        <v>0.302438770562246</v>
      </c>
      <c r="S89" s="29" t="n">
        <f aca="false">R89*(1-MIN(1,INDEX(Tabla_Mortalidad!$B$5:$B$75,MIN(71,Cartera_Polizas!$B$91+16-49))*(1+(Cartera_Polizas!$P$91-1)*MAX(0,1-16/Supuestos!$C$20))*(1-Supuestos!$C$18)^16))</f>
        <v>0.2590923697478</v>
      </c>
      <c r="T89" s="29" t="n">
        <f aca="false">S89*(1-MIN(1,INDEX(Tabla_Mortalidad!$B$5:$B$75,MIN(71,Cartera_Polizas!$B$91+17-49))*(1+(Cartera_Polizas!$P$91-1)*MAX(0,1-17/Supuestos!$C$20))*(1-Supuestos!$C$18)^17))</f>
        <v>0.218238806866969</v>
      </c>
      <c r="U89" s="29" t="n">
        <f aca="false">T89*(1-MIN(1,INDEX(Tabla_Mortalidad!$B$5:$B$75,MIN(71,Cartera_Polizas!$B$91+18-49))*(1+(Cartera_Polizas!$P$91-1)*MAX(0,1-18/Supuestos!$C$20))*(1-Supuestos!$C$18)^18))</f>
        <v>0.180420258130307</v>
      </c>
      <c r="V89" s="29" t="n">
        <f aca="false">U89*(1-MIN(1,INDEX(Tabla_Mortalidad!$B$5:$B$75,MIN(71,Cartera_Polizas!$B$91+19-49))*(1+(Cartera_Polizas!$P$91-1)*MAX(0,1-19/Supuestos!$C$20))*(1-Supuestos!$C$18)^19))</f>
        <v>0.146100709927568</v>
      </c>
      <c r="W89" s="29" t="n">
        <f aca="false">V89*(1-MIN(1,INDEX(Tabla_Mortalidad!$B$5:$B$75,MIN(71,Cartera_Polizas!$B$91+20-49))*(1+(Cartera_Polizas!$P$91-1)*MAX(0,1-20/Supuestos!$C$20))*(1-Supuestos!$C$18)^20))</f>
        <v>0.115634343013957</v>
      </c>
      <c r="X89" s="29" t="n">
        <f aca="false">W89*(1-MIN(1,INDEX(Tabla_Mortalidad!$B$5:$B$75,MIN(71,Cartera_Polizas!$B$91+21-49))*(1+(Cartera_Polizas!$P$91-1)*MAX(0,1-21/Supuestos!$C$20))*(1-Supuestos!$C$18)^21))</f>
        <v>0.0892382518622852</v>
      </c>
      <c r="Y89" s="29" t="n">
        <f aca="false">X89*(1-MIN(1,INDEX(Tabla_Mortalidad!$B$5:$B$75,MIN(71,Cartera_Polizas!$B$91+22-49))*(1+(Cartera_Polizas!$P$91-1)*MAX(0,1-22/Supuestos!$C$20))*(1-Supuestos!$C$18)^22))</f>
        <v>0.0669746855403774</v>
      </c>
      <c r="Z89" s="29" t="n">
        <f aca="false">Y89*(1-MIN(1,INDEX(Tabla_Mortalidad!$B$5:$B$75,MIN(71,Cartera_Polizas!$B$91+23-49))*(1+(Cartera_Polizas!$P$91-1)*MAX(0,1-23/Supuestos!$C$20))*(1-Supuestos!$C$18)^23))</f>
        <v>0.0487450147350342</v>
      </c>
      <c r="AA89" s="29" t="n">
        <f aca="false">Z89*(1-MIN(1,INDEX(Tabla_Mortalidad!$B$5:$B$75,MIN(71,Cartera_Polizas!$B$91+24-49))*(1+(Cartera_Polizas!$P$91-1)*MAX(0,1-24/Supuestos!$C$20))*(1-Supuestos!$C$18)^24))</f>
        <v>0.0342978859146154</v>
      </c>
      <c r="AB89" s="29" t="n">
        <f aca="false">AA89*(1-MIN(1,INDEX(Tabla_Mortalidad!$B$5:$B$75,MIN(71,Cartera_Polizas!$B$91+25-49))*(1+(Cartera_Polizas!$P$91-1)*MAX(0,1-25/Supuestos!$C$20))*(1-Supuestos!$C$18)^25))</f>
        <v>0.0232526420752185</v>
      </c>
      <c r="AC89" s="29" t="n">
        <f aca="false">AB89*(1-MIN(1,INDEX(Tabla_Mortalidad!$B$5:$B$75,MIN(71,Cartera_Polizas!$B$91+26-49))*(1+(Cartera_Polizas!$P$91-1)*MAX(0,1-26/Supuestos!$C$20))*(1-Supuestos!$C$18)^26))</f>
        <v>0.0151351375969898</v>
      </c>
      <c r="AD89" s="29" t="n">
        <f aca="false">AC89*(1-MIN(1,INDEX(Tabla_Mortalidad!$B$5:$B$75,MIN(71,Cartera_Polizas!$B$91+27-49))*(1+(Cartera_Polizas!$P$91-1)*MAX(0,1-27/Supuestos!$C$20))*(1-Supuestos!$C$18)^27))</f>
        <v>0.00942205899432877</v>
      </c>
      <c r="AE89" s="29" t="n">
        <f aca="false">AD89*(1-MIN(1,INDEX(Tabla_Mortalidad!$B$5:$B$75,MIN(71,Cartera_Polizas!$B$91+28-49))*(1+(Cartera_Polizas!$P$91-1)*MAX(0,1-28/Supuestos!$C$20))*(1-Supuestos!$C$18)^28))</f>
        <v>0.00558716528137751</v>
      </c>
      <c r="AF89" s="29" t="n">
        <f aca="false">AE89*(1-MIN(1,INDEX(Tabla_Mortalidad!$B$5:$B$75,MIN(71,Cartera_Polizas!$B$91+29-49))*(1+(Cartera_Polizas!$P$91-1)*MAX(0,1-29/Supuestos!$C$20))*(1-Supuestos!$C$18)^29))</f>
        <v>0.00314256934225514</v>
      </c>
      <c r="AG89" s="29" t="n">
        <f aca="false">AF89*(1-MIN(1,INDEX(Tabla_Mortalidad!$B$5:$B$75,MIN(71,Cartera_Polizas!$B$91+30-49))*(1+(Cartera_Polizas!$P$91-1)*MAX(0,1-30/Supuestos!$C$20))*(1-Supuestos!$C$18)^30))</f>
        <v>0.00166929461725505</v>
      </c>
      <c r="AH89" s="29" t="n">
        <f aca="false">AG89*(1-MIN(1,INDEX(Tabla_Mortalidad!$B$5:$B$75,MIN(71,Cartera_Polizas!$B$91+31-49))*(1+(Cartera_Polizas!$P$91-1)*MAX(0,1-31/Supuestos!$C$20))*(1-Supuestos!$C$18)^31))</f>
        <v>0.000833732736329981</v>
      </c>
      <c r="AI89" s="29" t="n">
        <f aca="false">AH89*(1-MIN(1,INDEX(Tabla_Mortalidad!$B$5:$B$75,MIN(71,Cartera_Polizas!$B$91+32-49))*(1+(Cartera_Polizas!$P$91-1)*MAX(0,1-32/Supuestos!$C$20))*(1-Supuestos!$C$18)^32))</f>
        <v>0.000389847735516826</v>
      </c>
      <c r="AJ89" s="29" t="n">
        <f aca="false">AI89*(1-MIN(1,INDEX(Tabla_Mortalidad!$B$5:$B$75,MIN(71,Cartera_Polizas!$B$91+33-49))*(1+(Cartera_Polizas!$P$91-1)*MAX(0,1-33/Supuestos!$C$20))*(1-Supuestos!$C$18)^33))</f>
        <v>0.000169972978228439</v>
      </c>
      <c r="AK89" s="29" t="n">
        <f aca="false">AJ89*(1-MIN(1,INDEX(Tabla_Mortalidad!$B$5:$B$75,MIN(71,Cartera_Polizas!$B$91+34-49))*(1+(Cartera_Polizas!$P$91-1)*MAX(0,1-34/Supuestos!$C$20))*(1-Supuestos!$C$18)^34))</f>
        <v>6.88544203413718E-005</v>
      </c>
      <c r="AL89" s="29" t="n">
        <f aca="false">AK89*(1-MIN(1,INDEX(Tabla_Mortalidad!$B$5:$B$75,MIN(71,Cartera_Polizas!$B$91+35-49))*(1+(Cartera_Polizas!$P$91-1)*MAX(0,1-35/Supuestos!$C$20))*(1-Supuestos!$C$18)^35))</f>
        <v>2.58424070831354E-005</v>
      </c>
      <c r="AM89" s="29" t="n">
        <f aca="false">AL89*(1-MIN(1,INDEX(Tabla_Mortalidad!$B$5:$B$75,MIN(71,Cartera_Polizas!$B$91+36-49))*(1+(Cartera_Polizas!$P$91-1)*MAX(0,1-36/Supuestos!$C$20))*(1-Supuestos!$C$18)^36))</f>
        <v>8.97106936099221E-006</v>
      </c>
      <c r="AN89" s="29" t="n">
        <f aca="false">AM89*(1-MIN(1,INDEX(Tabla_Mortalidad!$B$5:$B$75,MIN(71,Cartera_Polizas!$B$91+37-49))*(1+(Cartera_Polizas!$P$91-1)*MAX(0,1-37/Supuestos!$C$20))*(1-Supuestos!$C$18)^37))</f>
        <v>2.8798140873618E-006</v>
      </c>
      <c r="AO89" s="29" t="n">
        <f aca="false">AN89*(1-MIN(1,INDEX(Tabla_Mortalidad!$B$5:$B$75,MIN(71,Cartera_Polizas!$B$91+38-49))*(1+(Cartera_Polizas!$P$91-1)*MAX(0,1-38/Supuestos!$C$20))*(1-Supuestos!$C$18)^38))</f>
        <v>8.56239580912729E-007</v>
      </c>
      <c r="AP89" s="29" t="n">
        <f aca="false">AO89*(1-MIN(1,INDEX(Tabla_Mortalidad!$B$5:$B$75,MIN(71,Cartera_Polizas!$B$91+39-49))*(1+(Cartera_Polizas!$P$91-1)*MAX(0,1-39/Supuestos!$C$20))*(1-Supuestos!$C$18)^39))</f>
        <v>2.36688053423408E-007</v>
      </c>
      <c r="AQ89" s="29" t="n">
        <f aca="false">AP89*(1-MIN(1,INDEX(Tabla_Mortalidad!$B$5:$B$75,MIN(71,Cartera_Polizas!$B$91+40-49))*(1+(Cartera_Polizas!$P$91-1)*MAX(0,1-40/Supuestos!$C$20))*(1-Supuestos!$C$18)^40))</f>
        <v>6.11998621373638E-008</v>
      </c>
      <c r="AR89" s="29" t="n">
        <f aca="false">AQ89*(1-MIN(1,INDEX(Tabla_Mortalidad!$B$5:$B$75,MIN(71,Cartera_Polizas!$B$91+41-49))*(1+(Cartera_Polizas!$P$91-1)*MAX(0,1-41/Supuestos!$C$20))*(1-Supuestos!$C$18)^41))</f>
        <v>1.49255542549578E-008</v>
      </c>
      <c r="AS89" s="29" t="n">
        <f aca="false">AR89*(1-MIN(1,INDEX(Tabla_Mortalidad!$B$5:$B$75,MIN(71,Cartera_Polizas!$B$91+42-49))*(1+(Cartera_Polizas!$P$91-1)*MAX(0,1-42/Supuestos!$C$20))*(1-Supuestos!$C$18)^42))</f>
        <v>3.46838724013625E-009</v>
      </c>
      <c r="AT89" s="29" t="n">
        <f aca="false">AS89*(1-MIN(1,INDEX(Tabla_Mortalidad!$B$5:$B$75,MIN(71,Cartera_Polizas!$B$91+43-49))*(1+(Cartera_Polizas!$P$91-1)*MAX(0,1-43/Supuestos!$C$20))*(1-Supuestos!$C$18)^43))</f>
        <v>6.72497425977408E-010</v>
      </c>
      <c r="AU89" s="29" t="n">
        <f aca="false">AT89*(1-MIN(1,INDEX(Tabla_Mortalidad!$B$5:$B$75,MIN(71,Cartera_Polizas!$B$91+44-49))*(1+(Cartera_Polizas!$P$91-1)*MAX(0,1-44/Supuestos!$C$20))*(1-Supuestos!$C$18)^44))</f>
        <v>1.33103341553291E-010</v>
      </c>
    </row>
    <row r="90" customFormat="false" ht="15" hidden="false" customHeight="false" outlineLevel="0" collapsed="false">
      <c r="A90" s="14" t="n">
        <f aca="false">Cartera_Polizas!A92</f>
        <v>87</v>
      </c>
      <c r="B90" s="26" t="n">
        <f aca="false">SUM(C90:AU90)+0.5</f>
        <v>4.94861966545098</v>
      </c>
      <c r="C90" s="29" t="n">
        <f aca="false">1-MIN(1,INDEX(Tabla_Mortalidad!$B$5:$B$75,MIN(71,Cartera_Polizas!$B$92+0-49))*(1+(Cartera_Polizas!$P$92-1)*MAX(0,1-0/Supuestos!$C$20))*(1-Supuestos!$C$18)^0)</f>
        <v>0.84949986</v>
      </c>
      <c r="D90" s="29" t="n">
        <f aca="false">C90*(1-MIN(1,INDEX(Tabla_Mortalidad!$B$5:$B$75,MIN(71,Cartera_Polizas!$B$92+1-49))*(1+(Cartera_Polizas!$P$92-1)*MAX(0,1-1/Supuestos!$C$20))*(1-Supuestos!$C$18)^1))</f>
        <v>0.713967401953751</v>
      </c>
      <c r="E90" s="29" t="n">
        <f aca="false">D90*(1-MIN(1,INDEX(Tabla_Mortalidad!$B$5:$B$75,MIN(71,Cartera_Polizas!$B$92+2-49))*(1+(Cartera_Polizas!$P$92-1)*MAX(0,1-2/Supuestos!$C$20))*(1-Supuestos!$C$18)^2))</f>
        <v>0.593496369693117</v>
      </c>
      <c r="F90" s="29" t="n">
        <f aca="false">E90*(1-MIN(1,INDEX(Tabla_Mortalidad!$B$5:$B$75,MIN(71,Cartera_Polizas!$B$92+3-49))*(1+(Cartera_Polizas!$P$92-1)*MAX(0,1-3/Supuestos!$C$20))*(1-Supuestos!$C$18)^3))</f>
        <v>0.487854170337803</v>
      </c>
      <c r="G90" s="29" t="n">
        <f aca="false">F90*(1-MIN(1,INDEX(Tabla_Mortalidad!$B$5:$B$75,MIN(71,Cartera_Polizas!$B$92+4-49))*(1+(Cartera_Polizas!$P$92-1)*MAX(0,1-4/Supuestos!$C$20))*(1-Supuestos!$C$18)^4))</f>
        <v>0.396508957609258</v>
      </c>
      <c r="H90" s="29" t="n">
        <f aca="false">G90*(1-MIN(1,INDEX(Tabla_Mortalidad!$B$5:$B$75,MIN(71,Cartera_Polizas!$B$92+5-49))*(1+(Cartera_Polizas!$P$92-1)*MAX(0,1-5/Supuestos!$C$20))*(1-Supuestos!$C$18)^5))</f>
        <v>0.318656352983851</v>
      </c>
      <c r="I90" s="29" t="n">
        <f aca="false">H90*(1-MIN(1,INDEX(Tabla_Mortalidad!$B$5:$B$75,MIN(71,Cartera_Polizas!$B$92+6-49))*(1+(Cartera_Polizas!$P$92-1)*MAX(0,1-6/Supuestos!$C$20))*(1-Supuestos!$C$18)^6))</f>
        <v>0.253275694516682</v>
      </c>
      <c r="J90" s="29" t="n">
        <f aca="false">I90*(1-MIN(1,INDEX(Tabla_Mortalidad!$B$5:$B$75,MIN(71,Cartera_Polizas!$B$92+7-49))*(1+(Cartera_Polizas!$P$92-1)*MAX(0,1-7/Supuestos!$C$20))*(1-Supuestos!$C$18)^7))</f>
        <v>0.199182896200301</v>
      </c>
      <c r="K90" s="29" t="n">
        <f aca="false">J90*(1-MIN(1,INDEX(Tabla_Mortalidad!$B$5:$B$75,MIN(71,Cartera_Polizas!$B$92+8-49))*(1+(Cartera_Polizas!$P$92-1)*MAX(0,1-8/Supuestos!$C$20))*(1-Supuestos!$C$18)^8))</f>
        <v>0.155094674013878</v>
      </c>
      <c r="L90" s="29" t="n">
        <f aca="false">K90*(1-MIN(1,INDEX(Tabla_Mortalidad!$B$5:$B$75,MIN(71,Cartera_Polizas!$B$92+9-49))*(1+(Cartera_Polizas!$P$92-1)*MAX(0,1-9/Supuestos!$C$20))*(1-Supuestos!$C$18)^9))</f>
        <v>0.11969063657049</v>
      </c>
      <c r="M90" s="29" t="n">
        <f aca="false">L90*(1-MIN(1,INDEX(Tabla_Mortalidad!$B$5:$B$75,MIN(71,Cartera_Polizas!$B$92+10-49))*(1+(Cartera_Polizas!$P$92-1)*MAX(0,1-10/Supuestos!$C$20))*(1-Supuestos!$C$18)^10))</f>
        <v>0.0916707393842971</v>
      </c>
      <c r="N90" s="29" t="n">
        <f aca="false">M90*(1-MIN(1,INDEX(Tabla_Mortalidad!$B$5:$B$75,MIN(71,Cartera_Polizas!$B$92+11-49))*(1+(Cartera_Polizas!$P$92-1)*MAX(0,1-11/Supuestos!$C$20))*(1-Supuestos!$C$18)^11))</f>
        <v>0.0698035170880574</v>
      </c>
      <c r="O90" s="29" t="n">
        <f aca="false">N90*(1-MIN(1,INDEX(Tabla_Mortalidad!$B$5:$B$75,MIN(71,Cartera_Polizas!$B$92+12-49))*(1+(Cartera_Polizas!$P$92-1)*MAX(0,1-12/Supuestos!$C$20))*(1-Supuestos!$C$18)^12))</f>
        <v>0.0529625491020796</v>
      </c>
      <c r="P90" s="29" t="n">
        <f aca="false">O90*(1-MIN(1,INDEX(Tabla_Mortalidad!$B$5:$B$75,MIN(71,Cartera_Polizas!$B$92+13-49))*(1+(Cartera_Polizas!$P$92-1)*MAX(0,1-13/Supuestos!$C$20))*(1-Supuestos!$C$18)^13))</f>
        <v>0.0401509949382008</v>
      </c>
      <c r="Q90" s="29" t="n">
        <f aca="false">P90*(1-MIN(1,INDEX(Tabla_Mortalidad!$B$5:$B$75,MIN(71,Cartera_Polizas!$B$92+14-49))*(1+(Cartera_Polizas!$P$92-1)*MAX(0,1-14/Supuestos!$C$20))*(1-Supuestos!$C$18)^14))</f>
        <v>0.0305131631534539</v>
      </c>
      <c r="R90" s="29" t="n">
        <f aca="false">Q90*(1-MIN(1,INDEX(Tabla_Mortalidad!$B$5:$B$75,MIN(71,Cartera_Polizas!$B$92+15-49))*(1+(Cartera_Polizas!$P$92-1)*MAX(0,1-15/Supuestos!$C$20))*(1-Supuestos!$C$18)^15))</f>
        <v>0.0233351949715353</v>
      </c>
      <c r="S90" s="29" t="n">
        <f aca="false">R90*(1-MIN(1,INDEX(Tabla_Mortalidad!$B$5:$B$75,MIN(71,Cartera_Polizas!$B$92+16-49))*(1+(Cartera_Polizas!$P$92-1)*MAX(0,1-16/Supuestos!$C$20))*(1-Supuestos!$C$18)^16))</f>
        <v>0.0173356732643954</v>
      </c>
      <c r="T90" s="29" t="n">
        <f aca="false">S90*(1-MIN(1,INDEX(Tabla_Mortalidad!$B$5:$B$75,MIN(71,Cartera_Polizas!$B$92+17-49))*(1+(Cartera_Polizas!$P$92-1)*MAX(0,1-17/Supuestos!$C$20))*(1-Supuestos!$C$18)^17))</f>
        <v>0.012473052822397</v>
      </c>
      <c r="U90" s="29" t="n">
        <f aca="false">T90*(1-MIN(1,INDEX(Tabla_Mortalidad!$B$5:$B$75,MIN(71,Cartera_Polizas!$B$92+18-49))*(1+(Cartera_Polizas!$P$92-1)*MAX(0,1-18/Supuestos!$C$20))*(1-Supuestos!$C$18)^18))</f>
        <v>0.00866339810029274</v>
      </c>
      <c r="V90" s="29" t="n">
        <f aca="false">U90*(1-MIN(1,INDEX(Tabla_Mortalidad!$B$5:$B$75,MIN(71,Cartera_Polizas!$B$92+19-49))*(1+(Cartera_Polizas!$P$92-1)*MAX(0,1-19/Supuestos!$C$20))*(1-Supuestos!$C$18)^19))</f>
        <v>0.00578826639629448</v>
      </c>
      <c r="W90" s="29" t="n">
        <f aca="false">V90*(1-MIN(1,INDEX(Tabla_Mortalidad!$B$5:$B$75,MIN(71,Cartera_Polizas!$B$92+20-49))*(1+(Cartera_Polizas!$P$92-1)*MAX(0,1-20/Supuestos!$C$20))*(1-Supuestos!$C$18)^20))</f>
        <v>0.00370588508986578</v>
      </c>
      <c r="X90" s="29" t="n">
        <f aca="false">W90*(1-MIN(1,INDEX(Tabla_Mortalidad!$B$5:$B$75,MIN(71,Cartera_Polizas!$B$92+21-49))*(1+(Cartera_Polizas!$P$92-1)*MAX(0,1-21/Supuestos!$C$20))*(1-Supuestos!$C$18)^21))</f>
        <v>0.00226430993071853</v>
      </c>
      <c r="Y90" s="29" t="n">
        <f aca="false">X90*(1-MIN(1,INDEX(Tabla_Mortalidad!$B$5:$B$75,MIN(71,Cartera_Polizas!$B$92+22-49))*(1+(Cartera_Polizas!$P$92-1)*MAX(0,1-22/Supuestos!$C$20))*(1-Supuestos!$C$18)^22))</f>
        <v>0.00131456955937436</v>
      </c>
      <c r="Z90" s="29" t="n">
        <f aca="false">Y90*(1-MIN(1,INDEX(Tabla_Mortalidad!$B$5:$B$75,MIN(71,Cartera_Polizas!$B$92+23-49))*(1+(Cartera_Polizas!$P$92-1)*MAX(0,1-23/Supuestos!$C$20))*(1-Supuestos!$C$18)^23))</f>
        <v>0.000721834448059939</v>
      </c>
      <c r="AA90" s="29" t="n">
        <f aca="false">Z90*(1-MIN(1,INDEX(Tabla_Mortalidad!$B$5:$B$75,MIN(71,Cartera_Polizas!$B$92+24-49))*(1+(Cartera_Polizas!$P$92-1)*MAX(0,1-24/Supuestos!$C$20))*(1-Supuestos!$C$18)^24))</f>
        <v>0.000373097479167942</v>
      </c>
      <c r="AB90" s="29" t="n">
        <f aca="false">AA90*(1-MIN(1,INDEX(Tabla_Mortalidad!$B$5:$B$75,MIN(71,Cartera_Polizas!$B$92+25-49))*(1+(Cartera_Polizas!$P$92-1)*MAX(0,1-25/Supuestos!$C$20))*(1-Supuestos!$C$18)^25))</f>
        <v>0.000180642365030802</v>
      </c>
      <c r="AC90" s="29" t="n">
        <f aca="false">AB90*(1-MIN(1,INDEX(Tabla_Mortalidad!$B$5:$B$75,MIN(71,Cartera_Polizas!$B$92+26-49))*(1+(Cartera_Polizas!$P$92-1)*MAX(0,1-26/Supuestos!$C$20))*(1-Supuestos!$C$18)^26))</f>
        <v>8.15307068977918E-005</v>
      </c>
      <c r="AD90" s="29" t="n">
        <f aca="false">AC90*(1-MIN(1,INDEX(Tabla_Mortalidad!$B$5:$B$75,MIN(71,Cartera_Polizas!$B$92+27-49))*(1+(Cartera_Polizas!$P$92-1)*MAX(0,1-27/Supuestos!$C$20))*(1-Supuestos!$C$18)^27))</f>
        <v>3.41432851252592E-005</v>
      </c>
      <c r="AE90" s="29" t="n">
        <f aca="false">AD90*(1-MIN(1,INDEX(Tabla_Mortalidad!$B$5:$B$75,MIN(71,Cartera_Polizas!$B$92+28-49))*(1+(Cartera_Polizas!$P$92-1)*MAX(0,1-28/Supuestos!$C$20))*(1-Supuestos!$C$18)^28))</f>
        <v>1.32109440071791E-005</v>
      </c>
      <c r="AF90" s="29" t="n">
        <f aca="false">AE90*(1-MIN(1,INDEX(Tabla_Mortalidad!$B$5:$B$75,MIN(71,Cartera_Polizas!$B$92+29-49))*(1+(Cartera_Polizas!$P$92-1)*MAX(0,1-29/Supuestos!$C$20))*(1-Supuestos!$C$18)^29))</f>
        <v>4.70635536874848E-006</v>
      </c>
      <c r="AG90" s="29" t="n">
        <f aca="false">AF90*(1-MIN(1,INDEX(Tabla_Mortalidad!$B$5:$B$75,MIN(71,Cartera_Polizas!$B$92+30-49))*(1+(Cartera_Polizas!$P$92-1)*MAX(0,1-30/Supuestos!$C$20))*(1-Supuestos!$C$18)^30))</f>
        <v>1.53997716020262E-006</v>
      </c>
      <c r="AH90" s="29" t="n">
        <f aca="false">AG90*(1-MIN(1,INDEX(Tabla_Mortalidad!$B$5:$B$75,MIN(71,Cartera_Polizas!$B$92+31-49))*(1+(Cartera_Polizas!$P$92-1)*MAX(0,1-31/Supuestos!$C$20))*(1-Supuestos!$C$18)^31))</f>
        <v>4.62424803277739E-007</v>
      </c>
      <c r="AI90" s="29" t="n">
        <f aca="false">AH90*(1-MIN(1,INDEX(Tabla_Mortalidad!$B$5:$B$75,MIN(71,Cartera_Polizas!$B$92+32-49))*(1+(Cartera_Polizas!$P$92-1)*MAX(0,1-32/Supuestos!$C$20))*(1-Supuestos!$C$18)^32))</f>
        <v>1.27569344178686E-007</v>
      </c>
      <c r="AJ90" s="29" t="n">
        <f aca="false">AI90*(1-MIN(1,INDEX(Tabla_Mortalidad!$B$5:$B$75,MIN(71,Cartera_Polizas!$B$92+33-49))*(1+(Cartera_Polizas!$P$92-1)*MAX(0,1-33/Supuestos!$C$20))*(1-Supuestos!$C$18)^33))</f>
        <v>3.24453734505076E-008</v>
      </c>
      <c r="AK90" s="29" t="n">
        <f aca="false">AJ90*(1-MIN(1,INDEX(Tabla_Mortalidad!$B$5:$B$75,MIN(71,Cartera_Polizas!$B$92+34-49))*(1+(Cartera_Polizas!$P$92-1)*MAX(0,1-34/Supuestos!$C$20))*(1-Supuestos!$C$18)^34))</f>
        <v>7.6548411086628E-009</v>
      </c>
      <c r="AL90" s="29" t="n">
        <f aca="false">AK90*(1-MIN(1,INDEX(Tabla_Mortalidad!$B$5:$B$75,MIN(71,Cartera_Polizas!$B$92+35-49))*(1+(Cartera_Polizas!$P$92-1)*MAX(0,1-35/Supuestos!$C$20))*(1-Supuestos!$C$18)^35))</f>
        <v>1.69016062957485E-009</v>
      </c>
      <c r="AM90" s="29" t="n">
        <f aca="false">AL90*(1-MIN(1,INDEX(Tabla_Mortalidad!$B$5:$B$75,MIN(71,Cartera_Polizas!$B$92+36-49))*(1+(Cartera_Polizas!$P$92-1)*MAX(0,1-36/Supuestos!$C$20))*(1-Supuestos!$C$18)^36))</f>
        <v>3.53145649654352E-010</v>
      </c>
      <c r="AN90" s="29" t="n">
        <f aca="false">AM90*(1-MIN(1,INDEX(Tabla_Mortalidad!$B$5:$B$75,MIN(71,Cartera_Polizas!$B$92+37-49))*(1+(Cartera_Polizas!$P$92-1)*MAX(0,1-37/Supuestos!$C$20))*(1-Supuestos!$C$18)^37))</f>
        <v>5.97809541394246E-011</v>
      </c>
      <c r="AO90" s="29" t="n">
        <f aca="false">AN90*(1-MIN(1,INDEX(Tabla_Mortalidad!$B$5:$B$75,MIN(71,Cartera_Polizas!$B$92+38-49))*(1+(Cartera_Polizas!$P$92-1)*MAX(0,1-38/Supuestos!$C$20))*(1-Supuestos!$C$18)^38))</f>
        <v>1.03681033263392E-011</v>
      </c>
      <c r="AP90" s="29" t="n">
        <f aca="false">AO90*(1-MIN(1,INDEX(Tabla_Mortalidad!$B$5:$B$75,MIN(71,Cartera_Polizas!$B$92+39-49))*(1+(Cartera_Polizas!$P$92-1)*MAX(0,1-39/Supuestos!$C$20))*(1-Supuestos!$C$18)^39))</f>
        <v>1.84104044313771E-012</v>
      </c>
      <c r="AQ90" s="29" t="n">
        <f aca="false">AP90*(1-MIN(1,INDEX(Tabla_Mortalidad!$B$5:$B$75,MIN(71,Cartera_Polizas!$B$92+40-49))*(1+(Cartera_Polizas!$P$92-1)*MAX(0,1-40/Supuestos!$C$20))*(1-Supuestos!$C$18)^40))</f>
        <v>3.34480004901621E-013</v>
      </c>
      <c r="AR90" s="29" t="n">
        <f aca="false">AQ90*(1-MIN(1,INDEX(Tabla_Mortalidad!$B$5:$B$75,MIN(71,Cartera_Polizas!$B$92+41-49))*(1+(Cartera_Polizas!$P$92-1)*MAX(0,1-41/Supuestos!$C$20))*(1-Supuestos!$C$18)^41))</f>
        <v>6.21368454013155E-014</v>
      </c>
      <c r="AS90" s="29" t="n">
        <f aca="false">AR90*(1-MIN(1,INDEX(Tabla_Mortalidad!$B$5:$B$75,MIN(71,Cartera_Polizas!$B$92+42-49))*(1+(Cartera_Polizas!$P$92-1)*MAX(0,1-42/Supuestos!$C$20))*(1-Supuestos!$C$18)^42))</f>
        <v>1.17962216652603E-014</v>
      </c>
      <c r="AT90" s="29" t="n">
        <f aca="false">AS90*(1-MIN(1,INDEX(Tabla_Mortalidad!$B$5:$B$75,MIN(71,Cartera_Polizas!$B$92+43-49))*(1+(Cartera_Polizas!$P$92-1)*MAX(0,1-43/Supuestos!$C$20))*(1-Supuestos!$C$18)^43))</f>
        <v>2.28720963286523E-015</v>
      </c>
      <c r="AU90" s="29" t="n">
        <f aca="false">AT90*(1-MIN(1,INDEX(Tabla_Mortalidad!$B$5:$B$75,MIN(71,Cartera_Polizas!$B$92+44-49))*(1+(Cartera_Polizas!$P$92-1)*MAX(0,1-44/Supuestos!$C$20))*(1-Supuestos!$C$18)^44))</f>
        <v>4.52693546781641E-016</v>
      </c>
    </row>
    <row r="91" customFormat="false" ht="15" hidden="false" customHeight="false" outlineLevel="0" collapsed="false">
      <c r="A91" s="14" t="n">
        <f aca="false">Cartera_Polizas!A93</f>
        <v>88</v>
      </c>
      <c r="B91" s="26" t="n">
        <f aca="false">SUM(C91:AU91)+0.5</f>
        <v>8.07218027340954</v>
      </c>
      <c r="C91" s="29" t="n">
        <f aca="false">1-MIN(1,INDEX(Tabla_Mortalidad!$B$5:$B$75,MIN(71,Cartera_Polizas!$B$93+0-49))*(1+(Cartera_Polizas!$P$93-1)*MAX(0,1-0/Supuestos!$C$20))*(1-Supuestos!$C$18)^0)</f>
        <v>0.926296568</v>
      </c>
      <c r="D91" s="29" t="n">
        <f aca="false">C91*(1-MIN(1,INDEX(Tabla_Mortalidad!$B$5:$B$75,MIN(71,Cartera_Polizas!$B$93+1-49))*(1+(Cartera_Polizas!$P$93-1)*MAX(0,1-1/Supuestos!$C$20))*(1-Supuestos!$C$18)^1))</f>
        <v>0.852691151157256</v>
      </c>
      <c r="E91" s="29" t="n">
        <f aca="false">D91*(1-MIN(1,INDEX(Tabla_Mortalidad!$B$5:$B$75,MIN(71,Cartera_Polizas!$B$93+2-49))*(1+(Cartera_Polizas!$P$93-1)*MAX(0,1-2/Supuestos!$C$20))*(1-Supuestos!$C$18)^2))</f>
        <v>0.779716925958809</v>
      </c>
      <c r="F91" s="29" t="n">
        <f aca="false">E91*(1-MIN(1,INDEX(Tabla_Mortalidad!$B$5:$B$75,MIN(71,Cartera_Polizas!$B$93+3-49))*(1+(Cartera_Polizas!$P$93-1)*MAX(0,1-3/Supuestos!$C$20))*(1-Supuestos!$C$18)^3))</f>
        <v>0.70793225637076</v>
      </c>
      <c r="G91" s="29" t="n">
        <f aca="false">F91*(1-MIN(1,INDEX(Tabla_Mortalidad!$B$5:$B$75,MIN(71,Cartera_Polizas!$B$93+4-49))*(1+(Cartera_Polizas!$P$93-1)*MAX(0,1-4/Supuestos!$C$20))*(1-Supuestos!$C$18)^4))</f>
        <v>0.637904390453646</v>
      </c>
      <c r="H91" s="29" t="n">
        <f aca="false">G91*(1-MIN(1,INDEX(Tabla_Mortalidad!$B$5:$B$75,MIN(71,Cartera_Polizas!$B$93+5-49))*(1+(Cartera_Polizas!$P$93-1)*MAX(0,1-5/Supuestos!$C$20))*(1-Supuestos!$C$18)^5))</f>
        <v>0.570194015519472</v>
      </c>
      <c r="I91" s="29" t="n">
        <f aca="false">H91*(1-MIN(1,INDEX(Tabla_Mortalidad!$B$5:$B$75,MIN(71,Cartera_Polizas!$B$93+6-49))*(1+(Cartera_Polizas!$P$93-1)*MAX(0,1-6/Supuestos!$C$20))*(1-Supuestos!$C$18)^6))</f>
        <v>0.505342818382814</v>
      </c>
      <c r="J91" s="29" t="n">
        <f aca="false">I91*(1-MIN(1,INDEX(Tabla_Mortalidad!$B$5:$B$75,MIN(71,Cartera_Polizas!$B$93+7-49))*(1+(Cartera_Polizas!$P$93-1)*MAX(0,1-7/Supuestos!$C$20))*(1-Supuestos!$C$18)^7))</f>
        <v>0.443850574274839</v>
      </c>
      <c r="K91" s="29" t="n">
        <f aca="false">J91*(1-MIN(1,INDEX(Tabla_Mortalidad!$B$5:$B$75,MIN(71,Cartera_Polizas!$B$93+8-49))*(1+(Cartera_Polizas!$P$93-1)*MAX(0,1-8/Supuestos!$C$20))*(1-Supuestos!$C$18)^8))</f>
        <v>0.386162791546786</v>
      </c>
      <c r="L91" s="29" t="n">
        <f aca="false">K91*(1-MIN(1,INDEX(Tabla_Mortalidad!$B$5:$B$75,MIN(71,Cartera_Polizas!$B$93+9-49))*(1+(Cartera_Polizas!$P$93-1)*MAX(0,1-9/Supuestos!$C$20))*(1-Supuestos!$C$18)^9))</f>
        <v>0.332650895691141</v>
      </c>
      <c r="M91" s="29" t="n">
        <f aca="false">L91*(1-MIN(1,INDEX(Tabla_Mortalidad!$B$5:$B$75,MIN(71,Cartera_Polizas!$B$93+10-49))*(1+(Cartera_Polizas!$P$93-1)*MAX(0,1-10/Supuestos!$C$20))*(1-Supuestos!$C$18)^10))</f>
        <v>0.28359918917086</v>
      </c>
      <c r="N91" s="29" t="n">
        <f aca="false">M91*(1-MIN(1,INDEX(Tabla_Mortalidad!$B$5:$B$75,MIN(71,Cartera_Polizas!$B$93+11-49))*(1+(Cartera_Polizas!$P$93-1)*MAX(0,1-11/Supuestos!$C$20))*(1-Supuestos!$C$18)^11))</f>
        <v>0.239193872841741</v>
      </c>
      <c r="O91" s="29" t="n">
        <f aca="false">N91*(1-MIN(1,INDEX(Tabla_Mortalidad!$B$5:$B$75,MIN(71,Cartera_Polizas!$B$93+12-49))*(1+(Cartera_Polizas!$P$93-1)*MAX(0,1-12/Supuestos!$C$20))*(1-Supuestos!$C$18)^12))</f>
        <v>0.199516809204757</v>
      </c>
      <c r="P91" s="29" t="n">
        <f aca="false">O91*(1-MIN(1,INDEX(Tabla_Mortalidad!$B$5:$B$75,MIN(71,Cartera_Polizas!$B$93+13-49))*(1+(Cartera_Polizas!$P$93-1)*MAX(0,1-13/Supuestos!$C$20))*(1-Supuestos!$C$18)^13))</f>
        <v>0.164544075838047</v>
      </c>
      <c r="Q91" s="29" t="n">
        <f aca="false">P91*(1-MIN(1,INDEX(Tabla_Mortalidad!$B$5:$B$75,MIN(71,Cartera_Polizas!$B$93+14-49))*(1+(Cartera_Polizas!$P$93-1)*MAX(0,1-14/Supuestos!$C$20))*(1-Supuestos!$C$18)^14))</f>
        <v>0.13414950804608</v>
      </c>
      <c r="R91" s="29" t="n">
        <f aca="false">Q91*(1-MIN(1,INDEX(Tabla_Mortalidad!$B$5:$B$75,MIN(71,Cartera_Polizas!$B$93+15-49))*(1+(Cartera_Polizas!$P$93-1)*MAX(0,1-15/Supuestos!$C$20))*(1-Supuestos!$C$18)^15))</f>
        <v>0.108114781316278</v>
      </c>
      <c r="S91" s="29" t="n">
        <f aca="false">R91*(1-MIN(1,INDEX(Tabla_Mortalidad!$B$5:$B$75,MIN(71,Cartera_Polizas!$B$93+16-49))*(1+(Cartera_Polizas!$P$93-1)*MAX(0,1-16/Supuestos!$C$20))*(1-Supuestos!$C$18)^16))</f>
        <v>0.0851130199736765</v>
      </c>
      <c r="T91" s="29" t="n">
        <f aca="false">S91*(1-MIN(1,INDEX(Tabla_Mortalidad!$B$5:$B$75,MIN(71,Cartera_Polizas!$B$93+17-49))*(1+(Cartera_Polizas!$P$93-1)*MAX(0,1-17/Supuestos!$C$20))*(1-Supuestos!$C$18)^17))</f>
        <v>0.0652906097513216</v>
      </c>
      <c r="U91" s="29" t="n">
        <f aca="false">T91*(1-MIN(1,INDEX(Tabla_Mortalidad!$B$5:$B$75,MIN(71,Cartera_Polizas!$B$93+18-49))*(1+(Cartera_Polizas!$P$93-1)*MAX(0,1-18/Supuestos!$C$20))*(1-Supuestos!$C$18)^18))</f>
        <v>0.0486717171534877</v>
      </c>
      <c r="V91" s="29" t="n">
        <f aca="false">U91*(1-MIN(1,INDEX(Tabla_Mortalidad!$B$5:$B$75,MIN(71,Cartera_Polizas!$B$93+19-49))*(1+(Cartera_Polizas!$P$93-1)*MAX(0,1-19/Supuestos!$C$20))*(1-Supuestos!$C$18)^19))</f>
        <v>0.0351555831598146</v>
      </c>
      <c r="W91" s="29" t="n">
        <f aca="false">V91*(1-MIN(1,INDEX(Tabla_Mortalidad!$B$5:$B$75,MIN(71,Cartera_Polizas!$B$93+20-49))*(1+(Cartera_Polizas!$P$93-1)*MAX(0,1-20/Supuestos!$C$20))*(1-Supuestos!$C$18)^20))</f>
        <v>0.0245250921955712</v>
      </c>
      <c r="X91" s="29" t="n">
        <f aca="false">W91*(1-MIN(1,INDEX(Tabla_Mortalidad!$B$5:$B$75,MIN(71,Cartera_Polizas!$B$93+21-49))*(1+(Cartera_Polizas!$P$93-1)*MAX(0,1-21/Supuestos!$C$20))*(1-Supuestos!$C$18)^21))</f>
        <v>0.0164671103935793</v>
      </c>
      <c r="Y91" s="29" t="n">
        <f aca="false">X91*(1-MIN(1,INDEX(Tabla_Mortalidad!$B$5:$B$75,MIN(71,Cartera_Polizas!$B$93+22-49))*(1+(Cartera_Polizas!$P$93-1)*MAX(0,1-22/Supuestos!$C$20))*(1-Supuestos!$C$18)^22))</f>
        <v>0.0106020119734812</v>
      </c>
      <c r="Z91" s="29" t="n">
        <f aca="false">Y91*(1-MIN(1,INDEX(Tabla_Mortalidad!$B$5:$B$75,MIN(71,Cartera_Polizas!$B$93+23-49))*(1+(Cartera_Polizas!$P$93-1)*MAX(0,1-23/Supuestos!$C$20))*(1-Supuestos!$C$18)^23))</f>
        <v>0.00651900808912486</v>
      </c>
      <c r="AA91" s="29" t="n">
        <f aca="false">Z91*(1-MIN(1,INDEX(Tabla_Mortalidad!$B$5:$B$75,MIN(71,Cartera_Polizas!$B$93+24-49))*(1+(Cartera_Polizas!$P$93-1)*MAX(0,1-24/Supuestos!$C$20))*(1-Supuestos!$C$18)^24))</f>
        <v>0.00381195539607261</v>
      </c>
      <c r="AB91" s="29" t="n">
        <f aca="false">AA91*(1-MIN(1,INDEX(Tabla_Mortalidad!$B$5:$B$75,MIN(71,Cartera_Polizas!$B$93+25-49))*(1+(Cartera_Polizas!$P$93-1)*MAX(0,1-25/Supuestos!$C$20))*(1-Supuestos!$C$18)^25))</f>
        <v>0.0021103021978833</v>
      </c>
      <c r="AC91" s="29" t="n">
        <f aca="false">AB91*(1-MIN(1,INDEX(Tabla_Mortalidad!$B$5:$B$75,MIN(71,Cartera_Polizas!$B$93+26-49))*(1+(Cartera_Polizas!$P$93-1)*MAX(0,1-26/Supuestos!$C$20))*(1-Supuestos!$C$18)^26))</f>
        <v>0.00110093032808044</v>
      </c>
      <c r="AD91" s="29" t="n">
        <f aca="false">AC91*(1-MIN(1,INDEX(Tabla_Mortalidad!$B$5:$B$75,MIN(71,Cartera_Polizas!$B$93+27-49))*(1+(Cartera_Polizas!$P$93-1)*MAX(0,1-27/Supuestos!$C$20))*(1-Supuestos!$C$18)^27))</f>
        <v>0.000538701463152463</v>
      </c>
      <c r="AE91" s="29" t="n">
        <f aca="false">AD91*(1-MIN(1,INDEX(Tabla_Mortalidad!$B$5:$B$75,MIN(71,Cartera_Polizas!$B$93+28-49))*(1+(Cartera_Polizas!$P$93-1)*MAX(0,1-28/Supuestos!$C$20))*(1-Supuestos!$C$18)^28))</f>
        <v>0.000246084534227345</v>
      </c>
      <c r="AF91" s="29" t="n">
        <f aca="false">AE91*(1-MIN(1,INDEX(Tabla_Mortalidad!$B$5:$B$75,MIN(71,Cartera_Polizas!$B$93+29-49))*(1+(Cartera_Polizas!$P$93-1)*MAX(0,1-29/Supuestos!$C$20))*(1-Supuestos!$C$18)^29))</f>
        <v>0.000104481566817281</v>
      </c>
      <c r="AG91" s="29" t="n">
        <f aca="false">AF91*(1-MIN(1,INDEX(Tabla_Mortalidad!$B$5:$B$75,MIN(71,Cartera_Polizas!$B$93+30-49))*(1+(Cartera_Polizas!$P$93-1)*MAX(0,1-30/Supuestos!$C$20))*(1-Supuestos!$C$18)^30))</f>
        <v>4.10656410400569E-005</v>
      </c>
      <c r="AH91" s="29" t="n">
        <f aca="false">AG91*(1-MIN(1,INDEX(Tabla_Mortalidad!$B$5:$B$75,MIN(71,Cartera_Polizas!$B$93+31-49))*(1+(Cartera_Polizas!$P$93-1)*MAX(0,1-31/Supuestos!$C$20))*(1-Supuestos!$C$18)^31))</f>
        <v>1.48932001192069E-005</v>
      </c>
      <c r="AI91" s="29" t="n">
        <f aca="false">AH91*(1-MIN(1,INDEX(Tabla_Mortalidad!$B$5:$B$75,MIN(71,Cartera_Polizas!$B$93+32-49))*(1+(Cartera_Polizas!$P$93-1)*MAX(0,1-32/Supuestos!$C$20))*(1-Supuestos!$C$18)^32))</f>
        <v>4.97318674379057E-006</v>
      </c>
      <c r="AJ91" s="29" t="n">
        <f aca="false">AI91*(1-MIN(1,INDEX(Tabla_Mortalidad!$B$5:$B$75,MIN(71,Cartera_Polizas!$B$93+33-49))*(1+(Cartera_Polizas!$P$93-1)*MAX(0,1-33/Supuestos!$C$20))*(1-Supuestos!$C$18)^33))</f>
        <v>1.52806137760884E-006</v>
      </c>
      <c r="AK91" s="29" t="n">
        <f aca="false">AJ91*(1-MIN(1,INDEX(Tabla_Mortalidad!$B$5:$B$75,MIN(71,Cartera_Polizas!$B$93+34-49))*(1+(Cartera_Polizas!$P$93-1)*MAX(0,1-34/Supuestos!$C$20))*(1-Supuestos!$C$18)^34))</f>
        <v>4.32584479330249E-007</v>
      </c>
      <c r="AL91" s="29" t="n">
        <f aca="false">AK91*(1-MIN(1,INDEX(Tabla_Mortalidad!$B$5:$B$75,MIN(71,Cartera_Polizas!$B$93+35-49))*(1+(Cartera_Polizas!$P$93-1)*MAX(0,1-35/Supuestos!$C$20))*(1-Supuestos!$C$18)^35))</f>
        <v>1.13239022105406E-007</v>
      </c>
      <c r="AM91" s="29" t="n">
        <f aca="false">AL91*(1-MIN(1,INDEX(Tabla_Mortalidad!$B$5:$B$75,MIN(71,Cartera_Polizas!$B$93+36-49))*(1+(Cartera_Polizas!$P$93-1)*MAX(0,1-36/Supuestos!$C$20))*(1-Supuestos!$C$18)^36))</f>
        <v>2.75795591593313E-008</v>
      </c>
      <c r="AN91" s="29" t="n">
        <f aca="false">AM91*(1-MIN(1,INDEX(Tabla_Mortalidad!$B$5:$B$75,MIN(71,Cartera_Polizas!$B$93+37-49))*(1+(Cartera_Polizas!$P$93-1)*MAX(0,1-37/Supuestos!$C$20))*(1-Supuestos!$C$18)^37))</f>
        <v>6.30382843838065E-009</v>
      </c>
      <c r="AO91" s="29" t="n">
        <f aca="false">AN91*(1-MIN(1,INDEX(Tabla_Mortalidad!$B$5:$B$75,MIN(71,Cartera_Polizas!$B$93+38-49))*(1+(Cartera_Polizas!$P$93-1)*MAX(0,1-38/Supuestos!$C$20))*(1-Supuestos!$C$18)^38))</f>
        <v>1.36687718993073E-009</v>
      </c>
      <c r="AP91" s="29" t="n">
        <f aca="false">AO91*(1-MIN(1,INDEX(Tabla_Mortalidad!$B$5:$B$75,MIN(71,Cartera_Polizas!$B$93+39-49))*(1+(Cartera_Polizas!$P$93-1)*MAX(0,1-39/Supuestos!$C$20))*(1-Supuestos!$C$18)^39))</f>
        <v>2.42713262807868E-010</v>
      </c>
      <c r="AQ91" s="29" t="n">
        <f aca="false">AP91*(1-MIN(1,INDEX(Tabla_Mortalidad!$B$5:$B$75,MIN(71,Cartera_Polizas!$B$93+40-49))*(1+(Cartera_Polizas!$P$93-1)*MAX(0,1-40/Supuestos!$C$20))*(1-Supuestos!$C$18)^40))</f>
        <v>4.40961162131254E-011</v>
      </c>
      <c r="AR91" s="29" t="n">
        <f aca="false">AQ91*(1-MIN(1,INDEX(Tabla_Mortalidad!$B$5:$B$75,MIN(71,Cartera_Polizas!$B$93+41-49))*(1+(Cartera_Polizas!$P$93-1)*MAX(0,1-41/Supuestos!$C$20))*(1-Supuestos!$C$18)^41))</f>
        <v>8.19180075275148E-012</v>
      </c>
      <c r="AS91" s="29" t="n">
        <f aca="false">AR91*(1-MIN(1,INDEX(Tabla_Mortalidad!$B$5:$B$75,MIN(71,Cartera_Polizas!$B$93+42-49))*(1+(Cartera_Polizas!$P$93-1)*MAX(0,1-42/Supuestos!$C$20))*(1-Supuestos!$C$18)^42))</f>
        <v>1.55515293531552E-012</v>
      </c>
      <c r="AT91" s="29" t="n">
        <f aca="false">AS91*(1-MIN(1,INDEX(Tabla_Mortalidad!$B$5:$B$75,MIN(71,Cartera_Polizas!$B$93+43-49))*(1+(Cartera_Polizas!$P$93-1)*MAX(0,1-43/Supuestos!$C$20))*(1-Supuestos!$C$18)^43))</f>
        <v>3.01533904259149E-013</v>
      </c>
      <c r="AU91" s="29" t="n">
        <f aca="false">AT91*(1-MIN(1,INDEX(Tabla_Mortalidad!$B$5:$B$75,MIN(71,Cartera_Polizas!$B$93+44-49))*(1+(Cartera_Polizas!$P$93-1)*MAX(0,1-44/Supuestos!$C$20))*(1-Supuestos!$C$18)^44))</f>
        <v>5.96807789861356E-014</v>
      </c>
    </row>
    <row r="92" customFormat="false" ht="15" hidden="false" customHeight="false" outlineLevel="0" collapsed="false">
      <c r="A92" s="14" t="n">
        <f aca="false">Cartera_Polizas!A94</f>
        <v>89</v>
      </c>
      <c r="B92" s="26" t="n">
        <f aca="false">SUM(C92:AU92)+0.5</f>
        <v>4.90041622314924</v>
      </c>
      <c r="C92" s="29" t="n">
        <f aca="false">1-MIN(1,INDEX(Tabla_Mortalidad!$B$5:$B$75,MIN(71,Cartera_Polizas!$B$94+0-49))*(1+(Cartera_Polizas!$P$94-1)*MAX(0,1-0/Supuestos!$C$20))*(1-Supuestos!$C$18)^0)</f>
        <v>0.86405188</v>
      </c>
      <c r="D92" s="29" t="n">
        <f aca="false">C92*(1-MIN(1,INDEX(Tabla_Mortalidad!$B$5:$B$75,MIN(71,Cartera_Polizas!$B$94+1-49))*(1+(Cartera_Polizas!$P$94-1)*MAX(0,1-1/Supuestos!$C$20))*(1-Supuestos!$C$18)^1))</f>
        <v>0.736484507805135</v>
      </c>
      <c r="E92" s="29" t="n">
        <f aca="false">D92*(1-MIN(1,INDEX(Tabla_Mortalidad!$B$5:$B$75,MIN(71,Cartera_Polizas!$B$94+2-49))*(1+(Cartera_Polizas!$P$94-1)*MAX(0,1-2/Supuestos!$C$20))*(1-Supuestos!$C$18)^2))</f>
        <v>0.618515691516039</v>
      </c>
      <c r="F92" s="29" t="n">
        <f aca="false">E92*(1-MIN(1,INDEX(Tabla_Mortalidad!$B$5:$B$75,MIN(71,Cartera_Polizas!$B$94+3-49))*(1+(Cartera_Polizas!$P$94-1)*MAX(0,1-3/Supuestos!$C$20))*(1-Supuestos!$C$18)^3))</f>
        <v>0.51114191499544</v>
      </c>
      <c r="G92" s="29" t="n">
        <f aca="false">F92*(1-MIN(1,INDEX(Tabla_Mortalidad!$B$5:$B$75,MIN(71,Cartera_Polizas!$B$94+4-49))*(1+(Cartera_Polizas!$P$94-1)*MAX(0,1-4/Supuestos!$C$20))*(1-Supuestos!$C$18)^4))</f>
        <v>0.415084735897886</v>
      </c>
      <c r="H92" s="29" t="n">
        <f aca="false">G92*(1-MIN(1,INDEX(Tabla_Mortalidad!$B$5:$B$75,MIN(71,Cartera_Polizas!$B$94+5-49))*(1+(Cartera_Polizas!$P$94-1)*MAX(0,1-5/Supuestos!$C$20))*(1-Supuestos!$C$18)^5))</f>
        <v>0.330748301137849</v>
      </c>
      <c r="I92" s="29" t="n">
        <f aca="false">H92*(1-MIN(1,INDEX(Tabla_Mortalidad!$B$5:$B$75,MIN(71,Cartera_Polizas!$B$94+6-49))*(1+(Cartera_Polizas!$P$94-1)*MAX(0,1-6/Supuestos!$C$20))*(1-Supuestos!$C$18)^6))</f>
        <v>0.258192893073848</v>
      </c>
      <c r="J92" s="29" t="n">
        <f aca="false">I92*(1-MIN(1,INDEX(Tabla_Mortalidad!$B$5:$B$75,MIN(71,Cartera_Polizas!$B$94+7-49))*(1+(Cartera_Polizas!$P$94-1)*MAX(0,1-7/Supuestos!$C$20))*(1-Supuestos!$C$18)^7))</f>
        <v>0.197132888912188</v>
      </c>
      <c r="K92" s="29" t="n">
        <f aca="false">J92*(1-MIN(1,INDEX(Tabla_Mortalidad!$B$5:$B$75,MIN(71,Cartera_Polizas!$B$94+8-49))*(1+(Cartera_Polizas!$P$94-1)*MAX(0,1-8/Supuestos!$C$20))*(1-Supuestos!$C$18)^8))</f>
        <v>0.146956839804701</v>
      </c>
      <c r="L92" s="29" t="n">
        <f aca="false">K92*(1-MIN(1,INDEX(Tabla_Mortalidad!$B$5:$B$75,MIN(71,Cartera_Polizas!$B$94+9-49))*(1+(Cartera_Polizas!$P$94-1)*MAX(0,1-9/Supuestos!$C$20))*(1-Supuestos!$C$18)^9))</f>
        <v>0.106770845618278</v>
      </c>
      <c r="M92" s="29" t="n">
        <f aca="false">L92*(1-MIN(1,INDEX(Tabla_Mortalidad!$B$5:$B$75,MIN(71,Cartera_Polizas!$B$94+10-49))*(1+(Cartera_Polizas!$P$94-1)*MAX(0,1-10/Supuestos!$C$20))*(1-Supuestos!$C$18)^10))</f>
        <v>0.0754642227236698</v>
      </c>
      <c r="N92" s="29" t="n">
        <f aca="false">M92*(1-MIN(1,INDEX(Tabla_Mortalidad!$B$5:$B$75,MIN(71,Cartera_Polizas!$B$94+11-49))*(1+(Cartera_Polizas!$P$94-1)*MAX(0,1-11/Supuestos!$C$20))*(1-Supuestos!$C$18)^11))</f>
        <v>0.0517889266552984</v>
      </c>
      <c r="O92" s="29" t="n">
        <f aca="false">N92*(1-MIN(1,INDEX(Tabla_Mortalidad!$B$5:$B$75,MIN(71,Cartera_Polizas!$B$94+12-49))*(1+(Cartera_Polizas!$P$94-1)*MAX(0,1-12/Supuestos!$C$20))*(1-Supuestos!$C$18)^12))</f>
        <v>0.0344447811433508</v>
      </c>
      <c r="P92" s="29" t="n">
        <f aca="false">O92*(1-MIN(1,INDEX(Tabla_Mortalidad!$B$5:$B$75,MIN(71,Cartera_Polizas!$B$94+13-49))*(1+(Cartera_Polizas!$P$94-1)*MAX(0,1-13/Supuestos!$C$20))*(1-Supuestos!$C$18)^13))</f>
        <v>0.0221619096846787</v>
      </c>
      <c r="Q92" s="29" t="n">
        <f aca="false">P92*(1-MIN(1,INDEX(Tabla_Mortalidad!$B$5:$B$75,MIN(71,Cartera_Polizas!$B$94+14-49))*(1+(Cartera_Polizas!$P$94-1)*MAX(0,1-14/Supuestos!$C$20))*(1-Supuestos!$C$18)^14))</f>
        <v>0.0137702483561308</v>
      </c>
      <c r="R92" s="29" t="n">
        <f aca="false">Q92*(1-MIN(1,INDEX(Tabla_Mortalidad!$B$5:$B$75,MIN(71,Cartera_Polizas!$B$94+15-49))*(1+(Cartera_Polizas!$P$94-1)*MAX(0,1-15/Supuestos!$C$20))*(1-Supuestos!$C$18)^15))</f>
        <v>0.00825012694423321</v>
      </c>
      <c r="S92" s="29" t="n">
        <f aca="false">R92*(1-MIN(1,INDEX(Tabla_Mortalidad!$B$5:$B$75,MIN(71,Cartera_Polizas!$B$94+16-49))*(1+(Cartera_Polizas!$P$94-1)*MAX(0,1-16/Supuestos!$C$20))*(1-Supuestos!$C$18)^16))</f>
        <v>0.00468404618168444</v>
      </c>
      <c r="T92" s="29" t="n">
        <f aca="false">S92*(1-MIN(1,INDEX(Tabla_Mortalidad!$B$5:$B$75,MIN(71,Cartera_Polizas!$B$94+17-49))*(1+(Cartera_Polizas!$P$94-1)*MAX(0,1-17/Supuestos!$C$20))*(1-Supuestos!$C$18)^17))</f>
        <v>0.00250754069479853</v>
      </c>
      <c r="U92" s="29" t="n">
        <f aca="false">T92*(1-MIN(1,INDEX(Tabla_Mortalidad!$B$5:$B$75,MIN(71,Cartera_Polizas!$B$94+18-49))*(1+(Cartera_Polizas!$P$94-1)*MAX(0,1-18/Supuestos!$C$20))*(1-Supuestos!$C$18)^18))</f>
        <v>0.00125909432780038</v>
      </c>
      <c r="V92" s="29" t="n">
        <f aca="false">U92*(1-MIN(1,INDEX(Tabla_Mortalidad!$B$5:$B$75,MIN(71,Cartera_Polizas!$B$94+19-49))*(1+(Cartera_Polizas!$P$94-1)*MAX(0,1-19/Supuestos!$C$20))*(1-Supuestos!$C$18)^19))</f>
        <v>0.000589784927856945</v>
      </c>
      <c r="W92" s="29" t="n">
        <f aca="false">V92*(1-MIN(1,INDEX(Tabla_Mortalidad!$B$5:$B$75,MIN(71,Cartera_Polizas!$B$94+20-49))*(1+(Cartera_Polizas!$P$94-1)*MAX(0,1-20/Supuestos!$C$20))*(1-Supuestos!$C$18)^20))</f>
        <v>0.000256312204154753</v>
      </c>
      <c r="X92" s="29" t="n">
        <f aca="false">W92*(1-MIN(1,INDEX(Tabla_Mortalidad!$B$5:$B$75,MIN(71,Cartera_Polizas!$B$94+21-49))*(1+(Cartera_Polizas!$P$94-1)*MAX(0,1-21/Supuestos!$C$20))*(1-Supuestos!$C$18)^21))</f>
        <v>0.000102789478051968</v>
      </c>
      <c r="Y92" s="29" t="n">
        <f aca="false">X92*(1-MIN(1,INDEX(Tabla_Mortalidad!$B$5:$B$75,MIN(71,Cartera_Polizas!$B$94+22-49))*(1+(Cartera_Polizas!$P$94-1)*MAX(0,1-22/Supuestos!$C$20))*(1-Supuestos!$C$18)^22))</f>
        <v>3.78479243122646E-005</v>
      </c>
      <c r="Z92" s="29" t="n">
        <f aca="false">Y92*(1-MIN(1,INDEX(Tabla_Mortalidad!$B$5:$B$75,MIN(71,Cartera_Polizas!$B$94+23-49))*(1+(Cartera_Polizas!$P$94-1)*MAX(0,1-23/Supuestos!$C$20))*(1-Supuestos!$C$18)^23))</f>
        <v>1.27392928596441E-005</v>
      </c>
      <c r="AA92" s="29" t="n">
        <f aca="false">Z92*(1-MIN(1,INDEX(Tabla_Mortalidad!$B$5:$B$75,MIN(71,Cartera_Polizas!$B$94+24-49))*(1+(Cartera_Polizas!$P$94-1)*MAX(0,1-24/Supuestos!$C$20))*(1-Supuestos!$C$18)^24))</f>
        <v>3.90676719150544E-006</v>
      </c>
      <c r="AB92" s="29" t="n">
        <f aca="false">AA92*(1-MIN(1,INDEX(Tabla_Mortalidad!$B$5:$B$75,MIN(71,Cartera_Polizas!$B$94+25-49))*(1+(Cartera_Polizas!$P$94-1)*MAX(0,1-25/Supuestos!$C$20))*(1-Supuestos!$C$18)^25))</f>
        <v>1.08966144930939E-006</v>
      </c>
      <c r="AC92" s="29" t="n">
        <f aca="false">AB92*(1-MIN(1,INDEX(Tabla_Mortalidad!$B$5:$B$75,MIN(71,Cartera_Polizas!$B$94+26-49))*(1+(Cartera_Polizas!$P$94-1)*MAX(0,1-26/Supuestos!$C$20))*(1-Supuestos!$C$18)^26))</f>
        <v>2.76513885750387E-007</v>
      </c>
      <c r="AD92" s="29" t="n">
        <f aca="false">AC92*(1-MIN(1,INDEX(Tabla_Mortalidad!$B$5:$B$75,MIN(71,Cartera_Polizas!$B$94+27-49))*(1+(Cartera_Polizas!$P$94-1)*MAX(0,1-27/Supuestos!$C$20))*(1-Supuestos!$C$18)^27))</f>
        <v>6.40319038713333E-008</v>
      </c>
      <c r="AE92" s="29" t="n">
        <f aca="false">AD92*(1-MIN(1,INDEX(Tabla_Mortalidad!$B$5:$B$75,MIN(71,Cartera_Polizas!$B$94+28-49))*(1+(Cartera_Polizas!$P$94-1)*MAX(0,1-28/Supuestos!$C$20))*(1-Supuestos!$C$18)^28))</f>
        <v>1.36132779023002E-008</v>
      </c>
      <c r="AF92" s="29" t="n">
        <f aca="false">AE92*(1-MIN(1,INDEX(Tabla_Mortalidad!$B$5:$B$75,MIN(71,Cartera_Polizas!$B$94+29-49))*(1+(Cartera_Polizas!$P$94-1)*MAX(0,1-29/Supuestos!$C$20))*(1-Supuestos!$C$18)^29))</f>
        <v>2.68189191924168E-009</v>
      </c>
      <c r="AG92" s="29" t="n">
        <f aca="false">AF92*(1-MIN(1,INDEX(Tabla_Mortalidad!$B$5:$B$75,MIN(71,Cartera_Polizas!$B$94+30-49))*(1+(Cartera_Polizas!$P$94-1)*MAX(0,1-30/Supuestos!$C$20))*(1-Supuestos!$C$18)^30))</f>
        <v>4.95585251448334E-010</v>
      </c>
      <c r="AH92" s="29" t="n">
        <f aca="false">AG92*(1-MIN(1,INDEX(Tabla_Mortalidad!$B$5:$B$75,MIN(71,Cartera_Polizas!$B$94+31-49))*(1+(Cartera_Polizas!$P$94-1)*MAX(0,1-31/Supuestos!$C$20))*(1-Supuestos!$C$18)^31))</f>
        <v>7.13235039365787E-011</v>
      </c>
      <c r="AI92" s="29" t="n">
        <f aca="false">AH92*(1-MIN(1,INDEX(Tabla_Mortalidad!$B$5:$B$75,MIN(71,Cartera_Polizas!$B$94+32-49))*(1+(Cartera_Polizas!$P$94-1)*MAX(0,1-32/Supuestos!$C$20))*(1-Supuestos!$C$18)^32))</f>
        <v>1.05700106501883E-011</v>
      </c>
      <c r="AJ92" s="29" t="n">
        <f aca="false">AI92*(1-MIN(1,INDEX(Tabla_Mortalidad!$B$5:$B$75,MIN(71,Cartera_Polizas!$B$94+33-49))*(1+(Cartera_Polizas!$P$94-1)*MAX(0,1-33/Supuestos!$C$20))*(1-Supuestos!$C$18)^33))</f>
        <v>1.61147369600156E-012</v>
      </c>
      <c r="AK92" s="29" t="n">
        <f aca="false">AJ92*(1-MIN(1,INDEX(Tabla_Mortalidad!$B$5:$B$75,MIN(71,Cartera_Polizas!$B$94+34-49))*(1+(Cartera_Polizas!$P$94-1)*MAX(0,1-34/Supuestos!$C$20))*(1-Supuestos!$C$18)^34))</f>
        <v>2.52509651552626E-013</v>
      </c>
      <c r="AL92" s="29" t="n">
        <f aca="false">AK92*(1-MIN(1,INDEX(Tabla_Mortalidad!$B$5:$B$75,MIN(71,Cartera_Polizas!$B$94+35-49))*(1+(Cartera_Polizas!$P$94-1)*MAX(0,1-35/Supuestos!$C$20))*(1-Supuestos!$C$18)^35))</f>
        <v>4.06316789261738E-014</v>
      </c>
      <c r="AM92" s="29" t="n">
        <f aca="false">AL92*(1-MIN(1,INDEX(Tabla_Mortalidad!$B$5:$B$75,MIN(71,Cartera_Polizas!$B$94+36-49))*(1+(Cartera_Polizas!$P$94-1)*MAX(0,1-36/Supuestos!$C$20))*(1-Supuestos!$C$18)^36))</f>
        <v>6.70856781402301E-015</v>
      </c>
      <c r="AN92" s="29" t="n">
        <f aca="false">AM92*(1-MIN(1,INDEX(Tabla_Mortalidad!$B$5:$B$75,MIN(71,Cartera_Polizas!$B$94+37-49))*(1+(Cartera_Polizas!$P$94-1)*MAX(0,1-37/Supuestos!$C$20))*(1-Supuestos!$C$18)^37))</f>
        <v>1.13563507075298E-015</v>
      </c>
      <c r="AO92" s="29" t="n">
        <f aca="false">AN92*(1-MIN(1,INDEX(Tabla_Mortalidad!$B$5:$B$75,MIN(71,Cartera_Polizas!$B$94+38-49))*(1+(Cartera_Polizas!$P$94-1)*MAX(0,1-38/Supuestos!$C$20))*(1-Supuestos!$C$18)^38))</f>
        <v>1.96958745876163E-016</v>
      </c>
      <c r="AP92" s="29" t="n">
        <f aca="false">AO92*(1-MIN(1,INDEX(Tabla_Mortalidad!$B$5:$B$75,MIN(71,Cartera_Polizas!$B$94+39-49))*(1+(Cartera_Polizas!$P$94-1)*MAX(0,1-39/Supuestos!$C$20))*(1-Supuestos!$C$18)^39))</f>
        <v>3.49735149597249E-017</v>
      </c>
      <c r="AQ92" s="29" t="n">
        <f aca="false">AP92*(1-MIN(1,INDEX(Tabla_Mortalidad!$B$5:$B$75,MIN(71,Cartera_Polizas!$B$94+40-49))*(1+(Cartera_Polizas!$P$94-1)*MAX(0,1-40/Supuestos!$C$20))*(1-Supuestos!$C$18)^40))</f>
        <v>6.35398396529452E-018</v>
      </c>
      <c r="AR92" s="29" t="n">
        <f aca="false">AQ92*(1-MIN(1,INDEX(Tabla_Mortalidad!$B$5:$B$75,MIN(71,Cartera_Polizas!$B$94+41-49))*(1+(Cartera_Polizas!$P$94-1)*MAX(0,1-41/Supuestos!$C$20))*(1-Supuestos!$C$18)^41))</f>
        <v>1.18038900247586E-018</v>
      </c>
      <c r="AS92" s="29" t="n">
        <f aca="false">AR92*(1-MIN(1,INDEX(Tabla_Mortalidad!$B$5:$B$75,MIN(71,Cartera_Polizas!$B$94+42-49))*(1+(Cartera_Polizas!$P$94-1)*MAX(0,1-42/Supuestos!$C$20))*(1-Supuestos!$C$18)^42))</f>
        <v>2.24088143427795E-019</v>
      </c>
      <c r="AT92" s="29" t="n">
        <f aca="false">AS92*(1-MIN(1,INDEX(Tabla_Mortalidad!$B$5:$B$75,MIN(71,Cartera_Polizas!$B$94+43-49))*(1+(Cartera_Polizas!$P$94-1)*MAX(0,1-43/Supuestos!$C$20))*(1-Supuestos!$C$18)^43))</f>
        <v>4.34492140621899E-020</v>
      </c>
      <c r="AU92" s="29" t="n">
        <f aca="false">AT92*(1-MIN(1,INDEX(Tabla_Mortalidad!$B$5:$B$75,MIN(71,Cartera_Polizas!$B$94+44-49))*(1+(Cartera_Polizas!$P$94-1)*MAX(0,1-44/Supuestos!$C$20))*(1-Supuestos!$C$18)^44))</f>
        <v>8.5996397252173E-021</v>
      </c>
    </row>
    <row r="93" customFormat="false" ht="15" hidden="false" customHeight="false" outlineLevel="0" collapsed="false">
      <c r="A93" s="14" t="n">
        <f aca="false">Cartera_Polizas!A95</f>
        <v>90</v>
      </c>
      <c r="B93" s="26" t="n">
        <f aca="false">SUM(C93:AU93)+0.5</f>
        <v>5.44826147771759</v>
      </c>
      <c r="C93" s="29" t="n">
        <f aca="false">1-MIN(1,INDEX(Tabla_Mortalidad!$B$5:$B$75,MIN(71,Cartera_Polizas!$B$95+0-49))*(1+(Cartera_Polizas!$P$95-1)*MAX(0,1-0/Supuestos!$C$20))*(1-Supuestos!$C$18)^0)</f>
        <v>0.87597775</v>
      </c>
      <c r="D93" s="29" t="n">
        <f aca="false">C93*(1-MIN(1,INDEX(Tabla_Mortalidad!$B$5:$B$75,MIN(71,Cartera_Polizas!$B$95+1-49))*(1+(Cartera_Polizas!$P$95-1)*MAX(0,1-1/Supuestos!$C$20))*(1-Supuestos!$C$18)^1))</f>
        <v>0.759006475611222</v>
      </c>
      <c r="E93" s="29" t="n">
        <f aca="false">D93*(1-MIN(1,INDEX(Tabla_Mortalidad!$B$5:$B$75,MIN(71,Cartera_Polizas!$B$95+2-49))*(1+(Cartera_Polizas!$P$95-1)*MAX(0,1-2/Supuestos!$C$20))*(1-Supuestos!$C$18)^2))</f>
        <v>0.650016078003282</v>
      </c>
      <c r="F93" s="29" t="n">
        <f aca="false">E93*(1-MIN(1,INDEX(Tabla_Mortalidad!$B$5:$B$75,MIN(71,Cartera_Polizas!$B$95+3-49))*(1+(Cartera_Polizas!$P$95-1)*MAX(0,1-3/Supuestos!$C$20))*(1-Supuestos!$C$18)^3))</f>
        <v>0.54977719832315</v>
      </c>
      <c r="G93" s="29" t="n">
        <f aca="false">F93*(1-MIN(1,INDEX(Tabla_Mortalidad!$B$5:$B$75,MIN(71,Cartera_Polizas!$B$95+4-49))*(1+(Cartera_Polizas!$P$95-1)*MAX(0,1-4/Supuestos!$C$20))*(1-Supuestos!$C$18)^4))</f>
        <v>0.458861153517976</v>
      </c>
      <c r="H93" s="29" t="n">
        <f aca="false">G93*(1-MIN(1,INDEX(Tabla_Mortalidad!$B$5:$B$75,MIN(71,Cartera_Polizas!$B$95+5-49))*(1+(Cartera_Polizas!$P$95-1)*MAX(0,1-5/Supuestos!$C$20))*(1-Supuestos!$C$18)^5))</f>
        <v>0.377616068796245</v>
      </c>
      <c r="I93" s="29" t="n">
        <f aca="false">H93*(1-MIN(1,INDEX(Tabla_Mortalidad!$B$5:$B$75,MIN(71,Cartera_Polizas!$B$95+6-49))*(1+(Cartera_Polizas!$P$95-1)*MAX(0,1-6/Supuestos!$C$20))*(1-Supuestos!$C$18)^6))</f>
        <v>0.306151236974294</v>
      </c>
      <c r="J93" s="29" t="n">
        <f aca="false">I93*(1-MIN(1,INDEX(Tabla_Mortalidad!$B$5:$B$75,MIN(71,Cartera_Polizas!$B$95+7-49))*(1+(Cartera_Polizas!$P$95-1)*MAX(0,1-7/Supuestos!$C$20))*(1-Supuestos!$C$18)^7))</f>
        <v>0.244334798364318</v>
      </c>
      <c r="K93" s="29" t="n">
        <f aca="false">J93*(1-MIN(1,INDEX(Tabla_Mortalidad!$B$5:$B$75,MIN(71,Cartera_Polizas!$B$95+8-49))*(1+(Cartera_Polizas!$P$95-1)*MAX(0,1-8/Supuestos!$C$20))*(1-Supuestos!$C$18)^8))</f>
        <v>0.19180467575569</v>
      </c>
      <c r="L93" s="29" t="n">
        <f aca="false">K93*(1-MIN(1,INDEX(Tabla_Mortalidad!$B$5:$B$75,MIN(71,Cartera_Polizas!$B$95+9-49))*(1+(Cartera_Polizas!$P$95-1)*MAX(0,1-9/Supuestos!$C$20))*(1-Supuestos!$C$18)^9))</f>
        <v>0.147992493174505</v>
      </c>
      <c r="M93" s="29" t="n">
        <f aca="false">L93*(1-MIN(1,INDEX(Tabla_Mortalidad!$B$5:$B$75,MIN(71,Cartera_Polizas!$B$95+10-49))*(1+(Cartera_Polizas!$P$95-1)*MAX(0,1-10/Supuestos!$C$20))*(1-Supuestos!$C$18)^10))</f>
        <v>0.112161418687063</v>
      </c>
      <c r="N93" s="29" t="n">
        <f aca="false">M93*(1-MIN(1,INDEX(Tabla_Mortalidad!$B$5:$B$75,MIN(71,Cartera_Polizas!$B$95+11-49))*(1+(Cartera_Polizas!$P$95-1)*MAX(0,1-11/Supuestos!$C$20))*(1-Supuestos!$C$18)^11))</f>
        <v>0.083451926037264</v>
      </c>
      <c r="O93" s="29" t="n">
        <f aca="false">N93*(1-MIN(1,INDEX(Tabla_Mortalidad!$B$5:$B$75,MIN(71,Cartera_Polizas!$B$95+12-49))*(1+(Cartera_Polizas!$P$95-1)*MAX(0,1-12/Supuestos!$C$20))*(1-Supuestos!$C$18)^12))</f>
        <v>0.0609323679748372</v>
      </c>
      <c r="P93" s="29" t="n">
        <f aca="false">O93*(1-MIN(1,INDEX(Tabla_Mortalidad!$B$5:$B$75,MIN(71,Cartera_Polizas!$B$95+13-49))*(1+(Cartera_Polizas!$P$95-1)*MAX(0,1-13/Supuestos!$C$20))*(1-Supuestos!$C$18)^13))</f>
        <v>0.0436509110012136</v>
      </c>
      <c r="Q93" s="29" t="n">
        <f aca="false">P93*(1-MIN(1,INDEX(Tabla_Mortalidad!$B$5:$B$75,MIN(71,Cartera_Polizas!$B$95+14-49))*(1+(Cartera_Polizas!$P$95-1)*MAX(0,1-14/Supuestos!$C$20))*(1-Supuestos!$C$18)^14))</f>
        <v>0.0306827972589887</v>
      </c>
      <c r="R93" s="29" t="n">
        <f aca="false">Q93*(1-MIN(1,INDEX(Tabla_Mortalidad!$B$5:$B$75,MIN(71,Cartera_Polizas!$B$95+15-49))*(1+(Cartera_Polizas!$P$95-1)*MAX(0,1-15/Supuestos!$C$20))*(1-Supuestos!$C$18)^15))</f>
        <v>0.0211693358030529</v>
      </c>
      <c r="S93" s="29" t="n">
        <f aca="false">R93*(1-MIN(1,INDEX(Tabla_Mortalidad!$B$5:$B$75,MIN(71,Cartera_Polizas!$B$95+16-49))*(1+(Cartera_Polizas!$P$95-1)*MAX(0,1-16/Supuestos!$C$20))*(1-Supuestos!$C$18)^16))</f>
        <v>0.0140373993986362</v>
      </c>
      <c r="T93" s="29" t="n">
        <f aca="false">S93*(1-MIN(1,INDEX(Tabla_Mortalidad!$B$5:$B$75,MIN(71,Cartera_Polizas!$B$95+17-49))*(1+(Cartera_Polizas!$P$95-1)*MAX(0,1-17/Supuestos!$C$20))*(1-Supuestos!$C$18)^17))</f>
        <v>0.00891080261885074</v>
      </c>
      <c r="U93" s="29" t="n">
        <f aca="false">T93*(1-MIN(1,INDEX(Tabla_Mortalidad!$B$5:$B$75,MIN(71,Cartera_Polizas!$B$95+18-49))*(1+(Cartera_Polizas!$P$95-1)*MAX(0,1-18/Supuestos!$C$20))*(1-Supuestos!$C$18)^18))</f>
        <v>0.00539201607265375</v>
      </c>
      <c r="V93" s="29" t="n">
        <f aca="false">U93*(1-MIN(1,INDEX(Tabla_Mortalidad!$B$5:$B$75,MIN(71,Cartera_Polizas!$B$95+19-49))*(1+(Cartera_Polizas!$P$95-1)*MAX(0,1-19/Supuestos!$C$20))*(1-Supuestos!$C$18)^19))</f>
        <v>0.00309612666779106</v>
      </c>
      <c r="W93" s="29" t="n">
        <f aca="false">V93*(1-MIN(1,INDEX(Tabla_Mortalidad!$B$5:$B$75,MIN(71,Cartera_Polizas!$B$95+20-49))*(1+(Cartera_Polizas!$P$95-1)*MAX(0,1-20/Supuestos!$C$20))*(1-Supuestos!$C$18)^20))</f>
        <v>0.00167894162397181</v>
      </c>
      <c r="X93" s="29" t="n">
        <f aca="false">W93*(1-MIN(1,INDEX(Tabla_Mortalidad!$B$5:$B$75,MIN(71,Cartera_Polizas!$B$95+21-49))*(1+(Cartera_Polizas!$P$95-1)*MAX(0,1-21/Supuestos!$C$20))*(1-Supuestos!$C$18)^21))</f>
        <v>0.000855511523832608</v>
      </c>
      <c r="Y93" s="29" t="n">
        <f aca="false">X93*(1-MIN(1,INDEX(Tabla_Mortalidad!$B$5:$B$75,MIN(71,Cartera_Polizas!$B$95+22-49))*(1+(Cartera_Polizas!$P$95-1)*MAX(0,1-22/Supuestos!$C$20))*(1-Supuestos!$C$18)^22))</f>
        <v>0.000407526224236994</v>
      </c>
      <c r="Z93" s="29" t="n">
        <f aca="false">Y93*(1-MIN(1,INDEX(Tabla_Mortalidad!$B$5:$B$75,MIN(71,Cartera_Polizas!$B$95+23-49))*(1+(Cartera_Polizas!$P$95-1)*MAX(0,1-23/Supuestos!$C$20))*(1-Supuestos!$C$18)^23))</f>
        <v>0.000180544207772436</v>
      </c>
      <c r="AA93" s="29" t="n">
        <f aca="false">Z93*(1-MIN(1,INDEX(Tabla_Mortalidad!$B$5:$B$75,MIN(71,Cartera_Polizas!$B$95+24-49))*(1+(Cartera_Polizas!$P$95-1)*MAX(0,1-24/Supuestos!$C$20))*(1-Supuestos!$C$18)^24))</f>
        <v>7.40180678129261E-005</v>
      </c>
      <c r="AB93" s="29" t="n">
        <f aca="false">AA93*(1-MIN(1,INDEX(Tabla_Mortalidad!$B$5:$B$75,MIN(71,Cartera_Polizas!$B$95+25-49))*(1+(Cartera_Polizas!$P$95-1)*MAX(0,1-25/Supuestos!$C$20))*(1-Supuestos!$C$18)^25))</f>
        <v>2.79520150791233E-005</v>
      </c>
      <c r="AC93" s="29" t="n">
        <f aca="false">AB93*(1-MIN(1,INDEX(Tabla_Mortalidad!$B$5:$B$75,MIN(71,Cartera_Polizas!$B$95+26-49))*(1+(Cartera_Polizas!$P$95-1)*MAX(0,1-26/Supuestos!$C$20))*(1-Supuestos!$C$18)^26))</f>
        <v>9.68517865674035E-006</v>
      </c>
      <c r="AD93" s="29" t="n">
        <f aca="false">AC93*(1-MIN(1,INDEX(Tabla_Mortalidad!$B$5:$B$75,MIN(71,Cartera_Polizas!$B$95+27-49))*(1+(Cartera_Polizas!$P$95-1)*MAX(0,1-27/Supuestos!$C$20))*(1-Supuestos!$C$18)^27))</f>
        <v>3.07038250365643E-006</v>
      </c>
      <c r="AE93" s="29" t="n">
        <f aca="false">AD93*(1-MIN(1,INDEX(Tabla_Mortalidad!$B$5:$B$75,MIN(71,Cartera_Polizas!$B$95+28-49))*(1+(Cartera_Polizas!$P$95-1)*MAX(0,1-28/Supuestos!$C$20))*(1-Supuestos!$C$18)^28))</f>
        <v>8.89424304815492E-007</v>
      </c>
      <c r="AF93" s="29" t="n">
        <f aca="false">AE93*(1-MIN(1,INDEX(Tabla_Mortalidad!$B$5:$B$75,MIN(71,Cartera_Polizas!$B$95+29-49))*(1+(Cartera_Polizas!$P$95-1)*MAX(0,1-29/Supuestos!$C$20))*(1-Supuestos!$C$18)^29))</f>
        <v>2.35607597917878E-007</v>
      </c>
      <c r="AG93" s="29" t="n">
        <f aca="false">AF93*(1-MIN(1,INDEX(Tabla_Mortalidad!$B$5:$B$75,MIN(71,Cartera_Polizas!$B$95+30-49))*(1+(Cartera_Polizas!$P$95-1)*MAX(0,1-30/Supuestos!$C$20))*(1-Supuestos!$C$18)^30))</f>
        <v>5.7261464966326E-008</v>
      </c>
      <c r="AH93" s="29" t="n">
        <f aca="false">AG93*(1-MIN(1,INDEX(Tabla_Mortalidad!$B$5:$B$75,MIN(71,Cartera_Polizas!$B$95+31-49))*(1+(Cartera_Polizas!$P$95-1)*MAX(0,1-31/Supuestos!$C$20))*(1-Supuestos!$C$18)^31))</f>
        <v>1.28468104845473E-008</v>
      </c>
      <c r="AI93" s="29" t="n">
        <f aca="false">AH93*(1-MIN(1,INDEX(Tabla_Mortalidad!$B$5:$B$75,MIN(71,Cartera_Polizas!$B$95+32-49))*(1+(Cartera_Polizas!$P$95-1)*MAX(0,1-32/Supuestos!$C$20))*(1-Supuestos!$C$18)^32))</f>
        <v>2.68485989895967E-009</v>
      </c>
      <c r="AJ93" s="29" t="n">
        <f aca="false">AI93*(1-MIN(1,INDEX(Tabla_Mortalidad!$B$5:$B$75,MIN(71,Cartera_Polizas!$B$95+33-49))*(1+(Cartera_Polizas!$P$95-1)*MAX(0,1-33/Supuestos!$C$20))*(1-Supuestos!$C$18)^33))</f>
        <v>5.28800714768074E-010</v>
      </c>
      <c r="AK93" s="29" t="n">
        <f aca="false">AJ93*(1-MIN(1,INDEX(Tabla_Mortalidad!$B$5:$B$75,MIN(71,Cartera_Polizas!$B$95+34-49))*(1+(Cartera_Polizas!$P$95-1)*MAX(0,1-34/Supuestos!$C$20))*(1-Supuestos!$C$18)^34))</f>
        <v>8.28603560568054E-011</v>
      </c>
      <c r="AL93" s="29" t="n">
        <f aca="false">AK93*(1-MIN(1,INDEX(Tabla_Mortalidad!$B$5:$B$75,MIN(71,Cartera_Polizas!$B$95+35-49))*(1+(Cartera_Polizas!$P$95-1)*MAX(0,1-35/Supuestos!$C$20))*(1-Supuestos!$C$18)^35))</f>
        <v>1.33331750382892E-011</v>
      </c>
      <c r="AM93" s="29" t="n">
        <f aca="false">AL93*(1-MIN(1,INDEX(Tabla_Mortalidad!$B$5:$B$75,MIN(71,Cartera_Polizas!$B$95+36-49))*(1+(Cartera_Polizas!$P$95-1)*MAX(0,1-36/Supuestos!$C$20))*(1-Supuestos!$C$18)^36))</f>
        <v>2.20139830015694E-012</v>
      </c>
      <c r="AN93" s="29" t="n">
        <f aca="false">AM93*(1-MIN(1,INDEX(Tabla_Mortalidad!$B$5:$B$75,MIN(71,Cartera_Polizas!$B$95+37-49))*(1+(Cartera_Polizas!$P$95-1)*MAX(0,1-37/Supuestos!$C$20))*(1-Supuestos!$C$18)^37))</f>
        <v>3.72655562805592E-013</v>
      </c>
      <c r="AO93" s="29" t="n">
        <f aca="false">AN93*(1-MIN(1,INDEX(Tabla_Mortalidad!$B$5:$B$75,MIN(71,Cartera_Polizas!$B$95+38-49))*(1+(Cartera_Polizas!$P$95-1)*MAX(0,1-38/Supuestos!$C$20))*(1-Supuestos!$C$18)^38))</f>
        <v>6.46314772978071E-014</v>
      </c>
      <c r="AP93" s="29" t="n">
        <f aca="false">AO93*(1-MIN(1,INDEX(Tabla_Mortalidad!$B$5:$B$75,MIN(71,Cartera_Polizas!$B$95+39-49))*(1+(Cartera_Polizas!$P$95-1)*MAX(0,1-39/Supuestos!$C$20))*(1-Supuestos!$C$18)^39))</f>
        <v>1.14764639066355E-014</v>
      </c>
      <c r="AQ93" s="29" t="n">
        <f aca="false">AP93*(1-MIN(1,INDEX(Tabla_Mortalidad!$B$5:$B$75,MIN(71,Cartera_Polizas!$B$95+40-49))*(1+(Cartera_Polizas!$P$95-1)*MAX(0,1-40/Supuestos!$C$20))*(1-Supuestos!$C$18)^40))</f>
        <v>2.08504257364519E-015</v>
      </c>
      <c r="AR93" s="29" t="n">
        <f aca="false">AQ93*(1-MIN(1,INDEX(Tabla_Mortalidad!$B$5:$B$75,MIN(71,Cartera_Polizas!$B$95+41-49))*(1+(Cartera_Polizas!$P$95-1)*MAX(0,1-41/Supuestos!$C$20))*(1-Supuestos!$C$18)^41))</f>
        <v>3.87341443898443E-016</v>
      </c>
      <c r="AS93" s="29" t="n">
        <f aca="false">AR93*(1-MIN(1,INDEX(Tabla_Mortalidad!$B$5:$B$75,MIN(71,Cartera_Polizas!$B$95+42-49))*(1+(Cartera_Polizas!$P$95-1)*MAX(0,1-42/Supuestos!$C$20))*(1-Supuestos!$C$18)^42))</f>
        <v>7.35339153904213E-017</v>
      </c>
      <c r="AT93" s="29" t="n">
        <f aca="false">AS93*(1-MIN(1,INDEX(Tabla_Mortalidad!$B$5:$B$75,MIN(71,Cartera_Polizas!$B$95+43-49))*(1+(Cartera_Polizas!$P$95-1)*MAX(0,1-43/Supuestos!$C$20))*(1-Supuestos!$C$18)^43))</f>
        <v>1.42577415375788E-017</v>
      </c>
      <c r="AU93" s="29" t="n">
        <f aca="false">AT93*(1-MIN(1,INDEX(Tabla_Mortalidad!$B$5:$B$75,MIN(71,Cartera_Polizas!$B$95+44-49))*(1+(Cartera_Polizas!$P$95-1)*MAX(0,1-44/Supuestos!$C$20))*(1-Supuestos!$C$18)^44))</f>
        <v>2.82194840953732E-018</v>
      </c>
    </row>
    <row r="94" customFormat="false" ht="15" hidden="false" customHeight="false" outlineLevel="0" collapsed="false">
      <c r="A94" s="14" t="n">
        <f aca="false">Cartera_Polizas!A96</f>
        <v>91</v>
      </c>
      <c r="B94" s="26" t="n">
        <f aca="false">SUM(C94:AU94)+0.5</f>
        <v>6.91439887581658</v>
      </c>
      <c r="C94" s="29" t="n">
        <f aca="false">1-MIN(1,INDEX(Tabla_Mortalidad!$B$5:$B$75,MIN(71,Cartera_Polizas!$B$96+0-49))*(1+(Cartera_Polizas!$P$96-1)*MAX(0,1-0/Supuestos!$C$20))*(1-Supuestos!$C$18)^0)</f>
        <v>0.908661984</v>
      </c>
      <c r="D94" s="29" t="n">
        <f aca="false">C94*(1-MIN(1,INDEX(Tabla_Mortalidad!$B$5:$B$75,MIN(71,Cartera_Polizas!$B$96+1-49))*(1+(Cartera_Polizas!$P$96-1)*MAX(0,1-1/Supuestos!$C$20))*(1-Supuestos!$C$18)^1))</f>
        <v>0.819239134179461</v>
      </c>
      <c r="E94" s="29" t="n">
        <f aca="false">D94*(1-MIN(1,INDEX(Tabla_Mortalidad!$B$5:$B$75,MIN(71,Cartera_Polizas!$B$96+2-49))*(1+(Cartera_Polizas!$P$96-1)*MAX(0,1-2/Supuestos!$C$20))*(1-Supuestos!$C$18)^2))</f>
        <v>0.732471377995078</v>
      </c>
      <c r="F94" s="29" t="n">
        <f aca="false">E94*(1-MIN(1,INDEX(Tabla_Mortalidad!$B$5:$B$75,MIN(71,Cartera_Polizas!$B$96+3-49))*(1+(Cartera_Polizas!$P$96-1)*MAX(0,1-3/Supuestos!$C$20))*(1-Supuestos!$C$18)^3))</f>
        <v>0.649080425719172</v>
      </c>
      <c r="G94" s="29" t="n">
        <f aca="false">F94*(1-MIN(1,INDEX(Tabla_Mortalidad!$B$5:$B$75,MIN(71,Cartera_Polizas!$B$96+4-49))*(1+(Cartera_Polizas!$P$96-1)*MAX(0,1-4/Supuestos!$C$20))*(1-Supuestos!$C$18)^4))</f>
        <v>0.569751834129728</v>
      </c>
      <c r="H94" s="29" t="n">
        <f aca="false">G94*(1-MIN(1,INDEX(Tabla_Mortalidad!$B$5:$B$75,MIN(71,Cartera_Polizas!$B$96+5-49))*(1+(Cartera_Polizas!$P$96-1)*MAX(0,1-5/Supuestos!$C$20))*(1-Supuestos!$C$18)^5))</f>
        <v>0.495104431015938</v>
      </c>
      <c r="I94" s="29" t="n">
        <f aca="false">H94*(1-MIN(1,INDEX(Tabla_Mortalidad!$B$5:$B$75,MIN(71,Cartera_Polizas!$B$96+6-49))*(1+(Cartera_Polizas!$P$96-1)*MAX(0,1-6/Supuestos!$C$20))*(1-Supuestos!$C$18)^6))</f>
        <v>0.425673314587492</v>
      </c>
      <c r="J94" s="29" t="n">
        <f aca="false">I94*(1-MIN(1,INDEX(Tabla_Mortalidad!$B$5:$B$75,MIN(71,Cartera_Polizas!$B$96+7-49))*(1+(Cartera_Polizas!$P$96-1)*MAX(0,1-7/Supuestos!$C$20))*(1-Supuestos!$C$18)^7))</f>
        <v>0.361884478343028</v>
      </c>
      <c r="K94" s="29" t="n">
        <f aca="false">J94*(1-MIN(1,INDEX(Tabla_Mortalidad!$B$5:$B$75,MIN(71,Cartera_Polizas!$B$96+8-49))*(1+(Cartera_Polizas!$P$96-1)*MAX(0,1-8/Supuestos!$C$20))*(1-Supuestos!$C$18)^8))</f>
        <v>0.304038797031327</v>
      </c>
      <c r="L94" s="29" t="n">
        <f aca="false">K94*(1-MIN(1,INDEX(Tabla_Mortalidad!$B$5:$B$75,MIN(71,Cartera_Polizas!$B$96+9-49))*(1+(Cartera_Polizas!$P$96-1)*MAX(0,1-9/Supuestos!$C$20))*(1-Supuestos!$C$18)^9))</f>
        <v>0.252299737902811</v>
      </c>
      <c r="M94" s="29" t="n">
        <f aca="false">L94*(1-MIN(1,INDEX(Tabla_Mortalidad!$B$5:$B$75,MIN(71,Cartera_Polizas!$B$96+10-49))*(1+(Cartera_Polizas!$P$96-1)*MAX(0,1-10/Supuestos!$C$20))*(1-Supuestos!$C$18)^10))</f>
        <v>0.206688137461384</v>
      </c>
      <c r="N94" s="29" t="n">
        <f aca="false">M94*(1-MIN(1,INDEX(Tabla_Mortalidad!$B$5:$B$75,MIN(71,Cartera_Polizas!$B$96+11-49))*(1+(Cartera_Polizas!$P$96-1)*MAX(0,1-11/Supuestos!$C$20))*(1-Supuestos!$C$18)^11))</f>
        <v>0.167084064466907</v>
      </c>
      <c r="O94" s="29" t="n">
        <f aca="false">N94*(1-MIN(1,INDEX(Tabla_Mortalidad!$B$5:$B$75,MIN(71,Cartera_Polizas!$B$96+12-49))*(1+(Cartera_Polizas!$P$96-1)*MAX(0,1-12/Supuestos!$C$20))*(1-Supuestos!$C$18)^12))</f>
        <v>0.133235859274983</v>
      </c>
      <c r="P94" s="29" t="n">
        <f aca="false">O94*(1-MIN(1,INDEX(Tabla_Mortalidad!$B$5:$B$75,MIN(71,Cartera_Polizas!$B$96+13-49))*(1+(Cartera_Polizas!$P$96-1)*MAX(0,1-13/Supuestos!$C$20))*(1-Supuestos!$C$18)^13))</f>
        <v>0.104777752835812</v>
      </c>
      <c r="Q94" s="29" t="n">
        <f aca="false">P94*(1-MIN(1,INDEX(Tabla_Mortalidad!$B$5:$B$75,MIN(71,Cartera_Polizas!$B$96+14-49))*(1+(Cartera_Polizas!$P$96-1)*MAX(0,1-14/Supuestos!$C$20))*(1-Supuestos!$C$18)^14))</f>
        <v>0.0812526190876112</v>
      </c>
      <c r="R94" s="29" t="n">
        <f aca="false">Q94*(1-MIN(1,INDEX(Tabla_Mortalidad!$B$5:$B$75,MIN(71,Cartera_Polizas!$B$96+15-49))*(1+(Cartera_Polizas!$P$96-1)*MAX(0,1-15/Supuestos!$C$20))*(1-Supuestos!$C$18)^15))</f>
        <v>0.0621386153517379</v>
      </c>
      <c r="S94" s="29" t="n">
        <f aca="false">R94*(1-MIN(1,INDEX(Tabla_Mortalidad!$B$5:$B$75,MIN(71,Cartera_Polizas!$B$96+16-49))*(1+(Cartera_Polizas!$P$96-1)*MAX(0,1-16/Supuestos!$C$20))*(1-Supuestos!$C$18)^16))</f>
        <v>0.0461626626284324</v>
      </c>
      <c r="T94" s="29" t="n">
        <f aca="false">S94*(1-MIN(1,INDEX(Tabla_Mortalidad!$B$5:$B$75,MIN(71,Cartera_Polizas!$B$96+17-49))*(1+(Cartera_Polizas!$P$96-1)*MAX(0,1-17/Supuestos!$C$20))*(1-Supuestos!$C$18)^17))</f>
        <v>0.0332141313813006</v>
      </c>
      <c r="U94" s="29" t="n">
        <f aca="false">T94*(1-MIN(1,INDEX(Tabla_Mortalidad!$B$5:$B$75,MIN(71,Cartera_Polizas!$B$96+18-49))*(1+(Cartera_Polizas!$P$96-1)*MAX(0,1-18/Supuestos!$C$20))*(1-Supuestos!$C$18)^18))</f>
        <v>0.0230695120760608</v>
      </c>
      <c r="V94" s="29" t="n">
        <f aca="false">U94*(1-MIN(1,INDEX(Tabla_Mortalidad!$B$5:$B$75,MIN(71,Cartera_Polizas!$B$96+19-49))*(1+(Cartera_Polizas!$P$96-1)*MAX(0,1-19/Supuestos!$C$20))*(1-Supuestos!$C$18)^19))</f>
        <v>0.0154134070699418</v>
      </c>
      <c r="W94" s="29" t="n">
        <f aca="false">V94*(1-MIN(1,INDEX(Tabla_Mortalidad!$B$5:$B$75,MIN(71,Cartera_Polizas!$B$96+20-49))*(1+(Cartera_Polizas!$P$96-1)*MAX(0,1-20/Supuestos!$C$20))*(1-Supuestos!$C$18)^20))</f>
        <v>0.00986829415472246</v>
      </c>
      <c r="X94" s="29" t="n">
        <f aca="false">W94*(1-MIN(1,INDEX(Tabla_Mortalidad!$B$5:$B$75,MIN(71,Cartera_Polizas!$B$96+21-49))*(1+(Cartera_Polizas!$P$96-1)*MAX(0,1-21/Supuestos!$C$20))*(1-Supuestos!$C$18)^21))</f>
        <v>0.00602956538369054</v>
      </c>
      <c r="Y94" s="29" t="n">
        <f aca="false">X94*(1-MIN(1,INDEX(Tabla_Mortalidad!$B$5:$B$75,MIN(71,Cartera_Polizas!$B$96+22-49))*(1+(Cartera_Polizas!$P$96-1)*MAX(0,1-22/Supuestos!$C$20))*(1-Supuestos!$C$18)^22))</f>
        <v>0.00350052923503354</v>
      </c>
      <c r="Z94" s="29" t="n">
        <f aca="false">Y94*(1-MIN(1,INDEX(Tabla_Mortalidad!$B$5:$B$75,MIN(71,Cartera_Polizas!$B$96+23-49))*(1+(Cartera_Polizas!$P$96-1)*MAX(0,1-23/Supuestos!$C$20))*(1-Supuestos!$C$18)^23))</f>
        <v>0.001922152061311</v>
      </c>
      <c r="AA94" s="29" t="n">
        <f aca="false">Z94*(1-MIN(1,INDEX(Tabla_Mortalidad!$B$5:$B$75,MIN(71,Cartera_Polizas!$B$96+24-49))*(1+(Cartera_Polizas!$P$96-1)*MAX(0,1-24/Supuestos!$C$20))*(1-Supuestos!$C$18)^24))</f>
        <v>0.00099351047955673</v>
      </c>
      <c r="AB94" s="29" t="n">
        <f aca="false">AA94*(1-MIN(1,INDEX(Tabla_Mortalidad!$B$5:$B$75,MIN(71,Cartera_Polizas!$B$96+25-49))*(1+(Cartera_Polizas!$P$96-1)*MAX(0,1-25/Supuestos!$C$20))*(1-Supuestos!$C$18)^25))</f>
        <v>0.00048102732591562</v>
      </c>
      <c r="AC94" s="29" t="n">
        <f aca="false">AB94*(1-MIN(1,INDEX(Tabla_Mortalidad!$B$5:$B$75,MIN(71,Cartera_Polizas!$B$96+26-49))*(1+(Cartera_Polizas!$P$96-1)*MAX(0,1-26/Supuestos!$C$20))*(1-Supuestos!$C$18)^26))</f>
        <v>0.000217105759838605</v>
      </c>
      <c r="AD94" s="29" t="n">
        <f aca="false">AC94*(1-MIN(1,INDEX(Tabla_Mortalidad!$B$5:$B$75,MIN(71,Cartera_Polizas!$B$96+27-49))*(1+(Cartera_Polizas!$P$96-1)*MAX(0,1-27/Supuestos!$C$20))*(1-Supuestos!$C$18)^27))</f>
        <v>9.09191658278916E-005</v>
      </c>
      <c r="AE94" s="29" t="n">
        <f aca="false">AD94*(1-MIN(1,INDEX(Tabla_Mortalidad!$B$5:$B$75,MIN(71,Cartera_Polizas!$B$96+28-49))*(1+(Cartera_Polizas!$P$96-1)*MAX(0,1-28/Supuestos!$C$20))*(1-Supuestos!$C$18)^28))</f>
        <v>3.51790404621349E-005</v>
      </c>
      <c r="AF94" s="29" t="n">
        <f aca="false">AE94*(1-MIN(1,INDEX(Tabla_Mortalidad!$B$5:$B$75,MIN(71,Cartera_Polizas!$B$96+29-49))*(1+(Cartera_Polizas!$P$96-1)*MAX(0,1-29/Supuestos!$C$20))*(1-Supuestos!$C$18)^29))</f>
        <v>1.25324175060024E-005</v>
      </c>
      <c r="AG94" s="29" t="n">
        <f aca="false">AF94*(1-MIN(1,INDEX(Tabla_Mortalidad!$B$5:$B$75,MIN(71,Cartera_Polizas!$B$96+30-49))*(1+(Cartera_Polizas!$P$96-1)*MAX(0,1-30/Supuestos!$C$20))*(1-Supuestos!$C$18)^30))</f>
        <v>4.10076061181487E-006</v>
      </c>
      <c r="AH94" s="29" t="n">
        <f aca="false">AG94*(1-MIN(1,INDEX(Tabla_Mortalidad!$B$5:$B$75,MIN(71,Cartera_Polizas!$B$96+31-49))*(1+(Cartera_Polizas!$P$96-1)*MAX(0,1-31/Supuestos!$C$20))*(1-Supuestos!$C$18)^31))</f>
        <v>1.23137762572926E-006</v>
      </c>
      <c r="AI94" s="29" t="n">
        <f aca="false">AH94*(1-MIN(1,INDEX(Tabla_Mortalidad!$B$5:$B$75,MIN(71,Cartera_Polizas!$B$96+32-49))*(1+(Cartera_Polizas!$P$96-1)*MAX(0,1-32/Supuestos!$C$20))*(1-Supuestos!$C$18)^32))</f>
        <v>3.39700714661364E-007</v>
      </c>
      <c r="AJ94" s="29" t="n">
        <f aca="false">AI94*(1-MIN(1,INDEX(Tabla_Mortalidad!$B$5:$B$75,MIN(71,Cartera_Polizas!$B$96+33-49))*(1+(Cartera_Polizas!$P$96-1)*MAX(0,1-33/Supuestos!$C$20))*(1-Supuestos!$C$18)^33))</f>
        <v>8.63978459680269E-008</v>
      </c>
      <c r="AK94" s="29" t="n">
        <f aca="false">AJ94*(1-MIN(1,INDEX(Tabla_Mortalidad!$B$5:$B$75,MIN(71,Cartera_Polizas!$B$96+34-49))*(1+(Cartera_Polizas!$P$96-1)*MAX(0,1-34/Supuestos!$C$20))*(1-Supuestos!$C$18)^34))</f>
        <v>2.03838548514418E-008</v>
      </c>
      <c r="AL94" s="29" t="n">
        <f aca="false">AK94*(1-MIN(1,INDEX(Tabla_Mortalidad!$B$5:$B$75,MIN(71,Cartera_Polizas!$B$96+35-49))*(1+(Cartera_Polizas!$P$96-1)*MAX(0,1-35/Supuestos!$C$20))*(1-Supuestos!$C$18)^35))</f>
        <v>4.50067982598446E-009</v>
      </c>
      <c r="AM94" s="29" t="n">
        <f aca="false">AL94*(1-MIN(1,INDEX(Tabla_Mortalidad!$B$5:$B$75,MIN(71,Cartera_Polizas!$B$96+36-49))*(1+(Cartera_Polizas!$P$96-1)*MAX(0,1-36/Supuestos!$C$20))*(1-Supuestos!$C$18)^36))</f>
        <v>9.40381330165833E-010</v>
      </c>
      <c r="AN94" s="29" t="n">
        <f aca="false">AM94*(1-MIN(1,INDEX(Tabla_Mortalidad!$B$5:$B$75,MIN(71,Cartera_Polizas!$B$96+37-49))*(1+(Cartera_Polizas!$P$96-1)*MAX(0,1-37/Supuestos!$C$20))*(1-Supuestos!$C$18)^37))</f>
        <v>1.59188972672431E-010</v>
      </c>
      <c r="AO94" s="29" t="n">
        <f aca="false">AN94*(1-MIN(1,INDEX(Tabla_Mortalidad!$B$5:$B$75,MIN(71,Cartera_Polizas!$B$96+38-49))*(1+(Cartera_Polizas!$P$96-1)*MAX(0,1-38/Supuestos!$C$20))*(1-Supuestos!$C$18)^38))</f>
        <v>2.76089222870581E-011</v>
      </c>
      <c r="AP94" s="29" t="n">
        <f aca="false">AO94*(1-MIN(1,INDEX(Tabla_Mortalidad!$B$5:$B$75,MIN(71,Cartera_Polizas!$B$96+39-49))*(1+(Cartera_Polizas!$P$96-1)*MAX(0,1-39/Supuestos!$C$20))*(1-Supuestos!$C$18)^39))</f>
        <v>4.90245331494654E-012</v>
      </c>
      <c r="AQ94" s="29" t="n">
        <f aca="false">AP94*(1-MIN(1,INDEX(Tabla_Mortalidad!$B$5:$B$75,MIN(71,Cartera_Polizas!$B$96+40-49))*(1+(Cartera_Polizas!$P$96-1)*MAX(0,1-40/Supuestos!$C$20))*(1-Supuestos!$C$18)^40))</f>
        <v>8.90677124951477E-013</v>
      </c>
      <c r="AR94" s="29" t="n">
        <f aca="false">AQ94*(1-MIN(1,INDEX(Tabla_Mortalidad!$B$5:$B$75,MIN(71,Cartera_Polizas!$B$96+41-49))*(1+(Cartera_Polizas!$P$96-1)*MAX(0,1-41/Supuestos!$C$20))*(1-Supuestos!$C$18)^41))</f>
        <v>1.65462407332469E-013</v>
      </c>
      <c r="AS94" s="29" t="n">
        <f aca="false">AR94*(1-MIN(1,INDEX(Tabla_Mortalidad!$B$5:$B$75,MIN(71,Cartera_Polizas!$B$96+42-49))*(1+(Cartera_Polizas!$P$96-1)*MAX(0,1-42/Supuestos!$C$20))*(1-Supuestos!$C$18)^42))</f>
        <v>3.14118172809602E-014</v>
      </c>
      <c r="AT94" s="29" t="n">
        <f aca="false">AS94*(1-MIN(1,INDEX(Tabla_Mortalidad!$B$5:$B$75,MIN(71,Cartera_Polizas!$B$96+43-49))*(1+(Cartera_Polizas!$P$96-1)*MAX(0,1-43/Supuestos!$C$20))*(1-Supuestos!$C$18)^43))</f>
        <v>6.09054433780253E-015</v>
      </c>
      <c r="AU94" s="29" t="n">
        <f aca="false">AT94*(1-MIN(1,INDEX(Tabla_Mortalidad!$B$5:$B$75,MIN(71,Cartera_Polizas!$B$96+44-49))*(1+(Cartera_Polizas!$P$96-1)*MAX(0,1-44/Supuestos!$C$20))*(1-Supuestos!$C$18)^44))</f>
        <v>1.20546454443563E-015</v>
      </c>
    </row>
    <row r="95" customFormat="false" ht="15" hidden="false" customHeight="false" outlineLevel="0" collapsed="false">
      <c r="A95" s="14" t="n">
        <f aca="false">Cartera_Polizas!A97</f>
        <v>92</v>
      </c>
      <c r="B95" s="26" t="n">
        <f aca="false">SUM(C95:AU95)+0.5</f>
        <v>4.2631572786521</v>
      </c>
      <c r="C95" s="29" t="n">
        <f aca="false">1-MIN(1,INDEX(Tabla_Mortalidad!$B$5:$B$75,MIN(71,Cartera_Polizas!$B$97+0-49))*(1+(Cartera_Polizas!$P$97-1)*MAX(0,1-0/Supuestos!$C$20))*(1-Supuestos!$C$18)^0)</f>
        <v>0.82636885</v>
      </c>
      <c r="D95" s="29" t="n">
        <f aca="false">C95*(1-MIN(1,INDEX(Tabla_Mortalidad!$B$5:$B$75,MIN(71,Cartera_Polizas!$B$97+1-49))*(1+(Cartera_Polizas!$P$97-1)*MAX(0,1-1/Supuestos!$C$20))*(1-Supuestos!$C$18)^1))</f>
        <v>0.673714692266084</v>
      </c>
      <c r="E95" s="29" t="n">
        <f aca="false">D95*(1-MIN(1,INDEX(Tabla_Mortalidad!$B$5:$B$75,MIN(71,Cartera_Polizas!$B$97+2-49))*(1+(Cartera_Polizas!$P$97-1)*MAX(0,1-2/Supuestos!$C$20))*(1-Supuestos!$C$18)^2))</f>
        <v>0.541575129376633</v>
      </c>
      <c r="F95" s="29" t="n">
        <f aca="false">E95*(1-MIN(1,INDEX(Tabla_Mortalidad!$B$5:$B$75,MIN(71,Cartera_Polizas!$B$97+3-49))*(1+(Cartera_Polizas!$P$97-1)*MAX(0,1-3/Supuestos!$C$20))*(1-Supuestos!$C$18)^3))</f>
        <v>0.429048015100741</v>
      </c>
      <c r="G95" s="29" t="n">
        <f aca="false">F95*(1-MIN(1,INDEX(Tabla_Mortalidad!$B$5:$B$75,MIN(71,Cartera_Polizas!$B$97+4-49))*(1+(Cartera_Polizas!$P$97-1)*MAX(0,1-4/Supuestos!$C$20))*(1-Supuestos!$C$18)^4))</f>
        <v>0.3348414864011</v>
      </c>
      <c r="H95" s="29" t="n">
        <f aca="false">G95*(1-MIN(1,INDEX(Tabla_Mortalidad!$B$5:$B$75,MIN(71,Cartera_Polizas!$B$97+5-49))*(1+(Cartera_Polizas!$P$97-1)*MAX(0,1-5/Supuestos!$C$20))*(1-Supuestos!$C$18)^5))</f>
        <v>0.257355543091584</v>
      </c>
      <c r="I95" s="29" t="n">
        <f aca="false">H95*(1-MIN(1,INDEX(Tabla_Mortalidad!$B$5:$B$75,MIN(71,Cartera_Polizas!$B$97+6-49))*(1+(Cartera_Polizas!$P$97-1)*MAX(0,1-6/Supuestos!$C$20))*(1-Supuestos!$C$18)^6))</f>
        <v>0.194774601901383</v>
      </c>
      <c r="J95" s="29" t="n">
        <f aca="false">I95*(1-MIN(1,INDEX(Tabla_Mortalidad!$B$5:$B$75,MIN(71,Cartera_Polizas!$B$97+7-49))*(1+(Cartera_Polizas!$P$97-1)*MAX(0,1-7/Supuestos!$C$20))*(1-Supuestos!$C$18)^7))</f>
        <v>0.145166987589314</v>
      </c>
      <c r="K95" s="29" t="n">
        <f aca="false">J95*(1-MIN(1,INDEX(Tabla_Mortalidad!$B$5:$B$75,MIN(71,Cartera_Polizas!$B$97+8-49))*(1+(Cartera_Polizas!$P$97-1)*MAX(0,1-8/Supuestos!$C$20))*(1-Supuestos!$C$18)^8))</f>
        <v>0.106581779750179</v>
      </c>
      <c r="L95" s="29" t="n">
        <f aca="false">K95*(1-MIN(1,INDEX(Tabla_Mortalidad!$B$5:$B$75,MIN(71,Cartera_Polizas!$B$97+9-49))*(1+(Cartera_Polizas!$P$97-1)*MAX(0,1-9/Supuestos!$C$20))*(1-Supuestos!$C$18)^9))</f>
        <v>0.0771353199854758</v>
      </c>
      <c r="M95" s="29" t="n">
        <f aca="false">L95*(1-MIN(1,INDEX(Tabla_Mortalidad!$B$5:$B$75,MIN(71,Cartera_Polizas!$B$97+10-49))*(1+(Cartera_Polizas!$P$97-1)*MAX(0,1-10/Supuestos!$C$20))*(1-Supuestos!$C$18)^10))</f>
        <v>0.0550828197015007</v>
      </c>
      <c r="N95" s="29" t="n">
        <f aca="false">M95*(1-MIN(1,INDEX(Tabla_Mortalidad!$B$5:$B$75,MIN(71,Cartera_Polizas!$B$97+11-49))*(1+(Cartera_Polizas!$P$97-1)*MAX(0,1-11/Supuestos!$C$20))*(1-Supuestos!$C$18)^11))</f>
        <v>0.0388686009465915</v>
      </c>
      <c r="O95" s="29" t="n">
        <f aca="false">N95*(1-MIN(1,INDEX(Tabla_Mortalidad!$B$5:$B$75,MIN(71,Cartera_Polizas!$B$97+12-49))*(1+(Cartera_Polizas!$P$97-1)*MAX(0,1-12/Supuestos!$C$20))*(1-Supuestos!$C$18)^12))</f>
        <v>0.0271546522107108</v>
      </c>
      <c r="P95" s="29" t="n">
        <f aca="false">O95*(1-MIN(1,INDEX(Tabla_Mortalidad!$B$5:$B$75,MIN(71,Cartera_Polizas!$B$97+13-49))*(1+(Cartera_Polizas!$P$97-1)*MAX(0,1-13/Supuestos!$C$20))*(1-Supuestos!$C$18)^13))</f>
        <v>0.0188294490055057</v>
      </c>
      <c r="Q95" s="29" t="n">
        <f aca="false">P95*(1-MIN(1,INDEX(Tabla_Mortalidad!$B$5:$B$75,MIN(71,Cartera_Polizas!$B$97+14-49))*(1+(Cartera_Polizas!$P$97-1)*MAX(0,1-14/Supuestos!$C$20))*(1-Supuestos!$C$18)^14))</f>
        <v>0.0129995540452349</v>
      </c>
      <c r="R95" s="29" t="n">
        <f aca="false">Q95*(1-MIN(1,INDEX(Tabla_Mortalidad!$B$5:$B$75,MIN(71,Cartera_Polizas!$B$97+15-49))*(1+(Cartera_Polizas!$P$97-1)*MAX(0,1-15/Supuestos!$C$20))*(1-Supuestos!$C$18)^15))</f>
        <v>0.00896893208760144</v>
      </c>
      <c r="S95" s="29" t="n">
        <f aca="false">R95*(1-MIN(1,INDEX(Tabla_Mortalidad!$B$5:$B$75,MIN(71,Cartera_Polizas!$B$97+16-49))*(1+(Cartera_Polizas!$P$97-1)*MAX(0,1-16/Supuestos!$C$20))*(1-Supuestos!$C$18)^16))</f>
        <v>0.00594730430204373</v>
      </c>
      <c r="T95" s="29" t="n">
        <f aca="false">S95*(1-MIN(1,INDEX(Tabla_Mortalidad!$B$5:$B$75,MIN(71,Cartera_Polizas!$B$97+17-49))*(1+(Cartera_Polizas!$P$97-1)*MAX(0,1-17/Supuestos!$C$20))*(1-Supuestos!$C$18)^17))</f>
        <v>0.00377529008363917</v>
      </c>
      <c r="U95" s="29" t="n">
        <f aca="false">T95*(1-MIN(1,INDEX(Tabla_Mortalidad!$B$5:$B$75,MIN(71,Cartera_Polizas!$B$97+18-49))*(1+(Cartera_Polizas!$P$97-1)*MAX(0,1-18/Supuestos!$C$20))*(1-Supuestos!$C$18)^18))</f>
        <v>0.00228446590959706</v>
      </c>
      <c r="V95" s="29" t="n">
        <f aca="false">U95*(1-MIN(1,INDEX(Tabla_Mortalidad!$B$5:$B$75,MIN(71,Cartera_Polizas!$B$97+19-49))*(1+(Cartera_Polizas!$P$97-1)*MAX(0,1-19/Supuestos!$C$20))*(1-Supuestos!$C$18)^19))</f>
        <v>0.00131175347570542</v>
      </c>
      <c r="W95" s="29" t="n">
        <f aca="false">V95*(1-MIN(1,INDEX(Tabla_Mortalidad!$B$5:$B$75,MIN(71,Cartera_Polizas!$B$97+20-49))*(1+(Cartera_Polizas!$P$97-1)*MAX(0,1-20/Supuestos!$C$20))*(1-Supuestos!$C$18)^20))</f>
        <v>0.000711326682355278</v>
      </c>
      <c r="X95" s="29" t="n">
        <f aca="false">W95*(1-MIN(1,INDEX(Tabla_Mortalidad!$B$5:$B$75,MIN(71,Cartera_Polizas!$B$97+21-49))*(1+(Cartera_Polizas!$P$97-1)*MAX(0,1-21/Supuestos!$C$20))*(1-Supuestos!$C$18)^21))</f>
        <v>0.000362459400181489</v>
      </c>
      <c r="Y95" s="29" t="n">
        <f aca="false">X95*(1-MIN(1,INDEX(Tabla_Mortalidad!$B$5:$B$75,MIN(71,Cartera_Polizas!$B$97+22-49))*(1+(Cartera_Polizas!$P$97-1)*MAX(0,1-22/Supuestos!$C$20))*(1-Supuestos!$C$18)^22))</f>
        <v>0.000172658937583253</v>
      </c>
      <c r="Z95" s="29" t="n">
        <f aca="false">Y95*(1-MIN(1,INDEX(Tabla_Mortalidad!$B$5:$B$75,MIN(71,Cartera_Polizas!$B$97+23-49))*(1+(Cartera_Polizas!$P$97-1)*MAX(0,1-23/Supuestos!$C$20))*(1-Supuestos!$C$18)^23))</f>
        <v>7.64921844211689E-005</v>
      </c>
      <c r="AA95" s="29" t="n">
        <f aca="false">Z95*(1-MIN(1,INDEX(Tabla_Mortalidad!$B$5:$B$75,MIN(71,Cartera_Polizas!$B$97+24-49))*(1+(Cartera_Polizas!$P$97-1)*MAX(0,1-24/Supuestos!$C$20))*(1-Supuestos!$C$18)^24))</f>
        <v>3.13596529265634E-005</v>
      </c>
      <c r="AB95" s="29" t="n">
        <f aca="false">AA95*(1-MIN(1,INDEX(Tabla_Mortalidad!$B$5:$B$75,MIN(71,Cartera_Polizas!$B$97+25-49))*(1+(Cartera_Polizas!$P$97-1)*MAX(0,1-25/Supuestos!$C$20))*(1-Supuestos!$C$18)^25))</f>
        <v>1.18425881326004E-005</v>
      </c>
      <c r="AC95" s="29" t="n">
        <f aca="false">AB95*(1-MIN(1,INDEX(Tabla_Mortalidad!$B$5:$B$75,MIN(71,Cartera_Polizas!$B$97+26-49))*(1+(Cartera_Polizas!$P$97-1)*MAX(0,1-26/Supuestos!$C$20))*(1-Supuestos!$C$18)^26))</f>
        <v>4.10337435414784E-006</v>
      </c>
      <c r="AD95" s="29" t="n">
        <f aca="false">AC95*(1-MIN(1,INDEX(Tabla_Mortalidad!$B$5:$B$75,MIN(71,Cartera_Polizas!$B$97+27-49))*(1+(Cartera_Polizas!$P$97-1)*MAX(0,1-27/Supuestos!$C$20))*(1-Supuestos!$C$18)^27))</f>
        <v>1.30084630025486E-006</v>
      </c>
      <c r="AE95" s="29" t="n">
        <f aca="false">AD95*(1-MIN(1,INDEX(Tabla_Mortalidad!$B$5:$B$75,MIN(71,Cartera_Polizas!$B$97+28-49))*(1+(Cartera_Polizas!$P$97-1)*MAX(0,1-28/Supuestos!$C$20))*(1-Supuestos!$C$18)^28))</f>
        <v>3.76827419677562E-007</v>
      </c>
      <c r="AF95" s="29" t="n">
        <f aca="false">AE95*(1-MIN(1,INDEX(Tabla_Mortalidad!$B$5:$B$75,MIN(71,Cartera_Polizas!$B$97+29-49))*(1+(Cartera_Polizas!$P$97-1)*MAX(0,1-29/Supuestos!$C$20))*(1-Supuestos!$C$18)^29))</f>
        <v>9.98212019832767E-008</v>
      </c>
      <c r="AG95" s="29" t="n">
        <f aca="false">AF95*(1-MIN(1,INDEX(Tabla_Mortalidad!$B$5:$B$75,MIN(71,Cartera_Polizas!$B$97+30-49))*(1+(Cartera_Polizas!$P$97-1)*MAX(0,1-30/Supuestos!$C$20))*(1-Supuestos!$C$18)^30))</f>
        <v>2.42602883386394E-008</v>
      </c>
      <c r="AH95" s="29" t="n">
        <f aca="false">AG95*(1-MIN(1,INDEX(Tabla_Mortalidad!$B$5:$B$75,MIN(71,Cartera_Polizas!$B$97+31-49))*(1+(Cartera_Polizas!$P$97-1)*MAX(0,1-31/Supuestos!$C$20))*(1-Supuestos!$C$18)^31))</f>
        <v>5.44288077104308E-009</v>
      </c>
      <c r="AI95" s="29" t="n">
        <f aca="false">AH95*(1-MIN(1,INDEX(Tabla_Mortalidad!$B$5:$B$75,MIN(71,Cartera_Polizas!$B$97+32-49))*(1+(Cartera_Polizas!$P$97-1)*MAX(0,1-32/Supuestos!$C$20))*(1-Supuestos!$C$18)^32))</f>
        <v>1.1375097604631E-009</v>
      </c>
      <c r="AJ95" s="29" t="n">
        <f aca="false">AI95*(1-MIN(1,INDEX(Tabla_Mortalidad!$B$5:$B$75,MIN(71,Cartera_Polizas!$B$97+33-49))*(1+(Cartera_Polizas!$P$97-1)*MAX(0,1-33/Supuestos!$C$20))*(1-Supuestos!$C$18)^33))</f>
        <v>2.24039986079581E-010</v>
      </c>
      <c r="AK95" s="29" t="n">
        <f aca="false">AJ95*(1-MIN(1,INDEX(Tabla_Mortalidad!$B$5:$B$75,MIN(71,Cartera_Polizas!$B$97+34-49))*(1+(Cartera_Polizas!$P$97-1)*MAX(0,1-34/Supuestos!$C$20))*(1-Supuestos!$C$18)^34))</f>
        <v>3.51059151379131E-011</v>
      </c>
      <c r="AL95" s="29" t="n">
        <f aca="false">AK95*(1-MIN(1,INDEX(Tabla_Mortalidad!$B$5:$B$75,MIN(71,Cartera_Polizas!$B$97+35-49))*(1+(Cartera_Polizas!$P$97-1)*MAX(0,1-35/Supuestos!$C$20))*(1-Supuestos!$C$18)^35))</f>
        <v>5.64894158905412E-012</v>
      </c>
      <c r="AM95" s="29" t="n">
        <f aca="false">AL95*(1-MIN(1,INDEX(Tabla_Mortalidad!$B$5:$B$75,MIN(71,Cartera_Polizas!$B$97+36-49))*(1+(Cartera_Polizas!$P$97-1)*MAX(0,1-36/Supuestos!$C$20))*(1-Supuestos!$C$18)^36))</f>
        <v>9.32678853770247E-013</v>
      </c>
      <c r="AN95" s="29" t="n">
        <f aca="false">AM95*(1-MIN(1,INDEX(Tabla_Mortalidad!$B$5:$B$75,MIN(71,Cartera_Polizas!$B$97+37-49))*(1+(Cartera_Polizas!$P$97-1)*MAX(0,1-37/Supuestos!$C$20))*(1-Supuestos!$C$18)^37))</f>
        <v>1.57885087466383E-013</v>
      </c>
      <c r="AO95" s="29" t="n">
        <f aca="false">AN95*(1-MIN(1,INDEX(Tabla_Mortalidad!$B$5:$B$75,MIN(71,Cartera_Polizas!$B$97+38-49))*(1+(Cartera_Polizas!$P$97-1)*MAX(0,1-38/Supuestos!$C$20))*(1-Supuestos!$C$18)^38))</f>
        <v>2.73827830971338E-014</v>
      </c>
      <c r="AP95" s="29" t="n">
        <f aca="false">AO95*(1-MIN(1,INDEX(Tabla_Mortalidad!$B$5:$B$75,MIN(71,Cartera_Polizas!$B$97+39-49))*(1+(Cartera_Polizas!$P$97-1)*MAX(0,1-39/Supuestos!$C$20))*(1-Supuestos!$C$18)^39))</f>
        <v>4.86229829513965E-015</v>
      </c>
      <c r="AQ95" s="29" t="n">
        <f aca="false">AP95*(1-MIN(1,INDEX(Tabla_Mortalidad!$B$5:$B$75,MIN(71,Cartera_Polizas!$B$97+40-49))*(1+(Cartera_Polizas!$P$97-1)*MAX(0,1-40/Supuestos!$C$20))*(1-Supuestos!$C$18)^40))</f>
        <v>8.83381765812629E-016</v>
      </c>
      <c r="AR95" s="29" t="n">
        <f aca="false">AQ95*(1-MIN(1,INDEX(Tabla_Mortalidad!$B$5:$B$75,MIN(71,Cartera_Polizas!$B$97+41-49))*(1+(Cartera_Polizas!$P$97-1)*MAX(0,1-41/Supuestos!$C$20))*(1-Supuestos!$C$18)^41))</f>
        <v>1.6410713767116E-016</v>
      </c>
      <c r="AS95" s="29" t="n">
        <f aca="false">AR95*(1-MIN(1,INDEX(Tabla_Mortalidad!$B$5:$B$75,MIN(71,Cartera_Polizas!$B$97+42-49))*(1+(Cartera_Polizas!$P$97-1)*MAX(0,1-42/Supuestos!$C$20))*(1-Supuestos!$C$18)^42))</f>
        <v>3.11545293346902E-017</v>
      </c>
      <c r="AT95" s="29" t="n">
        <f aca="false">AS95*(1-MIN(1,INDEX(Tabla_Mortalidad!$B$5:$B$75,MIN(71,Cartera_Polizas!$B$97+43-49))*(1+(Cartera_Polizas!$P$97-1)*MAX(0,1-43/Supuestos!$C$20))*(1-Supuestos!$C$18)^43))</f>
        <v>6.04065790078669E-018</v>
      </c>
      <c r="AU95" s="29" t="n">
        <f aca="false">AT95*(1-MIN(1,INDEX(Tabla_Mortalidad!$B$5:$B$75,MIN(71,Cartera_Polizas!$B$97+44-49))*(1+(Cartera_Polizas!$P$97-1)*MAX(0,1-44/Supuestos!$C$20))*(1-Supuestos!$C$18)^44))</f>
        <v>1.19559082416771E-018</v>
      </c>
    </row>
    <row r="96" customFormat="false" ht="15" hidden="false" customHeight="false" outlineLevel="0" collapsed="false">
      <c r="A96" s="14" t="n">
        <f aca="false">Cartera_Polizas!A98</f>
        <v>93</v>
      </c>
      <c r="B96" s="26" t="n">
        <f aca="false">SUM(C96:AU96)+0.5</f>
        <v>10.2127984188882</v>
      </c>
      <c r="C96" s="29" t="n">
        <f aca="false">1-MIN(1,INDEX(Tabla_Mortalidad!$B$5:$B$75,MIN(71,Cartera_Polizas!$B$98+0-49))*(1+(Cartera_Polizas!$P$98-1)*MAX(0,1-0/Supuestos!$C$20))*(1-Supuestos!$C$18)^0)</f>
        <v>0.9602168975</v>
      </c>
      <c r="D96" s="29" t="n">
        <f aca="false">C96*(1-MIN(1,INDEX(Tabla_Mortalidad!$B$5:$B$75,MIN(71,Cartera_Polizas!$B$98+1-49))*(1+(Cartera_Polizas!$P$98-1)*MAX(0,1-1/Supuestos!$C$20))*(1-Supuestos!$C$18)^1))</f>
        <v>0.917593112407662</v>
      </c>
      <c r="E96" s="29" t="n">
        <f aca="false">D96*(1-MIN(1,INDEX(Tabla_Mortalidad!$B$5:$B$75,MIN(71,Cartera_Polizas!$B$98+2-49))*(1+(Cartera_Polizas!$P$98-1)*MAX(0,1-2/Supuestos!$C$20))*(1-Supuestos!$C$18)^2))</f>
        <v>0.872160265027687</v>
      </c>
      <c r="F96" s="29" t="n">
        <f aca="false">E96*(1-MIN(1,INDEX(Tabla_Mortalidad!$B$5:$B$75,MIN(71,Cartera_Polizas!$B$98+3-49))*(1+(Cartera_Polizas!$P$98-1)*MAX(0,1-3/Supuestos!$C$20))*(1-Supuestos!$C$18)^3))</f>
        <v>0.824012227404472</v>
      </c>
      <c r="G96" s="29" t="n">
        <f aca="false">F96*(1-MIN(1,INDEX(Tabla_Mortalidad!$B$5:$B$75,MIN(71,Cartera_Polizas!$B$98+4-49))*(1+(Cartera_Polizas!$P$98-1)*MAX(0,1-4/Supuestos!$C$20))*(1-Supuestos!$C$18)^4))</f>
        <v>0.773313958763366</v>
      </c>
      <c r="H96" s="29" t="n">
        <f aca="false">G96*(1-MIN(1,INDEX(Tabla_Mortalidad!$B$5:$B$75,MIN(71,Cartera_Polizas!$B$98+5-49))*(1+(Cartera_Polizas!$P$98-1)*MAX(0,1-5/Supuestos!$C$20))*(1-Supuestos!$C$18)^5))</f>
        <v>0.720311193782499</v>
      </c>
      <c r="I96" s="29" t="n">
        <f aca="false">H96*(1-MIN(1,INDEX(Tabla_Mortalidad!$B$5:$B$75,MIN(71,Cartera_Polizas!$B$98+6-49))*(1+(Cartera_Polizas!$P$98-1)*MAX(0,1-6/Supuestos!$C$20))*(1-Supuestos!$C$18)^6))</f>
        <v>0.665342393957547</v>
      </c>
      <c r="J96" s="29" t="n">
        <f aca="false">I96*(1-MIN(1,INDEX(Tabla_Mortalidad!$B$5:$B$75,MIN(71,Cartera_Polizas!$B$98+7-49))*(1+(Cartera_Polizas!$P$98-1)*MAX(0,1-7/Supuestos!$C$20))*(1-Supuestos!$C$18)^7))</f>
        <v>0.608840877342828</v>
      </c>
      <c r="K96" s="29" t="n">
        <f aca="false">J96*(1-MIN(1,INDEX(Tabla_Mortalidad!$B$5:$B$75,MIN(71,Cartera_Polizas!$B$98+8-49))*(1+(Cartera_Polizas!$P$98-1)*MAX(0,1-8/Supuestos!$C$20))*(1-Supuestos!$C$18)^8))</f>
        <v>0.551341431812733</v>
      </c>
      <c r="L96" s="29" t="n">
        <f aca="false">K96*(1-MIN(1,INDEX(Tabla_Mortalidad!$B$5:$B$75,MIN(71,Cartera_Polizas!$B$98+9-49))*(1+(Cartera_Polizas!$P$98-1)*MAX(0,1-9/Supuestos!$C$20))*(1-Supuestos!$C$18)^9))</f>
        <v>0.493474459519628</v>
      </c>
      <c r="M96" s="29" t="n">
        <f aca="false">L96*(1-MIN(1,INDEX(Tabla_Mortalidad!$B$5:$B$75,MIN(71,Cartera_Polizas!$B$98+10-49))*(1+(Cartera_Polizas!$P$98-1)*MAX(0,1-10/Supuestos!$C$20))*(1-Supuestos!$C$18)^10))</f>
        <v>0.435957004708061</v>
      </c>
      <c r="N96" s="29" t="n">
        <f aca="false">M96*(1-MIN(1,INDEX(Tabla_Mortalidad!$B$5:$B$75,MIN(71,Cartera_Polizas!$B$98+11-49))*(1+(Cartera_Polizas!$P$98-1)*MAX(0,1-11/Supuestos!$C$20))*(1-Supuestos!$C$18)^11))</f>
        <v>0.379574400694172</v>
      </c>
      <c r="O96" s="29" t="n">
        <f aca="false">N96*(1-MIN(1,INDEX(Tabla_Mortalidad!$B$5:$B$75,MIN(71,Cartera_Polizas!$B$98+12-49))*(1+(Cartera_Polizas!$P$98-1)*MAX(0,1-12/Supuestos!$C$20))*(1-Supuestos!$C$18)^12))</f>
        <v>0.325153243960829</v>
      </c>
      <c r="P96" s="29" t="n">
        <f aca="false">O96*(1-MIN(1,INDEX(Tabla_Mortalidad!$B$5:$B$75,MIN(71,Cartera_Polizas!$B$98+13-49))*(1+(Cartera_Polizas!$P$98-1)*MAX(0,1-13/Supuestos!$C$20))*(1-Supuestos!$C$18)^13))</f>
        <v>0.273524895165664</v>
      </c>
      <c r="Q96" s="29" t="n">
        <f aca="false">P96*(1-MIN(1,INDEX(Tabla_Mortalidad!$B$5:$B$75,MIN(71,Cartera_Polizas!$B$98+14-49))*(1+(Cartera_Polizas!$P$98-1)*MAX(0,1-14/Supuestos!$C$20))*(1-Supuestos!$C$18)^14))</f>
        <v>0.225480216937255</v>
      </c>
      <c r="R96" s="29" t="n">
        <f aca="false">Q96*(1-MIN(1,INDEX(Tabla_Mortalidad!$B$5:$B$75,MIN(71,Cartera_Polizas!$B$98+15-49))*(1+(Cartera_Polizas!$P$98-1)*MAX(0,1-15/Supuestos!$C$20))*(1-Supuestos!$C$18)^15))</f>
        <v>0.181720713705074</v>
      </c>
      <c r="S96" s="29" t="n">
        <f aca="false">R96*(1-MIN(1,INDEX(Tabla_Mortalidad!$B$5:$B$75,MIN(71,Cartera_Polizas!$B$98+16-49))*(1+(Cartera_Polizas!$P$98-1)*MAX(0,1-16/Supuestos!$C$20))*(1-Supuestos!$C$18)^16))</f>
        <v>0.14305905766913</v>
      </c>
      <c r="T96" s="29" t="n">
        <f aca="false">S96*(1-MIN(1,INDEX(Tabla_Mortalidad!$B$5:$B$75,MIN(71,Cartera_Polizas!$B$98+17-49))*(1+(Cartera_Polizas!$P$98-1)*MAX(0,1-17/Supuestos!$C$20))*(1-Supuestos!$C$18)^17))</f>
        <v>0.109741295850573</v>
      </c>
      <c r="U96" s="29" t="n">
        <f aca="false">T96*(1-MIN(1,INDEX(Tabla_Mortalidad!$B$5:$B$75,MIN(71,Cartera_Polizas!$B$98+18-49))*(1+(Cartera_Polizas!$P$98-1)*MAX(0,1-18/Supuestos!$C$20))*(1-Supuestos!$C$18)^18))</f>
        <v>0.0818080476203269</v>
      </c>
      <c r="V96" s="29" t="n">
        <f aca="false">U96*(1-MIN(1,INDEX(Tabla_Mortalidad!$B$5:$B$75,MIN(71,Cartera_Polizas!$B$98+19-49))*(1+(Cartera_Polizas!$P$98-1)*MAX(0,1-19/Supuestos!$C$20))*(1-Supuestos!$C$18)^19))</f>
        <v>0.0590899559222227</v>
      </c>
      <c r="W96" s="29" t="n">
        <f aca="false">V96*(1-MIN(1,INDEX(Tabla_Mortalidad!$B$5:$B$75,MIN(71,Cartera_Polizas!$B$98+20-49))*(1+(Cartera_Polizas!$P$98-1)*MAX(0,1-20/Supuestos!$C$20))*(1-Supuestos!$C$18)^20))</f>
        <v>0.0412220901083296</v>
      </c>
      <c r="X96" s="29" t="n">
        <f aca="false">W96*(1-MIN(1,INDEX(Tabla_Mortalidad!$B$5:$B$75,MIN(71,Cartera_Polizas!$B$98+21-49))*(1+(Cartera_Polizas!$P$98-1)*MAX(0,1-21/Supuestos!$C$20))*(1-Supuestos!$C$18)^21))</f>
        <v>0.0276781307509423</v>
      </c>
      <c r="Y96" s="29" t="n">
        <f aca="false">X96*(1-MIN(1,INDEX(Tabla_Mortalidad!$B$5:$B$75,MIN(71,Cartera_Polizas!$B$98+22-49))*(1+(Cartera_Polizas!$P$98-1)*MAX(0,1-22/Supuestos!$C$20))*(1-Supuestos!$C$18)^22))</f>
        <v>0.0178199979602666</v>
      </c>
      <c r="Z96" s="29" t="n">
        <f aca="false">Y96*(1-MIN(1,INDEX(Tabla_Mortalidad!$B$5:$B$75,MIN(71,Cartera_Polizas!$B$98+23-49))*(1+(Cartera_Polizas!$P$98-1)*MAX(0,1-23/Supuestos!$C$20))*(1-Supuestos!$C$18)^23))</f>
        <v>0.0109572325650772</v>
      </c>
      <c r="AA96" s="29" t="n">
        <f aca="false">Z96*(1-MIN(1,INDEX(Tabla_Mortalidad!$B$5:$B$75,MIN(71,Cartera_Polizas!$B$98+24-49))*(1+(Cartera_Polizas!$P$98-1)*MAX(0,1-24/Supuestos!$C$20))*(1-Supuestos!$C$18)^24))</f>
        <v>0.00640718361312477</v>
      </c>
      <c r="AB96" s="29" t="n">
        <f aca="false">AA96*(1-MIN(1,INDEX(Tabla_Mortalidad!$B$5:$B$75,MIN(71,Cartera_Polizas!$B$98+25-49))*(1+(Cartera_Polizas!$P$98-1)*MAX(0,1-25/Supuestos!$C$20))*(1-Supuestos!$C$18)^25))</f>
        <v>0.0035470230514632</v>
      </c>
      <c r="AC96" s="29" t="n">
        <f aca="false">AB96*(1-MIN(1,INDEX(Tabla_Mortalidad!$B$5:$B$75,MIN(71,Cartera_Polizas!$B$98+26-49))*(1+(Cartera_Polizas!$P$98-1)*MAX(0,1-26/Supuestos!$C$20))*(1-Supuestos!$C$18)^26))</f>
        <v>0.00185045784232851</v>
      </c>
      <c r="AD96" s="29" t="n">
        <f aca="false">AC96*(1-MIN(1,INDEX(Tabla_Mortalidad!$B$5:$B$75,MIN(71,Cartera_Polizas!$B$98+27-49))*(1+(Cartera_Polizas!$P$98-1)*MAX(0,1-27/Supuestos!$C$20))*(1-Supuestos!$C$18)^27))</f>
        <v>0.000905456341549242</v>
      </c>
      <c r="AE96" s="29" t="n">
        <f aca="false">AD96*(1-MIN(1,INDEX(Tabla_Mortalidad!$B$5:$B$75,MIN(71,Cartera_Polizas!$B$98+28-49))*(1+(Cartera_Polizas!$P$98-1)*MAX(0,1-28/Supuestos!$C$20))*(1-Supuestos!$C$18)^28))</f>
        <v>0.000413622047301324</v>
      </c>
      <c r="AF96" s="29" t="n">
        <f aca="false">AE96*(1-MIN(1,INDEX(Tabla_Mortalidad!$B$5:$B$75,MIN(71,Cartera_Polizas!$B$98+29-49))*(1+(Cartera_Polizas!$P$98-1)*MAX(0,1-29/Supuestos!$C$20))*(1-Supuestos!$C$18)^29))</f>
        <v>0.000175613960088564</v>
      </c>
      <c r="AG96" s="29" t="n">
        <f aca="false">AF96*(1-MIN(1,INDEX(Tabla_Mortalidad!$B$5:$B$75,MIN(71,Cartera_Polizas!$B$98+30-49))*(1+(Cartera_Polizas!$P$98-1)*MAX(0,1-30/Supuestos!$C$20))*(1-Supuestos!$C$18)^30))</f>
        <v>6.90236571512352E-005</v>
      </c>
      <c r="AH96" s="29" t="n">
        <f aca="false">AG96*(1-MIN(1,INDEX(Tabla_Mortalidad!$B$5:$B$75,MIN(71,Cartera_Polizas!$B$98+31-49))*(1+(Cartera_Polizas!$P$98-1)*MAX(0,1-31/Supuestos!$C$20))*(1-Supuestos!$C$18)^31))</f>
        <v>2.50326821371215E-005</v>
      </c>
      <c r="AI96" s="29" t="n">
        <f aca="false">AH96*(1-MIN(1,INDEX(Tabla_Mortalidad!$B$5:$B$75,MIN(71,Cartera_Polizas!$B$98+32-49))*(1+(Cartera_Polizas!$P$98-1)*MAX(0,1-32/Supuestos!$C$20))*(1-Supuestos!$C$18)^32))</f>
        <v>8.35899618412465E-006</v>
      </c>
      <c r="AJ96" s="29" t="n">
        <f aca="false">AI96*(1-MIN(1,INDEX(Tabla_Mortalidad!$B$5:$B$75,MIN(71,Cartera_Polizas!$B$98+33-49))*(1+(Cartera_Polizas!$P$98-1)*MAX(0,1-33/Supuestos!$C$20))*(1-Supuestos!$C$18)^33))</f>
        <v>2.56838519898509E-006</v>
      </c>
      <c r="AK96" s="29" t="n">
        <f aca="false">AJ96*(1-MIN(1,INDEX(Tabla_Mortalidad!$B$5:$B$75,MIN(71,Cartera_Polizas!$B$98+34-49))*(1+(Cartera_Polizas!$P$98-1)*MAX(0,1-34/Supuestos!$C$20))*(1-Supuestos!$C$18)^34))</f>
        <v>7.27093551543772E-007</v>
      </c>
      <c r="AL96" s="29" t="n">
        <f aca="false">AK96*(1-MIN(1,INDEX(Tabla_Mortalidad!$B$5:$B$75,MIN(71,Cartera_Polizas!$B$98+35-49))*(1+(Cartera_Polizas!$P$98-1)*MAX(0,1-35/Supuestos!$C$20))*(1-Supuestos!$C$18)^35))</f>
        <v>1.90333603469638E-007</v>
      </c>
      <c r="AM96" s="29" t="n">
        <f aca="false">AL96*(1-MIN(1,INDEX(Tabla_Mortalidad!$B$5:$B$75,MIN(71,Cartera_Polizas!$B$98+36-49))*(1+(Cartera_Polizas!$P$98-1)*MAX(0,1-36/Supuestos!$C$20))*(1-Supuestos!$C$18)^36))</f>
        <v>4.63560774307409E-008</v>
      </c>
      <c r="AN96" s="29" t="n">
        <f aca="false">AM96*(1-MIN(1,INDEX(Tabla_Mortalidad!$B$5:$B$75,MIN(71,Cartera_Polizas!$B$98+37-49))*(1+(Cartera_Polizas!$P$98-1)*MAX(0,1-37/Supuestos!$C$20))*(1-Supuestos!$C$18)^37))</f>
        <v>1.05955558430603E-008</v>
      </c>
      <c r="AO96" s="29" t="n">
        <f aca="false">AN96*(1-MIN(1,INDEX(Tabla_Mortalidad!$B$5:$B$75,MIN(71,Cartera_Polizas!$B$98+38-49))*(1+(Cartera_Polizas!$P$98-1)*MAX(0,1-38/Supuestos!$C$20))*(1-Supuestos!$C$18)^38))</f>
        <v>2.29746474512825E-009</v>
      </c>
      <c r="AP96" s="29" t="n">
        <f aca="false">AO96*(1-MIN(1,INDEX(Tabla_Mortalidad!$B$5:$B$75,MIN(71,Cartera_Polizas!$B$98+39-49))*(1+(Cartera_Polizas!$P$98-1)*MAX(0,1-39/Supuestos!$C$20))*(1-Supuestos!$C$18)^39))</f>
        <v>4.07955570978826E-010</v>
      </c>
      <c r="AQ96" s="29" t="n">
        <f aca="false">AP96*(1-MIN(1,INDEX(Tabla_Mortalidad!$B$5:$B$75,MIN(71,Cartera_Polizas!$B$98+40-49))*(1+(Cartera_Polizas!$P$98-1)*MAX(0,1-40/Supuestos!$C$20))*(1-Supuestos!$C$18)^40))</f>
        <v>7.4117318763559E-011</v>
      </c>
      <c r="AR96" s="29" t="n">
        <f aca="false">AQ96*(1-MIN(1,INDEX(Tabla_Mortalidad!$B$5:$B$75,MIN(71,Cartera_Polizas!$B$98+41-49))*(1+(Cartera_Polizas!$P$98-1)*MAX(0,1-41/Supuestos!$C$20))*(1-Supuestos!$C$18)^41))</f>
        <v>1.37688839693896E-011</v>
      </c>
      <c r="AS96" s="29" t="n">
        <f aca="false">AR96*(1-MIN(1,INDEX(Tabla_Mortalidad!$B$5:$B$75,MIN(71,Cartera_Polizas!$B$98+42-49))*(1+(Cartera_Polizas!$P$98-1)*MAX(0,1-42/Supuestos!$C$20))*(1-Supuestos!$C$18)^42))</f>
        <v>2.61392103730343E-012</v>
      </c>
      <c r="AT96" s="29" t="n">
        <f aca="false">AS96*(1-MIN(1,INDEX(Tabla_Mortalidad!$B$5:$B$75,MIN(71,Cartera_Polizas!$B$98+43-49))*(1+(Cartera_Polizas!$P$98-1)*MAX(0,1-43/Supuestos!$C$20))*(1-Supuestos!$C$18)^43))</f>
        <v>5.06822060971973E-013</v>
      </c>
      <c r="AU96" s="29" t="n">
        <f aca="false">AT96*(1-MIN(1,INDEX(Tabla_Mortalidad!$B$5:$B$75,MIN(71,Cartera_Polizas!$B$98+44-49))*(1+(Cartera_Polizas!$P$98-1)*MAX(0,1-44/Supuestos!$C$20))*(1-Supuestos!$C$18)^44))</f>
        <v>1.00312220214448E-013</v>
      </c>
    </row>
    <row r="97" customFormat="false" ht="15" hidden="false" customHeight="false" outlineLevel="0" collapsed="false">
      <c r="A97" s="14" t="n">
        <f aca="false">Cartera_Polizas!A99</f>
        <v>94</v>
      </c>
      <c r="B97" s="26" t="n">
        <f aca="false">SUM(C97:AU97)+0.5</f>
        <v>5.83694211076874</v>
      </c>
      <c r="C97" s="29" t="n">
        <f aca="false">1-MIN(1,INDEX(Tabla_Mortalidad!$B$5:$B$75,MIN(71,Cartera_Polizas!$B$99+0-49))*(1+(Cartera_Polizas!$P$99-1)*MAX(0,1-0/Supuestos!$C$20))*(1-Supuestos!$C$18)^0)</f>
        <v>0.89562475</v>
      </c>
      <c r="D97" s="29" t="n">
        <f aca="false">C97*(1-MIN(1,INDEX(Tabla_Mortalidad!$B$5:$B$75,MIN(71,Cartera_Polizas!$B$99+1-49))*(1+(Cartera_Polizas!$P$99-1)*MAX(0,1-1/Supuestos!$C$20))*(1-Supuestos!$C$18)^1))</f>
        <v>0.793136991561073</v>
      </c>
      <c r="E97" s="29" t="n">
        <f aca="false">D97*(1-MIN(1,INDEX(Tabla_Mortalidad!$B$5:$B$75,MIN(71,Cartera_Polizas!$B$99+2-49))*(1+(Cartera_Polizas!$P$99-1)*MAX(0,1-2/Supuestos!$C$20))*(1-Supuestos!$C$18)^2))</f>
        <v>0.69370096131033</v>
      </c>
      <c r="F97" s="29" t="n">
        <f aca="false">E97*(1-MIN(1,INDEX(Tabla_Mortalidad!$B$5:$B$75,MIN(71,Cartera_Polizas!$B$99+3-49))*(1+(Cartera_Polizas!$P$99-1)*MAX(0,1-3/Supuestos!$C$20))*(1-Supuestos!$C$18)^3))</f>
        <v>0.598489896436146</v>
      </c>
      <c r="G97" s="29" t="n">
        <f aca="false">F97*(1-MIN(1,INDEX(Tabla_Mortalidad!$B$5:$B$75,MIN(71,Cartera_Polizas!$B$99+4-49))*(1+(Cartera_Polizas!$P$99-1)*MAX(0,1-4/Supuestos!$C$20))*(1-Supuestos!$C$18)^4))</f>
        <v>0.50863788155445</v>
      </c>
      <c r="H97" s="29" t="n">
        <f aca="false">G97*(1-MIN(1,INDEX(Tabla_Mortalidad!$B$5:$B$75,MIN(71,Cartera_Polizas!$B$99+5-49))*(1+(Cartera_Polizas!$P$99-1)*MAX(0,1-5/Supuestos!$C$20))*(1-Supuestos!$C$18)^5))</f>
        <v>0.425186698406697</v>
      </c>
      <c r="I97" s="29" t="n">
        <f aca="false">H97*(1-MIN(1,INDEX(Tabla_Mortalidad!$B$5:$B$75,MIN(71,Cartera_Polizas!$B$99+6-49))*(1+(Cartera_Polizas!$P$99-1)*MAX(0,1-6/Supuestos!$C$20))*(1-Supuestos!$C$18)^6))</f>
        <v>0.349029745351597</v>
      </c>
      <c r="J97" s="29" t="n">
        <f aca="false">I97*(1-MIN(1,INDEX(Tabla_Mortalidad!$B$5:$B$75,MIN(71,Cartera_Polizas!$B$99+7-49))*(1+(Cartera_Polizas!$P$99-1)*MAX(0,1-7/Supuestos!$C$20))*(1-Supuestos!$C$18)^7))</f>
        <v>0.280857098488046</v>
      </c>
      <c r="K97" s="29" t="n">
        <f aca="false">J97*(1-MIN(1,INDEX(Tabla_Mortalidad!$B$5:$B$75,MIN(71,Cartera_Polizas!$B$99+8-49))*(1+(Cartera_Polizas!$P$99-1)*MAX(0,1-8/Supuestos!$C$20))*(1-Supuestos!$C$18)^8))</f>
        <v>0.221110903251136</v>
      </c>
      <c r="L97" s="29" t="n">
        <f aca="false">K97*(1-MIN(1,INDEX(Tabla_Mortalidad!$B$5:$B$75,MIN(71,Cartera_Polizas!$B$99+9-49))*(1+(Cartera_Polizas!$P$99-1)*MAX(0,1-9/Supuestos!$C$20))*(1-Supuestos!$C$18)^9))</f>
        <v>0.169952861571538</v>
      </c>
      <c r="M97" s="29" t="n">
        <f aca="false">L97*(1-MIN(1,INDEX(Tabla_Mortalidad!$B$5:$B$75,MIN(71,Cartera_Polizas!$B$99+10-49))*(1+(Cartera_Polizas!$P$99-1)*MAX(0,1-10/Supuestos!$C$20))*(1-Supuestos!$C$18)^10))</f>
        <v>0.12725008223155</v>
      </c>
      <c r="N97" s="29" t="n">
        <f aca="false">M97*(1-MIN(1,INDEX(Tabla_Mortalidad!$B$5:$B$75,MIN(71,Cartera_Polizas!$B$99+11-49))*(1+(Cartera_Polizas!$P$99-1)*MAX(0,1-11/Supuestos!$C$20))*(1-Supuestos!$C$18)^11))</f>
        <v>0.0925853138942663</v>
      </c>
      <c r="O97" s="29" t="n">
        <f aca="false">N97*(1-MIN(1,INDEX(Tabla_Mortalidad!$B$5:$B$75,MIN(71,Cartera_Polizas!$B$99+12-49))*(1+(Cartera_Polizas!$P$99-1)*MAX(0,1-12/Supuestos!$C$20))*(1-Supuestos!$C$18)^12))</f>
        <v>0.0652904945955768</v>
      </c>
      <c r="P97" s="29" t="n">
        <f aca="false">O97*(1-MIN(1,INDEX(Tabla_Mortalidad!$B$5:$B$75,MIN(71,Cartera_Polizas!$B$99+13-49))*(1+(Cartera_Polizas!$P$99-1)*MAX(0,1-13/Supuestos!$C$20))*(1-Supuestos!$C$18)^13))</f>
        <v>0.0445018586331982</v>
      </c>
      <c r="Q97" s="29" t="n">
        <f aca="false">P97*(1-MIN(1,INDEX(Tabla_Mortalidad!$B$5:$B$75,MIN(71,Cartera_Polizas!$B$99+14-49))*(1+(Cartera_Polizas!$P$99-1)*MAX(0,1-14/Supuestos!$C$20))*(1-Supuestos!$C$18)^14))</f>
        <v>0.0292319533774058</v>
      </c>
      <c r="R97" s="29" t="n">
        <f aca="false">Q97*(1-MIN(1,INDEX(Tabla_Mortalidad!$B$5:$B$75,MIN(71,Cartera_Polizas!$B$99+15-49))*(1+(Cartera_Polizas!$P$99-1)*MAX(0,1-15/Supuestos!$C$20))*(1-Supuestos!$C$18)^15))</f>
        <v>0.0184485915118966</v>
      </c>
      <c r="S97" s="29" t="n">
        <f aca="false">R97*(1-MIN(1,INDEX(Tabla_Mortalidad!$B$5:$B$75,MIN(71,Cartera_Polizas!$B$99+16-49))*(1+(Cartera_Polizas!$P$99-1)*MAX(0,1-16/Supuestos!$C$20))*(1-Supuestos!$C$18)^16))</f>
        <v>0.0110900261412192</v>
      </c>
      <c r="T97" s="29" t="n">
        <f aca="false">S97*(1-MIN(1,INDEX(Tabla_Mortalidad!$B$5:$B$75,MIN(71,Cartera_Polizas!$B$99+17-49))*(1+(Cartera_Polizas!$P$99-1)*MAX(0,1-17/Supuestos!$C$20))*(1-Supuestos!$C$18)^17))</f>
        <v>0.00632037962547941</v>
      </c>
      <c r="U97" s="29" t="n">
        <f aca="false">T97*(1-MIN(1,INDEX(Tabla_Mortalidad!$B$5:$B$75,MIN(71,Cartera_Polizas!$B$99+18-49))*(1+(Cartera_Polizas!$P$99-1)*MAX(0,1-18/Supuestos!$C$20))*(1-Supuestos!$C$18)^18))</f>
        <v>0.00339821389557934</v>
      </c>
      <c r="V97" s="29" t="n">
        <f aca="false">U97*(1-MIN(1,INDEX(Tabla_Mortalidad!$B$5:$B$75,MIN(71,Cartera_Polizas!$B$99+19-49))*(1+(Cartera_Polizas!$P$99-1)*MAX(0,1-19/Supuestos!$C$20))*(1-Supuestos!$C$18)^19))</f>
        <v>0.00171478145437753</v>
      </c>
      <c r="W97" s="29" t="n">
        <f aca="false">V97*(1-MIN(1,INDEX(Tabla_Mortalidad!$B$5:$B$75,MIN(71,Cartera_Polizas!$B$99+20-49))*(1+(Cartera_Polizas!$P$99-1)*MAX(0,1-20/Supuestos!$C$20))*(1-Supuestos!$C$18)^20))</f>
        <v>0.000807795596116013</v>
      </c>
      <c r="X97" s="29" t="n">
        <f aca="false">W97*(1-MIN(1,INDEX(Tabla_Mortalidad!$B$5:$B$75,MIN(71,Cartera_Polizas!$B$99+21-49))*(1+(Cartera_Polizas!$P$99-1)*MAX(0,1-21/Supuestos!$C$20))*(1-Supuestos!$C$18)^21))</f>
        <v>0.000353340258274117</v>
      </c>
      <c r="Y97" s="29" t="n">
        <f aca="false">X97*(1-MIN(1,INDEX(Tabla_Mortalidad!$B$5:$B$75,MIN(71,Cartera_Polizas!$B$99+22-49))*(1+(Cartera_Polizas!$P$99-1)*MAX(0,1-22/Supuestos!$C$20))*(1-Supuestos!$C$18)^22))</f>
        <v>0.000142759060739505</v>
      </c>
      <c r="Z97" s="29" t="n">
        <f aca="false">Y97*(1-MIN(1,INDEX(Tabla_Mortalidad!$B$5:$B$75,MIN(71,Cartera_Polizas!$B$99+23-49))*(1+(Cartera_Polizas!$P$99-1)*MAX(0,1-23/Supuestos!$C$20))*(1-Supuestos!$C$18)^23))</f>
        <v>5.30160207553329E-005</v>
      </c>
      <c r="AA97" s="29" t="n">
        <f aca="false">Z97*(1-MIN(1,INDEX(Tabla_Mortalidad!$B$5:$B$75,MIN(71,Cartera_Polizas!$B$99+24-49))*(1+(Cartera_Polizas!$P$99-1)*MAX(0,1-24/Supuestos!$C$20))*(1-Supuestos!$C$18)^24))</f>
        <v>1.80206028647466E-005</v>
      </c>
      <c r="AB97" s="29" t="n">
        <f aca="false">AA97*(1-MIN(1,INDEX(Tabla_Mortalidad!$B$5:$B$75,MIN(71,Cartera_Polizas!$B$99+25-49))*(1+(Cartera_Polizas!$P$99-1)*MAX(0,1-25/Supuestos!$C$20))*(1-Supuestos!$C$18)^25))</f>
        <v>5.5888610156279E-006</v>
      </c>
      <c r="AC97" s="29" t="n">
        <f aca="false">AB97*(1-MIN(1,INDEX(Tabla_Mortalidad!$B$5:$B$75,MIN(71,Cartera_Polizas!$B$99+26-49))*(1+(Cartera_Polizas!$P$99-1)*MAX(0,1-26/Supuestos!$C$20))*(1-Supuestos!$C$18)^26))</f>
        <v>1.57897518694943E-006</v>
      </c>
      <c r="AD97" s="29" t="n">
        <f aca="false">AC97*(1-MIN(1,INDEX(Tabla_Mortalidad!$B$5:$B$75,MIN(71,Cartera_Polizas!$B$99+27-49))*(1+(Cartera_Polizas!$P$99-1)*MAX(0,1-27/Supuestos!$C$20))*(1-Supuestos!$C$18)^27))</f>
        <v>4.06574228957584E-007</v>
      </c>
      <c r="AE97" s="29" t="n">
        <f aca="false">AD97*(1-MIN(1,INDEX(Tabla_Mortalidad!$B$5:$B$75,MIN(71,Cartera_Polizas!$B$99+28-49))*(1+(Cartera_Polizas!$P$99-1)*MAX(0,1-28/Supuestos!$C$20))*(1-Supuestos!$C$18)^28))</f>
        <v>9.57119038094661E-008</v>
      </c>
      <c r="AF97" s="29" t="n">
        <f aca="false">AE97*(1-MIN(1,INDEX(Tabla_Mortalidad!$B$5:$B$75,MIN(71,Cartera_Polizas!$B$99+29-49))*(1+(Cartera_Polizas!$P$99-1)*MAX(0,1-29/Supuestos!$C$20))*(1-Supuestos!$C$18)^29))</f>
        <v>2.07253100138629E-008</v>
      </c>
      <c r="AG97" s="29" t="n">
        <f aca="false">AF97*(1-MIN(1,INDEX(Tabla_Mortalidad!$B$5:$B$75,MIN(71,Cartera_Polizas!$B$99+30-49))*(1+(Cartera_Polizas!$P$99-1)*MAX(0,1-30/Supuestos!$C$20))*(1-Supuestos!$C$18)^30))</f>
        <v>4.16621358014552E-009</v>
      </c>
      <c r="AH97" s="29" t="n">
        <f aca="false">AG97*(1-MIN(1,INDEX(Tabla_Mortalidad!$B$5:$B$75,MIN(71,Cartera_Polizas!$B$99+31-49))*(1+(Cartera_Polizas!$P$99-1)*MAX(0,1-31/Supuestos!$C$20))*(1-Supuestos!$C$18)^31))</f>
        <v>7.86853896762994E-010</v>
      </c>
      <c r="AI97" s="29" t="n">
        <f aca="false">AH97*(1-MIN(1,INDEX(Tabla_Mortalidad!$B$5:$B$75,MIN(71,Cartera_Polizas!$B$99+32-49))*(1+(Cartera_Polizas!$P$99-1)*MAX(0,1-32/Supuestos!$C$20))*(1-Supuestos!$C$18)^32))</f>
        <v>1.16610284266496E-010</v>
      </c>
      <c r="AJ97" s="29" t="n">
        <f aca="false">AI97*(1-MIN(1,INDEX(Tabla_Mortalidad!$B$5:$B$75,MIN(71,Cartera_Polizas!$B$99+33-49))*(1+(Cartera_Polizas!$P$99-1)*MAX(0,1-33/Supuestos!$C$20))*(1-Supuestos!$C$18)^33))</f>
        <v>1.77780715647033E-011</v>
      </c>
      <c r="AK97" s="29" t="n">
        <f aca="false">AJ97*(1-MIN(1,INDEX(Tabla_Mortalidad!$B$5:$B$75,MIN(71,Cartera_Polizas!$B$99+34-49))*(1+(Cartera_Polizas!$P$99-1)*MAX(0,1-34/Supuestos!$C$20))*(1-Supuestos!$C$18)^34))</f>
        <v>2.78573250510973E-012</v>
      </c>
      <c r="AL97" s="29" t="n">
        <f aca="false">AK97*(1-MIN(1,INDEX(Tabla_Mortalidad!$B$5:$B$75,MIN(71,Cartera_Polizas!$B$99+35-49))*(1+(Cartera_Polizas!$P$99-1)*MAX(0,1-35/Supuestos!$C$20))*(1-Supuestos!$C$18)^35))</f>
        <v>4.48256088533054E-013</v>
      </c>
      <c r="AM97" s="29" t="n">
        <f aca="false">AL97*(1-MIN(1,INDEX(Tabla_Mortalidad!$B$5:$B$75,MIN(71,Cartera_Polizas!$B$99+36-49))*(1+(Cartera_Polizas!$P$99-1)*MAX(0,1-36/Supuestos!$C$20))*(1-Supuestos!$C$18)^36))</f>
        <v>7.40101430077891E-014</v>
      </c>
      <c r="AN97" s="29" t="n">
        <f aca="false">AM97*(1-MIN(1,INDEX(Tabla_Mortalidad!$B$5:$B$75,MIN(71,Cartera_Polizas!$B$99+37-49))*(1+(Cartera_Polizas!$P$99-1)*MAX(0,1-37/Supuestos!$C$20))*(1-Supuestos!$C$18)^37))</f>
        <v>1.25285331118516E-014</v>
      </c>
      <c r="AO97" s="29" t="n">
        <f aca="false">AN97*(1-MIN(1,INDEX(Tabla_Mortalidad!$B$5:$B$75,MIN(71,Cartera_Polizas!$B$99+38-49))*(1+(Cartera_Polizas!$P$99-1)*MAX(0,1-38/Supuestos!$C$20))*(1-Supuestos!$C$18)^38))</f>
        <v>2.1728847874891E-015</v>
      </c>
      <c r="AP97" s="29" t="n">
        <f aca="false">AO97*(1-MIN(1,INDEX(Tabla_Mortalidad!$B$5:$B$75,MIN(71,Cartera_Polizas!$B$99+39-49))*(1+(Cartera_Polizas!$P$99-1)*MAX(0,1-39/Supuestos!$C$20))*(1-Supuestos!$C$18)^39))</f>
        <v>3.85834192246479E-016</v>
      </c>
      <c r="AQ97" s="29" t="n">
        <f aca="false">AP97*(1-MIN(1,INDEX(Tabla_Mortalidad!$B$5:$B$75,MIN(71,Cartera_Polizas!$B$99+40-49))*(1+(Cartera_Polizas!$P$99-1)*MAX(0,1-40/Supuestos!$C$20))*(1-Supuestos!$C$18)^40))</f>
        <v>7.00983093526545E-017</v>
      </c>
      <c r="AR97" s="29" t="n">
        <f aca="false">AQ97*(1-MIN(1,INDEX(Tabla_Mortalidad!$B$5:$B$75,MIN(71,Cartera_Polizas!$B$99+41-49))*(1+(Cartera_Polizas!$P$99-1)*MAX(0,1-41/Supuestos!$C$20))*(1-Supuestos!$C$18)^41))</f>
        <v>1.30222666446702E-017</v>
      </c>
      <c r="AS97" s="29" t="n">
        <f aca="false">AR97*(1-MIN(1,INDEX(Tabla_Mortalidad!$B$5:$B$75,MIN(71,Cartera_Polizas!$B$99+42-49))*(1+(Cartera_Polizas!$P$99-1)*MAX(0,1-42/Supuestos!$C$20))*(1-Supuestos!$C$18)^42))</f>
        <v>2.47218124661029E-018</v>
      </c>
      <c r="AT97" s="29" t="n">
        <f aca="false">AS97*(1-MIN(1,INDEX(Tabla_Mortalidad!$B$5:$B$75,MIN(71,Cartera_Polizas!$B$99+43-49))*(1+(Cartera_Polizas!$P$99-1)*MAX(0,1-43/Supuestos!$C$20))*(1-Supuestos!$C$18)^43))</f>
        <v>4.79339649753101E-019</v>
      </c>
      <c r="AU97" s="29" t="n">
        <f aca="false">AT97*(1-MIN(1,INDEX(Tabla_Mortalidad!$B$5:$B$75,MIN(71,Cartera_Polizas!$B$99+44-49))*(1+(Cartera_Polizas!$P$99-1)*MAX(0,1-44/Supuestos!$C$20))*(1-Supuestos!$C$18)^44))</f>
        <v>9.48727930495679E-020</v>
      </c>
    </row>
    <row r="98" customFormat="false" ht="15" hidden="false" customHeight="false" outlineLevel="0" collapsed="false">
      <c r="A98" s="14" t="n">
        <f aca="false">Cartera_Polizas!A100</f>
        <v>95</v>
      </c>
      <c r="B98" s="26" t="n">
        <f aca="false">SUM(C98:AU98)+0.5</f>
        <v>7.41975713786944</v>
      </c>
      <c r="C98" s="29" t="n">
        <f aca="false">1-MIN(1,INDEX(Tabla_Mortalidad!$B$5:$B$75,MIN(71,Cartera_Polizas!$B$100+0-49))*(1+(Cartera_Polizas!$P$100-1)*MAX(0,1-0/Supuestos!$C$20))*(1-Supuestos!$C$18)^0)</f>
        <v>0.920079236</v>
      </c>
      <c r="D98" s="29" t="n">
        <f aca="false">C98*(1-MIN(1,INDEX(Tabla_Mortalidad!$B$5:$B$75,MIN(71,Cartera_Polizas!$B$100+1-49))*(1+(Cartera_Polizas!$P$100-1)*MAX(0,1-1/Supuestos!$C$20))*(1-Supuestos!$C$18)^1))</f>
        <v>0.840387388533935</v>
      </c>
      <c r="E98" s="29" t="n">
        <f aca="false">D98*(1-MIN(1,INDEX(Tabla_Mortalidad!$B$5:$B$75,MIN(71,Cartera_Polizas!$B$100+2-49))*(1+(Cartera_Polizas!$P$100-1)*MAX(0,1-2/Supuestos!$C$20))*(1-Supuestos!$C$18)^2))</f>
        <v>0.761568243415722</v>
      </c>
      <c r="F98" s="29" t="n">
        <f aca="false">E98*(1-MIN(1,INDEX(Tabla_Mortalidad!$B$5:$B$75,MIN(71,Cartera_Polizas!$B$100+3-49))*(1+(Cartera_Polizas!$P$100-1)*MAX(0,1-3/Supuestos!$C$20))*(1-Supuestos!$C$18)^3))</f>
        <v>0.684292875736635</v>
      </c>
      <c r="G98" s="29" t="n">
        <f aca="false">F98*(1-MIN(1,INDEX(Tabla_Mortalidad!$B$5:$B$75,MIN(71,Cartera_Polizas!$B$100+4-49))*(1+(Cartera_Polizas!$P$100-1)*MAX(0,1-4/Supuestos!$C$20))*(1-Supuestos!$C$18)^4))</f>
        <v>0.609247290492478</v>
      </c>
      <c r="H98" s="29" t="n">
        <f aca="false">G98*(1-MIN(1,INDEX(Tabla_Mortalidad!$B$5:$B$75,MIN(71,Cartera_Polizas!$B$100+5-49))*(1+(Cartera_Polizas!$P$100-1)*MAX(0,1-5/Supuestos!$C$20))*(1-Supuestos!$C$18)^5))</f>
        <v>0.537106141181732</v>
      </c>
      <c r="I98" s="29" t="n">
        <f aca="false">H98*(1-MIN(1,INDEX(Tabla_Mortalidad!$B$5:$B$75,MIN(71,Cartera_Polizas!$B$100+6-49))*(1+(Cartera_Polizas!$P$100-1)*MAX(0,1-6/Supuestos!$C$20))*(1-Supuestos!$C$18)^6))</f>
        <v>0.468516147743598</v>
      </c>
      <c r="J98" s="29" t="n">
        <f aca="false">I98*(1-MIN(1,INDEX(Tabla_Mortalidad!$B$5:$B$75,MIN(71,Cartera_Polizas!$B$100+7-49))*(1+(Cartera_Polizas!$P$100-1)*MAX(0,1-7/Supuestos!$C$20))*(1-Supuestos!$C$18)^7))</f>
        <v>0.404068305797114</v>
      </c>
      <c r="K98" s="29" t="n">
        <f aca="false">J98*(1-MIN(1,INDEX(Tabla_Mortalidad!$B$5:$B$75,MIN(71,Cartera_Polizas!$B$100+8-49))*(1+(Cartera_Polizas!$P$100-1)*MAX(0,1-8/Supuestos!$C$20))*(1-Supuestos!$C$18)^8))</f>
        <v>0.344275350976238</v>
      </c>
      <c r="L98" s="29" t="n">
        <f aca="false">K98*(1-MIN(1,INDEX(Tabla_Mortalidad!$B$5:$B$75,MIN(71,Cartera_Polizas!$B$100+9-49))*(1+(Cartera_Polizas!$P$100-1)*MAX(0,1-9/Supuestos!$C$20))*(1-Supuestos!$C$18)^9))</f>
        <v>0.289549323537681</v>
      </c>
      <c r="M98" s="29" t="n">
        <f aca="false">L98*(1-MIN(1,INDEX(Tabla_Mortalidad!$B$5:$B$75,MIN(71,Cartera_Polizas!$B$100+10-49))*(1+(Cartera_Polizas!$P$100-1)*MAX(0,1-10/Supuestos!$C$20))*(1-Supuestos!$C$18)^10))</f>
        <v>0.240182988590738</v>
      </c>
      <c r="N98" s="29" t="n">
        <f aca="false">M98*(1-MIN(1,INDEX(Tabla_Mortalidad!$B$5:$B$75,MIN(71,Cartera_Polizas!$B$100+11-49))*(1+(Cartera_Polizas!$P$100-1)*MAX(0,1-11/Supuestos!$C$20))*(1-Supuestos!$C$18)^11))</f>
        <v>0.196336051034535</v>
      </c>
      <c r="O98" s="29" t="n">
        <f aca="false">N98*(1-MIN(1,INDEX(Tabla_Mortalidad!$B$5:$B$75,MIN(71,Cartera_Polizas!$B$100+12-49))*(1+(Cartera_Polizas!$P$100-1)*MAX(0,1-12/Supuestos!$C$20))*(1-Supuestos!$C$18)^12))</f>
        <v>0.15802750723154</v>
      </c>
      <c r="P98" s="29" t="n">
        <f aca="false">O98*(1-MIN(1,INDEX(Tabla_Mortalidad!$B$5:$B$75,MIN(71,Cartera_Polizas!$B$100+13-49))*(1+(Cartera_Polizas!$P$100-1)*MAX(0,1-13/Supuestos!$C$20))*(1-Supuestos!$C$18)^13))</f>
        <v>0.125137352283743</v>
      </c>
      <c r="Q98" s="29" t="n">
        <f aca="false">P98*(1-MIN(1,INDEX(Tabla_Mortalidad!$B$5:$B$75,MIN(71,Cartera_Polizas!$B$100+14-49))*(1+(Cartera_Polizas!$P$100-1)*MAX(0,1-14/Supuestos!$C$20))*(1-Supuestos!$C$18)^14))</f>
        <v>0.0974156869710325</v>
      </c>
      <c r="R98" s="29" t="n">
        <f aca="false">Q98*(1-MIN(1,INDEX(Tabla_Mortalidad!$B$5:$B$75,MIN(71,Cartera_Polizas!$B$100+15-49))*(1+(Cartera_Polizas!$P$100-1)*MAX(0,1-15/Supuestos!$C$20))*(1-Supuestos!$C$18)^15))</f>
        <v>0.0744994557700511</v>
      </c>
      <c r="S98" s="29" t="n">
        <f aca="false">R98*(1-MIN(1,INDEX(Tabla_Mortalidad!$B$5:$B$75,MIN(71,Cartera_Polizas!$B$100+16-49))*(1+(Cartera_Polizas!$P$100-1)*MAX(0,1-16/Supuestos!$C$20))*(1-Supuestos!$C$18)^16))</f>
        <v>0.055345508155397</v>
      </c>
      <c r="T98" s="29" t="n">
        <f aca="false">S98*(1-MIN(1,INDEX(Tabla_Mortalidad!$B$5:$B$75,MIN(71,Cartera_Polizas!$B$100+17-49))*(1+(Cartera_Polizas!$P$100-1)*MAX(0,1-17/Supuestos!$C$20))*(1-Supuestos!$C$18)^17))</f>
        <v>0.03982120775906</v>
      </c>
      <c r="U98" s="29" t="n">
        <f aca="false">T98*(1-MIN(1,INDEX(Tabla_Mortalidad!$B$5:$B$75,MIN(71,Cartera_Polizas!$B$100+18-49))*(1+(Cartera_Polizas!$P$100-1)*MAX(0,1-18/Supuestos!$C$20))*(1-Supuestos!$C$18)^18))</f>
        <v>0.0276585837135022</v>
      </c>
      <c r="V98" s="29" t="n">
        <f aca="false">U98*(1-MIN(1,INDEX(Tabla_Mortalidad!$B$5:$B$75,MIN(71,Cartera_Polizas!$B$100+19-49))*(1+(Cartera_Polizas!$P$100-1)*MAX(0,1-19/Supuestos!$C$20))*(1-Supuestos!$C$18)^19))</f>
        <v>0.0184794983243991</v>
      </c>
      <c r="W98" s="29" t="n">
        <f aca="false">V98*(1-MIN(1,INDEX(Tabla_Mortalidad!$B$5:$B$75,MIN(71,Cartera_Polizas!$B$100+20-49))*(1+(Cartera_Polizas!$P$100-1)*MAX(0,1-20/Supuestos!$C$20))*(1-Supuestos!$C$18)^20))</f>
        <v>0.0118313312864162</v>
      </c>
      <c r="X98" s="29" t="n">
        <f aca="false">W98*(1-MIN(1,INDEX(Tabla_Mortalidad!$B$5:$B$75,MIN(71,Cartera_Polizas!$B$100+21-49))*(1+(Cartera_Polizas!$P$100-1)*MAX(0,1-21/Supuestos!$C$20))*(1-Supuestos!$C$18)^21))</f>
        <v>0.00722898856165647</v>
      </c>
      <c r="Y98" s="29" t="n">
        <f aca="false">X98*(1-MIN(1,INDEX(Tabla_Mortalidad!$B$5:$B$75,MIN(71,Cartera_Polizas!$B$100+22-49))*(1+(Cartera_Polizas!$P$100-1)*MAX(0,1-22/Supuestos!$C$20))*(1-Supuestos!$C$18)^22))</f>
        <v>0.0041968673012901</v>
      </c>
      <c r="Z98" s="29" t="n">
        <f aca="false">Y98*(1-MIN(1,INDEX(Tabla_Mortalidad!$B$5:$B$75,MIN(71,Cartera_Polizas!$B$100+23-49))*(1+(Cartera_Polizas!$P$100-1)*MAX(0,1-23/Supuestos!$C$20))*(1-Supuestos!$C$18)^23))</f>
        <v>0.00230451357283014</v>
      </c>
      <c r="AA98" s="29" t="n">
        <f aca="false">Z98*(1-MIN(1,INDEX(Tabla_Mortalidad!$B$5:$B$75,MIN(71,Cartera_Polizas!$B$100+24-49))*(1+(Cartera_Polizas!$P$100-1)*MAX(0,1-24/Supuestos!$C$20))*(1-Supuestos!$C$18)^24))</f>
        <v>0.00119114321440619</v>
      </c>
      <c r="AB98" s="29" t="n">
        <f aca="false">AA98*(1-MIN(1,INDEX(Tabla_Mortalidad!$B$5:$B$75,MIN(71,Cartera_Polizas!$B$100+25-49))*(1+(Cartera_Polizas!$P$100-1)*MAX(0,1-25/Supuestos!$C$20))*(1-Supuestos!$C$18)^25))</f>
        <v>0.00057671503924547</v>
      </c>
      <c r="AC98" s="29" t="n">
        <f aca="false">AB98*(1-MIN(1,INDEX(Tabla_Mortalidad!$B$5:$B$75,MIN(71,Cartera_Polizas!$B$100+26-49))*(1+(Cartera_Polizas!$P$100-1)*MAX(0,1-26/Supuestos!$C$20))*(1-Supuestos!$C$18)^26))</f>
        <v>0.000260293230883316</v>
      </c>
      <c r="AD98" s="29" t="n">
        <f aca="false">AC98*(1-MIN(1,INDEX(Tabla_Mortalidad!$B$5:$B$75,MIN(71,Cartera_Polizas!$B$100+27-49))*(1+(Cartera_Polizas!$P$100-1)*MAX(0,1-27/Supuestos!$C$20))*(1-Supuestos!$C$18)^27))</f>
        <v>0.000109005138510147</v>
      </c>
      <c r="AE98" s="29" t="n">
        <f aca="false">AD98*(1-MIN(1,INDEX(Tabla_Mortalidad!$B$5:$B$75,MIN(71,Cartera_Polizas!$B$100+28-49))*(1+(Cartera_Polizas!$P$100-1)*MAX(0,1-28/Supuestos!$C$20))*(1-Supuestos!$C$18)^28))</f>
        <v>4.21769837339698E-005</v>
      </c>
      <c r="AF98" s="29" t="n">
        <f aca="false">AE98*(1-MIN(1,INDEX(Tabla_Mortalidad!$B$5:$B$75,MIN(71,Cartera_Polizas!$B$100+29-49))*(1+(Cartera_Polizas!$P$100-1)*MAX(0,1-29/Supuestos!$C$20))*(1-Supuestos!$C$18)^29))</f>
        <v>1.50254117893557E-005</v>
      </c>
      <c r="AG98" s="29" t="n">
        <f aca="false">AF98*(1-MIN(1,INDEX(Tabla_Mortalidad!$B$5:$B$75,MIN(71,Cartera_Polizas!$B$100+30-49))*(1+(Cartera_Polizas!$P$100-1)*MAX(0,1-30/Supuestos!$C$20))*(1-Supuestos!$C$18)^30))</f>
        <v>4.91649889676734E-006</v>
      </c>
      <c r="AH98" s="29" t="n">
        <f aca="false">AG98*(1-MIN(1,INDEX(Tabla_Mortalidad!$B$5:$B$75,MIN(71,Cartera_Polizas!$B$100+31-49))*(1+(Cartera_Polizas!$P$100-1)*MAX(0,1-31/Supuestos!$C$20))*(1-Supuestos!$C$18)^31))</f>
        <v>1.47632776245443E-006</v>
      </c>
      <c r="AI98" s="29" t="n">
        <f aca="false">AH98*(1-MIN(1,INDEX(Tabla_Mortalidad!$B$5:$B$75,MIN(71,Cartera_Polizas!$B$100+32-49))*(1+(Cartera_Polizas!$P$100-1)*MAX(0,1-32/Supuestos!$C$20))*(1-Supuestos!$C$18)^32))</f>
        <v>4.07275222077526E-007</v>
      </c>
      <c r="AJ98" s="29" t="n">
        <f aca="false">AI98*(1-MIN(1,INDEX(Tabla_Mortalidad!$B$5:$B$75,MIN(71,Cartera_Polizas!$B$100+33-49))*(1+(Cartera_Polizas!$P$100-1)*MAX(0,1-33/Supuestos!$C$20))*(1-Supuestos!$C$18)^33))</f>
        <v>1.03584421182998E-007</v>
      </c>
      <c r="AK98" s="29" t="n">
        <f aca="false">AJ98*(1-MIN(1,INDEX(Tabla_Mortalidad!$B$5:$B$75,MIN(71,Cartera_Polizas!$B$100+34-49))*(1+(Cartera_Polizas!$P$100-1)*MAX(0,1-34/Supuestos!$C$20))*(1-Supuestos!$C$18)^34))</f>
        <v>2.44386857404548E-008</v>
      </c>
      <c r="AL98" s="29" t="n">
        <f aca="false">AK98*(1-MIN(1,INDEX(Tabla_Mortalidad!$B$5:$B$75,MIN(71,Cartera_Polizas!$B$100+35-49))*(1+(Cartera_Polizas!$P$100-1)*MAX(0,1-35/Supuestos!$C$20))*(1-Supuestos!$C$18)^35))</f>
        <v>5.39597150231177E-009</v>
      </c>
      <c r="AM98" s="29" t="n">
        <f aca="false">AL98*(1-MIN(1,INDEX(Tabla_Mortalidad!$B$5:$B$75,MIN(71,Cartera_Polizas!$B$100+36-49))*(1+(Cartera_Polizas!$P$100-1)*MAX(0,1-36/Supuestos!$C$20))*(1-Supuestos!$C$18)^36))</f>
        <v>1.12744542048621E-009</v>
      </c>
      <c r="AN98" s="29" t="n">
        <f aca="false">AM98*(1-MIN(1,INDEX(Tabla_Mortalidad!$B$5:$B$75,MIN(71,Cartera_Polizas!$B$100+37-49))*(1+(Cartera_Polizas!$P$100-1)*MAX(0,1-37/Supuestos!$C$20))*(1-Supuestos!$C$18)^37))</f>
        <v>1.90855424787929E-010</v>
      </c>
      <c r="AO98" s="29" t="n">
        <f aca="false">AN98*(1-MIN(1,INDEX(Tabla_Mortalidad!$B$5:$B$75,MIN(71,Cartera_Polizas!$B$100+38-49))*(1+(Cartera_Polizas!$P$100-1)*MAX(0,1-38/Supuestos!$C$20))*(1-Supuestos!$C$18)^38))</f>
        <v>3.3100989990533E-011</v>
      </c>
      <c r="AP98" s="29" t="n">
        <f aca="false">AO98*(1-MIN(1,INDEX(Tabla_Mortalidad!$B$5:$B$75,MIN(71,Cartera_Polizas!$B$100+39-49))*(1+(Cartera_Polizas!$P$100-1)*MAX(0,1-39/Supuestos!$C$20))*(1-Supuestos!$C$18)^39))</f>
        <v>5.87766724176588E-012</v>
      </c>
      <c r="AQ98" s="29" t="n">
        <f aca="false">AP98*(1-MIN(1,INDEX(Tabla_Mortalidad!$B$5:$B$75,MIN(71,Cartera_Polizas!$B$100+40-49))*(1+(Cartera_Polizas!$P$100-1)*MAX(0,1-40/Supuestos!$C$20))*(1-Supuestos!$C$18)^40))</f>
        <v>1.06785387315302E-012</v>
      </c>
      <c r="AR98" s="29" t="n">
        <f aca="false">AQ98*(1-MIN(1,INDEX(Tabla_Mortalidad!$B$5:$B$75,MIN(71,Cartera_Polizas!$B$100+41-49))*(1+(Cartera_Polizas!$P$100-1)*MAX(0,1-41/Supuestos!$C$20))*(1-Supuestos!$C$18)^41))</f>
        <v>1.98376793993474E-013</v>
      </c>
      <c r="AS98" s="29" t="n">
        <f aca="false">AR98*(1-MIN(1,INDEX(Tabla_Mortalidad!$B$5:$B$75,MIN(71,Cartera_Polizas!$B$100+42-49))*(1+(Cartera_Polizas!$P$100-1)*MAX(0,1-42/Supuestos!$C$20))*(1-Supuestos!$C$18)^42))</f>
        <v>3.76603707522808E-014</v>
      </c>
      <c r="AT98" s="29" t="n">
        <f aca="false">AS98*(1-MIN(1,INDEX(Tabla_Mortalidad!$B$5:$B$75,MIN(71,Cartera_Polizas!$B$100+43-49))*(1+(Cartera_Polizas!$P$100-1)*MAX(0,1-43/Supuestos!$C$20))*(1-Supuestos!$C$18)^43))</f>
        <v>7.30209767213559E-015</v>
      </c>
      <c r="AU98" s="29" t="n">
        <f aca="false">AT98*(1-MIN(1,INDEX(Tabla_Mortalidad!$B$5:$B$75,MIN(71,Cartera_Polizas!$B$100+44-49))*(1+(Cartera_Polizas!$P$100-1)*MAX(0,1-44/Supuestos!$C$20))*(1-Supuestos!$C$18)^44))</f>
        <v>1.44525995634428E-015</v>
      </c>
    </row>
    <row r="99" customFormat="false" ht="15" hidden="false" customHeight="false" outlineLevel="0" collapsed="false">
      <c r="A99" s="14" t="n">
        <f aca="false">Cartera_Polizas!A101</f>
        <v>96</v>
      </c>
      <c r="B99" s="26" t="n">
        <f aca="false">SUM(C99:AU99)+0.5</f>
        <v>2.58806482112566</v>
      </c>
      <c r="C99" s="29" t="n">
        <f aca="false">1-MIN(1,INDEX(Tabla_Mortalidad!$B$5:$B$75,MIN(71,Cartera_Polizas!$B$101+0-49))*(1+(Cartera_Polizas!$P$101-1)*MAX(0,1-0/Supuestos!$C$20))*(1-Supuestos!$C$18)^0)</f>
        <v>0.7023466</v>
      </c>
      <c r="D99" s="29" t="n">
        <f aca="false">C99*(1-MIN(1,INDEX(Tabla_Mortalidad!$B$5:$B$75,MIN(71,Cartera_Polizas!$B$101+1-49))*(1+(Cartera_Polizas!$P$101-1)*MAX(0,1-1/Supuestos!$C$20))*(1-Supuestos!$C$18)^1))</f>
        <v>0.482708542929167</v>
      </c>
      <c r="E99" s="29" t="n">
        <f aca="false">D99*(1-MIN(1,INDEX(Tabla_Mortalidad!$B$5:$B$75,MIN(71,Cartera_Polizas!$B$101+2-49))*(1+(Cartera_Polizas!$P$101-1)*MAX(0,1-2/Supuestos!$C$20))*(1-Supuestos!$C$18)^2))</f>
        <v>0.324628774049773</v>
      </c>
      <c r="F99" s="29" t="n">
        <f aca="false">E99*(1-MIN(1,INDEX(Tabla_Mortalidad!$B$5:$B$75,MIN(71,Cartera_Polizas!$B$101+3-49))*(1+(Cartera_Polizas!$P$101-1)*MAX(0,1-3/Supuestos!$C$20))*(1-Supuestos!$C$18)^3))</f>
        <v>0.213704240352634</v>
      </c>
      <c r="G99" s="29" t="n">
        <f aca="false">F99*(1-MIN(1,INDEX(Tabla_Mortalidad!$B$5:$B$75,MIN(71,Cartera_Polizas!$B$101+4-49))*(1+(Cartera_Polizas!$P$101-1)*MAX(0,1-4/Supuestos!$C$20))*(1-Supuestos!$C$18)^4))</f>
        <v>0.137822887486614</v>
      </c>
      <c r="H99" s="29" t="n">
        <f aca="false">G99*(1-MIN(1,INDEX(Tabla_Mortalidad!$B$5:$B$75,MIN(71,Cartera_Polizas!$B$101+5-49))*(1+(Cartera_Polizas!$P$101-1)*MAX(0,1-5/Supuestos!$C$20))*(1-Supuestos!$C$18)^5))</f>
        <v>0.0872015580482804</v>
      </c>
      <c r="I99" s="29" t="n">
        <f aca="false">H99*(1-MIN(1,INDEX(Tabla_Mortalidad!$B$5:$B$75,MIN(71,Cartera_Polizas!$B$101+6-49))*(1+(Cartera_Polizas!$P$101-1)*MAX(0,1-6/Supuestos!$C$20))*(1-Supuestos!$C$18)^6))</f>
        <v>0.0542428017253514</v>
      </c>
      <c r="J99" s="29" t="n">
        <f aca="false">I99*(1-MIN(1,INDEX(Tabla_Mortalidad!$B$5:$B$75,MIN(71,Cartera_Polizas!$B$101+7-49))*(1+(Cartera_Polizas!$P$101-1)*MAX(0,1-7/Supuestos!$C$20))*(1-Supuestos!$C$18)^7))</f>
        <v>0.0332705446977129</v>
      </c>
      <c r="K99" s="29" t="n">
        <f aca="false">J99*(1-MIN(1,INDEX(Tabla_Mortalidad!$B$5:$B$75,MIN(71,Cartera_Polizas!$B$101+8-49))*(1+(Cartera_Polizas!$P$101-1)*MAX(0,1-8/Supuestos!$C$20))*(1-Supuestos!$C$18)^8))</f>
        <v>0.0202013842395466</v>
      </c>
      <c r="L99" s="29" t="n">
        <f aca="false">K99*(1-MIN(1,INDEX(Tabla_Mortalidad!$B$5:$B$75,MIN(71,Cartera_Polizas!$B$101+9-49))*(1+(Cartera_Polizas!$P$101-1)*MAX(0,1-9/Supuestos!$C$20))*(1-Supuestos!$C$18)^9))</f>
        <v>0.01220306163647</v>
      </c>
      <c r="M99" s="29" t="n">
        <f aca="false">L99*(1-MIN(1,INDEX(Tabla_Mortalidad!$B$5:$B$75,MIN(71,Cartera_Polizas!$B$101+10-49))*(1+(Cartera_Polizas!$P$101-1)*MAX(0,1-10/Supuestos!$C$20))*(1-Supuestos!$C$18)^10))</f>
        <v>0.00737867233943987</v>
      </c>
      <c r="N99" s="29" t="n">
        <f aca="false">M99*(1-MIN(1,INDEX(Tabla_Mortalidad!$B$5:$B$75,MIN(71,Cartera_Polizas!$B$101+11-49))*(1+(Cartera_Polizas!$P$101-1)*MAX(0,1-11/Supuestos!$C$20))*(1-Supuestos!$C$18)^11))</f>
        <v>0.00449842295239054</v>
      </c>
      <c r="O99" s="29" t="n">
        <f aca="false">N99*(1-MIN(1,INDEX(Tabla_Mortalidad!$B$5:$B$75,MIN(71,Cartera_Polizas!$B$101+12-49))*(1+(Cartera_Polizas!$P$101-1)*MAX(0,1-12/Supuestos!$C$20))*(1-Supuestos!$C$18)^12))</f>
        <v>0.00278821703309976</v>
      </c>
      <c r="P99" s="29" t="n">
        <f aca="false">O99*(1-MIN(1,INDEX(Tabla_Mortalidad!$B$5:$B$75,MIN(71,Cartera_Polizas!$B$101+13-49))*(1+(Cartera_Polizas!$P$101-1)*MAX(0,1-13/Supuestos!$C$20))*(1-Supuestos!$C$18)^13))</f>
        <v>0.0017732943708538</v>
      </c>
      <c r="Q99" s="29" t="n">
        <f aca="false">P99*(1-MIN(1,INDEX(Tabla_Mortalidad!$B$5:$B$75,MIN(71,Cartera_Polizas!$B$101+14-49))*(1+(Cartera_Polizas!$P$101-1)*MAX(0,1-14/Supuestos!$C$20))*(1-Supuestos!$C$18)^14))</f>
        <v>0.00116871082277798</v>
      </c>
      <c r="R99" s="29" t="n">
        <f aca="false">Q99*(1-MIN(1,INDEX(Tabla_Mortalidad!$B$5:$B$75,MIN(71,Cartera_Polizas!$B$101+15-49))*(1+(Cartera_Polizas!$P$101-1)*MAX(0,1-15/Supuestos!$C$20))*(1-Supuestos!$C$18)^15))</f>
        <v>0.000806342122434792</v>
      </c>
      <c r="S99" s="29" t="n">
        <f aca="false">R99*(1-MIN(1,INDEX(Tabla_Mortalidad!$B$5:$B$75,MIN(71,Cartera_Polizas!$B$101+16-49))*(1+(Cartera_Polizas!$P$101-1)*MAX(0,1-16/Supuestos!$C$20))*(1-Supuestos!$C$18)^16))</f>
        <v>0.000534685949992291</v>
      </c>
      <c r="T99" s="29" t="n">
        <f aca="false">S99*(1-MIN(1,INDEX(Tabla_Mortalidad!$B$5:$B$75,MIN(71,Cartera_Polizas!$B$101+17-49))*(1+(Cartera_Polizas!$P$101-1)*MAX(0,1-17/Supuestos!$C$20))*(1-Supuestos!$C$18)^17))</f>
        <v>0.000339413364837144</v>
      </c>
      <c r="U99" s="29" t="n">
        <f aca="false">T99*(1-MIN(1,INDEX(Tabla_Mortalidad!$B$5:$B$75,MIN(71,Cartera_Polizas!$B$101+18-49))*(1+(Cartera_Polizas!$P$101-1)*MAX(0,1-18/Supuestos!$C$20))*(1-Supuestos!$C$18)^18))</f>
        <v>0.000205382432622148</v>
      </c>
      <c r="V99" s="29" t="n">
        <f aca="false">U99*(1-MIN(1,INDEX(Tabla_Mortalidad!$B$5:$B$75,MIN(71,Cartera_Polizas!$B$101+19-49))*(1+(Cartera_Polizas!$P$101-1)*MAX(0,1-19/Supuestos!$C$20))*(1-Supuestos!$C$18)^19))</f>
        <v>0.000117931775085431</v>
      </c>
      <c r="W99" s="29" t="n">
        <f aca="false">V99*(1-MIN(1,INDEX(Tabla_Mortalidad!$B$5:$B$75,MIN(71,Cartera_Polizas!$B$101+20-49))*(1+(Cartera_Polizas!$P$101-1)*MAX(0,1-20/Supuestos!$C$20))*(1-Supuestos!$C$18)^20))</f>
        <v>6.39510547289967E-005</v>
      </c>
      <c r="X99" s="29" t="n">
        <f aca="false">W99*(1-MIN(1,INDEX(Tabla_Mortalidad!$B$5:$B$75,MIN(71,Cartera_Polizas!$B$101+21-49))*(1+(Cartera_Polizas!$P$101-1)*MAX(0,1-21/Supuestos!$C$20))*(1-Supuestos!$C$18)^21))</f>
        <v>3.25865196864195E-005</v>
      </c>
      <c r="Y99" s="29" t="n">
        <f aca="false">X99*(1-MIN(1,INDEX(Tabla_Mortalidad!$B$5:$B$75,MIN(71,Cartera_Polizas!$B$101+22-49))*(1+(Cartera_Polizas!$P$101-1)*MAX(0,1-22/Supuestos!$C$20))*(1-Supuestos!$C$18)^22))</f>
        <v>1.55227147254996E-005</v>
      </c>
      <c r="Z99" s="29" t="n">
        <f aca="false">Y99*(1-MIN(1,INDEX(Tabla_Mortalidad!$B$5:$B$75,MIN(71,Cartera_Polizas!$B$101+23-49))*(1+(Cartera_Polizas!$P$101-1)*MAX(0,1-23/Supuestos!$C$20))*(1-Supuestos!$C$18)^23))</f>
        <v>6.87694696909381E-006</v>
      </c>
      <c r="AA99" s="29" t="n">
        <f aca="false">Z99*(1-MIN(1,INDEX(Tabla_Mortalidad!$B$5:$B$75,MIN(71,Cartera_Polizas!$B$101+24-49))*(1+(Cartera_Polizas!$P$101-1)*MAX(0,1-24/Supuestos!$C$20))*(1-Supuestos!$C$18)^24))</f>
        <v>2.81935562145459E-006</v>
      </c>
      <c r="AB99" s="29" t="n">
        <f aca="false">AA99*(1-MIN(1,INDEX(Tabla_Mortalidad!$B$5:$B$75,MIN(71,Cartera_Polizas!$B$101+25-49))*(1+(Cartera_Polizas!$P$101-1)*MAX(0,1-25/Supuestos!$C$20))*(1-Supuestos!$C$18)^25))</f>
        <v>1.06469505585429E-006</v>
      </c>
      <c r="AC99" s="29" t="n">
        <f aca="false">AB99*(1-MIN(1,INDEX(Tabla_Mortalidad!$B$5:$B$75,MIN(71,Cartera_Polizas!$B$101+26-49))*(1+(Cartera_Polizas!$P$101-1)*MAX(0,1-26/Supuestos!$C$20))*(1-Supuestos!$C$18)^26))</f>
        <v>3.68909425732191E-007</v>
      </c>
      <c r="AD99" s="29" t="n">
        <f aca="false">AC99*(1-MIN(1,INDEX(Tabla_Mortalidad!$B$5:$B$75,MIN(71,Cartera_Polizas!$B$101+27-49))*(1+(Cartera_Polizas!$P$101-1)*MAX(0,1-27/Supuestos!$C$20))*(1-Supuestos!$C$18)^27))</f>
        <v>1.16951177293335E-007</v>
      </c>
      <c r="AE99" s="29" t="n">
        <f aca="false">AD99*(1-MIN(1,INDEX(Tabla_Mortalidad!$B$5:$B$75,MIN(71,Cartera_Polizas!$B$101+28-49))*(1+(Cartera_Polizas!$P$101-1)*MAX(0,1-28/Supuestos!$C$20))*(1-Supuestos!$C$18)^28))</f>
        <v>3.38782609129657E-008</v>
      </c>
      <c r="AF99" s="29" t="n">
        <f aca="false">AE99*(1-MIN(1,INDEX(Tabla_Mortalidad!$B$5:$B$75,MIN(71,Cartera_Polizas!$B$101+29-49))*(1+(Cartera_Polizas!$P$101-1)*MAX(0,1-29/Supuestos!$C$20))*(1-Supuestos!$C$18)^29))</f>
        <v>8.97431701846155E-009</v>
      </c>
      <c r="AG99" s="29" t="n">
        <f aca="false">AF99*(1-MIN(1,INDEX(Tabla_Mortalidad!$B$5:$B$75,MIN(71,Cartera_Polizas!$B$101+30-49))*(1+(Cartera_Polizas!$P$101-1)*MAX(0,1-30/Supuestos!$C$20))*(1-Supuestos!$C$18)^30))</f>
        <v>2.18109493959721E-009</v>
      </c>
      <c r="AH99" s="29" t="n">
        <f aca="false">AG99*(1-MIN(1,INDEX(Tabla_Mortalidad!$B$5:$B$75,MIN(71,Cartera_Polizas!$B$101+31-49))*(1+(Cartera_Polizas!$P$101-1)*MAX(0,1-31/Supuestos!$C$20))*(1-Supuestos!$C$18)^31))</f>
        <v>4.8933629892788E-010</v>
      </c>
      <c r="AI99" s="29" t="n">
        <f aca="false">AH99*(1-MIN(1,INDEX(Tabla_Mortalidad!$B$5:$B$75,MIN(71,Cartera_Polizas!$B$101+32-49))*(1+(Cartera_Polizas!$P$101-1)*MAX(0,1-32/Supuestos!$C$20))*(1-Supuestos!$C$18)^32))</f>
        <v>1.02266582641435E-010</v>
      </c>
      <c r="AJ99" s="29" t="n">
        <f aca="false">AI99*(1-MIN(1,INDEX(Tabla_Mortalidad!$B$5:$B$75,MIN(71,Cartera_Polizas!$B$101+33-49))*(1+(Cartera_Polizas!$P$101-1)*MAX(0,1-33/Supuestos!$C$20))*(1-Supuestos!$C$18)^33))</f>
        <v>2.01420722245632E-011</v>
      </c>
      <c r="AK99" s="29" t="n">
        <f aca="false">AJ99*(1-MIN(1,INDEX(Tabla_Mortalidad!$B$5:$B$75,MIN(71,Cartera_Polizas!$B$101+34-49))*(1+(Cartera_Polizas!$P$101-1)*MAX(0,1-34/Supuestos!$C$20))*(1-Supuestos!$C$18)^34))</f>
        <v>3.15615926688222E-012</v>
      </c>
      <c r="AL99" s="29" t="n">
        <f aca="false">AK99*(1-MIN(1,INDEX(Tabla_Mortalidad!$B$5:$B$75,MIN(71,Cartera_Polizas!$B$101+35-49))*(1+(Cartera_Polizas!$P$101-1)*MAX(0,1-35/Supuestos!$C$20))*(1-Supuestos!$C$18)^35))</f>
        <v>5.07861973525792E-013</v>
      </c>
      <c r="AM99" s="29" t="n">
        <f aca="false">AL99*(1-MIN(1,INDEX(Tabla_Mortalidad!$B$5:$B$75,MIN(71,Cartera_Polizas!$B$101+36-49))*(1+(Cartera_Polizas!$P$101-1)*MAX(0,1-36/Supuestos!$C$20))*(1-Supuestos!$C$18)^36))</f>
        <v>8.38514818881044E-014</v>
      </c>
      <c r="AN99" s="29" t="n">
        <f aca="false">AM99*(1-MIN(1,INDEX(Tabla_Mortalidad!$B$5:$B$75,MIN(71,Cartera_Polizas!$B$101+37-49))*(1+(Cartera_Polizas!$P$101-1)*MAX(0,1-37/Supuestos!$C$20))*(1-Supuestos!$C$18)^37))</f>
        <v>1.41944877366657E-014</v>
      </c>
      <c r="AO99" s="29" t="n">
        <f aca="false">AN99*(1-MIN(1,INDEX(Tabla_Mortalidad!$B$5:$B$75,MIN(71,Cartera_Polizas!$B$101+38-49))*(1+(Cartera_Polizas!$P$101-1)*MAX(0,1-38/Supuestos!$C$20))*(1-Supuestos!$C$18)^38))</f>
        <v>2.46181944796275E-015</v>
      </c>
      <c r="AP99" s="29" t="n">
        <f aca="false">AO99*(1-MIN(1,INDEX(Tabla_Mortalidad!$B$5:$B$75,MIN(71,Cartera_Polizas!$B$101+39-49))*(1+(Cartera_Polizas!$P$101-1)*MAX(0,1-39/Supuestos!$C$20))*(1-Supuestos!$C$18)^39))</f>
        <v>4.37139660432248E-016</v>
      </c>
      <c r="AQ99" s="29" t="n">
        <f aca="false">AP99*(1-MIN(1,INDEX(Tabla_Mortalidad!$B$5:$B$75,MIN(71,Cartera_Polizas!$B$101+40-49))*(1+(Cartera_Polizas!$P$101-1)*MAX(0,1-40/Supuestos!$C$20))*(1-Supuestos!$C$18)^40))</f>
        <v>7.941948060352E-017</v>
      </c>
      <c r="AR99" s="29" t="n">
        <f aca="false">AQ99*(1-MIN(1,INDEX(Tabla_Mortalidad!$B$5:$B$75,MIN(71,Cartera_Polizas!$B$101+41-49))*(1+(Cartera_Polizas!$P$101-1)*MAX(0,1-41/Supuestos!$C$20))*(1-Supuestos!$C$18)^41))</f>
        <v>1.47538744193847E-017</v>
      </c>
      <c r="AS99" s="29" t="n">
        <f aca="false">AR99*(1-MIN(1,INDEX(Tabla_Mortalidad!$B$5:$B$75,MIN(71,Cartera_Polizas!$B$101+42-49))*(1+(Cartera_Polizas!$P$101-1)*MAX(0,1-42/Supuestos!$C$20))*(1-Supuestos!$C$18)^42))</f>
        <v>2.80091420715721E-018</v>
      </c>
      <c r="AT99" s="29" t="n">
        <f aca="false">AS99*(1-MIN(1,INDEX(Tabla_Mortalidad!$B$5:$B$75,MIN(71,Cartera_Polizas!$B$101+43-49))*(1+(Cartera_Polizas!$P$101-1)*MAX(0,1-43/Supuestos!$C$20))*(1-Supuestos!$C$18)^43))</f>
        <v>5.43078804148404E-019</v>
      </c>
      <c r="AU99" s="29" t="n">
        <f aca="false">AT99*(1-MIN(1,INDEX(Tabla_Mortalidad!$B$5:$B$75,MIN(71,Cartera_Polizas!$B$101+44-49))*(1+(Cartera_Polizas!$P$101-1)*MAX(0,1-44/Supuestos!$C$20))*(1-Supuestos!$C$18)^44))</f>
        <v>1.07488297749033E-019</v>
      </c>
    </row>
    <row r="100" customFormat="false" ht="15" hidden="false" customHeight="false" outlineLevel="0" collapsed="false">
      <c r="A100" s="14" t="n">
        <f aca="false">Cartera_Polizas!A102</f>
        <v>97</v>
      </c>
      <c r="B100" s="26" t="n">
        <f aca="false">SUM(C100:AU100)+0.5</f>
        <v>8.8579178972273</v>
      </c>
      <c r="C100" s="29" t="n">
        <f aca="false">1-MIN(1,INDEX(Tabla_Mortalidad!$B$5:$B$75,MIN(71,Cartera_Polizas!$B$102+0-49))*(1+(Cartera_Polizas!$P$102-1)*MAX(0,1-0/Supuestos!$C$20))*(1-Supuestos!$C$18)^0)</f>
        <v>0.926597395</v>
      </c>
      <c r="D100" s="29" t="n">
        <f aca="false">C100*(1-MIN(1,INDEX(Tabla_Mortalidad!$B$5:$B$75,MIN(71,Cartera_Polizas!$B$102+1-49))*(1+(Cartera_Polizas!$P$102-1)*MAX(0,1-1/Supuestos!$C$20))*(1-Supuestos!$C$18)^1))</f>
        <v>0.854247970758682</v>
      </c>
      <c r="E100" s="29" t="n">
        <f aca="false">D100*(1-MIN(1,INDEX(Tabla_Mortalidad!$B$5:$B$75,MIN(71,Cartera_Polizas!$B$102+2-49))*(1+(Cartera_Polizas!$P$102-1)*MAX(0,1-2/Supuestos!$C$20))*(1-Supuestos!$C$18)^2))</f>
        <v>0.783437298066748</v>
      </c>
      <c r="F100" s="29" t="n">
        <f aca="false">E100*(1-MIN(1,INDEX(Tabla_Mortalidad!$B$5:$B$75,MIN(71,Cartera_Polizas!$B$102+3-49))*(1+(Cartera_Polizas!$P$102-1)*MAX(0,1-3/Supuestos!$C$20))*(1-Supuestos!$C$18)^3))</f>
        <v>0.714645033438234</v>
      </c>
      <c r="G100" s="29" t="n">
        <f aca="false">F100*(1-MIN(1,INDEX(Tabla_Mortalidad!$B$5:$B$75,MIN(71,Cartera_Polizas!$B$102+4-49))*(1+(Cartera_Polizas!$P$102-1)*MAX(0,1-4/Supuestos!$C$20))*(1-Supuestos!$C$18)^4))</f>
        <v>0.648331675870192</v>
      </c>
      <c r="H100" s="29" t="n">
        <f aca="false">G100*(1-MIN(1,INDEX(Tabla_Mortalidad!$B$5:$B$75,MIN(71,Cartera_Polizas!$B$102+5-49))*(1+(Cartera_Polizas!$P$102-1)*MAX(0,1-5/Supuestos!$C$20))*(1-Supuestos!$C$18)^5))</f>
        <v>0.584923162748271</v>
      </c>
      <c r="I100" s="29" t="n">
        <f aca="false">H100*(1-MIN(1,INDEX(Tabla_Mortalidad!$B$5:$B$75,MIN(71,Cartera_Polizas!$B$102+6-49))*(1+(Cartera_Polizas!$P$102-1)*MAX(0,1-6/Supuestos!$C$20))*(1-Supuestos!$C$18)^6))</f>
        <v>0.524801578797209</v>
      </c>
      <c r="J100" s="29" t="n">
        <f aca="false">I100*(1-MIN(1,INDEX(Tabla_Mortalidad!$B$5:$B$75,MIN(71,Cartera_Polizas!$B$102+7-49))*(1+(Cartera_Polizas!$P$102-1)*MAX(0,1-7/Supuestos!$C$20))*(1-Supuestos!$C$18)^7))</f>
        <v>0.468295392122103</v>
      </c>
      <c r="K100" s="29" t="n">
        <f aca="false">J100*(1-MIN(1,INDEX(Tabla_Mortalidad!$B$5:$B$75,MIN(71,Cartera_Polizas!$B$102+8-49))*(1+(Cartera_Polizas!$P$102-1)*MAX(0,1-8/Supuestos!$C$20))*(1-Supuestos!$C$18)^8))</f>
        <v>0.415667067397651</v>
      </c>
      <c r="L100" s="29" t="n">
        <f aca="false">K100*(1-MIN(1,INDEX(Tabla_Mortalidad!$B$5:$B$75,MIN(71,Cartera_Polizas!$B$102+9-49))*(1+(Cartera_Polizas!$P$102-1)*MAX(0,1-9/Supuestos!$C$20))*(1-Supuestos!$C$18)^9))</f>
        <v>0.367105852064537</v>
      </c>
      <c r="M100" s="29" t="n">
        <f aca="false">L100*(1-MIN(1,INDEX(Tabla_Mortalidad!$B$5:$B$75,MIN(71,Cartera_Polizas!$B$102+10-49))*(1+(Cartera_Polizas!$P$102-1)*MAX(0,1-10/Supuestos!$C$20))*(1-Supuestos!$C$18)^10))</f>
        <v>0.322726707732945</v>
      </c>
      <c r="N100" s="29" t="n">
        <f aca="false">M100*(1-MIN(1,INDEX(Tabla_Mortalidad!$B$5:$B$75,MIN(71,Cartera_Polizas!$B$102+11-49))*(1+(Cartera_Polizas!$P$102-1)*MAX(0,1-11/Supuestos!$C$20))*(1-Supuestos!$C$18)^11))</f>
        <v>0.282565588896255</v>
      </c>
      <c r="O100" s="29" t="n">
        <f aca="false">N100*(1-MIN(1,INDEX(Tabla_Mortalidad!$B$5:$B$75,MIN(71,Cartera_Polizas!$B$102+12-49))*(1+(Cartera_Polizas!$P$102-1)*MAX(0,1-12/Supuestos!$C$20))*(1-Supuestos!$C$18)^12))</f>
        <v>0.24658566487056</v>
      </c>
      <c r="P100" s="29" t="n">
        <f aca="false">O100*(1-MIN(1,INDEX(Tabla_Mortalidad!$B$5:$B$75,MIN(71,Cartera_Polizas!$B$102+13-49))*(1+(Cartera_Polizas!$P$102-1)*MAX(0,1-13/Supuestos!$C$20))*(1-Supuestos!$C$18)^13))</f>
        <v>0.214681055181097</v>
      </c>
      <c r="Q100" s="29" t="n">
        <f aca="false">P100*(1-MIN(1,INDEX(Tabla_Mortalidad!$B$5:$B$75,MIN(71,Cartera_Polizas!$B$102+14-49))*(1+(Cartera_Polizas!$P$102-1)*MAX(0,1-14/Supuestos!$C$20))*(1-Supuestos!$C$18)^14))</f>
        <v>0.186686715268335</v>
      </c>
      <c r="R100" s="29" t="n">
        <f aca="false">Q100*(1-MIN(1,INDEX(Tabla_Mortalidad!$B$5:$B$75,MIN(71,Cartera_Polizas!$B$102+15-49))*(1+(Cartera_Polizas!$P$102-1)*MAX(0,1-15/Supuestos!$C$20))*(1-Supuestos!$C$18)^15))</f>
        <v>0.162389961622809</v>
      </c>
      <c r="S100" s="29" t="n">
        <f aca="false">R100*(1-MIN(1,INDEX(Tabla_Mortalidad!$B$5:$B$75,MIN(71,Cartera_Polizas!$B$102+16-49))*(1+(Cartera_Polizas!$P$102-1)*MAX(0,1-16/Supuestos!$C$20))*(1-Supuestos!$C$18)^16))</f>
        <v>0.139115761851202</v>
      </c>
      <c r="T100" s="29" t="n">
        <f aca="false">S100*(1-MIN(1,INDEX(Tabla_Mortalidad!$B$5:$B$75,MIN(71,Cartera_Polizas!$B$102+17-49))*(1+(Cartera_Polizas!$P$102-1)*MAX(0,1-17/Supuestos!$C$20))*(1-Supuestos!$C$18)^17))</f>
        <v>0.117180054018374</v>
      </c>
      <c r="U100" s="29" t="n">
        <f aca="false">T100*(1-MIN(1,INDEX(Tabla_Mortalidad!$B$5:$B$75,MIN(71,Cartera_Polizas!$B$102+18-49))*(1+(Cartera_Polizas!$P$102-1)*MAX(0,1-18/Supuestos!$C$20))*(1-Supuestos!$C$18)^18))</f>
        <v>0.0968739515085677</v>
      </c>
      <c r="V100" s="29" t="n">
        <f aca="false">U100*(1-MIN(1,INDEX(Tabla_Mortalidad!$B$5:$B$75,MIN(71,Cartera_Polizas!$B$102+19-49))*(1+(Cartera_Polizas!$P$102-1)*MAX(0,1-19/Supuestos!$C$20))*(1-Supuestos!$C$18)^19))</f>
        <v>0.0784465848545032</v>
      </c>
      <c r="W100" s="29" t="n">
        <f aca="false">V100*(1-MIN(1,INDEX(Tabla_Mortalidad!$B$5:$B$75,MIN(71,Cartera_Polizas!$B$102+20-49))*(1+(Cartera_Polizas!$P$102-1)*MAX(0,1-20/Supuestos!$C$20))*(1-Supuestos!$C$18)^20))</f>
        <v>0.0620881261003882</v>
      </c>
      <c r="X100" s="29" t="n">
        <f aca="false">W100*(1-MIN(1,INDEX(Tabla_Mortalidad!$B$5:$B$75,MIN(71,Cartera_Polizas!$B$102+21-49))*(1+(Cartera_Polizas!$P$102-1)*MAX(0,1-21/Supuestos!$C$20))*(1-Supuestos!$C$18)^21))</f>
        <v>0.0479151408672338</v>
      </c>
      <c r="Y100" s="29" t="n">
        <f aca="false">X100*(1-MIN(1,INDEX(Tabla_Mortalidad!$B$5:$B$75,MIN(71,Cartera_Polizas!$B$102+22-49))*(1+(Cartera_Polizas!$P$102-1)*MAX(0,1-22/Supuestos!$C$20))*(1-Supuestos!$C$18)^22))</f>
        <v>0.0359610528583442</v>
      </c>
      <c r="Z100" s="29" t="n">
        <f aca="false">Y100*(1-MIN(1,INDEX(Tabla_Mortalidad!$B$5:$B$75,MIN(71,Cartera_Polizas!$B$102+23-49))*(1+(Cartera_Polizas!$P$102-1)*MAX(0,1-23/Supuestos!$C$20))*(1-Supuestos!$C$18)^23))</f>
        <v>0.0261729045433224</v>
      </c>
      <c r="AA100" s="29" t="n">
        <f aca="false">Z100*(1-MIN(1,INDEX(Tabla_Mortalidad!$B$5:$B$75,MIN(71,Cartera_Polizas!$B$102+24-49))*(1+(Cartera_Polizas!$P$102-1)*MAX(0,1-24/Supuestos!$C$20))*(1-Supuestos!$C$18)^24))</f>
        <v>0.0184157354133655</v>
      </c>
      <c r="AB100" s="29" t="n">
        <f aca="false">AA100*(1-MIN(1,INDEX(Tabla_Mortalidad!$B$5:$B$75,MIN(71,Cartera_Polizas!$B$102+25-49))*(1+(Cartera_Polizas!$P$102-1)*MAX(0,1-25/Supuestos!$C$20))*(1-Supuestos!$C$18)^25))</f>
        <v>0.0124851573996413</v>
      </c>
      <c r="AC100" s="29" t="n">
        <f aca="false">AB100*(1-MIN(1,INDEX(Tabla_Mortalidad!$B$5:$B$75,MIN(71,Cartera_Polizas!$B$102+26-49))*(1+(Cartera_Polizas!$P$102-1)*MAX(0,1-26/Supuestos!$C$20))*(1-Supuestos!$C$18)^26))</f>
        <v>0.00812658512320349</v>
      </c>
      <c r="AD100" s="29" t="n">
        <f aca="false">AC100*(1-MIN(1,INDEX(Tabla_Mortalidad!$B$5:$B$75,MIN(71,Cartera_Polizas!$B$102+27-49))*(1+(Cartera_Polizas!$P$102-1)*MAX(0,1-27/Supuestos!$C$20))*(1-Supuestos!$C$18)^27))</f>
        <v>0.00505903325705388</v>
      </c>
      <c r="AE100" s="29" t="n">
        <f aca="false">AD100*(1-MIN(1,INDEX(Tabla_Mortalidad!$B$5:$B$75,MIN(71,Cartera_Polizas!$B$102+28-49))*(1+(Cartera_Polizas!$P$102-1)*MAX(0,1-28/Supuestos!$C$20))*(1-Supuestos!$C$18)^28))</f>
        <v>0.00299994459684013</v>
      </c>
      <c r="AF100" s="29" t="n">
        <f aca="false">AE100*(1-MIN(1,INDEX(Tabla_Mortalidad!$B$5:$B$75,MIN(71,Cartera_Polizas!$B$102+29-49))*(1+(Cartera_Polizas!$P$102-1)*MAX(0,1-29/Supuestos!$C$20))*(1-Supuestos!$C$18)^29))</f>
        <v>0.0016873554734306</v>
      </c>
      <c r="AG100" s="29" t="n">
        <f aca="false">AF100*(1-MIN(1,INDEX(Tabla_Mortalidad!$B$5:$B$75,MIN(71,Cartera_Polizas!$B$102+30-49))*(1+(Cartera_Polizas!$P$102-1)*MAX(0,1-30/Supuestos!$C$20))*(1-Supuestos!$C$18)^30))</f>
        <v>0.000896302707252996</v>
      </c>
      <c r="AH100" s="29" t="n">
        <f aca="false">AG100*(1-MIN(1,INDEX(Tabla_Mortalidad!$B$5:$B$75,MIN(71,Cartera_Polizas!$B$102+31-49))*(1+(Cartera_Polizas!$P$102-1)*MAX(0,1-31/Supuestos!$C$20))*(1-Supuestos!$C$18)^31))</f>
        <v>0.000447660287748855</v>
      </c>
      <c r="AI100" s="29" t="n">
        <f aca="false">AH100*(1-MIN(1,INDEX(Tabla_Mortalidad!$B$5:$B$75,MIN(71,Cartera_Polizas!$B$102+32-49))*(1+(Cartera_Polizas!$P$102-1)*MAX(0,1-32/Supuestos!$C$20))*(1-Supuestos!$C$18)^32))</f>
        <v>0.000209322894322131</v>
      </c>
      <c r="AJ100" s="29" t="n">
        <f aca="false">AI100*(1-MIN(1,INDEX(Tabla_Mortalidad!$B$5:$B$75,MIN(71,Cartera_Polizas!$B$102+33-49))*(1+(Cartera_Polizas!$P$102-1)*MAX(0,1-33/Supuestos!$C$20))*(1-Supuestos!$C$18)^33))</f>
        <v>9.12644412623345E-005</v>
      </c>
      <c r="AK100" s="29" t="n">
        <f aca="false">AJ100*(1-MIN(1,INDEX(Tabla_Mortalidad!$B$5:$B$75,MIN(71,Cartera_Polizas!$B$102+34-49))*(1+(Cartera_Polizas!$P$102-1)*MAX(0,1-34/Supuestos!$C$20))*(1-Supuestos!$C$18)^34))</f>
        <v>3.69703482658975E-005</v>
      </c>
      <c r="AL100" s="29" t="n">
        <f aca="false">AK100*(1-MIN(1,INDEX(Tabla_Mortalidad!$B$5:$B$75,MIN(71,Cartera_Polizas!$B$102+35-49))*(1+(Cartera_Polizas!$P$102-1)*MAX(0,1-35/Supuestos!$C$20))*(1-Supuestos!$C$18)^35))</f>
        <v>1.38756928771725E-005</v>
      </c>
      <c r="AM100" s="29" t="n">
        <f aca="false">AL100*(1-MIN(1,INDEX(Tabla_Mortalidad!$B$5:$B$75,MIN(71,Cartera_Polizas!$B$102+36-49))*(1+(Cartera_Polizas!$P$102-1)*MAX(0,1-36/Supuestos!$C$20))*(1-Supuestos!$C$18)^36))</f>
        <v>4.81688113775495E-006</v>
      </c>
      <c r="AN100" s="29" t="n">
        <f aca="false">AM100*(1-MIN(1,INDEX(Tabla_Mortalidad!$B$5:$B$75,MIN(71,Cartera_Polizas!$B$102+37-49))*(1+(Cartera_Polizas!$P$102-1)*MAX(0,1-37/Supuestos!$C$20))*(1-Supuestos!$C$18)^37))</f>
        <v>1.54627298033952E-006</v>
      </c>
      <c r="AO100" s="29" t="n">
        <f aca="false">AN100*(1-MIN(1,INDEX(Tabla_Mortalidad!$B$5:$B$75,MIN(71,Cartera_Polizas!$B$102+38-49))*(1+(Cartera_Polizas!$P$102-1)*MAX(0,1-38/Supuestos!$C$20))*(1-Supuestos!$C$18)^38))</f>
        <v>4.59745000371011E-007</v>
      </c>
      <c r="AP100" s="29" t="n">
        <f aca="false">AO100*(1-MIN(1,INDEX(Tabla_Mortalidad!$B$5:$B$75,MIN(71,Cartera_Polizas!$B$102+39-49))*(1+(Cartera_Polizas!$P$102-1)*MAX(0,1-39/Supuestos!$C$20))*(1-Supuestos!$C$18)^39))</f>
        <v>1.27086100239566E-007</v>
      </c>
      <c r="AQ100" s="29" t="n">
        <f aca="false">AP100*(1-MIN(1,INDEX(Tabla_Mortalidad!$B$5:$B$75,MIN(71,Cartera_Polizas!$B$102+40-49))*(1+(Cartera_Polizas!$P$102-1)*MAX(0,1-40/Supuestos!$C$20))*(1-Supuestos!$C$18)^40))</f>
        <v>3.28603480477456E-008</v>
      </c>
      <c r="AR100" s="29" t="n">
        <f aca="false">AQ100*(1-MIN(1,INDEX(Tabla_Mortalidad!$B$5:$B$75,MIN(71,Cartera_Polizas!$B$102+41-49))*(1+(Cartera_Polizas!$P$102-1)*MAX(0,1-41/Supuestos!$C$20))*(1-Supuestos!$C$18)^41))</f>
        <v>8.01405249120631E-009</v>
      </c>
      <c r="AS100" s="29" t="n">
        <f aca="false">AR100*(1-MIN(1,INDEX(Tabla_Mortalidad!$B$5:$B$75,MIN(71,Cartera_Polizas!$B$102+42-49))*(1+(Cartera_Polizas!$P$102-1)*MAX(0,1-42/Supuestos!$C$20))*(1-Supuestos!$C$18)^42))</f>
        <v>1.86229850680749E-009</v>
      </c>
      <c r="AT100" s="29" t="n">
        <f aca="false">AS100*(1-MIN(1,INDEX(Tabla_Mortalidad!$B$5:$B$75,MIN(71,Cartera_Polizas!$B$102+43-49))*(1+(Cartera_Polizas!$P$102-1)*MAX(0,1-43/Supuestos!$C$20))*(1-Supuestos!$C$18)^43))</f>
        <v>3.61087406197588E-010</v>
      </c>
      <c r="AU100" s="29" t="n">
        <f aca="false">AT100*(1-MIN(1,INDEX(Tabla_Mortalidad!$B$5:$B$75,MIN(71,Cartera_Polizas!$B$102+44-49))*(1+(Cartera_Polizas!$P$102-1)*MAX(0,1-44/Supuestos!$C$20))*(1-Supuestos!$C$18)^44))</f>
        <v>7.14678428513776E-011</v>
      </c>
    </row>
    <row r="101" customFormat="false" ht="15" hidden="false" customHeight="false" outlineLevel="0" collapsed="false">
      <c r="A101" s="14" t="n">
        <f aca="false">Cartera_Polizas!A103</f>
        <v>98</v>
      </c>
      <c r="B101" s="26" t="n">
        <f aca="false">SUM(C101:AU101)+0.5</f>
        <v>6.18165159176026</v>
      </c>
      <c r="C101" s="29" t="n">
        <f aca="false">1-MIN(1,INDEX(Tabla_Mortalidad!$B$5:$B$75,MIN(71,Cartera_Polizas!$B$103+0-49))*(1+(Cartera_Polizas!$P$103-1)*MAX(0,1-0/Supuestos!$C$20))*(1-Supuestos!$C$18)^0)</f>
        <v>0.896055775</v>
      </c>
      <c r="D101" s="29" t="n">
        <f aca="false">C101*(1-MIN(1,INDEX(Tabla_Mortalidad!$B$5:$B$75,MIN(71,Cartera_Polizas!$B$103+1-49))*(1+(Cartera_Polizas!$P$103-1)*MAX(0,1-1/Supuestos!$C$20))*(1-Supuestos!$C$18)^1))</f>
        <v>0.79542117463037</v>
      </c>
      <c r="E101" s="29" t="n">
        <f aca="false">D101*(1-MIN(1,INDEX(Tabla_Mortalidad!$B$5:$B$75,MIN(71,Cartera_Polizas!$B$103+2-49))*(1+(Cartera_Polizas!$P$103-1)*MAX(0,1-2/Supuestos!$C$20))*(1-Supuestos!$C$18)^2))</f>
        <v>0.69900160581152</v>
      </c>
      <c r="F101" s="29" t="n">
        <f aca="false">E101*(1-MIN(1,INDEX(Tabla_Mortalidad!$B$5:$B$75,MIN(71,Cartera_Polizas!$B$103+3-49))*(1+(Cartera_Polizas!$P$103-1)*MAX(0,1-3/Supuestos!$C$20))*(1-Supuestos!$C$18)^3))</f>
        <v>0.607647418300435</v>
      </c>
      <c r="G101" s="29" t="n">
        <f aca="false">F101*(1-MIN(1,INDEX(Tabla_Mortalidad!$B$5:$B$75,MIN(71,Cartera_Polizas!$B$103+4-49))*(1+(Cartera_Polizas!$P$103-1)*MAX(0,1-4/Supuestos!$C$20))*(1-Supuestos!$C$18)^4))</f>
        <v>0.522129336694826</v>
      </c>
      <c r="H101" s="29" t="n">
        <f aca="false">G101*(1-MIN(1,INDEX(Tabla_Mortalidad!$B$5:$B$75,MIN(71,Cartera_Polizas!$B$103+5-49))*(1+(Cartera_Polizas!$P$103-1)*MAX(0,1-5/Supuestos!$C$20))*(1-Supuestos!$C$18)^5))</f>
        <v>0.443101722088245</v>
      </c>
      <c r="I101" s="29" t="n">
        <f aca="false">H101*(1-MIN(1,INDEX(Tabla_Mortalidad!$B$5:$B$75,MIN(71,Cartera_Polizas!$B$103+6-49))*(1+(Cartera_Polizas!$P$103-1)*MAX(0,1-6/Supuestos!$C$20))*(1-Supuestos!$C$18)^6))</f>
        <v>0.371075472464656</v>
      </c>
      <c r="J101" s="29" t="n">
        <f aca="false">I101*(1-MIN(1,INDEX(Tabla_Mortalidad!$B$5:$B$75,MIN(71,Cartera_Polizas!$B$103+7-49))*(1+(Cartera_Polizas!$P$103-1)*MAX(0,1-7/Supuestos!$C$20))*(1-Supuestos!$C$18)^7))</f>
        <v>0.306394209866331</v>
      </c>
      <c r="K101" s="29" t="n">
        <f aca="false">J101*(1-MIN(1,INDEX(Tabla_Mortalidad!$B$5:$B$75,MIN(71,Cartera_Polizas!$B$103+8-49))*(1+(Cartera_Polizas!$P$103-1)*MAX(0,1-8/Supuestos!$C$20))*(1-Supuestos!$C$18)^8))</f>
        <v>0.249218583288484</v>
      </c>
      <c r="L101" s="29" t="n">
        <f aca="false">K101*(1-MIN(1,INDEX(Tabla_Mortalidad!$B$5:$B$75,MIN(71,Cartera_Polizas!$B$103+9-49))*(1+(Cartera_Polizas!$P$103-1)*MAX(0,1-9/Supuestos!$C$20))*(1-Supuestos!$C$18)^9))</f>
        <v>0.199519615434889</v>
      </c>
      <c r="M101" s="29" t="n">
        <f aca="false">L101*(1-MIN(1,INDEX(Tabla_Mortalidad!$B$5:$B$75,MIN(71,Cartera_Polizas!$B$103+10-49))*(1+(Cartera_Polizas!$P$103-1)*MAX(0,1-10/Supuestos!$C$20))*(1-Supuestos!$C$18)^10))</f>
        <v>0.15708219012208</v>
      </c>
      <c r="N101" s="29" t="n">
        <f aca="false">M101*(1-MIN(1,INDEX(Tabla_Mortalidad!$B$5:$B$75,MIN(71,Cartera_Polizas!$B$103+11-49))*(1+(Cartera_Polizas!$P$103-1)*MAX(0,1-11/Supuestos!$C$20))*(1-Supuestos!$C$18)^11))</f>
        <v>0.121521397761297</v>
      </c>
      <c r="O101" s="29" t="n">
        <f aca="false">N101*(1-MIN(1,INDEX(Tabla_Mortalidad!$B$5:$B$75,MIN(71,Cartera_Polizas!$B$103+12-49))*(1+(Cartera_Polizas!$P$103-1)*MAX(0,1-12/Supuestos!$C$20))*(1-Supuestos!$C$18)^12))</f>
        <v>0.0923081267957297</v>
      </c>
      <c r="P101" s="29" t="n">
        <f aca="false">O101*(1-MIN(1,INDEX(Tabla_Mortalidad!$B$5:$B$75,MIN(71,Cartera_Polizas!$B$103+13-49))*(1+(Cartera_Polizas!$P$103-1)*MAX(0,1-13/Supuestos!$C$20))*(1-Supuestos!$C$18)^13))</f>
        <v>0.0688027186482849</v>
      </c>
      <c r="Q101" s="29" t="n">
        <f aca="false">P101*(1-MIN(1,INDEX(Tabla_Mortalidad!$B$5:$B$75,MIN(71,Cartera_Polizas!$B$103+14-49))*(1+(Cartera_Polizas!$P$103-1)*MAX(0,1-14/Supuestos!$C$20))*(1-Supuestos!$C$18)^14))</f>
        <v>0.050294930681878</v>
      </c>
      <c r="R101" s="29" t="n">
        <f aca="false">Q101*(1-MIN(1,INDEX(Tabla_Mortalidad!$B$5:$B$75,MIN(71,Cartera_Polizas!$B$103+15-49))*(1+(Cartera_Polizas!$P$103-1)*MAX(0,1-15/Supuestos!$C$20))*(1-Supuestos!$C$18)^15))</f>
        <v>0.0360451653965062</v>
      </c>
      <c r="S101" s="29" t="n">
        <f aca="false">R101*(1-MIN(1,INDEX(Tabla_Mortalidad!$B$5:$B$75,MIN(71,Cartera_Polizas!$B$103+16-49))*(1+(Cartera_Polizas!$P$103-1)*MAX(0,1-16/Supuestos!$C$20))*(1-Supuestos!$C$18)^16))</f>
        <v>0.0249249367767322</v>
      </c>
      <c r="T101" s="29" t="n">
        <f aca="false">S101*(1-MIN(1,INDEX(Tabla_Mortalidad!$B$5:$B$75,MIN(71,Cartera_Polizas!$B$103+17-49))*(1+(Cartera_Polizas!$P$103-1)*MAX(0,1-17/Supuestos!$C$20))*(1-Supuestos!$C$18)^17))</f>
        <v>0.0165697266604859</v>
      </c>
      <c r="U101" s="29" t="n">
        <f aca="false">T101*(1-MIN(1,INDEX(Tabla_Mortalidad!$B$5:$B$75,MIN(71,Cartera_Polizas!$B$103+18-49))*(1+(Cartera_Polizas!$P$103-1)*MAX(0,1-18/Supuestos!$C$20))*(1-Supuestos!$C$18)^18))</f>
        <v>0.0105485561143885</v>
      </c>
      <c r="V101" s="29" t="n">
        <f aca="false">U101*(1-MIN(1,INDEX(Tabla_Mortalidad!$B$5:$B$75,MIN(71,Cartera_Polizas!$B$103+19-49))*(1+(Cartera_Polizas!$P$103-1)*MAX(0,1-19/Supuestos!$C$20))*(1-Supuestos!$C$18)^19))</f>
        <v>0.00640386474031425</v>
      </c>
      <c r="W101" s="29" t="n">
        <f aca="false">V101*(1-MIN(1,INDEX(Tabla_Mortalidad!$B$5:$B$75,MIN(71,Cartera_Polizas!$B$103+20-49))*(1+(Cartera_Polizas!$P$103-1)*MAX(0,1-20/Supuestos!$C$20))*(1-Supuestos!$C$18)^20))</f>
        <v>0.00369076964113291</v>
      </c>
      <c r="X101" s="29" t="n">
        <f aca="false">W101*(1-MIN(1,INDEX(Tabla_Mortalidad!$B$5:$B$75,MIN(71,Cartera_Polizas!$B$103+21-49))*(1+(Cartera_Polizas!$P$103-1)*MAX(0,1-21/Supuestos!$C$20))*(1-Supuestos!$C$18)^21))</f>
        <v>0.00200984648251073</v>
      </c>
      <c r="Y101" s="29" t="n">
        <f aca="false">X101*(1-MIN(1,INDEX(Tabla_Mortalidad!$B$5:$B$75,MIN(71,Cartera_Polizas!$B$103+22-49))*(1+(Cartera_Polizas!$P$103-1)*MAX(0,1-22/Supuestos!$C$20))*(1-Supuestos!$C$18)^22))</f>
        <v>0.00102905404375343</v>
      </c>
      <c r="Z101" s="29" t="n">
        <f aca="false">Y101*(1-MIN(1,INDEX(Tabla_Mortalidad!$B$5:$B$75,MIN(71,Cartera_Polizas!$B$103+23-49))*(1+(Cartera_Polizas!$P$103-1)*MAX(0,1-23/Supuestos!$C$20))*(1-Supuestos!$C$18)^23))</f>
        <v>0.000492888175857707</v>
      </c>
      <c r="AA101" s="29" t="n">
        <f aca="false">Z101*(1-MIN(1,INDEX(Tabla_Mortalidad!$B$5:$B$75,MIN(71,Cartera_Polizas!$B$103+24-49))*(1+(Cartera_Polizas!$P$103-1)*MAX(0,1-24/Supuestos!$C$20))*(1-Supuestos!$C$18)^24))</f>
        <v>0.000219734298470063</v>
      </c>
      <c r="AB101" s="29" t="n">
        <f aca="false">AA101*(1-MIN(1,INDEX(Tabla_Mortalidad!$B$5:$B$75,MIN(71,Cartera_Polizas!$B$103+25-49))*(1+(Cartera_Polizas!$P$103-1)*MAX(0,1-25/Supuestos!$C$20))*(1-Supuestos!$C$18)^25))</f>
        <v>9.07331541690559E-005</v>
      </c>
      <c r="AC101" s="29" t="n">
        <f aca="false">AB101*(1-MIN(1,INDEX(Tabla_Mortalidad!$B$5:$B$75,MIN(71,Cartera_Polizas!$B$103+26-49))*(1+(Cartera_Polizas!$P$103-1)*MAX(0,1-26/Supuestos!$C$20))*(1-Supuestos!$C$18)^26))</f>
        <v>3.45466068000575E-005</v>
      </c>
      <c r="AD101" s="29" t="n">
        <f aca="false">AC101*(1-MIN(1,INDEX(Tabla_Mortalidad!$B$5:$B$75,MIN(71,Cartera_Polizas!$B$103+27-49))*(1+(Cartera_Polizas!$P$103-1)*MAX(0,1-27/Supuestos!$C$20))*(1-Supuestos!$C$18)^27))</f>
        <v>1.20830410245377E-005</v>
      </c>
      <c r="AE101" s="29" t="n">
        <f aca="false">AD101*(1-MIN(1,INDEX(Tabla_Mortalidad!$B$5:$B$75,MIN(71,Cartera_Polizas!$B$103+28-49))*(1+(Cartera_Polizas!$P$103-1)*MAX(0,1-28/Supuestos!$C$20))*(1-Supuestos!$C$18)^28))</f>
        <v>3.87181211087308E-006</v>
      </c>
      <c r="AF101" s="29" t="n">
        <f aca="false">AE101*(1-MIN(1,INDEX(Tabla_Mortalidad!$B$5:$B$75,MIN(71,Cartera_Polizas!$B$103+29-49))*(1+(Cartera_Polizas!$P$103-1)*MAX(0,1-29/Supuestos!$C$20))*(1-Supuestos!$C$18)^29))</f>
        <v>1.13533251729259E-006</v>
      </c>
      <c r="AG101" s="29" t="n">
        <f aca="false">AF101*(1-MIN(1,INDEX(Tabla_Mortalidad!$B$5:$B$75,MIN(71,Cartera_Polizas!$B$103+30-49))*(1+(Cartera_Polizas!$P$103-1)*MAX(0,1-30/Supuestos!$C$20))*(1-Supuestos!$C$18)^30))</f>
        <v>3.04921354866817E-007</v>
      </c>
      <c r="AH101" s="29" t="n">
        <f aca="false">AG101*(1-MIN(1,INDEX(Tabla_Mortalidad!$B$5:$B$75,MIN(71,Cartera_Polizas!$B$103+31-49))*(1+(Cartera_Polizas!$P$103-1)*MAX(0,1-31/Supuestos!$C$20))*(1-Supuestos!$C$18)^31))</f>
        <v>7.52613725464223E-008</v>
      </c>
      <c r="AI101" s="29" t="n">
        <f aca="false">AH101*(1-MIN(1,INDEX(Tabla_Mortalidad!$B$5:$B$75,MIN(71,Cartera_Polizas!$B$103+32-49))*(1+(Cartera_Polizas!$P$103-1)*MAX(0,1-32/Supuestos!$C$20))*(1-Supuestos!$C$18)^32))</f>
        <v>1.71770339752325E-008</v>
      </c>
      <c r="AJ101" s="29" t="n">
        <f aca="false">AI101*(1-MIN(1,INDEX(Tabla_Mortalidad!$B$5:$B$75,MIN(71,Cartera_Polizas!$B$103+33-49))*(1+(Cartera_Polizas!$P$103-1)*MAX(0,1-33/Supuestos!$C$20))*(1-Supuestos!$C$18)^33))</f>
        <v>3.65777097840809E-009</v>
      </c>
      <c r="AK101" s="29" t="n">
        <f aca="false">AJ101*(1-MIN(1,INDEX(Tabla_Mortalidad!$B$5:$B$75,MIN(71,Cartera_Polizas!$B$103+34-49))*(1+(Cartera_Polizas!$P$103-1)*MAX(0,1-34/Supuestos!$C$20))*(1-Supuestos!$C$18)^34))</f>
        <v>7.3510865954801E-010</v>
      </c>
      <c r="AL101" s="29" t="n">
        <f aca="false">AK101*(1-MIN(1,INDEX(Tabla_Mortalidad!$B$5:$B$75,MIN(71,Cartera_Polizas!$B$103+35-49))*(1+(Cartera_Polizas!$P$103-1)*MAX(0,1-35/Supuestos!$C$20))*(1-Supuestos!$C$18)^35))</f>
        <v>1.18287355936491E-010</v>
      </c>
      <c r="AM101" s="29" t="n">
        <f aca="false">AL101*(1-MIN(1,INDEX(Tabla_Mortalidad!$B$5:$B$75,MIN(71,Cartera_Polizas!$B$103+36-49))*(1+(Cartera_Polizas!$P$103-1)*MAX(0,1-36/Supuestos!$C$20))*(1-Supuestos!$C$18)^36))</f>
        <v>1.95300506849165E-011</v>
      </c>
      <c r="AN101" s="29" t="n">
        <f aca="false">AM101*(1-MIN(1,INDEX(Tabla_Mortalidad!$B$5:$B$75,MIN(71,Cartera_Polizas!$B$103+37-49))*(1+(Cartera_Polizas!$P$103-1)*MAX(0,1-37/Supuestos!$C$20))*(1-Supuestos!$C$18)^37))</f>
        <v>3.30607234006242E-012</v>
      </c>
      <c r="AO101" s="29" t="n">
        <f aca="false">AN101*(1-MIN(1,INDEX(Tabla_Mortalidad!$B$5:$B$75,MIN(71,Cartera_Polizas!$B$103+38-49))*(1+(Cartera_Polizas!$P$103-1)*MAX(0,1-38/Supuestos!$C$20))*(1-Supuestos!$C$18)^38))</f>
        <v>5.73388299326485E-013</v>
      </c>
      <c r="AP101" s="29" t="n">
        <f aca="false">AO101*(1-MIN(1,INDEX(Tabla_Mortalidad!$B$5:$B$75,MIN(71,Cartera_Polizas!$B$103+39-49))*(1+(Cartera_Polizas!$P$103-1)*MAX(0,1-39/Supuestos!$C$20))*(1-Supuestos!$C$18)^39))</f>
        <v>1.01815251589968E-013</v>
      </c>
      <c r="AQ101" s="29" t="n">
        <f aca="false">AP101*(1-MIN(1,INDEX(Tabla_Mortalidad!$B$5:$B$75,MIN(71,Cartera_Polizas!$B$103+40-49))*(1+(Cartera_Polizas!$P$103-1)*MAX(0,1-40/Supuestos!$C$20))*(1-Supuestos!$C$18)^40))</f>
        <v>1.84977825869113E-014</v>
      </c>
      <c r="AR101" s="29" t="n">
        <f aca="false">AQ101*(1-MIN(1,INDEX(Tabla_Mortalidad!$B$5:$B$75,MIN(71,Cartera_Polizas!$B$103+41-49))*(1+(Cartera_Polizas!$P$103-1)*MAX(0,1-41/Supuestos!$C$20))*(1-Supuestos!$C$18)^41))</f>
        <v>3.43636044016479E-015</v>
      </c>
      <c r="AS101" s="29" t="n">
        <f aca="false">AR101*(1-MIN(1,INDEX(Tabla_Mortalidad!$B$5:$B$75,MIN(71,Cartera_Polizas!$B$103+42-49))*(1+(Cartera_Polizas!$P$103-1)*MAX(0,1-42/Supuestos!$C$20))*(1-Supuestos!$C$18)^42))</f>
        <v>6.5236767673206E-016</v>
      </c>
      <c r="AT101" s="29" t="n">
        <f aca="false">AS101*(1-MIN(1,INDEX(Tabla_Mortalidad!$B$5:$B$75,MIN(71,Cartera_Polizas!$B$103+43-49))*(1+(Cartera_Polizas!$P$103-1)*MAX(0,1-43/Supuestos!$C$20))*(1-Supuestos!$C$18)^43))</f>
        <v>1.26489792811006E-016</v>
      </c>
      <c r="AU101" s="29" t="n">
        <f aca="false">AT101*(1-MIN(1,INDEX(Tabla_Mortalidad!$B$5:$B$75,MIN(71,Cartera_Polizas!$B$103+44-49))*(1+(Cartera_Polizas!$P$103-1)*MAX(0,1-44/Supuestos!$C$20))*(1-Supuestos!$C$18)^44))</f>
        <v>2.50353584194892E-017</v>
      </c>
    </row>
    <row r="102" customFormat="false" ht="15" hidden="false" customHeight="false" outlineLevel="0" collapsed="false">
      <c r="A102" s="14" t="n">
        <f aca="false">Cartera_Polizas!A104</f>
        <v>99</v>
      </c>
      <c r="B102" s="26" t="n">
        <f aca="false">SUM(C102:AU102)+0.5</f>
        <v>10.6685846310336</v>
      </c>
      <c r="C102" s="29" t="n">
        <f aca="false">1-MIN(1,INDEX(Tabla_Mortalidad!$B$5:$B$75,MIN(71,Cartera_Polizas!$B$104+0-49))*(1+(Cartera_Polizas!$P$104-1)*MAX(0,1-0/Supuestos!$C$20))*(1-Supuestos!$C$18)^0)</f>
        <v>0.944642588</v>
      </c>
      <c r="D102" s="29" t="n">
        <f aca="false">C102*(1-MIN(1,INDEX(Tabla_Mortalidad!$B$5:$B$75,MIN(71,Cartera_Polizas!$B$104+1-49))*(1+(Cartera_Polizas!$P$104-1)*MAX(0,1-1/Supuestos!$C$20))*(1-Supuestos!$C$18)^1))</f>
        <v>0.888898283633386</v>
      </c>
      <c r="E102" s="29" t="n">
        <f aca="false">D102*(1-MIN(1,INDEX(Tabla_Mortalidad!$B$5:$B$75,MIN(71,Cartera_Polizas!$B$104+2-49))*(1+(Cartera_Polizas!$P$104-1)*MAX(0,1-2/Supuestos!$C$20))*(1-Supuestos!$C$18)^2))</f>
        <v>0.83308161113488</v>
      </c>
      <c r="F102" s="29" t="n">
        <f aca="false">E102*(1-MIN(1,INDEX(Tabla_Mortalidad!$B$5:$B$75,MIN(71,Cartera_Polizas!$B$104+3-49))*(1+(Cartera_Polizas!$P$104-1)*MAX(0,1-3/Supuestos!$C$20))*(1-Supuestos!$C$18)^3))</f>
        <v>0.777525222535617</v>
      </c>
      <c r="G102" s="29" t="n">
        <f aca="false">F102*(1-MIN(1,INDEX(Tabla_Mortalidad!$B$5:$B$75,MIN(71,Cartera_Polizas!$B$104+4-49))*(1+(Cartera_Polizas!$P$104-1)*MAX(0,1-4/Supuestos!$C$20))*(1-Supuestos!$C$18)^4))</f>
        <v>0.722574845987886</v>
      </c>
      <c r="H102" s="29" t="n">
        <f aca="false">G102*(1-MIN(1,INDEX(Tabla_Mortalidad!$B$5:$B$75,MIN(71,Cartera_Polizas!$B$104+5-49))*(1+(Cartera_Polizas!$P$104-1)*MAX(0,1-5/Supuestos!$C$20))*(1-Supuestos!$C$18)^5))</f>
        <v>0.668583202369888</v>
      </c>
      <c r="I102" s="29" t="n">
        <f aca="false">H102*(1-MIN(1,INDEX(Tabla_Mortalidad!$B$5:$B$75,MIN(71,Cartera_Polizas!$B$104+6-49))*(1+(Cartera_Polizas!$P$104-1)*MAX(0,1-6/Supuestos!$C$20))*(1-Supuestos!$C$18)^6))</f>
        <v>0.615901647282122</v>
      </c>
      <c r="J102" s="29" t="n">
        <f aca="false">I102*(1-MIN(1,INDEX(Tabla_Mortalidad!$B$5:$B$75,MIN(71,Cartera_Polizas!$B$104+7-49))*(1+(Cartera_Polizas!$P$104-1)*MAX(0,1-7/Supuestos!$C$20))*(1-Supuestos!$C$18)^7))</f>
        <v>0.564869651638597</v>
      </c>
      <c r="K102" s="29" t="n">
        <f aca="false">J102*(1-MIN(1,INDEX(Tabla_Mortalidad!$B$5:$B$75,MIN(71,Cartera_Polizas!$B$104+8-49))*(1+(Cartera_Polizas!$P$104-1)*MAX(0,1-8/Supuestos!$C$20))*(1-Supuestos!$C$18)^8))</f>
        <v>0.515808533719183</v>
      </c>
      <c r="L102" s="29" t="n">
        <f aca="false">K102*(1-MIN(1,INDEX(Tabla_Mortalidad!$B$5:$B$75,MIN(71,Cartera_Polizas!$B$104+9-49))*(1+(Cartera_Polizas!$P$104-1)*MAX(0,1-9/Supuestos!$C$20))*(1-Supuestos!$C$18)^9))</f>
        <v>0.469014276712529</v>
      </c>
      <c r="M102" s="29" t="n">
        <f aca="false">L102*(1-MIN(1,INDEX(Tabla_Mortalidad!$B$5:$B$75,MIN(71,Cartera_Polizas!$B$104+10-49))*(1+(Cartera_Polizas!$P$104-1)*MAX(0,1-10/Supuestos!$C$20))*(1-Supuestos!$C$18)^10))</f>
        <v>0.424747402423874</v>
      </c>
      <c r="N102" s="29" t="n">
        <f aca="false">M102*(1-MIN(1,INDEX(Tabla_Mortalidad!$B$5:$B$75,MIN(71,Cartera_Polizas!$B$104+11-49))*(1+(Cartera_Polizas!$P$104-1)*MAX(0,1-11/Supuestos!$C$20))*(1-Supuestos!$C$18)^11))</f>
        <v>0.383226068793111</v>
      </c>
      <c r="O102" s="29" t="n">
        <f aca="false">N102*(1-MIN(1,INDEX(Tabla_Mortalidad!$B$5:$B$75,MIN(71,Cartera_Polizas!$B$104+12-49))*(1+(Cartera_Polizas!$P$104-1)*MAX(0,1-12/Supuestos!$C$20))*(1-Supuestos!$C$18)^12))</f>
        <v>0.344623455636888</v>
      </c>
      <c r="P102" s="29" t="n">
        <f aca="false">O102*(1-MIN(1,INDEX(Tabla_Mortalidad!$B$5:$B$75,MIN(71,Cartera_Polizas!$B$104+13-49))*(1+(Cartera_Polizas!$P$104-1)*MAX(0,1-13/Supuestos!$C$20))*(1-Supuestos!$C$18)^13))</f>
        <v>0.309061192713089</v>
      </c>
      <c r="Q102" s="29" t="n">
        <f aca="false">P102*(1-MIN(1,INDEX(Tabla_Mortalidad!$B$5:$B$75,MIN(71,Cartera_Polizas!$B$104+14-49))*(1+(Cartera_Polizas!$P$104-1)*MAX(0,1-14/Supuestos!$C$20))*(1-Supuestos!$C$18)^14))</f>
        <v>0.276611383659251</v>
      </c>
      <c r="R102" s="29" t="n">
        <f aca="false">Q102*(1-MIN(1,INDEX(Tabla_Mortalidad!$B$5:$B$75,MIN(71,Cartera_Polizas!$B$104+15-49))*(1+(Cartera_Polizas!$P$104-1)*MAX(0,1-15/Supuestos!$C$20))*(1-Supuestos!$C$18)^15))</f>
        <v>0.247296020675378</v>
      </c>
      <c r="S102" s="29" t="n">
        <f aca="false">R102*(1-MIN(1,INDEX(Tabla_Mortalidad!$B$5:$B$75,MIN(71,Cartera_Polizas!$B$104+16-49))*(1+(Cartera_Polizas!$P$104-1)*MAX(0,1-16/Supuestos!$C$20))*(1-Supuestos!$C$18)^16))</f>
        <v>0.218386584694501</v>
      </c>
      <c r="T102" s="29" t="n">
        <f aca="false">S102*(1-MIN(1,INDEX(Tabla_Mortalidad!$B$5:$B$75,MIN(71,Cartera_Polizas!$B$104+17-49))*(1+(Cartera_Polizas!$P$104-1)*MAX(0,1-17/Supuestos!$C$20))*(1-Supuestos!$C$18)^17))</f>
        <v>0.190247695208403</v>
      </c>
      <c r="U102" s="29" t="n">
        <f aca="false">T102*(1-MIN(1,INDEX(Tabla_Mortalidad!$B$5:$B$75,MIN(71,Cartera_Polizas!$B$104+18-49))*(1+(Cartera_Polizas!$P$104-1)*MAX(0,1-18/Supuestos!$C$20))*(1-Supuestos!$C$18)^18))</f>
        <v>0.16325283118794</v>
      </c>
      <c r="V102" s="29" t="n">
        <f aca="false">U102*(1-MIN(1,INDEX(Tabla_Mortalidad!$B$5:$B$75,MIN(71,Cartera_Polizas!$B$104+19-49))*(1+(Cartera_Polizas!$P$104-1)*MAX(0,1-19/Supuestos!$C$20))*(1-Supuestos!$C$18)^19))</f>
        <v>0.137767974380738</v>
      </c>
      <c r="W102" s="29" t="n">
        <f aca="false">V102*(1-MIN(1,INDEX(Tabla_Mortalidad!$B$5:$B$75,MIN(71,Cartera_Polizas!$B$104+20-49))*(1+(Cartera_Polizas!$P$104-1)*MAX(0,1-20/Supuestos!$C$20))*(1-Supuestos!$C$18)^20))</f>
        <v>0.114132337192252</v>
      </c>
      <c r="X102" s="29" t="n">
        <f aca="false">W102*(1-MIN(1,INDEX(Tabla_Mortalidad!$B$5:$B$75,MIN(71,Cartera_Polizas!$B$104+21-49))*(1+(Cartera_Polizas!$P$104-1)*MAX(0,1-21/Supuestos!$C$20))*(1-Supuestos!$C$18)^21))</f>
        <v>0.0926386395901868</v>
      </c>
      <c r="Y102" s="29" t="n">
        <f aca="false">X102*(1-MIN(1,INDEX(Tabla_Mortalidad!$B$5:$B$75,MIN(71,Cartera_Polizas!$B$104+22-49))*(1+(Cartera_Polizas!$P$104-1)*MAX(0,1-22/Supuestos!$C$20))*(1-Supuestos!$C$18)^22))</f>
        <v>0.0735134093517712</v>
      </c>
      <c r="Z102" s="29" t="n">
        <f aca="false">Y102*(1-MIN(1,INDEX(Tabla_Mortalidad!$B$5:$B$75,MIN(71,Cartera_Polizas!$B$104+23-49))*(1+(Cartera_Polizas!$P$104-1)*MAX(0,1-23/Supuestos!$C$20))*(1-Supuestos!$C$18)^23))</f>
        <v>0.0568997420867376</v>
      </c>
      <c r="AA102" s="29" t="n">
        <f aca="false">Z102*(1-MIN(1,INDEX(Tabla_Mortalidad!$B$5:$B$75,MIN(71,Cartera_Polizas!$B$104+24-49))*(1+(Cartera_Polizas!$P$104-1)*MAX(0,1-24/Supuestos!$C$20))*(1-Supuestos!$C$18)^24))</f>
        <v>0.0428457359465675</v>
      </c>
      <c r="AB102" s="29" t="n">
        <f aca="false">AA102*(1-MIN(1,INDEX(Tabla_Mortalidad!$B$5:$B$75,MIN(71,Cartera_Polizas!$B$104+25-49))*(1+(Cartera_Polizas!$P$104-1)*MAX(0,1-25/Supuestos!$C$20))*(1-Supuestos!$C$18)^25))</f>
        <v>0.0312999922755986</v>
      </c>
      <c r="AC102" s="29" t="n">
        <f aca="false">AB102*(1-MIN(1,INDEX(Tabla_Mortalidad!$B$5:$B$75,MIN(71,Cartera_Polizas!$B$104+26-49))*(1+(Cartera_Polizas!$P$104-1)*MAX(0,1-26/Supuestos!$C$20))*(1-Supuestos!$C$18)^26))</f>
        <v>0.0221157838475601</v>
      </c>
      <c r="AD102" s="29" t="n">
        <f aca="false">AC102*(1-MIN(1,INDEX(Tabla_Mortalidad!$B$5:$B$75,MIN(71,Cartera_Polizas!$B$104+27-49))*(1+(Cartera_Polizas!$P$104-1)*MAX(0,1-27/Supuestos!$C$20))*(1-Supuestos!$C$18)^27))</f>
        <v>0.0150646906548069</v>
      </c>
      <c r="AE102" s="29" t="n">
        <f aca="false">AD102*(1-MIN(1,INDEX(Tabla_Mortalidad!$B$5:$B$75,MIN(71,Cartera_Polizas!$B$104+28-49))*(1+(Cartera_Polizas!$P$104-1)*MAX(0,1-28/Supuestos!$C$20))*(1-Supuestos!$C$18)^28))</f>
        <v>0.00985806193211373</v>
      </c>
      <c r="AF102" s="29" t="n">
        <f aca="false">AE102*(1-MIN(1,INDEX(Tabla_Mortalidad!$B$5:$B$75,MIN(71,Cartera_Polizas!$B$104+29-49))*(1+(Cartera_Polizas!$P$104-1)*MAX(0,1-29/Supuestos!$C$20))*(1-Supuestos!$C$18)^29))</f>
        <v>0.00617404574785768</v>
      </c>
      <c r="AG102" s="29" t="n">
        <f aca="false">AF102*(1-MIN(1,INDEX(Tabla_Mortalidad!$B$5:$B$75,MIN(71,Cartera_Polizas!$B$104+30-49))*(1+(Cartera_Polizas!$P$104-1)*MAX(0,1-30/Supuestos!$C$20))*(1-Supuestos!$C$18)^30))</f>
        <v>0.00368619961315896</v>
      </c>
      <c r="AH102" s="29" t="n">
        <f aca="false">AG102*(1-MIN(1,INDEX(Tabla_Mortalidad!$B$5:$B$75,MIN(71,Cartera_Polizas!$B$104+31-49))*(1+(Cartera_Polizas!$P$104-1)*MAX(0,1-31/Supuestos!$C$20))*(1-Supuestos!$C$18)^31))</f>
        <v>0.00208943618277997</v>
      </c>
      <c r="AI102" s="29" t="n">
        <f aca="false">AH102*(1-MIN(1,INDEX(Tabla_Mortalidad!$B$5:$B$75,MIN(71,Cartera_Polizas!$B$104+32-49))*(1+(Cartera_Polizas!$P$104-1)*MAX(0,1-32/Supuestos!$C$20))*(1-Supuestos!$C$18)^32))</f>
        <v>0.00111965413238122</v>
      </c>
      <c r="AJ102" s="29" t="n">
        <f aca="false">AI102*(1-MIN(1,INDEX(Tabla_Mortalidad!$B$5:$B$75,MIN(71,Cartera_Polizas!$B$104+33-49))*(1+(Cartera_Polizas!$P$104-1)*MAX(0,1-33/Supuestos!$C$20))*(1-Supuestos!$C$18)^33))</f>
        <v>0.000564804024651014</v>
      </c>
      <c r="AK102" s="29" t="n">
        <f aca="false">AJ102*(1-MIN(1,INDEX(Tabla_Mortalidad!$B$5:$B$75,MIN(71,Cartera_Polizas!$B$104+34-49))*(1+(Cartera_Polizas!$P$104-1)*MAX(0,1-34/Supuestos!$C$20))*(1-Supuestos!$C$18)^34))</f>
        <v>0.000267098043492671</v>
      </c>
      <c r="AL102" s="29" t="n">
        <f aca="false">AK102*(1-MIN(1,INDEX(Tabla_Mortalidad!$B$5:$B$75,MIN(71,Cartera_Polizas!$B$104+35-49))*(1+(Cartera_Polizas!$P$104-1)*MAX(0,1-35/Supuestos!$C$20))*(1-Supuestos!$C$18)^35))</f>
        <v>0.000117956983493542</v>
      </c>
      <c r="AM102" s="29" t="n">
        <f aca="false">AL102*(1-MIN(1,INDEX(Tabla_Mortalidad!$B$5:$B$75,MIN(71,Cartera_Polizas!$B$104+36-49))*(1+(Cartera_Polizas!$P$104-1)*MAX(0,1-36/Supuestos!$C$20))*(1-Supuestos!$C$18)^36))</f>
        <v>4.848322374056E-005</v>
      </c>
      <c r="AN102" s="29" t="n">
        <f aca="false">AM102*(1-MIN(1,INDEX(Tabla_Mortalidad!$B$5:$B$75,MIN(71,Cartera_Polizas!$B$104+37-49))*(1+(Cartera_Polizas!$P$104-1)*MAX(0,1-37/Supuestos!$C$20))*(1-Supuestos!$C$18)^37))</f>
        <v>1.84988077001893E-005</v>
      </c>
      <c r="AO102" s="29" t="n">
        <f aca="false">AN102*(1-MIN(1,INDEX(Tabla_Mortalidad!$B$5:$B$75,MIN(71,Cartera_Polizas!$B$104+38-49))*(1+(Cartera_Polizas!$P$104-1)*MAX(0,1-38/Supuestos!$C$20))*(1-Supuestos!$C$18)^38))</f>
        <v>6.54224199243621E-006</v>
      </c>
      <c r="AP102" s="29" t="n">
        <f aca="false">AO102*(1-MIN(1,INDEX(Tabla_Mortalidad!$B$5:$B$75,MIN(71,Cartera_Polizas!$B$104+39-49))*(1+(Cartera_Polizas!$P$104-1)*MAX(0,1-39/Supuestos!$C$20))*(1-Supuestos!$C$18)^39))</f>
        <v>2.14444324052656E-006</v>
      </c>
      <c r="AQ102" s="29" t="n">
        <f aca="false">AP102*(1-MIN(1,INDEX(Tabla_Mortalidad!$B$5:$B$75,MIN(71,Cartera_Polizas!$B$104+40-49))*(1+(Cartera_Polizas!$P$104-1)*MAX(0,1-40/Supuestos!$C$20))*(1-Supuestos!$C$18)^40))</f>
        <v>6.5262653950871E-007</v>
      </c>
      <c r="AR102" s="29" t="n">
        <f aca="false">AQ102*(1-MIN(1,INDEX(Tabla_Mortalidad!$B$5:$B$75,MIN(71,Cartera_Polizas!$B$104+41-49))*(1+(Cartera_Polizas!$P$104-1)*MAX(0,1-41/Supuestos!$C$20))*(1-Supuestos!$C$18)^41))</f>
        <v>1.85114257834126E-007</v>
      </c>
      <c r="AS102" s="29" t="n">
        <f aca="false">AR102*(1-MIN(1,INDEX(Tabla_Mortalidad!$B$5:$B$75,MIN(71,Cartera_Polizas!$B$104+42-49))*(1+(Cartera_Polizas!$P$104-1)*MAX(0,1-42/Supuestos!$C$20))*(1-Supuestos!$C$18)^42))</f>
        <v>4.9233615382317E-008</v>
      </c>
      <c r="AT102" s="29" t="n">
        <f aca="false">AS102*(1-MIN(1,INDEX(Tabla_Mortalidad!$B$5:$B$75,MIN(71,Cartera_Polizas!$B$104+43-49))*(1+(Cartera_Polizas!$P$104-1)*MAX(0,1-43/Supuestos!$C$20))*(1-Supuestos!$C$18)^43))</f>
        <v>1.23785337021328E-008</v>
      </c>
      <c r="AU102" s="29" t="n">
        <f aca="false">AT102*(1-MIN(1,INDEX(Tabla_Mortalidad!$B$5:$B$75,MIN(71,Cartera_Polizas!$B$104+44-49))*(1+(Cartera_Polizas!$P$104-1)*MAX(0,1-44/Supuestos!$C$20))*(1-Supuestos!$C$18)^44))</f>
        <v>2.97129549050962E-009</v>
      </c>
    </row>
    <row r="103" customFormat="false" ht="15" hidden="false" customHeight="false" outlineLevel="0" collapsed="false">
      <c r="A103" s="14" t="n">
        <f aca="false">Cartera_Polizas!A105</f>
        <v>100</v>
      </c>
      <c r="B103" s="26" t="n">
        <f aca="false">SUM(C103:AU103)+0.5</f>
        <v>11.077569715564</v>
      </c>
      <c r="C103" s="29" t="n">
        <f aca="false">1-MIN(1,INDEX(Tabla_Mortalidad!$B$5:$B$75,MIN(71,Cartera_Polizas!$B$105+0-49))*(1+(Cartera_Polizas!$P$105-1)*MAX(0,1-0/Supuestos!$C$20))*(1-Supuestos!$C$18)^0)</f>
        <v>0.9429352885</v>
      </c>
      <c r="D103" s="29" t="n">
        <f aca="false">C103*(1-MIN(1,INDEX(Tabla_Mortalidad!$B$5:$B$75,MIN(71,Cartera_Polizas!$B$105+1-49))*(1+(Cartera_Polizas!$P$105-1)*MAX(0,1-1/Supuestos!$C$20))*(1-Supuestos!$C$18)^1))</f>
        <v>0.885925305051527</v>
      </c>
      <c r="E103" s="29" t="n">
        <f aca="false">D103*(1-MIN(1,INDEX(Tabla_Mortalidad!$B$5:$B$75,MIN(71,Cartera_Polizas!$B$105+2-49))*(1+(Cartera_Polizas!$P$105-1)*MAX(0,1-2/Supuestos!$C$20))*(1-Supuestos!$C$18)^2))</f>
        <v>0.829303991368379</v>
      </c>
      <c r="F103" s="29" t="n">
        <f aca="false">E103*(1-MIN(1,INDEX(Tabla_Mortalidad!$B$5:$B$75,MIN(71,Cartera_Polizas!$B$105+3-49))*(1+(Cartera_Polizas!$P$105-1)*MAX(0,1-3/Supuestos!$C$20))*(1-Supuestos!$C$18)^3))</f>
        <v>0.773423492565036</v>
      </c>
      <c r="G103" s="29" t="n">
        <f aca="false">F103*(1-MIN(1,INDEX(Tabla_Mortalidad!$B$5:$B$75,MIN(71,Cartera_Polizas!$B$105+4-49))*(1+(Cartera_Polizas!$P$105-1)*MAX(0,1-4/Supuestos!$C$20))*(1-Supuestos!$C$18)^4))</f>
        <v>0.718635671976273</v>
      </c>
      <c r="H103" s="29" t="n">
        <f aca="false">G103*(1-MIN(1,INDEX(Tabla_Mortalidad!$B$5:$B$75,MIN(71,Cartera_Polizas!$B$105+5-49))*(1+(Cartera_Polizas!$P$105-1)*MAX(0,1-5/Supuestos!$C$20))*(1-Supuestos!$C$18)^5))</f>
        <v>0.665288130867708</v>
      </c>
      <c r="I103" s="29" t="n">
        <f aca="false">H103*(1-MIN(1,INDEX(Tabla_Mortalidad!$B$5:$B$75,MIN(71,Cartera_Polizas!$B$105+6-49))*(1+(Cartera_Polizas!$P$105-1)*MAX(0,1-6/Supuestos!$C$20))*(1-Supuestos!$C$18)^6))</f>
        <v>0.613717146579265</v>
      </c>
      <c r="J103" s="29" t="n">
        <f aca="false">I103*(1-MIN(1,INDEX(Tabla_Mortalidad!$B$5:$B$75,MIN(71,Cartera_Polizas!$B$105+7-49))*(1+(Cartera_Polizas!$P$105-1)*MAX(0,1-7/Supuestos!$C$20))*(1-Supuestos!$C$18)^7))</f>
        <v>0.564240503693114</v>
      </c>
      <c r="K103" s="29" t="n">
        <f aca="false">J103*(1-MIN(1,INDEX(Tabla_Mortalidad!$B$5:$B$75,MIN(71,Cartera_Polizas!$B$105+8-49))*(1+(Cartera_Polizas!$P$105-1)*MAX(0,1-8/Supuestos!$C$20))*(1-Supuestos!$C$18)^8))</f>
        <v>0.51714936159473</v>
      </c>
      <c r="L103" s="29" t="n">
        <f aca="false">K103*(1-MIN(1,INDEX(Tabla_Mortalidad!$B$5:$B$75,MIN(71,Cartera_Polizas!$B$105+9-49))*(1+(Cartera_Polizas!$P$105-1)*MAX(0,1-9/Supuestos!$C$20))*(1-Supuestos!$C$18)^9))</f>
        <v>0.472699685605028</v>
      </c>
      <c r="M103" s="29" t="n">
        <f aca="false">L103*(1-MIN(1,INDEX(Tabla_Mortalidad!$B$5:$B$75,MIN(71,Cartera_Polizas!$B$105+10-49))*(1+(Cartera_Polizas!$P$105-1)*MAX(0,1-10/Supuestos!$C$20))*(1-Supuestos!$C$18)^10))</f>
        <v>0.431109079307914</v>
      </c>
      <c r="N103" s="29" t="n">
        <f aca="false">M103*(1-MIN(1,INDEX(Tabla_Mortalidad!$B$5:$B$75,MIN(71,Cartera_Polizas!$B$105+11-49))*(1+(Cartera_Polizas!$P$105-1)*MAX(0,1-11/Supuestos!$C$20))*(1-Supuestos!$C$18)^11))</f>
        <v>0.392554222126248</v>
      </c>
      <c r="O103" s="29" t="n">
        <f aca="false">N103*(1-MIN(1,INDEX(Tabla_Mortalidad!$B$5:$B$75,MIN(71,Cartera_Polizas!$B$105+12-49))*(1+(Cartera_Polizas!$P$105-1)*MAX(0,1-12/Supuestos!$C$20))*(1-Supuestos!$C$18)^12))</f>
        <v>0.357167490599493</v>
      </c>
      <c r="P103" s="29" t="n">
        <f aca="false">O103*(1-MIN(1,INDEX(Tabla_Mortalidad!$B$5:$B$75,MIN(71,Cartera_Polizas!$B$105+13-49))*(1+(Cartera_Polizas!$P$105-1)*MAX(0,1-13/Supuestos!$C$20))*(1-Supuestos!$C$18)^13))</f>
        <v>0.325038046395548</v>
      </c>
      <c r="Q103" s="29" t="n">
        <f aca="false">P103*(1-MIN(1,INDEX(Tabla_Mortalidad!$B$5:$B$75,MIN(71,Cartera_Polizas!$B$105+14-49))*(1+(Cartera_Polizas!$P$105-1)*MAX(0,1-14/Supuestos!$C$20))*(1-Supuestos!$C$18)^14))</f>
        <v>0.296217807553699</v>
      </c>
      <c r="R103" s="29" t="n">
        <f aca="false">Q103*(1-MIN(1,INDEX(Tabla_Mortalidad!$B$5:$B$75,MIN(71,Cartera_Polizas!$B$105+15-49))*(1+(Cartera_Polizas!$P$105-1)*MAX(0,1-15/Supuestos!$C$20))*(1-Supuestos!$C$18)^15))</f>
        <v>0.270725897311044</v>
      </c>
      <c r="S103" s="29" t="n">
        <f aca="false">R103*(1-MIN(1,INDEX(Tabla_Mortalidad!$B$5:$B$75,MIN(71,Cartera_Polizas!$B$105+16-49))*(1+(Cartera_Polizas!$P$105-1)*MAX(0,1-16/Supuestos!$C$20))*(1-Supuestos!$C$18)^16))</f>
        <v>0.24499242632375</v>
      </c>
      <c r="T103" s="29" t="n">
        <f aca="false">S103*(1-MIN(1,INDEX(Tabla_Mortalidad!$B$5:$B$75,MIN(71,Cartera_Polizas!$B$105+17-49))*(1+(Cartera_Polizas!$P$105-1)*MAX(0,1-17/Supuestos!$C$20))*(1-Supuestos!$C$18)^17))</f>
        <v>0.219287045207811</v>
      </c>
      <c r="U103" s="29" t="n">
        <f aca="false">T103*(1-MIN(1,INDEX(Tabla_Mortalidad!$B$5:$B$75,MIN(71,Cartera_Polizas!$B$105+18-49))*(1+(Cartera_Polizas!$P$105-1)*MAX(0,1-18/Supuestos!$C$20))*(1-Supuestos!$C$18)^18))</f>
        <v>0.193907629006929</v>
      </c>
      <c r="V103" s="29" t="n">
        <f aca="false">U103*(1-MIN(1,INDEX(Tabla_Mortalidad!$B$5:$B$75,MIN(71,Cartera_Polizas!$B$105+19-49))*(1+(Cartera_Polizas!$P$105-1)*MAX(0,1-19/Supuestos!$C$20))*(1-Supuestos!$C$18)^19))</f>
        <v>0.169172051471816</v>
      </c>
      <c r="W103" s="29" t="n">
        <f aca="false">V103*(1-MIN(1,INDEX(Tabla_Mortalidad!$B$5:$B$75,MIN(71,Cartera_Polizas!$B$105+20-49))*(1+(Cartera_Polizas!$P$105-1)*MAX(0,1-20/Supuestos!$C$20))*(1-Supuestos!$C$18)^20))</f>
        <v>0.145407122678595</v>
      </c>
      <c r="X103" s="29" t="n">
        <f aca="false">W103*(1-MIN(1,INDEX(Tabla_Mortalidad!$B$5:$B$75,MIN(71,Cartera_Polizas!$B$105+21-49))*(1+(Cartera_Polizas!$P$105-1)*MAX(0,1-21/Supuestos!$C$20))*(1-Supuestos!$C$18)^21))</f>
        <v>0.122934522855942</v>
      </c>
      <c r="Y103" s="29" t="n">
        <f aca="false">X103*(1-MIN(1,INDEX(Tabla_Mortalidad!$B$5:$B$75,MIN(71,Cartera_Polizas!$B$105+22-49))*(1+(Cartera_Polizas!$P$105-1)*MAX(0,1-22/Supuestos!$C$20))*(1-Supuestos!$C$18)^22))</f>
        <v>0.102054110872054</v>
      </c>
      <c r="Z103" s="29" t="n">
        <f aca="false">Y103*(1-MIN(1,INDEX(Tabla_Mortalidad!$B$5:$B$75,MIN(71,Cartera_Polizas!$B$105+23-49))*(1+(Cartera_Polizas!$P$105-1)*MAX(0,1-23/Supuestos!$C$20))*(1-Supuestos!$C$18)^23))</f>
        <v>0.0830267266303983</v>
      </c>
      <c r="AA103" s="29" t="n">
        <f aca="false">Z103*(1-MIN(1,INDEX(Tabla_Mortalidad!$B$5:$B$75,MIN(71,Cartera_Polizas!$B$105+24-49))*(1+(Cartera_Polizas!$P$105-1)*MAX(0,1-24/Supuestos!$C$20))*(1-Supuestos!$C$18)^24))</f>
        <v>0.0660568540728249</v>
      </c>
      <c r="AB103" s="29" t="n">
        <f aca="false">AA103*(1-MIN(1,INDEX(Tabla_Mortalidad!$B$5:$B$75,MIN(71,Cartera_Polizas!$B$105+25-49))*(1+(Cartera_Polizas!$P$105-1)*MAX(0,1-25/Supuestos!$C$20))*(1-Supuestos!$C$18)^25))</f>
        <v>0.0512772434691975</v>
      </c>
      <c r="AC103" s="29" t="n">
        <f aca="false">AB103*(1-MIN(1,INDEX(Tabla_Mortalidad!$B$5:$B$75,MIN(71,Cartera_Polizas!$B$105+26-49))*(1+(Cartera_Polizas!$P$105-1)*MAX(0,1-26/Supuestos!$C$20))*(1-Supuestos!$C$18)^26))</f>
        <v>0.0387383078304174</v>
      </c>
      <c r="AD103" s="29" t="n">
        <f aca="false">AC103*(1-MIN(1,INDEX(Tabla_Mortalidad!$B$5:$B$75,MIN(71,Cartera_Polizas!$B$105+27-49))*(1+(Cartera_Polizas!$P$105-1)*MAX(0,1-27/Supuestos!$C$20))*(1-Supuestos!$C$18)^27))</f>
        <v>0.0284035307863484</v>
      </c>
      <c r="AE103" s="29" t="n">
        <f aca="false">AD103*(1-MIN(1,INDEX(Tabla_Mortalidad!$B$5:$B$75,MIN(71,Cartera_Polizas!$B$105+28-49))*(1+(Cartera_Polizas!$P$105-1)*MAX(0,1-28/Supuestos!$C$20))*(1-Supuestos!$C$18)^28))</f>
        <v>0.0201523521058443</v>
      </c>
      <c r="AF103" s="29" t="n">
        <f aca="false">AE103*(1-MIN(1,INDEX(Tabla_Mortalidad!$B$5:$B$75,MIN(71,Cartera_Polizas!$B$105+29-49))*(1+(Cartera_Polizas!$P$105-1)*MAX(0,1-29/Supuestos!$C$20))*(1-Supuestos!$C$18)^29))</f>
        <v>0.0137913429281249</v>
      </c>
      <c r="AG103" s="29" t="n">
        <f aca="false">AF103*(1-MIN(1,INDEX(Tabla_Mortalidad!$B$5:$B$75,MIN(71,Cartera_Polizas!$B$105+30-49))*(1+(Cartera_Polizas!$P$105-1)*MAX(0,1-30/Supuestos!$C$20))*(1-Supuestos!$C$18)^30))</f>
        <v>0.00907235234405225</v>
      </c>
      <c r="AH103" s="29" t="n">
        <f aca="false">AG103*(1-MIN(1,INDEX(Tabla_Mortalidad!$B$5:$B$75,MIN(71,Cartera_Polizas!$B$105+31-49))*(1+(Cartera_Polizas!$P$105-1)*MAX(0,1-31/Supuestos!$C$20))*(1-Supuestos!$C$18)^31))</f>
        <v>0.00571577964940892</v>
      </c>
      <c r="AI103" s="29" t="n">
        <f aca="false">AH103*(1-MIN(1,INDEX(Tabla_Mortalidad!$B$5:$B$75,MIN(71,Cartera_Polizas!$B$105+32-49))*(1+(Cartera_Polizas!$P$105-1)*MAX(0,1-32/Supuestos!$C$20))*(1-Supuestos!$C$18)^32))</f>
        <v>0.00343556719570488</v>
      </c>
      <c r="AJ103" s="29" t="n">
        <f aca="false">AI103*(1-MIN(1,INDEX(Tabla_Mortalidad!$B$5:$B$75,MIN(71,Cartera_Polizas!$B$105+33-49))*(1+(Cartera_Polizas!$P$105-1)*MAX(0,1-33/Supuestos!$C$20))*(1-Supuestos!$C$18)^33))</f>
        <v>0.00196221580544975</v>
      </c>
      <c r="AK103" s="29" t="n">
        <f aca="false">AJ103*(1-MIN(1,INDEX(Tabla_Mortalidad!$B$5:$B$75,MIN(71,Cartera_Polizas!$B$105+34-49))*(1+(Cartera_Polizas!$P$105-1)*MAX(0,1-34/Supuestos!$C$20))*(1-Supuestos!$C$18)^34))</f>
        <v>0.00106056585843023</v>
      </c>
      <c r="AL103" s="29" t="n">
        <f aca="false">AK103*(1-MIN(1,INDEX(Tabla_Mortalidad!$B$5:$B$75,MIN(71,Cartera_Polizas!$B$105+35-49))*(1+(Cartera_Polizas!$P$105-1)*MAX(0,1-35/Supuestos!$C$20))*(1-Supuestos!$C$18)^35))</f>
        <v>0.000540239782256198</v>
      </c>
      <c r="AM103" s="29" t="n">
        <f aca="false">AL103*(1-MIN(1,INDEX(Tabla_Mortalidad!$B$5:$B$75,MIN(71,Cartera_Polizas!$B$105+36-49))*(1+(Cartera_Polizas!$P$105-1)*MAX(0,1-36/Supuestos!$C$20))*(1-Supuestos!$C$18)^36))</f>
        <v>0.000258321980401433</v>
      </c>
      <c r="AN103" s="29" t="n">
        <f aca="false">AM103*(1-MIN(1,INDEX(Tabla_Mortalidad!$B$5:$B$75,MIN(71,Cartera_Polizas!$B$105+37-49))*(1+(Cartera_Polizas!$P$105-1)*MAX(0,1-37/Supuestos!$C$20))*(1-Supuestos!$C$18)^37))</f>
        <v>0.000115520062049835</v>
      </c>
      <c r="AO103" s="29" t="n">
        <f aca="false">AN103*(1-MIN(1,INDEX(Tabla_Mortalidad!$B$5:$B$75,MIN(71,Cartera_Polizas!$B$105+38-49))*(1+(Cartera_Polizas!$P$105-1)*MAX(0,1-38/Supuestos!$C$20))*(1-Supuestos!$C$18)^38))</f>
        <v>4.81602728103469E-005</v>
      </c>
      <c r="AP103" s="29" t="n">
        <f aca="false">AO103*(1-MIN(1,INDEX(Tabla_Mortalidad!$B$5:$B$75,MIN(71,Cartera_Polizas!$B$105+39-49))*(1+(Cartera_Polizas!$P$105-1)*MAX(0,1-39/Supuestos!$C$20))*(1-Supuestos!$C$18)^39))</f>
        <v>1.86726878038458E-005</v>
      </c>
      <c r="AQ103" s="29" t="n">
        <f aca="false">AP103*(1-MIN(1,INDEX(Tabla_Mortalidad!$B$5:$B$75,MIN(71,Cartera_Polizas!$B$105+40-49))*(1+(Cartera_Polizas!$P$105-1)*MAX(0,1-40/Supuestos!$C$20))*(1-Supuestos!$C$18)^40))</f>
        <v>6.72412378863219E-006</v>
      </c>
      <c r="AR103" s="29" t="n">
        <f aca="false">AQ103*(1-MIN(1,INDEX(Tabla_Mortalidad!$B$5:$B$75,MIN(71,Cartera_Polizas!$B$105+41-49))*(1+(Cartera_Polizas!$P$105-1)*MAX(0,1-41/Supuestos!$C$20))*(1-Supuestos!$C$18)^41))</f>
        <v>2.2491488349837E-006</v>
      </c>
      <c r="AS103" s="29" t="n">
        <f aca="false">AR103*(1-MIN(1,INDEX(Tabla_Mortalidad!$B$5:$B$75,MIN(71,Cartera_Polizas!$B$105+42-49))*(1+(Cartera_Polizas!$P$105-1)*MAX(0,1-42/Supuestos!$C$20))*(1-Supuestos!$C$18)^42))</f>
        <v>7.00099441966564E-007</v>
      </c>
      <c r="AT103" s="29" t="n">
        <f aca="false">AS103*(1-MIN(1,INDEX(Tabla_Mortalidad!$B$5:$B$75,MIN(71,Cartera_Polizas!$B$105+43-49))*(1+(Cartera_Polizas!$P$105-1)*MAX(0,1-43/Supuestos!$C$20))*(1-Supuestos!$C$18)^43))</f>
        <v>2.03582368804194E-007</v>
      </c>
      <c r="AU103" s="29" t="n">
        <f aca="false">AT103*(1-MIN(1,INDEX(Tabla_Mortalidad!$B$5:$B$75,MIN(71,Cartera_Polizas!$B$105+44-49))*(1+(Cartera_Polizas!$P$105-1)*MAX(0,1-44/Supuestos!$C$20))*(1-Supuestos!$C$18)^44))</f>
        <v>5.5636089963575E-008</v>
      </c>
    </row>
    <row r="104" customFormat="false" ht="15" hidden="false" customHeight="false" outlineLevel="0" collapsed="false">
      <c r="A104" s="14" t="n">
        <f aca="false">Cartera_Polizas!A106</f>
        <v>101</v>
      </c>
      <c r="B104" s="26" t="n">
        <f aca="false">SUM(C104:AU104)+0.5</f>
        <v>8.32525304026305</v>
      </c>
      <c r="C104" s="29" t="n">
        <f aca="false">1-MIN(1,INDEX(Tabla_Mortalidad!$B$5:$B$75,MIN(71,Cartera_Polizas!$B$106+0-49))*(1+(Cartera_Polizas!$P$106-1)*MAX(0,1-0/Supuestos!$C$20))*(1-Supuestos!$C$18)^0)</f>
        <v>0.9309030325</v>
      </c>
      <c r="D104" s="29" t="n">
        <f aca="false">C104*(1-MIN(1,INDEX(Tabla_Mortalidad!$B$5:$B$75,MIN(71,Cartera_Polizas!$B$106+1-49))*(1+(Cartera_Polizas!$P$106-1)*MAX(0,1-1/Supuestos!$C$20))*(1-Supuestos!$C$18)^1))</f>
        <v>0.861365378613911</v>
      </c>
      <c r="E104" s="29" t="n">
        <f aca="false">D104*(1-MIN(1,INDEX(Tabla_Mortalidad!$B$5:$B$75,MIN(71,Cartera_Polizas!$B$106+2-49))*(1+(Cartera_Polizas!$P$106-1)*MAX(0,1-2/Supuestos!$C$20))*(1-Supuestos!$C$18)^2))</f>
        <v>0.791867878825017</v>
      </c>
      <c r="F104" s="29" t="n">
        <f aca="false">E104*(1-MIN(1,INDEX(Tabla_Mortalidad!$B$5:$B$75,MIN(71,Cartera_Polizas!$B$106+3-49))*(1+(Cartera_Polizas!$P$106-1)*MAX(0,1-3/Supuestos!$C$20))*(1-Supuestos!$C$18)^3))</f>
        <v>0.722928318907959</v>
      </c>
      <c r="G104" s="29" t="n">
        <f aca="false">F104*(1-MIN(1,INDEX(Tabla_Mortalidad!$B$5:$B$75,MIN(71,Cartera_Polizas!$B$106+4-49))*(1+(Cartera_Polizas!$P$106-1)*MAX(0,1-4/Supuestos!$C$20))*(1-Supuestos!$C$18)^4))</f>
        <v>0.65508811112652</v>
      </c>
      <c r="H104" s="29" t="n">
        <f aca="false">G104*(1-MIN(1,INDEX(Tabla_Mortalidad!$B$5:$B$75,MIN(71,Cartera_Polizas!$B$106+5-49))*(1+(Cartera_Polizas!$P$106-1)*MAX(0,1-5/Supuestos!$C$20))*(1-Supuestos!$C$18)^5))</f>
        <v>0.58889922959247</v>
      </c>
      <c r="I104" s="29" t="n">
        <f aca="false">H104*(1-MIN(1,INDEX(Tabla_Mortalidad!$B$5:$B$75,MIN(71,Cartera_Polizas!$B$106+6-49))*(1+(Cartera_Polizas!$P$106-1)*MAX(0,1-6/Supuestos!$C$20))*(1-Supuestos!$C$18)^6))</f>
        <v>0.524913434473734</v>
      </c>
      <c r="J104" s="29" t="n">
        <f aca="false">I104*(1-MIN(1,INDEX(Tabla_Mortalidad!$B$5:$B$75,MIN(71,Cartera_Polizas!$B$106+7-49))*(1+(Cartera_Polizas!$P$106-1)*MAX(0,1-7/Supuestos!$C$20))*(1-Supuestos!$C$18)^7))</f>
        <v>0.463660406851734</v>
      </c>
      <c r="K104" s="29" t="n">
        <f aca="false">J104*(1-MIN(1,INDEX(Tabla_Mortalidad!$B$5:$B$75,MIN(71,Cartera_Polizas!$B$106+8-49))*(1+(Cartera_Polizas!$P$106-1)*MAX(0,1-8/Supuestos!$C$20))*(1-Supuestos!$C$18)^8))</f>
        <v>0.40563512811528</v>
      </c>
      <c r="L104" s="29" t="n">
        <f aca="false">K104*(1-MIN(1,INDEX(Tabla_Mortalidad!$B$5:$B$75,MIN(71,Cartera_Polizas!$B$106+9-49))*(1+(Cartera_Polizas!$P$106-1)*MAX(0,1-9/Supuestos!$C$20))*(1-Supuestos!$C$18)^9))</f>
        <v>0.35127670332759</v>
      </c>
      <c r="M104" s="29" t="n">
        <f aca="false">L104*(1-MIN(1,INDEX(Tabla_Mortalidad!$B$5:$B$75,MIN(71,Cartera_Polizas!$B$106+10-49))*(1+(Cartera_Polizas!$P$106-1)*MAX(0,1-10/Supuestos!$C$20))*(1-Supuestos!$C$18)^10))</f>
        <v>0.30095259580219</v>
      </c>
      <c r="N104" s="29" t="n">
        <f aca="false">M104*(1-MIN(1,INDEX(Tabla_Mortalidad!$B$5:$B$75,MIN(71,Cartera_Polizas!$B$106+11-49))*(1+(Cartera_Polizas!$P$106-1)*MAX(0,1-11/Supuestos!$C$20))*(1-Supuestos!$C$18)^11))</f>
        <v>0.254943713299251</v>
      </c>
      <c r="O104" s="29" t="n">
        <f aca="false">N104*(1-MIN(1,INDEX(Tabla_Mortalidad!$B$5:$B$75,MIN(71,Cartera_Polizas!$B$106+12-49))*(1+(Cartera_Polizas!$P$106-1)*MAX(0,1-12/Supuestos!$C$20))*(1-Supuestos!$C$18)^12))</f>
        <v>0.213433230554055</v>
      </c>
      <c r="P104" s="29" t="n">
        <f aca="false">O104*(1-MIN(1,INDEX(Tabla_Mortalidad!$B$5:$B$75,MIN(71,Cartera_Polizas!$B$106+13-49))*(1+(Cartera_Polizas!$P$106-1)*MAX(0,1-13/Supuestos!$C$20))*(1-Supuestos!$C$18)^13))</f>
        <v>0.176499537103773</v>
      </c>
      <c r="Q104" s="29" t="n">
        <f aca="false">P104*(1-MIN(1,INDEX(Tabla_Mortalidad!$B$5:$B$75,MIN(71,Cartera_Polizas!$B$106+14-49))*(1+(Cartera_Polizas!$P$106-1)*MAX(0,1-14/Supuestos!$C$20))*(1-Supuestos!$C$18)^14))</f>
        <v>0.144113952320428</v>
      </c>
      <c r="R104" s="29" t="n">
        <f aca="false">Q104*(1-MIN(1,INDEX(Tabla_Mortalidad!$B$5:$B$75,MIN(71,Cartera_Polizas!$B$106+15-49))*(1+(Cartera_Polizas!$P$106-1)*MAX(0,1-15/Supuestos!$C$20))*(1-Supuestos!$C$18)^15))</f>
        <v>0.11614540125183</v>
      </c>
      <c r="S104" s="29" t="n">
        <f aca="false">R104*(1-MIN(1,INDEX(Tabla_Mortalidad!$B$5:$B$75,MIN(71,Cartera_Polizas!$B$106+16-49))*(1+(Cartera_Polizas!$P$106-1)*MAX(0,1-16/Supuestos!$C$20))*(1-Supuestos!$C$18)^16))</f>
        <v>0.0914351001430489</v>
      </c>
      <c r="T104" s="29" t="n">
        <f aca="false">S104*(1-MIN(1,INDEX(Tabla_Mortalidad!$B$5:$B$75,MIN(71,Cartera_Polizas!$B$106+17-49))*(1+(Cartera_Polizas!$P$106-1)*MAX(0,1-17/Supuestos!$C$20))*(1-Supuestos!$C$18)^17))</f>
        <v>0.0701403080616709</v>
      </c>
      <c r="U104" s="29" t="n">
        <f aca="false">T104*(1-MIN(1,INDEX(Tabla_Mortalidad!$B$5:$B$75,MIN(71,Cartera_Polizas!$B$106+18-49))*(1+(Cartera_Polizas!$P$106-1)*MAX(0,1-18/Supuestos!$C$20))*(1-Supuestos!$C$18)^18))</f>
        <v>0.0522869865672688</v>
      </c>
      <c r="V104" s="29" t="n">
        <f aca="false">U104*(1-MIN(1,INDEX(Tabla_Mortalidad!$B$5:$B$75,MIN(71,Cartera_Polizas!$B$106+19-49))*(1+(Cartera_Polizas!$P$106-1)*MAX(0,1-19/Supuestos!$C$20))*(1-Supuestos!$C$18)^19))</f>
        <v>0.0377668923955359</v>
      </c>
      <c r="W104" s="29" t="n">
        <f aca="false">V104*(1-MIN(1,INDEX(Tabla_Mortalidad!$B$5:$B$75,MIN(71,Cartera_Polizas!$B$106+20-49))*(1+(Cartera_Polizas!$P$106-1)*MAX(0,1-20/Supuestos!$C$20))*(1-Supuestos!$C$18)^20))</f>
        <v>0.026346782920088</v>
      </c>
      <c r="X104" s="29" t="n">
        <f aca="false">W104*(1-MIN(1,INDEX(Tabla_Mortalidad!$B$5:$B$75,MIN(71,Cartera_Polizas!$B$106+21-49))*(1+(Cartera_Polizas!$P$106-1)*MAX(0,1-21/Supuestos!$C$20))*(1-Supuestos!$C$18)^21))</f>
        <v>0.0176902651130137</v>
      </c>
      <c r="Y104" s="29" t="n">
        <f aca="false">X104*(1-MIN(1,INDEX(Tabla_Mortalidad!$B$5:$B$75,MIN(71,Cartera_Polizas!$B$106+22-49))*(1+(Cartera_Polizas!$P$106-1)*MAX(0,1-22/Supuestos!$C$20))*(1-Supuestos!$C$18)^22))</f>
        <v>0.0113895151037158</v>
      </c>
      <c r="Z104" s="29" t="n">
        <f aca="false">Y104*(1-MIN(1,INDEX(Tabla_Mortalidad!$B$5:$B$75,MIN(71,Cartera_Polizas!$B$106+23-49))*(1+(Cartera_Polizas!$P$106-1)*MAX(0,1-23/Supuestos!$C$20))*(1-Supuestos!$C$18)^23))</f>
        <v>0.00700323120536467</v>
      </c>
      <c r="AA104" s="29" t="n">
        <f aca="false">Z104*(1-MIN(1,INDEX(Tabla_Mortalidad!$B$5:$B$75,MIN(71,Cartera_Polizas!$B$106+24-49))*(1+(Cartera_Polizas!$P$106-1)*MAX(0,1-24/Supuestos!$C$20))*(1-Supuestos!$C$18)^24))</f>
        <v>0.00409510229443782</v>
      </c>
      <c r="AB104" s="29" t="n">
        <f aca="false">AA104*(1-MIN(1,INDEX(Tabla_Mortalidad!$B$5:$B$75,MIN(71,Cartera_Polizas!$B$106+25-49))*(1+(Cartera_Polizas!$P$106-1)*MAX(0,1-25/Supuestos!$C$20))*(1-Supuestos!$C$18)^25))</f>
        <v>0.00226705259495237</v>
      </c>
      <c r="AC104" s="29" t="n">
        <f aca="false">AB104*(1-MIN(1,INDEX(Tabla_Mortalidad!$B$5:$B$75,MIN(71,Cartera_Polizas!$B$106+26-49))*(1+(Cartera_Polizas!$P$106-1)*MAX(0,1-26/Supuestos!$C$20))*(1-Supuestos!$C$18)^26))</f>
        <v>0.00118270594592563</v>
      </c>
      <c r="AD104" s="29" t="n">
        <f aca="false">AC104*(1-MIN(1,INDEX(Tabla_Mortalidad!$B$5:$B$75,MIN(71,Cartera_Polizas!$B$106+27-49))*(1+(Cartera_Polizas!$P$106-1)*MAX(0,1-27/Supuestos!$C$20))*(1-Supuestos!$C$18)^27))</f>
        <v>0.00057871548026126</v>
      </c>
      <c r="AE104" s="29" t="n">
        <f aca="false">AD104*(1-MIN(1,INDEX(Tabla_Mortalidad!$B$5:$B$75,MIN(71,Cartera_Polizas!$B$106+28-49))*(1+(Cartera_Polizas!$P$106-1)*MAX(0,1-28/Supuestos!$C$20))*(1-Supuestos!$C$18)^28))</f>
        <v>0.000264363361066166</v>
      </c>
      <c r="AF104" s="29" t="n">
        <f aca="false">AE104*(1-MIN(1,INDEX(Tabla_Mortalidad!$B$5:$B$75,MIN(71,Cartera_Polizas!$B$106+29-49))*(1+(Cartera_Polizas!$P$106-1)*MAX(0,1-29/Supuestos!$C$20))*(1-Supuestos!$C$18)^29))</f>
        <v>0.000112242316486894</v>
      </c>
      <c r="AG104" s="29" t="n">
        <f aca="false">AF104*(1-MIN(1,INDEX(Tabla_Mortalidad!$B$5:$B$75,MIN(71,Cartera_Polizas!$B$106+30-49))*(1+(Cartera_Polizas!$P$106-1)*MAX(0,1-30/Supuestos!$C$20))*(1-Supuestos!$C$18)^30))</f>
        <v>4.41159413929548E-005</v>
      </c>
      <c r="AH104" s="29" t="n">
        <f aca="false">AG104*(1-MIN(1,INDEX(Tabla_Mortalidad!$B$5:$B$75,MIN(71,Cartera_Polizas!$B$106+31-49))*(1+(Cartera_Polizas!$P$106-1)*MAX(0,1-31/Supuestos!$C$20))*(1-Supuestos!$C$18)^31))</f>
        <v>1.59994469091958E-005</v>
      </c>
      <c r="AI104" s="29" t="n">
        <f aca="false">AH104*(1-MIN(1,INDEX(Tabla_Mortalidad!$B$5:$B$75,MIN(71,Cartera_Polizas!$B$106+32-49))*(1+(Cartera_Polizas!$P$106-1)*MAX(0,1-32/Supuestos!$C$20))*(1-Supuestos!$C$18)^32))</f>
        <v>5.34258833829666E-006</v>
      </c>
      <c r="AJ104" s="29" t="n">
        <f aca="false">AI104*(1-MIN(1,INDEX(Tabla_Mortalidad!$B$5:$B$75,MIN(71,Cartera_Polizas!$B$106+33-49))*(1+(Cartera_Polizas!$P$106-1)*MAX(0,1-33/Supuestos!$C$20))*(1-Supuestos!$C$18)^33))</f>
        <v>1.64156371292667E-006</v>
      </c>
      <c r="AK104" s="29" t="n">
        <f aca="false">AJ104*(1-MIN(1,INDEX(Tabla_Mortalidad!$B$5:$B$75,MIN(71,Cartera_Polizas!$B$106+34-49))*(1+(Cartera_Polizas!$P$106-1)*MAX(0,1-34/Supuestos!$C$20))*(1-Supuestos!$C$18)^34))</f>
        <v>4.64716270203113E-007</v>
      </c>
      <c r="AL104" s="29" t="n">
        <f aca="false">AK104*(1-MIN(1,INDEX(Tabla_Mortalidad!$B$5:$B$75,MIN(71,Cartera_Polizas!$B$106+35-49))*(1+(Cartera_Polizas!$P$106-1)*MAX(0,1-35/Supuestos!$C$20))*(1-Supuestos!$C$18)^35))</f>
        <v>1.21650263725937E-007</v>
      </c>
      <c r="AM104" s="29" t="n">
        <f aca="false">AL104*(1-MIN(1,INDEX(Tabla_Mortalidad!$B$5:$B$75,MIN(71,Cartera_Polizas!$B$106+36-49))*(1+(Cartera_Polizas!$P$106-1)*MAX(0,1-36/Supuestos!$C$20))*(1-Supuestos!$C$18)^36))</f>
        <v>2.96281315645305E-008</v>
      </c>
      <c r="AN104" s="29" t="n">
        <f aca="false">AM104*(1-MIN(1,INDEX(Tabla_Mortalidad!$B$5:$B$75,MIN(71,Cartera_Polizas!$B$106+37-49))*(1+(Cartera_Polizas!$P$106-1)*MAX(0,1-37/Supuestos!$C$20))*(1-Supuestos!$C$18)^37))</f>
        <v>6.77206830078641E-009</v>
      </c>
      <c r="AO104" s="29" t="n">
        <f aca="false">AN104*(1-MIN(1,INDEX(Tabla_Mortalidad!$B$5:$B$75,MIN(71,Cartera_Polizas!$B$106+38-49))*(1+(Cartera_Polizas!$P$106-1)*MAX(0,1-38/Supuestos!$C$20))*(1-Supuestos!$C$18)^38))</f>
        <v>1.46840698148438E-009</v>
      </c>
      <c r="AP104" s="29" t="n">
        <f aca="false">AO104*(1-MIN(1,INDEX(Tabla_Mortalidad!$B$5:$B$75,MIN(71,Cartera_Polizas!$B$106+39-49))*(1+(Cartera_Polizas!$P$106-1)*MAX(0,1-39/Supuestos!$C$20))*(1-Supuestos!$C$18)^39))</f>
        <v>2.60741676158915E-010</v>
      </c>
      <c r="AQ104" s="29" t="n">
        <f aca="false">AP104*(1-MIN(1,INDEX(Tabla_Mortalidad!$B$5:$B$75,MIN(71,Cartera_Polizas!$B$106+40-49))*(1+(Cartera_Polizas!$P$106-1)*MAX(0,1-40/Supuestos!$C$20))*(1-Supuestos!$C$18)^40))</f>
        <v>4.73715161688967E-011</v>
      </c>
      <c r="AR104" s="29" t="n">
        <f aca="false">AQ104*(1-MIN(1,INDEX(Tabla_Mortalidad!$B$5:$B$75,MIN(71,Cartera_Polizas!$B$106+41-49))*(1+(Cartera_Polizas!$P$106-1)*MAX(0,1-41/Supuestos!$C$20))*(1-Supuestos!$C$18)^41))</f>
        <v>8.80027664875937E-012</v>
      </c>
      <c r="AS104" s="29" t="n">
        <f aca="false">AR104*(1-MIN(1,INDEX(Tabla_Mortalidad!$B$5:$B$75,MIN(71,Cartera_Polizas!$B$106+42-49))*(1+(Cartera_Polizas!$P$106-1)*MAX(0,1-42/Supuestos!$C$20))*(1-Supuestos!$C$18)^42))</f>
        <v>1.67066759494974E-012</v>
      </c>
      <c r="AT104" s="29" t="n">
        <f aca="false">AS104*(1-MIN(1,INDEX(Tabla_Mortalidad!$B$5:$B$75,MIN(71,Cartera_Polizas!$B$106+43-49))*(1+(Cartera_Polizas!$P$106-1)*MAX(0,1-43/Supuestos!$C$20))*(1-Supuestos!$C$18)^43))</f>
        <v>3.23931435413605E-013</v>
      </c>
      <c r="AU104" s="29" t="n">
        <f aca="false">AT104*(1-MIN(1,INDEX(Tabla_Mortalidad!$B$5:$B$75,MIN(71,Cartera_Polizas!$B$106+44-49))*(1+(Cartera_Polizas!$P$106-1)*MAX(0,1-44/Supuestos!$C$20))*(1-Supuestos!$C$18)^44))</f>
        <v>6.41137866439257E-014</v>
      </c>
    </row>
    <row r="105" customFormat="false" ht="15" hidden="false" customHeight="false" outlineLevel="0" collapsed="false">
      <c r="A105" s="14" t="n">
        <f aca="false">Cartera_Polizas!A107</f>
        <v>102</v>
      </c>
      <c r="B105" s="26" t="n">
        <f aca="false">SUM(C105:AU105)+0.5</f>
        <v>9.60205306295506</v>
      </c>
      <c r="C105" s="29" t="n">
        <f aca="false">1-MIN(1,INDEX(Tabla_Mortalidad!$B$5:$B$75,MIN(71,Cartera_Polizas!$B$107+0-49))*(1+(Cartera_Polizas!$P$107-1)*MAX(0,1-0/Supuestos!$C$20))*(1-Supuestos!$C$18)^0)</f>
        <v>0.9443020225</v>
      </c>
      <c r="D105" s="29" t="n">
        <f aca="false">C105*(1-MIN(1,INDEX(Tabla_Mortalidad!$B$5:$B$75,MIN(71,Cartera_Polizas!$B$107+1-49))*(1+(Cartera_Polizas!$P$107-1)*MAX(0,1-1/Supuestos!$C$20))*(1-Supuestos!$C$18)^1))</f>
        <v>0.887412991288058</v>
      </c>
      <c r="E105" s="29" t="n">
        <f aca="false">D105*(1-MIN(1,INDEX(Tabla_Mortalidad!$B$5:$B$75,MIN(71,Cartera_Polizas!$B$107+2-49))*(1+(Cartera_Polizas!$P$107-1)*MAX(0,1-2/Supuestos!$C$20))*(1-Supuestos!$C$18)^2))</f>
        <v>0.829637494476266</v>
      </c>
      <c r="F105" s="29" t="n">
        <f aca="false">E105*(1-MIN(1,INDEX(Tabla_Mortalidad!$B$5:$B$75,MIN(71,Cartera_Polizas!$B$107+3-49))*(1+(Cartera_Polizas!$P$107-1)*MAX(0,1-3/Supuestos!$C$20))*(1-Supuestos!$C$18)^3))</f>
        <v>0.771317466282149</v>
      </c>
      <c r="G105" s="29" t="n">
        <f aca="false">F105*(1-MIN(1,INDEX(Tabla_Mortalidad!$B$5:$B$75,MIN(71,Cartera_Polizas!$B$107+4-49))*(1+(Cartera_Polizas!$P$107-1)*MAX(0,1-4/Supuestos!$C$20))*(1-Supuestos!$C$18)^4))</f>
        <v>0.712831030272655</v>
      </c>
      <c r="H105" s="29" t="n">
        <f aca="false">G105*(1-MIN(1,INDEX(Tabla_Mortalidad!$B$5:$B$75,MIN(71,Cartera_Polizas!$B$107+5-49))*(1+(Cartera_Polizas!$P$107-1)*MAX(0,1-5/Supuestos!$C$20))*(1-Supuestos!$C$18)^5))</f>
        <v>0.654588747186671</v>
      </c>
      <c r="I105" s="29" t="n">
        <f aca="false">H105*(1-MIN(1,INDEX(Tabla_Mortalidad!$B$5:$B$75,MIN(71,Cartera_Polizas!$B$107+6-49))*(1+(Cartera_Polizas!$P$107-1)*MAX(0,1-6/Supuestos!$C$20))*(1-Supuestos!$C$18)^6))</f>
        <v>0.597023671620745</v>
      </c>
      <c r="J105" s="29" t="n">
        <f aca="false">I105*(1-MIN(1,INDEX(Tabla_Mortalidad!$B$5:$B$75,MIN(71,Cartera_Polizas!$B$107+7-49))*(1+(Cartera_Polizas!$P$107-1)*MAX(0,1-7/Supuestos!$C$20))*(1-Supuestos!$C$18)^7))</f>
        <v>0.540581712699785</v>
      </c>
      <c r="K105" s="29" t="n">
        <f aca="false">J105*(1-MIN(1,INDEX(Tabla_Mortalidad!$B$5:$B$75,MIN(71,Cartera_Polizas!$B$107+8-49))*(1+(Cartera_Polizas!$P$107-1)*MAX(0,1-8/Supuestos!$C$20))*(1-Supuestos!$C$18)^8))</f>
        <v>0.485714034804595</v>
      </c>
      <c r="L105" s="29" t="n">
        <f aca="false">K105*(1-MIN(1,INDEX(Tabla_Mortalidad!$B$5:$B$75,MIN(71,Cartera_Polizas!$B$107+9-49))*(1+(Cartera_Polizas!$P$107-1)*MAX(0,1-9/Supuestos!$C$20))*(1-Supuestos!$C$18)^9))</f>
        <v>0.432860024092652</v>
      </c>
      <c r="M105" s="29" t="n">
        <f aca="false">L105*(1-MIN(1,INDEX(Tabla_Mortalidad!$B$5:$B$75,MIN(71,Cartera_Polizas!$B$107+10-49))*(1+(Cartera_Polizas!$P$107-1)*MAX(0,1-10/Supuestos!$C$20))*(1-Supuestos!$C$18)^10))</f>
        <v>0.382437998466777</v>
      </c>
      <c r="N105" s="29" t="n">
        <f aca="false">M105*(1-MIN(1,INDEX(Tabla_Mortalidad!$B$5:$B$75,MIN(71,Cartera_Polizas!$B$107+11-49))*(1+(Cartera_Polizas!$P$107-1)*MAX(0,1-11/Supuestos!$C$20))*(1-Supuestos!$C$18)^11))</f>
        <v>0.334828345150509</v>
      </c>
      <c r="O105" s="29" t="n">
        <f aca="false">N105*(1-MIN(1,INDEX(Tabla_Mortalidad!$B$5:$B$75,MIN(71,Cartera_Polizas!$B$107+12-49))*(1+(Cartera_Polizas!$P$107-1)*MAX(0,1-12/Supuestos!$C$20))*(1-Supuestos!$C$18)^12))</f>
        <v>0.290360856234099</v>
      </c>
      <c r="P105" s="29" t="n">
        <f aca="false">O105*(1-MIN(1,INDEX(Tabla_Mortalidad!$B$5:$B$75,MIN(71,Cartera_Polizas!$B$107+13-49))*(1+(Cartera_Polizas!$P$107-1)*MAX(0,1-13/Supuestos!$C$20))*(1-Supuestos!$C$18)^13))</f>
        <v>0.249302226309056</v>
      </c>
      <c r="Q105" s="29" t="n">
        <f aca="false">P105*(1-MIN(1,INDEX(Tabla_Mortalidad!$B$5:$B$75,MIN(71,Cartera_Polizas!$B$107+14-49))*(1+(Cartera_Polizas!$P$107-1)*MAX(0,1-14/Supuestos!$C$20))*(1-Supuestos!$C$18)^14))</f>
        <v>0.211846071680722</v>
      </c>
      <c r="R105" s="29" t="n">
        <f aca="false">Q105*(1-MIN(1,INDEX(Tabla_Mortalidad!$B$5:$B$75,MIN(71,Cartera_Polizas!$B$107+15-49))*(1+(Cartera_Polizas!$P$107-1)*MAX(0,1-15/Supuestos!$C$20))*(1-Supuestos!$C$18)^15))</f>
        <v>0.178105722855967</v>
      </c>
      <c r="S105" s="29" t="n">
        <f aca="false">R105*(1-MIN(1,INDEX(Tabla_Mortalidad!$B$5:$B$75,MIN(71,Cartera_Polizas!$B$107+16-49))*(1+(Cartera_Polizas!$P$107-1)*MAX(0,1-16/Supuestos!$C$20))*(1-Supuestos!$C$18)^16))</f>
        <v>0.146930857011057</v>
      </c>
      <c r="T105" s="29" t="n">
        <f aca="false">S105*(1-MIN(1,INDEX(Tabla_Mortalidad!$B$5:$B$75,MIN(71,Cartera_Polizas!$B$107+17-49))*(1+(Cartera_Polizas!$P$107-1)*MAX(0,1-17/Supuestos!$C$20))*(1-Supuestos!$C$18)^17))</f>
        <v>0.118700061750364</v>
      </c>
      <c r="U105" s="29" t="n">
        <f aca="false">T105*(1-MIN(1,INDEX(Tabla_Mortalidad!$B$5:$B$75,MIN(71,Cartera_Polizas!$B$107+18-49))*(1+(Cartera_Polizas!$P$107-1)*MAX(0,1-18/Supuestos!$C$20))*(1-Supuestos!$C$18)^18))</f>
        <v>0.0936981553350761</v>
      </c>
      <c r="V105" s="29" t="n">
        <f aca="false">U105*(1-MIN(1,INDEX(Tabla_Mortalidad!$B$5:$B$75,MIN(71,Cartera_Polizas!$B$107+19-49))*(1+(Cartera_Polizas!$P$107-1)*MAX(0,1-19/Supuestos!$C$20))*(1-Supuestos!$C$18)^19))</f>
        <v>0.0720939815781232</v>
      </c>
      <c r="W105" s="29" t="n">
        <f aca="false">V105*(1-MIN(1,INDEX(Tabla_Mortalidad!$B$5:$B$75,MIN(71,Cartera_Polizas!$B$107+20-49))*(1+(Cartera_Polizas!$P$107-1)*MAX(0,1-20/Supuestos!$C$20))*(1-Supuestos!$C$18)^20))</f>
        <v>0.0539264246660286</v>
      </c>
      <c r="X105" s="29" t="n">
        <f aca="false">W105*(1-MIN(1,INDEX(Tabla_Mortalidad!$B$5:$B$75,MIN(71,Cartera_Polizas!$B$107+21-49))*(1+(Cartera_Polizas!$P$107-1)*MAX(0,1-21/Supuestos!$C$20))*(1-Supuestos!$C$18)^21))</f>
        <v>0.0391004378734559</v>
      </c>
      <c r="Y105" s="29" t="n">
        <f aca="false">X105*(1-MIN(1,INDEX(Tabla_Mortalidad!$B$5:$B$75,MIN(71,Cartera_Polizas!$B$107+22-49))*(1+(Cartera_Polizas!$P$107-1)*MAX(0,1-22/Supuestos!$C$20))*(1-Supuestos!$C$18)^22))</f>
        <v>0.0273950233295638</v>
      </c>
      <c r="Z105" s="29" t="n">
        <f aca="false">Y105*(1-MIN(1,INDEX(Tabla_Mortalidad!$B$5:$B$75,MIN(71,Cartera_Polizas!$B$107+23-49))*(1+(Cartera_Polizas!$P$107-1)*MAX(0,1-23/Supuestos!$C$20))*(1-Supuestos!$C$18)^23))</f>
        <v>0.0184838791661721</v>
      </c>
      <c r="AA105" s="29" t="n">
        <f aca="false">Z105*(1-MIN(1,INDEX(Tabla_Mortalidad!$B$5:$B$75,MIN(71,Cartera_Polizas!$B$107+24-49))*(1+(Cartera_Polizas!$P$107-1)*MAX(0,1-24/Supuestos!$C$20))*(1-Supuestos!$C$18)^24))</f>
        <v>0.0119661368016123</v>
      </c>
      <c r="AB105" s="29" t="n">
        <f aca="false">AA105*(1-MIN(1,INDEX(Tabla_Mortalidad!$B$5:$B$75,MIN(71,Cartera_Polizas!$B$107+25-49))*(1+(Cartera_Polizas!$P$107-1)*MAX(0,1-25/Supuestos!$C$20))*(1-Supuestos!$C$18)^25))</f>
        <v>0.00740375498419217</v>
      </c>
      <c r="AC105" s="29" t="n">
        <f aca="false">AB105*(1-MIN(1,INDEX(Tabla_Mortalidad!$B$5:$B$75,MIN(71,Cartera_Polizas!$B$107+26-49))*(1+(Cartera_Polizas!$P$107-1)*MAX(0,1-26/Supuestos!$C$20))*(1-Supuestos!$C$18)^26))</f>
        <v>0.00435997407342092</v>
      </c>
      <c r="AD105" s="29" t="n">
        <f aca="false">AC105*(1-MIN(1,INDEX(Tabla_Mortalidad!$B$5:$B$75,MIN(71,Cartera_Polizas!$B$107+27-49))*(1+(Cartera_Polizas!$P$107-1)*MAX(0,1-27/Supuestos!$C$20))*(1-Supuestos!$C$18)^27))</f>
        <v>0.00243310009308479</v>
      </c>
      <c r="AE105" s="29" t="n">
        <f aca="false">AD105*(1-MIN(1,INDEX(Tabla_Mortalidad!$B$5:$B$75,MIN(71,Cartera_Polizas!$B$107+28-49))*(1+(Cartera_Polizas!$P$107-1)*MAX(0,1-28/Supuestos!$C$20))*(1-Supuestos!$C$18)^28))</f>
        <v>0.00128094038701079</v>
      </c>
      <c r="AF105" s="29" t="n">
        <f aca="false">AE105*(1-MIN(1,INDEX(Tabla_Mortalidad!$B$5:$B$75,MIN(71,Cartera_Polizas!$B$107+29-49))*(1+(Cartera_Polizas!$P$107-1)*MAX(0,1-29/Supuestos!$C$20))*(1-Supuestos!$C$18)^29))</f>
        <v>0.000633308262082551</v>
      </c>
      <c r="AG105" s="29" t="n">
        <f aca="false">AF105*(1-MIN(1,INDEX(Tabla_Mortalidad!$B$5:$B$75,MIN(71,Cartera_Polizas!$B$107+30-49))*(1+(Cartera_Polizas!$P$107-1)*MAX(0,1-30/Supuestos!$C$20))*(1-Supuestos!$C$18)^30))</f>
        <v>0.000292733385284031</v>
      </c>
      <c r="AH105" s="29" t="n">
        <f aca="false">AG105*(1-MIN(1,INDEX(Tabla_Mortalidad!$B$5:$B$75,MIN(71,Cartera_Polizas!$B$107+31-49))*(1+(Cartera_Polizas!$P$107-1)*MAX(0,1-31/Supuestos!$C$20))*(1-Supuestos!$C$18)^31))</f>
        <v>0.000125967792790366</v>
      </c>
      <c r="AI105" s="29" t="n">
        <f aca="false">AH105*(1-MIN(1,INDEX(Tabla_Mortalidad!$B$5:$B$75,MIN(71,Cartera_Polizas!$B$107+32-49))*(1+(Cartera_Polizas!$P$107-1)*MAX(0,1-32/Supuestos!$C$20))*(1-Supuestos!$C$18)^32))</f>
        <v>5.02732898655468E-005</v>
      </c>
      <c r="AJ105" s="29" t="n">
        <f aca="false">AI105*(1-MIN(1,INDEX(Tabla_Mortalidad!$B$5:$B$75,MIN(71,Cartera_Polizas!$B$107+33-49))*(1+(Cartera_Polizas!$P$107-1)*MAX(0,1-33/Supuestos!$C$20))*(1-Supuestos!$C$18)^33))</f>
        <v>1.85521277653173E-005</v>
      </c>
      <c r="AK105" s="29" t="n">
        <f aca="false">AJ105*(1-MIN(1,INDEX(Tabla_Mortalidad!$B$5:$B$75,MIN(71,Cartera_Polizas!$B$107+34-49))*(1+(Cartera_Polizas!$P$107-1)*MAX(0,1-34/Supuestos!$C$20))*(1-Supuestos!$C$18)^34))</f>
        <v>6.31825045928746E-006</v>
      </c>
      <c r="AL105" s="29" t="n">
        <f aca="false">AK105*(1-MIN(1,INDEX(Tabla_Mortalidad!$B$5:$B$75,MIN(71,Cartera_Polizas!$B$107+35-49))*(1+(Cartera_Polizas!$P$107-1)*MAX(0,1-35/Supuestos!$C$20))*(1-Supuestos!$C$18)^35))</f>
        <v>1.98500528526722E-006</v>
      </c>
      <c r="AM105" s="29" t="n">
        <f aca="false">AL105*(1-MIN(1,INDEX(Tabla_Mortalidad!$B$5:$B$75,MIN(71,Cartera_Polizas!$B$107+36-49))*(1+(Cartera_Polizas!$P$107-1)*MAX(0,1-36/Supuestos!$C$20))*(1-Supuestos!$C$18)^36))</f>
        <v>5.76137452225009E-007</v>
      </c>
      <c r="AN105" s="29" t="n">
        <f aca="false">AM105*(1-MIN(1,INDEX(Tabla_Mortalidad!$B$5:$B$75,MIN(71,Cartera_Polizas!$B$107+37-49))*(1+(Cartera_Polizas!$P$107-1)*MAX(0,1-37/Supuestos!$C$20))*(1-Supuestos!$C$18)^37))</f>
        <v>1.55059910843797E-007</v>
      </c>
      <c r="AO105" s="29" t="n">
        <f aca="false">AN105*(1-MIN(1,INDEX(Tabla_Mortalidad!$B$5:$B$75,MIN(71,Cartera_Polizas!$B$107+38-49))*(1+(Cartera_Polizas!$P$107-1)*MAX(0,1-38/Supuestos!$C$20))*(1-Supuestos!$C$18)^38))</f>
        <v>3.89351243991619E-008</v>
      </c>
      <c r="AP105" s="29" t="n">
        <f aca="false">AO105*(1-MIN(1,INDEX(Tabla_Mortalidad!$B$5:$B$75,MIN(71,Cartera_Polizas!$B$107+39-49))*(1+(Cartera_Polizas!$P$107-1)*MAX(0,1-39/Supuestos!$C$20))*(1-Supuestos!$C$18)^39))</f>
        <v>9.1989638364456E-009</v>
      </c>
      <c r="AQ105" s="29" t="n">
        <f aca="false">AP105*(1-MIN(1,INDEX(Tabla_Mortalidad!$B$5:$B$75,MIN(71,Cartera_Polizas!$B$107+40-49))*(1+(Cartera_Polizas!$P$107-1)*MAX(0,1-40/Supuestos!$C$20))*(1-Supuestos!$C$18)^40))</f>
        <v>2.06650085030701E-009</v>
      </c>
      <c r="AR105" s="29" t="n">
        <f aca="false">AQ105*(1-MIN(1,INDEX(Tabla_Mortalidad!$B$5:$B$75,MIN(71,Cartera_Polizas!$B$107+41-49))*(1+(Cartera_Polizas!$P$107-1)*MAX(0,1-41/Supuestos!$C$20))*(1-Supuestos!$C$18)^41))</f>
        <v>3.83896920519902E-010</v>
      </c>
      <c r="AS105" s="29" t="n">
        <f aca="false">AR105*(1-MIN(1,INDEX(Tabla_Mortalidad!$B$5:$B$75,MIN(71,Cartera_Polizas!$B$107+42-49))*(1+(Cartera_Polizas!$P$107-1)*MAX(0,1-42/Supuestos!$C$20))*(1-Supuestos!$C$18)^42))</f>
        <v>7.28799980400631E-011</v>
      </c>
      <c r="AT105" s="29" t="n">
        <f aca="false">AS105*(1-MIN(1,INDEX(Tabla_Mortalidad!$B$5:$B$75,MIN(71,Cartera_Polizas!$B$107+43-49))*(1+(Cartera_Polizas!$P$107-1)*MAX(0,1-43/Supuestos!$C$20))*(1-Supuestos!$C$18)^43))</f>
        <v>1.41309512732654E-011</v>
      </c>
      <c r="AU105" s="29" t="n">
        <f aca="false">AT105*(1-MIN(1,INDEX(Tabla_Mortalidad!$B$5:$B$75,MIN(71,Cartera_Polizas!$B$107+44-49))*(1+(Cartera_Polizas!$P$107-1)*MAX(0,1-44/Supuestos!$C$20))*(1-Supuestos!$C$18)^44))</f>
        <v>2.79685358061362E-012</v>
      </c>
    </row>
    <row r="106" customFormat="false" ht="15" hidden="false" customHeight="false" outlineLevel="0" collapsed="false">
      <c r="A106" s="14" t="n">
        <f aca="false">Cartera_Polizas!A108</f>
        <v>103</v>
      </c>
      <c r="B106" s="26" t="n">
        <f aca="false">SUM(C106:AU106)+0.5</f>
        <v>4.75359497869269</v>
      </c>
      <c r="C106" s="29" t="n">
        <f aca="false">1-MIN(1,INDEX(Tabla_Mortalidad!$B$5:$B$75,MIN(71,Cartera_Polizas!$B$108+0-49))*(1+(Cartera_Polizas!$P$108-1)*MAX(0,1-0/Supuestos!$C$20))*(1-Supuestos!$C$18)^0)</f>
        <v>0.844091605</v>
      </c>
      <c r="D106" s="29" t="n">
        <f aca="false">C106*(1-MIN(1,INDEX(Tabla_Mortalidad!$B$5:$B$75,MIN(71,Cartera_Polizas!$B$108+1-49))*(1+(Cartera_Polizas!$P$108-1)*MAX(0,1-1/Supuestos!$C$20))*(1-Supuestos!$C$18)^1))</f>
        <v>0.704374142692008</v>
      </c>
      <c r="E106" s="29" t="n">
        <f aca="false">D106*(1-MIN(1,INDEX(Tabla_Mortalidad!$B$5:$B$75,MIN(71,Cartera_Polizas!$B$108+2-49))*(1+(Cartera_Polizas!$P$108-1)*MAX(0,1-2/Supuestos!$C$20))*(1-Supuestos!$C$18)^2))</f>
        <v>0.580864190095638</v>
      </c>
      <c r="F106" s="29" t="n">
        <f aca="false">E106*(1-MIN(1,INDEX(Tabla_Mortalidad!$B$5:$B$75,MIN(71,Cartera_Polizas!$B$108+3-49))*(1+(Cartera_Polizas!$P$108-1)*MAX(0,1-3/Supuestos!$C$20))*(1-Supuestos!$C$18)^3))</f>
        <v>0.473230181768001</v>
      </c>
      <c r="G106" s="29" t="n">
        <f aca="false">F106*(1-MIN(1,INDEX(Tabla_Mortalidad!$B$5:$B$75,MIN(71,Cartera_Polizas!$B$108+4-49))*(1+(Cartera_Polizas!$P$108-1)*MAX(0,1-4/Supuestos!$C$20))*(1-Supuestos!$C$18)^4))</f>
        <v>0.380807909610362</v>
      </c>
      <c r="H106" s="29" t="n">
        <f aca="false">G106*(1-MIN(1,INDEX(Tabla_Mortalidad!$B$5:$B$75,MIN(71,Cartera_Polizas!$B$108+5-49))*(1+(Cartera_Polizas!$P$108-1)*MAX(0,1-5/Supuestos!$C$20))*(1-Supuestos!$C$18)^5))</f>
        <v>0.302652353274445</v>
      </c>
      <c r="I106" s="29" t="n">
        <f aca="false">H106*(1-MIN(1,INDEX(Tabla_Mortalidad!$B$5:$B$75,MIN(71,Cartera_Polizas!$B$108+6-49))*(1+(Cartera_Polizas!$P$108-1)*MAX(0,1-6/Supuestos!$C$20))*(1-Supuestos!$C$18)^6))</f>
        <v>0.237588562249862</v>
      </c>
      <c r="J106" s="29" t="n">
        <f aca="false">I106*(1-MIN(1,INDEX(Tabla_Mortalidad!$B$5:$B$75,MIN(71,Cartera_Polizas!$B$108+7-49))*(1+(Cartera_Polizas!$P$108-1)*MAX(0,1-7/Supuestos!$C$20))*(1-Supuestos!$C$18)^7))</f>
        <v>0.18427993932367</v>
      </c>
      <c r="K106" s="29" t="n">
        <f aca="false">J106*(1-MIN(1,INDEX(Tabla_Mortalidad!$B$5:$B$75,MIN(71,Cartera_Polizas!$B$108+8-49))*(1+(Cartera_Polizas!$P$108-1)*MAX(0,1-8/Supuestos!$C$20))*(1-Supuestos!$C$18)^8))</f>
        <v>0.141298485087785</v>
      </c>
      <c r="L106" s="29" t="n">
        <f aca="false">K106*(1-MIN(1,INDEX(Tabla_Mortalidad!$B$5:$B$75,MIN(71,Cartera_Polizas!$B$108+9-49))*(1+(Cartera_Polizas!$P$108-1)*MAX(0,1-9/Supuestos!$C$20))*(1-Supuestos!$C$18)^9))</f>
        <v>0.107193955763009</v>
      </c>
      <c r="M106" s="29" t="n">
        <f aca="false">L106*(1-MIN(1,INDEX(Tabla_Mortalidad!$B$5:$B$75,MIN(71,Cartera_Polizas!$B$108+10-49))*(1+(Cartera_Polizas!$P$108-1)*MAX(0,1-10/Supuestos!$C$20))*(1-Supuestos!$C$18)^10))</f>
        <v>0.0805558355544917</v>
      </c>
      <c r="N106" s="29" t="n">
        <f aca="false">M106*(1-MIN(1,INDEX(Tabla_Mortalidad!$B$5:$B$75,MIN(71,Cartera_Polizas!$B$108+11-49))*(1+(Cartera_Polizas!$P$108-1)*MAX(0,1-11/Supuestos!$C$20))*(1-Supuestos!$C$18)^11))</f>
        <v>0.0600640254350199</v>
      </c>
      <c r="O106" s="29" t="n">
        <f aca="false">N106*(1-MIN(1,INDEX(Tabla_Mortalidad!$B$5:$B$75,MIN(71,Cartera_Polizas!$B$108+12-49))*(1+(Cartera_Polizas!$P$108-1)*MAX(0,1-12/Supuestos!$C$20))*(1-Supuestos!$C$18)^12))</f>
        <v>0.044526786020811</v>
      </c>
      <c r="P106" s="29" t="n">
        <f aca="false">O106*(1-MIN(1,INDEX(Tabla_Mortalidad!$B$5:$B$75,MIN(71,Cartera_Polizas!$B$108+13-49))*(1+(Cartera_Polizas!$P$108-1)*MAX(0,1-13/Supuestos!$C$20))*(1-Supuestos!$C$18)^13))</f>
        <v>0.0329033462331501</v>
      </c>
      <c r="Q106" s="29" t="n">
        <f aca="false">P106*(1-MIN(1,INDEX(Tabla_Mortalidad!$B$5:$B$75,MIN(71,Cartera_Polizas!$B$108+14-49))*(1+(Cartera_Polizas!$P$108-1)*MAX(0,1-14/Supuestos!$C$20))*(1-Supuestos!$C$18)^14))</f>
        <v>0.024312588622113</v>
      </c>
      <c r="R106" s="29" t="n">
        <f aca="false">Q106*(1-MIN(1,INDEX(Tabla_Mortalidad!$B$5:$B$75,MIN(71,Cartera_Polizas!$B$108+15-49))*(1+(Cartera_Polizas!$P$108-1)*MAX(0,1-15/Supuestos!$C$20))*(1-Supuestos!$C$18)^15))</f>
        <v>0.0180303660903485</v>
      </c>
      <c r="S106" s="29" t="n">
        <f aca="false">R106*(1-MIN(1,INDEX(Tabla_Mortalidad!$B$5:$B$75,MIN(71,Cartera_Polizas!$B$108+16-49))*(1+(Cartera_Polizas!$P$108-1)*MAX(0,1-16/Supuestos!$C$20))*(1-Supuestos!$C$18)^16))</f>
        <v>0.0129474712755651</v>
      </c>
      <c r="T106" s="29" t="n">
        <f aca="false">S106*(1-MIN(1,INDEX(Tabla_Mortalidad!$B$5:$B$75,MIN(71,Cartera_Polizas!$B$108+17-49))*(1+(Cartera_Polizas!$P$108-1)*MAX(0,1-17/Supuestos!$C$20))*(1-Supuestos!$C$18)^17))</f>
        <v>0.00897304239298978</v>
      </c>
      <c r="U106" s="29" t="n">
        <f aca="false">T106*(1-MIN(1,INDEX(Tabla_Mortalidad!$B$5:$B$75,MIN(71,Cartera_Polizas!$B$108+18-49))*(1+(Cartera_Polizas!$P$108-1)*MAX(0,1-18/Supuestos!$C$20))*(1-Supuestos!$C$18)^18))</f>
        <v>0.0059801843981733</v>
      </c>
      <c r="V106" s="29" t="n">
        <f aca="false">U106*(1-MIN(1,INDEX(Tabla_Mortalidad!$B$5:$B$75,MIN(71,Cartera_Polizas!$B$108+19-49))*(1+(Cartera_Polizas!$P$108-1)*MAX(0,1-19/Supuestos!$C$20))*(1-Supuestos!$C$18)^19))</f>
        <v>0.00381794766718613</v>
      </c>
      <c r="W106" s="29" t="n">
        <f aca="false">V106*(1-MIN(1,INDEX(Tabla_Mortalidad!$B$5:$B$75,MIN(71,Cartera_Polizas!$B$108+20-49))*(1+(Cartera_Polizas!$P$108-1)*MAX(0,1-20/Supuestos!$C$20))*(1-Supuestos!$C$18)^20))</f>
        <v>0.00232531744194021</v>
      </c>
      <c r="X106" s="29" t="n">
        <f aca="false">W106*(1-MIN(1,INDEX(Tabla_Mortalidad!$B$5:$B$75,MIN(71,Cartera_Polizas!$B$108+21-49))*(1+(Cartera_Polizas!$P$108-1)*MAX(0,1-21/Supuestos!$C$20))*(1-Supuestos!$C$18)^21))</f>
        <v>0.00134508697587918</v>
      </c>
      <c r="Y106" s="29" t="n">
        <f aca="false">X106*(1-MIN(1,INDEX(Tabla_Mortalidad!$B$5:$B$75,MIN(71,Cartera_Polizas!$B$108+22-49))*(1+(Cartera_Polizas!$P$108-1)*MAX(0,1-22/Supuestos!$C$20))*(1-Supuestos!$C$18)^22))</f>
        <v>0.000735543946207665</v>
      </c>
      <c r="Z106" s="29" t="n">
        <f aca="false">Y106*(1-MIN(1,INDEX(Tabla_Mortalidad!$B$5:$B$75,MIN(71,Cartera_Polizas!$B$108+23-49))*(1+(Cartera_Polizas!$P$108-1)*MAX(0,1-23/Supuestos!$C$20))*(1-Supuestos!$C$18)^23))</f>
        <v>0.000378397832135603</v>
      </c>
      <c r="AA106" s="29" t="n">
        <f aca="false">Z106*(1-MIN(1,INDEX(Tabla_Mortalidad!$B$5:$B$75,MIN(71,Cartera_Polizas!$B$108+24-49))*(1+(Cartera_Polizas!$P$108-1)*MAX(0,1-24/Supuestos!$C$20))*(1-Supuestos!$C$18)^24))</f>
        <v>0.000182227783252503</v>
      </c>
      <c r="AB106" s="29" t="n">
        <f aca="false">AA106*(1-MIN(1,INDEX(Tabla_Mortalidad!$B$5:$B$75,MIN(71,Cartera_Polizas!$B$108+25-49))*(1+(Cartera_Polizas!$P$108-1)*MAX(0,1-25/Supuestos!$C$20))*(1-Supuestos!$C$18)^25))</f>
        <v>8.17438462029385E-005</v>
      </c>
      <c r="AC106" s="29" t="n">
        <f aca="false">AB106*(1-MIN(1,INDEX(Tabla_Mortalidad!$B$5:$B$75,MIN(71,Cartera_Polizas!$B$108+26-49))*(1+(Cartera_Polizas!$P$108-1)*MAX(0,1-26/Supuestos!$C$20))*(1-Supuestos!$C$18)^26))</f>
        <v>3.39937929599972E-005</v>
      </c>
      <c r="AD106" s="29" t="n">
        <f aca="false">AC106*(1-MIN(1,INDEX(Tabla_Mortalidad!$B$5:$B$75,MIN(71,Cartera_Polizas!$B$108+27-49))*(1+(Cartera_Polizas!$P$108-1)*MAX(0,1-27/Supuestos!$C$20))*(1-Supuestos!$C$18)^27))</f>
        <v>1.30483744246086E-005</v>
      </c>
      <c r="AE106" s="29" t="n">
        <f aca="false">AD106*(1-MIN(1,INDEX(Tabla_Mortalidad!$B$5:$B$75,MIN(71,Cartera_Polizas!$B$108+28-49))*(1+(Cartera_Polizas!$P$108-1)*MAX(0,1-28/Supuestos!$C$20))*(1-Supuestos!$C$18)^28))</f>
        <v>4.60622976614779E-006</v>
      </c>
      <c r="AF106" s="29" t="n">
        <f aca="false">AE106*(1-MIN(1,INDEX(Tabla_Mortalidad!$B$5:$B$75,MIN(71,Cartera_Polizas!$B$108+29-49))*(1+(Cartera_Polizas!$P$108-1)*MAX(0,1-29/Supuestos!$C$20))*(1-Supuestos!$C$18)^29))</f>
        <v>1.49164189649174E-006</v>
      </c>
      <c r="AG106" s="29" t="n">
        <f aca="false">AF106*(1-MIN(1,INDEX(Tabla_Mortalidad!$B$5:$B$75,MIN(71,Cartera_Polizas!$B$108+30-49))*(1+(Cartera_Polizas!$P$108-1)*MAX(0,1-30/Supuestos!$C$20))*(1-Supuestos!$C$18)^30))</f>
        <v>4.42665795296039E-007</v>
      </c>
      <c r="AH106" s="29" t="n">
        <f aca="false">AG106*(1-MIN(1,INDEX(Tabla_Mortalidad!$B$5:$B$75,MIN(71,Cartera_Polizas!$B$108+31-49))*(1+(Cartera_Polizas!$P$108-1)*MAX(0,1-31/Supuestos!$C$20))*(1-Supuestos!$C$18)^31))</f>
        <v>1.20507626672508E-007</v>
      </c>
      <c r="AI106" s="29" t="n">
        <f aca="false">AH106*(1-MIN(1,INDEX(Tabla_Mortalidad!$B$5:$B$75,MIN(71,Cartera_Polizas!$B$108+32-49))*(1+(Cartera_Polizas!$P$108-1)*MAX(0,1-32/Supuestos!$C$20))*(1-Supuestos!$C$18)^32))</f>
        <v>3.01977809549024E-008</v>
      </c>
      <c r="AJ106" s="29" t="n">
        <f aca="false">AI106*(1-MIN(1,INDEX(Tabla_Mortalidad!$B$5:$B$75,MIN(71,Cartera_Polizas!$B$108+33-49))*(1+(Cartera_Polizas!$P$108-1)*MAX(0,1-33/Supuestos!$C$20))*(1-Supuestos!$C$18)^33))</f>
        <v>7.00862052149057E-009</v>
      </c>
      <c r="AK106" s="29" t="n">
        <f aca="false">AJ106*(1-MIN(1,INDEX(Tabla_Mortalidad!$B$5:$B$75,MIN(71,Cartera_Polizas!$B$108+34-49))*(1+(Cartera_Polizas!$P$108-1)*MAX(0,1-34/Supuestos!$C$20))*(1-Supuestos!$C$18)^34))</f>
        <v>1.52003458223381E-009</v>
      </c>
      <c r="AL106" s="29" t="n">
        <f aca="false">AK106*(1-MIN(1,INDEX(Tabla_Mortalidad!$B$5:$B$75,MIN(71,Cartera_Polizas!$B$108+35-49))*(1+(Cartera_Polizas!$P$108-1)*MAX(0,1-35/Supuestos!$C$20))*(1-Supuestos!$C$18)^35))</f>
        <v>3.11556773216234E-010</v>
      </c>
      <c r="AM106" s="29" t="n">
        <f aca="false">AL106*(1-MIN(1,INDEX(Tabla_Mortalidad!$B$5:$B$75,MIN(71,Cartera_Polizas!$B$108+36-49))*(1+(Cartera_Polizas!$P$108-1)*MAX(0,1-36/Supuestos!$C$20))*(1-Supuestos!$C$18)^36))</f>
        <v>5.14401520261303E-011</v>
      </c>
      <c r="AN106" s="29" t="n">
        <f aca="false">AM106*(1-MIN(1,INDEX(Tabla_Mortalidad!$B$5:$B$75,MIN(71,Cartera_Polizas!$B$108+37-49))*(1+(Cartera_Polizas!$P$108-1)*MAX(0,1-37/Supuestos!$C$20))*(1-Supuestos!$C$18)^37))</f>
        <v>8.70785573093983E-012</v>
      </c>
      <c r="AO106" s="29" t="n">
        <f aca="false">AN106*(1-MIN(1,INDEX(Tabla_Mortalidad!$B$5:$B$75,MIN(71,Cartera_Polizas!$B$108+38-49))*(1+(Cartera_Polizas!$P$108-1)*MAX(0,1-38/Supuestos!$C$20))*(1-Supuestos!$C$18)^38))</f>
        <v>1.51024601846725E-012</v>
      </c>
      <c r="AP106" s="29" t="n">
        <f aca="false">AO106*(1-MIN(1,INDEX(Tabla_Mortalidad!$B$5:$B$75,MIN(71,Cartera_Polizas!$B$108+39-49))*(1+(Cartera_Polizas!$P$108-1)*MAX(0,1-39/Supuestos!$C$20))*(1-Supuestos!$C$18)^39))</f>
        <v>2.68170938461087E-013</v>
      </c>
      <c r="AQ106" s="29" t="n">
        <f aca="false">AP106*(1-MIN(1,INDEX(Tabla_Mortalidad!$B$5:$B$75,MIN(71,Cartera_Polizas!$B$108+40-49))*(1+(Cartera_Polizas!$P$108-1)*MAX(0,1-40/Supuestos!$C$20))*(1-Supuestos!$C$18)^40))</f>
        <v>4.87212636448461E-014</v>
      </c>
      <c r="AR106" s="29" t="n">
        <f aca="false">AQ106*(1-MIN(1,INDEX(Tabla_Mortalidad!$B$5:$B$75,MIN(71,Cartera_Polizas!$B$108+41-49))*(1+(Cartera_Polizas!$P$108-1)*MAX(0,1-41/Supuestos!$C$20))*(1-Supuestos!$C$18)^41))</f>
        <v>9.05102123442917E-015</v>
      </c>
      <c r="AS106" s="29" t="n">
        <f aca="false">AR106*(1-MIN(1,INDEX(Tabla_Mortalidad!$B$5:$B$75,MIN(71,Cartera_Polizas!$B$108+42-49))*(1+(Cartera_Polizas!$P$108-1)*MAX(0,1-42/Supuestos!$C$20))*(1-Supuestos!$C$18)^42))</f>
        <v>1.71826960459187E-015</v>
      </c>
      <c r="AT106" s="29" t="n">
        <f aca="false">AS106*(1-MIN(1,INDEX(Tabla_Mortalidad!$B$5:$B$75,MIN(71,Cartera_Polizas!$B$108+43-49))*(1+(Cartera_Polizas!$P$108-1)*MAX(0,1-43/Supuestos!$C$20))*(1-Supuestos!$C$18)^43))</f>
        <v>3.33161151341871E-016</v>
      </c>
      <c r="AU106" s="29" t="n">
        <f aca="false">AT106*(1-MIN(1,INDEX(Tabla_Mortalidad!$B$5:$B$75,MIN(71,Cartera_Polizas!$B$108+44-49))*(1+(Cartera_Polizas!$P$108-1)*MAX(0,1-44/Supuestos!$C$20))*(1-Supuestos!$C$18)^44))</f>
        <v>6.5940568404249E-017</v>
      </c>
    </row>
    <row r="107" customFormat="false" ht="15" hidden="false" customHeight="false" outlineLevel="0" collapsed="false">
      <c r="A107" s="14" t="n">
        <f aca="false">Cartera_Polizas!A109</f>
        <v>104</v>
      </c>
      <c r="B107" s="26" t="n">
        <f aca="false">SUM(C107:AU107)+0.5</f>
        <v>1.8533219888872</v>
      </c>
      <c r="C107" s="29" t="n">
        <f aca="false">1-MIN(1,INDEX(Tabla_Mortalidad!$B$5:$B$75,MIN(71,Cartera_Polizas!$B$109+0-49))*(1+(Cartera_Polizas!$P$109-1)*MAX(0,1-0/Supuestos!$C$20))*(1-Supuestos!$C$18)^0)</f>
        <v>0.6029321875</v>
      </c>
      <c r="D107" s="29" t="n">
        <f aca="false">C107*(1-MIN(1,INDEX(Tabla_Mortalidad!$B$5:$B$75,MIN(71,Cartera_Polizas!$B$109+1-49))*(1+(Cartera_Polizas!$P$109-1)*MAX(0,1-1/Supuestos!$C$20))*(1-Supuestos!$C$18)^1))</f>
        <v>0.349781569286521</v>
      </c>
      <c r="E107" s="29" t="n">
        <f aca="false">D107*(1-MIN(1,INDEX(Tabla_Mortalidad!$B$5:$B$75,MIN(71,Cartera_Polizas!$B$109+2-49))*(1+(Cartera_Polizas!$P$109-1)*MAX(0,1-2/Supuestos!$C$20))*(1-Supuestos!$C$18)^2))</f>
        <v>0.194911698953129</v>
      </c>
      <c r="F107" s="29" t="n">
        <f aca="false">E107*(1-MIN(1,INDEX(Tabla_Mortalidad!$B$5:$B$75,MIN(71,Cartera_Polizas!$B$109+3-49))*(1+(Cartera_Polizas!$P$109-1)*MAX(0,1-3/Supuestos!$C$20))*(1-Supuestos!$C$18)^3))</f>
        <v>0.104178183625359</v>
      </c>
      <c r="G107" s="29" t="n">
        <f aca="false">F107*(1-MIN(1,INDEX(Tabla_Mortalidad!$B$5:$B$75,MIN(71,Cartera_Polizas!$B$109+4-49))*(1+(Cartera_Polizas!$P$109-1)*MAX(0,1-4/Supuestos!$C$20))*(1-Supuestos!$C$18)^4))</f>
        <v>0.0533567565429804</v>
      </c>
      <c r="H107" s="29" t="n">
        <f aca="false">G107*(1-MIN(1,INDEX(Tabla_Mortalidad!$B$5:$B$75,MIN(71,Cartera_Polizas!$B$109+5-49))*(1+(Cartera_Polizas!$P$109-1)*MAX(0,1-5/Supuestos!$C$20))*(1-Supuestos!$C$18)^5))</f>
        <v>0.0261772228941727</v>
      </c>
      <c r="I107" s="29" t="n">
        <f aca="false">H107*(1-MIN(1,INDEX(Tabla_Mortalidad!$B$5:$B$75,MIN(71,Cartera_Polizas!$B$109+6-49))*(1+(Cartera_Polizas!$P$109-1)*MAX(0,1-6/Supuestos!$C$20))*(1-Supuestos!$C$18)^6))</f>
        <v>0.0123082151161481</v>
      </c>
      <c r="J107" s="29" t="n">
        <f aca="false">I107*(1-MIN(1,INDEX(Tabla_Mortalidad!$B$5:$B$75,MIN(71,Cartera_Polizas!$B$109+7-49))*(1+(Cartera_Polizas!$P$109-1)*MAX(0,1-7/Supuestos!$C$20))*(1-Supuestos!$C$18)^7))</f>
        <v>0.005555118456903</v>
      </c>
      <c r="K107" s="29" t="n">
        <f aca="false">J107*(1-MIN(1,INDEX(Tabla_Mortalidad!$B$5:$B$75,MIN(71,Cartera_Polizas!$B$109+8-49))*(1+(Cartera_Polizas!$P$109-1)*MAX(0,1-8/Supuestos!$C$20))*(1-Supuestos!$C$18)^8))</f>
        <v>0.00241382411956363</v>
      </c>
      <c r="L107" s="29" t="n">
        <f aca="false">K107*(1-MIN(1,INDEX(Tabla_Mortalidad!$B$5:$B$75,MIN(71,Cartera_Polizas!$B$109+9-49))*(1+(Cartera_Polizas!$P$109-1)*MAX(0,1-9/Supuestos!$C$20))*(1-Supuestos!$C$18)^9))</f>
        <v>0.00101445165571549</v>
      </c>
      <c r="M107" s="29" t="n">
        <f aca="false">L107*(1-MIN(1,INDEX(Tabla_Mortalidad!$B$5:$B$75,MIN(71,Cartera_Polizas!$B$109+10-49))*(1+(Cartera_Polizas!$P$109-1)*MAX(0,1-10/Supuestos!$C$20))*(1-Supuestos!$C$18)^10))</f>
        <v>0.000415032439187833</v>
      </c>
      <c r="N107" s="29" t="n">
        <f aca="false">M107*(1-MIN(1,INDEX(Tabla_Mortalidad!$B$5:$B$75,MIN(71,Cartera_Polizas!$B$109+11-49))*(1+(Cartera_Polizas!$P$109-1)*MAX(0,1-11/Supuestos!$C$20))*(1-Supuestos!$C$18)^11))</f>
        <v>0.000166701431369768</v>
      </c>
      <c r="O107" s="29" t="n">
        <f aca="false">N107*(1-MIN(1,INDEX(Tabla_Mortalidad!$B$5:$B$75,MIN(71,Cartera_Polizas!$B$109+12-49))*(1+(Cartera_Polizas!$P$109-1)*MAX(0,1-12/Supuestos!$C$20))*(1-Supuestos!$C$18)^12))</f>
        <v>6.64261452162464E-005</v>
      </c>
      <c r="P107" s="29" t="n">
        <f aca="false">O107*(1-MIN(1,INDEX(Tabla_Mortalidad!$B$5:$B$75,MIN(71,Cartera_Polizas!$B$109+13-49))*(1+(Cartera_Polizas!$P$109-1)*MAX(0,1-13/Supuestos!$C$20))*(1-Supuestos!$C$18)^13))</f>
        <v>2.65802660659597E-005</v>
      </c>
      <c r="Q107" s="29" t="n">
        <f aca="false">P107*(1-MIN(1,INDEX(Tabla_Mortalidad!$B$5:$B$75,MIN(71,Cartera_Polizas!$B$109+14-49))*(1+(Cartera_Polizas!$P$109-1)*MAX(0,1-14/Supuestos!$C$20))*(1-Supuestos!$C$18)^14))</f>
        <v>1.08244158788981E-005</v>
      </c>
      <c r="R107" s="29" t="n">
        <f aca="false">Q107*(1-MIN(1,INDEX(Tabla_Mortalidad!$B$5:$B$75,MIN(71,Cartera_Polizas!$B$109+15-49))*(1+(Cartera_Polizas!$P$109-1)*MAX(0,1-15/Supuestos!$C$20))*(1-Supuestos!$C$18)^15))</f>
        <v>4.54880925299479E-006</v>
      </c>
      <c r="S107" s="29" t="n">
        <f aca="false">R107*(1-MIN(1,INDEX(Tabla_Mortalidad!$B$5:$B$75,MIN(71,Cartera_Polizas!$B$109+16-49))*(1+(Cartera_Polizas!$P$109-1)*MAX(0,1-16/Supuestos!$C$20))*(1-Supuestos!$C$18)^16))</f>
        <v>1.75507102652389E-006</v>
      </c>
      <c r="T107" s="29" t="n">
        <f aca="false">S107*(1-MIN(1,INDEX(Tabla_Mortalidad!$B$5:$B$75,MIN(71,Cartera_Polizas!$B$109+17-49))*(1+(Cartera_Polizas!$P$109-1)*MAX(0,1-17/Supuestos!$C$20))*(1-Supuestos!$C$18)^17))</f>
        <v>6.18089764855951E-007</v>
      </c>
      <c r="U107" s="29" t="n">
        <f aca="false">T107*(1-MIN(1,INDEX(Tabla_Mortalidad!$B$5:$B$75,MIN(71,Cartera_Polizas!$B$109+18-49))*(1+(Cartera_Polizas!$P$109-1)*MAX(0,1-18/Supuestos!$C$20))*(1-Supuestos!$C$18)^18))</f>
        <v>1.97637086001696E-007</v>
      </c>
      <c r="V107" s="29" t="n">
        <f aca="false">U107*(1-MIN(1,INDEX(Tabla_Mortalidad!$B$5:$B$75,MIN(71,Cartera_Polizas!$B$109+19-49))*(1+(Cartera_Polizas!$P$109-1)*MAX(0,1-19/Supuestos!$C$20))*(1-Supuestos!$C$18)^19))</f>
        <v>5.71318124446528E-008</v>
      </c>
      <c r="W107" s="29" t="n">
        <f aca="false">V107*(1-MIN(1,INDEX(Tabla_Mortalidad!$B$5:$B$75,MIN(71,Cartera_Polizas!$B$109+20-49))*(1+(Cartera_Polizas!$P$109-1)*MAX(0,1-20/Supuestos!$C$20))*(1-Supuestos!$C$18)^20))</f>
        <v>1.48894483972933E-008</v>
      </c>
      <c r="X107" s="29" t="n">
        <f aca="false">W107*(1-MIN(1,INDEX(Tabla_Mortalidad!$B$5:$B$75,MIN(71,Cartera_Polizas!$B$109+21-49))*(1+(Cartera_Polizas!$P$109-1)*MAX(0,1-21/Supuestos!$C$20))*(1-Supuestos!$C$18)^21))</f>
        <v>3.49637267586714E-009</v>
      </c>
      <c r="Y107" s="29" t="n">
        <f aca="false">X107*(1-MIN(1,INDEX(Tabla_Mortalidad!$B$5:$B$75,MIN(71,Cartera_Polizas!$B$109+22-49))*(1+(Cartera_Polizas!$P$109-1)*MAX(0,1-22/Supuestos!$C$20))*(1-Supuestos!$C$18)^22))</f>
        <v>7.41462284994997E-010</v>
      </c>
      <c r="Z107" s="29" t="n">
        <f aca="false">Y107*(1-MIN(1,INDEX(Tabla_Mortalidad!$B$5:$B$75,MIN(71,Cartera_Polizas!$B$109+23-49))*(1+(Cartera_Polizas!$P$109-1)*MAX(0,1-23/Supuestos!$C$20))*(1-Supuestos!$C$18)^23))</f>
        <v>1.4281881104647E-010</v>
      </c>
      <c r="AA107" s="29" t="n">
        <f aca="false">Z107*(1-MIN(1,INDEX(Tabla_Mortalidad!$B$5:$B$75,MIN(71,Cartera_Polizas!$B$109+24-49))*(1+(Cartera_Polizas!$P$109-1)*MAX(0,1-24/Supuestos!$C$20))*(1-Supuestos!$C$18)^24))</f>
        <v>2.52255244445391E-011</v>
      </c>
      <c r="AB107" s="29" t="n">
        <f aca="false">AA107*(1-MIN(1,INDEX(Tabla_Mortalidad!$B$5:$B$75,MIN(71,Cartera_Polizas!$B$109+25-49))*(1+(Cartera_Polizas!$P$109-1)*MAX(0,1-25/Supuestos!$C$20))*(1-Supuestos!$C$18)^25))</f>
        <v>4.13950474439866E-012</v>
      </c>
      <c r="AC107" s="29" t="n">
        <f aca="false">AB107*(1-MIN(1,INDEX(Tabla_Mortalidad!$B$5:$B$75,MIN(71,Cartera_Polizas!$B$109+26-49))*(1+(Cartera_Polizas!$P$109-1)*MAX(0,1-26/Supuestos!$C$20))*(1-Supuestos!$C$18)^26))</f>
        <v>5.05809637514014E-013</v>
      </c>
      <c r="AD107" s="29" t="n">
        <f aca="false">AC107*(1-MIN(1,INDEX(Tabla_Mortalidad!$B$5:$B$75,MIN(71,Cartera_Polizas!$B$109+27-49))*(1+(Cartera_Polizas!$P$109-1)*MAX(0,1-27/Supuestos!$C$20))*(1-Supuestos!$C$18)^27))</f>
        <v>6.40253353459577E-014</v>
      </c>
      <c r="AE107" s="29" t="n">
        <f aca="false">AD107*(1-MIN(1,INDEX(Tabla_Mortalidad!$B$5:$B$75,MIN(71,Cartera_Polizas!$B$109+28-49))*(1+(Cartera_Polizas!$P$109-1)*MAX(0,1-28/Supuestos!$C$20))*(1-Supuestos!$C$18)^28))</f>
        <v>8.38392587276334E-015</v>
      </c>
      <c r="AF107" s="29" t="n">
        <f aca="false">AE107*(1-MIN(1,INDEX(Tabla_Mortalidad!$B$5:$B$75,MIN(71,Cartera_Polizas!$B$109+29-49))*(1+(Cartera_Polizas!$P$109-1)*MAX(0,1-29/Supuestos!$C$20))*(1-Supuestos!$C$18)^29))</f>
        <v>1.13428035807972E-015</v>
      </c>
      <c r="AG107" s="29" t="n">
        <f aca="false">AF107*(1-MIN(1,INDEX(Tabla_Mortalidad!$B$5:$B$75,MIN(71,Cartera_Polizas!$B$109+30-49))*(1+(Cartera_Polizas!$P$109-1)*MAX(0,1-30/Supuestos!$C$20))*(1-Supuestos!$C$18)^30))</f>
        <v>1.58363468788589E-016</v>
      </c>
      <c r="AH107" s="29" t="n">
        <f aca="false">AG107*(1-MIN(1,INDEX(Tabla_Mortalidad!$B$5:$B$75,MIN(71,Cartera_Polizas!$B$109+31-49))*(1+(Cartera_Polizas!$P$109-1)*MAX(0,1-31/Supuestos!$C$20))*(1-Supuestos!$C$18)^31))</f>
        <v>2.2791310791723E-017</v>
      </c>
      <c r="AI107" s="29" t="n">
        <f aca="false">AH107*(1-MIN(1,INDEX(Tabla_Mortalidad!$B$5:$B$75,MIN(71,Cartera_Polizas!$B$109+32-49))*(1+(Cartera_Polizas!$P$109-1)*MAX(0,1-32/Supuestos!$C$20))*(1-Supuestos!$C$18)^32))</f>
        <v>3.37762987660389E-018</v>
      </c>
      <c r="AJ107" s="29" t="n">
        <f aca="false">AI107*(1-MIN(1,INDEX(Tabla_Mortalidad!$B$5:$B$75,MIN(71,Cartera_Polizas!$B$109+33-49))*(1+(Cartera_Polizas!$P$109-1)*MAX(0,1-33/Supuestos!$C$20))*(1-Supuestos!$C$18)^33))</f>
        <v>5.14943823720671E-019</v>
      </c>
      <c r="AK107" s="29" t="n">
        <f aca="false">AJ107*(1-MIN(1,INDEX(Tabla_Mortalidad!$B$5:$B$75,MIN(71,Cartera_Polizas!$B$109+34-49))*(1+(Cartera_Polizas!$P$109-1)*MAX(0,1-34/Supuestos!$C$20))*(1-Supuestos!$C$18)^34))</f>
        <v>8.06890523993741E-020</v>
      </c>
      <c r="AL107" s="29" t="n">
        <f aca="false">AK107*(1-MIN(1,INDEX(Tabla_Mortalidad!$B$5:$B$75,MIN(71,Cartera_Polizas!$B$109+35-49))*(1+(Cartera_Polizas!$P$109-1)*MAX(0,1-35/Supuestos!$C$20))*(1-Supuestos!$C$18)^35))</f>
        <v>1.29837875494644E-020</v>
      </c>
      <c r="AM107" s="29" t="n">
        <f aca="false">AL107*(1-MIN(1,INDEX(Tabla_Mortalidad!$B$5:$B$75,MIN(71,Cartera_Polizas!$B$109+36-49))*(1+(Cartera_Polizas!$P$109-1)*MAX(0,1-36/Supuestos!$C$20))*(1-Supuestos!$C$18)^36))</f>
        <v>2.14371203849863E-021</v>
      </c>
      <c r="AN107" s="29" t="n">
        <f aca="false">AM107*(1-MIN(1,INDEX(Tabla_Mortalidad!$B$5:$B$75,MIN(71,Cartera_Polizas!$B$109+37-49))*(1+(Cartera_Polizas!$P$109-1)*MAX(0,1-37/Supuestos!$C$20))*(1-Supuestos!$C$18)^37))</f>
        <v>3.62890357525432E-022</v>
      </c>
      <c r="AO107" s="29" t="n">
        <f aca="false">AN107*(1-MIN(1,INDEX(Tabla_Mortalidad!$B$5:$B$75,MIN(71,Cartera_Polizas!$B$109+38-49))*(1+(Cartera_Polizas!$P$109-1)*MAX(0,1-38/Supuestos!$C$20))*(1-Supuestos!$C$18)^38))</f>
        <v>6.29378499744378E-023</v>
      </c>
      <c r="AP107" s="29" t="n">
        <f aca="false">AO107*(1-MIN(1,INDEX(Tabla_Mortalidad!$B$5:$B$75,MIN(71,Cartera_Polizas!$B$109+39-49))*(1+(Cartera_Polizas!$P$109-1)*MAX(0,1-39/Supuestos!$C$20))*(1-Supuestos!$C$18)^39))</f>
        <v>1.11757303684188E-023</v>
      </c>
      <c r="AQ107" s="29" t="n">
        <f aca="false">AP107*(1-MIN(1,INDEX(Tabla_Mortalidad!$B$5:$B$75,MIN(71,Cartera_Polizas!$B$109+40-49))*(1+(Cartera_Polizas!$P$109-1)*MAX(0,1-40/Supuestos!$C$20))*(1-Supuestos!$C$18)^40))</f>
        <v>2.03040534081756E-024</v>
      </c>
      <c r="AR107" s="29" t="n">
        <f aca="false">AQ107*(1-MIN(1,INDEX(Tabla_Mortalidad!$B$5:$B$75,MIN(71,Cartera_Polizas!$B$109+41-49))*(1+(Cartera_Polizas!$P$109-1)*MAX(0,1-41/Supuestos!$C$20))*(1-Supuestos!$C$18)^41))</f>
        <v>3.77191404315765E-025</v>
      </c>
      <c r="AS107" s="29" t="n">
        <f aca="false">AR107*(1-MIN(1,INDEX(Tabla_Mortalidad!$B$5:$B$75,MIN(71,Cartera_Polizas!$B$109+42-49))*(1+(Cartera_Polizas!$P$109-1)*MAX(0,1-42/Supuestos!$C$20))*(1-Supuestos!$C$18)^42))</f>
        <v>7.16070052607689E-026</v>
      </c>
      <c r="AT107" s="29" t="n">
        <f aca="false">AS107*(1-MIN(1,INDEX(Tabla_Mortalidad!$B$5:$B$75,MIN(71,Cartera_Polizas!$B$109+43-49))*(1+(Cartera_Polizas!$P$109-1)*MAX(0,1-43/Supuestos!$C$20))*(1-Supuestos!$C$18)^43))</f>
        <v>1.3884126363562E-026</v>
      </c>
      <c r="AU107" s="29" t="n">
        <f aca="false">AT107*(1-MIN(1,INDEX(Tabla_Mortalidad!$B$5:$B$75,MIN(71,Cartera_Polizas!$B$109+44-49))*(1+(Cartera_Polizas!$P$109-1)*MAX(0,1-44/Supuestos!$C$20))*(1-Supuestos!$C$18)^44))</f>
        <v>2.74800102149435E-027</v>
      </c>
    </row>
    <row r="108" customFormat="false" ht="15" hidden="false" customHeight="false" outlineLevel="0" collapsed="false">
      <c r="A108" s="14" t="n">
        <f aca="false">Cartera_Polizas!A110</f>
        <v>105</v>
      </c>
      <c r="B108" s="26" t="n">
        <f aca="false">SUM(C108:AU108)+0.5</f>
        <v>7.79310343298112</v>
      </c>
      <c r="C108" s="29" t="n">
        <f aca="false">1-MIN(1,INDEX(Tabla_Mortalidad!$B$5:$B$75,MIN(71,Cartera_Polizas!$B$110+0-49))*(1+(Cartera_Polizas!$P$110-1)*MAX(0,1-0/Supuestos!$C$20))*(1-Supuestos!$C$18)^0)</f>
        <v>0.9145964345</v>
      </c>
      <c r="D108" s="29" t="n">
        <f aca="false">C108*(1-MIN(1,INDEX(Tabla_Mortalidad!$B$5:$B$75,MIN(71,Cartera_Polizas!$B$110+1-49))*(1+(Cartera_Polizas!$P$110-1)*MAX(0,1-1/Supuestos!$C$20))*(1-Supuestos!$C$18)^1))</f>
        <v>0.831391369319923</v>
      </c>
      <c r="E108" s="29" t="n">
        <f aca="false">D108*(1-MIN(1,INDEX(Tabla_Mortalidad!$B$5:$B$75,MIN(71,Cartera_Polizas!$B$110+2-49))*(1+(Cartera_Polizas!$P$110-1)*MAX(0,1-2/Supuestos!$C$20))*(1-Supuestos!$C$18)^2))</f>
        <v>0.750974951880836</v>
      </c>
      <c r="F108" s="29" t="n">
        <f aca="false">E108*(1-MIN(1,INDEX(Tabla_Mortalidad!$B$5:$B$75,MIN(71,Cartera_Polizas!$B$110+3-49))*(1+(Cartera_Polizas!$P$110-1)*MAX(0,1-3/Supuestos!$C$20))*(1-Supuestos!$C$18)^3))</f>
        <v>0.673902446244131</v>
      </c>
      <c r="G108" s="29" t="n">
        <f aca="false">F108*(1-MIN(1,INDEX(Tabla_Mortalidad!$B$5:$B$75,MIN(71,Cartera_Polizas!$B$110+4-49))*(1+(Cartera_Polizas!$P$110-1)*MAX(0,1-4/Supuestos!$C$20))*(1-Supuestos!$C$18)^4))</f>
        <v>0.600681279607059</v>
      </c>
      <c r="H108" s="29" t="n">
        <f aca="false">G108*(1-MIN(1,INDEX(Tabla_Mortalidad!$B$5:$B$75,MIN(71,Cartera_Polizas!$B$110+5-49))*(1+(Cartera_Polizas!$P$110-1)*MAX(0,1-5/Supuestos!$C$20))*(1-Supuestos!$C$18)^5))</f>
        <v>0.531757005080349</v>
      </c>
      <c r="I108" s="29" t="n">
        <f aca="false">H108*(1-MIN(1,INDEX(Tabla_Mortalidad!$B$5:$B$75,MIN(71,Cartera_Polizas!$B$110+6-49))*(1+(Cartera_Polizas!$P$110-1)*MAX(0,1-6/Supuestos!$C$20))*(1-Supuestos!$C$18)^6))</f>
        <v>0.467495610256926</v>
      </c>
      <c r="J108" s="29" t="n">
        <f aca="false">I108*(1-MIN(1,INDEX(Tabla_Mortalidad!$B$5:$B$75,MIN(71,Cartera_Polizas!$B$110+7-49))*(1+(Cartera_Polizas!$P$110-1)*MAX(0,1-7/Supuestos!$C$20))*(1-Supuestos!$C$18)^7))</f>
        <v>0.408171848761933</v>
      </c>
      <c r="K108" s="29" t="n">
        <f aca="false">J108*(1-MIN(1,INDEX(Tabla_Mortalidad!$B$5:$B$75,MIN(71,Cartera_Polizas!$B$110+8-49))*(1+(Cartera_Polizas!$P$110-1)*MAX(0,1-8/Supuestos!$C$20))*(1-Supuestos!$C$18)^8))</f>
        <v>0.353964991689798</v>
      </c>
      <c r="L108" s="29" t="n">
        <f aca="false">K108*(1-MIN(1,INDEX(Tabla_Mortalidad!$B$5:$B$75,MIN(71,Cartera_Polizas!$B$110+9-49))*(1+(Cartera_Polizas!$P$110-1)*MAX(0,1-9/Supuestos!$C$20))*(1-Supuestos!$C$18)^9))</f>
        <v>0.30495019348269</v>
      </c>
      <c r="M108" s="29" t="n">
        <f aca="false">L108*(1-MIN(1,INDEX(Tabla_Mortalidad!$B$5:$B$75,MIN(71,Cartera_Polizas!$B$110+10-49))*(1+(Cartera_Polizas!$P$110-1)*MAX(0,1-10/Supuestos!$C$20))*(1-Supuestos!$C$18)^10))</f>
        <v>0.261103611739943</v>
      </c>
      <c r="N108" s="29" t="n">
        <f aca="false">M108*(1-MIN(1,INDEX(Tabla_Mortalidad!$B$5:$B$75,MIN(71,Cartera_Polizas!$B$110+11-49))*(1+(Cartera_Polizas!$P$110-1)*MAX(0,1-11/Supuestos!$C$20))*(1-Supuestos!$C$18)^11))</f>
        <v>0.222304945542973</v>
      </c>
      <c r="O108" s="29" t="n">
        <f aca="false">N108*(1-MIN(1,INDEX(Tabla_Mortalidad!$B$5:$B$75,MIN(71,Cartera_Polizas!$B$110+12-49))*(1+(Cartera_Polizas!$P$110-1)*MAX(0,1-12/Supuestos!$C$20))*(1-Supuestos!$C$18)^12))</f>
        <v>0.188348149849894</v>
      </c>
      <c r="P108" s="29" t="n">
        <f aca="false">O108*(1-MIN(1,INDEX(Tabla_Mortalidad!$B$5:$B$75,MIN(71,Cartera_Polizas!$B$110+13-49))*(1+(Cartera_Polizas!$P$110-1)*MAX(0,1-13/Supuestos!$C$20))*(1-Supuestos!$C$18)^13))</f>
        <v>0.158954769636326</v>
      </c>
      <c r="Q108" s="29" t="n">
        <f aca="false">P108*(1-MIN(1,INDEX(Tabla_Mortalidad!$B$5:$B$75,MIN(71,Cartera_Polizas!$B$110+14-49))*(1+(Cartera_Polizas!$P$110-1)*MAX(0,1-14/Supuestos!$C$20))*(1-Supuestos!$C$18)^14))</f>
        <v>0.133790273156945</v>
      </c>
      <c r="R108" s="29" t="n">
        <f aca="false">Q108*(1-MIN(1,INDEX(Tabla_Mortalidad!$B$5:$B$75,MIN(71,Cartera_Polizas!$B$110+15-49))*(1+(Cartera_Polizas!$P$110-1)*MAX(0,1-15/Supuestos!$C$20))*(1-Supuestos!$C$18)^15))</f>
        <v>0.11248173318799</v>
      </c>
      <c r="S108" s="29" t="n">
        <f aca="false">R108*(1-MIN(1,INDEX(Tabla_Mortalidad!$B$5:$B$75,MIN(71,Cartera_Polizas!$B$110+16-49))*(1+(Cartera_Polizas!$P$110-1)*MAX(0,1-16/Supuestos!$C$20))*(1-Supuestos!$C$18)^16))</f>
        <v>0.0927934105113838</v>
      </c>
      <c r="T108" s="29" t="n">
        <f aca="false">S108*(1-MIN(1,INDEX(Tabla_Mortalidad!$B$5:$B$75,MIN(71,Cartera_Polizas!$B$110+17-49))*(1+(Cartera_Polizas!$P$110-1)*MAX(0,1-17/Supuestos!$C$20))*(1-Supuestos!$C$18)^17))</f>
        <v>0.0749644001388981</v>
      </c>
      <c r="U108" s="29" t="n">
        <f aca="false">T108*(1-MIN(1,INDEX(Tabla_Mortalidad!$B$5:$B$75,MIN(71,Cartera_Polizas!$B$110+18-49))*(1+(Cartera_Polizas!$P$110-1)*MAX(0,1-18/Supuestos!$C$20))*(1-Supuestos!$C$18)^18))</f>
        <v>0.0591745775464497</v>
      </c>
      <c r="V108" s="29" t="n">
        <f aca="false">U108*(1-MIN(1,INDEX(Tabla_Mortalidad!$B$5:$B$75,MIN(71,Cartera_Polizas!$B$110+19-49))*(1+(Cartera_Polizas!$P$110-1)*MAX(0,1-19/Supuestos!$C$20))*(1-Supuestos!$C$18)^19))</f>
        <v>0.0455305751566908</v>
      </c>
      <c r="W108" s="29" t="n">
        <f aca="false">V108*(1-MIN(1,INDEX(Tabla_Mortalidad!$B$5:$B$75,MIN(71,Cartera_Polizas!$B$110+20-49))*(1+(Cartera_Polizas!$P$110-1)*MAX(0,1-20/Supuestos!$C$20))*(1-Supuestos!$C$18)^20))</f>
        <v>0.034056950073254</v>
      </c>
      <c r="X108" s="29" t="n">
        <f aca="false">W108*(1-MIN(1,INDEX(Tabla_Mortalidad!$B$5:$B$75,MIN(71,Cartera_Polizas!$B$110+21-49))*(1+(Cartera_Polizas!$P$110-1)*MAX(0,1-21/Supuestos!$C$20))*(1-Supuestos!$C$18)^21))</f>
        <v>0.0246936760362965</v>
      </c>
      <c r="Y108" s="29" t="n">
        <f aca="false">X108*(1-MIN(1,INDEX(Tabla_Mortalidad!$B$5:$B$75,MIN(71,Cartera_Polizas!$B$110+22-49))*(1+(Cartera_Polizas!$P$110-1)*MAX(0,1-22/Supuestos!$C$20))*(1-Supuestos!$C$18)^22))</f>
        <v>0.017301183002001</v>
      </c>
      <c r="Z108" s="29" t="n">
        <f aca="false">Y108*(1-MIN(1,INDEX(Tabla_Mortalidad!$B$5:$B$75,MIN(71,Cartera_Polizas!$B$110+23-49))*(1+(Cartera_Polizas!$P$110-1)*MAX(0,1-23/Supuestos!$C$20))*(1-Supuestos!$C$18)^23))</f>
        <v>0.0116733967404842</v>
      </c>
      <c r="AA108" s="29" t="n">
        <f aca="false">Z108*(1-MIN(1,INDEX(Tabla_Mortalidad!$B$5:$B$75,MIN(71,Cartera_Polizas!$B$110+24-49))*(1+(Cartera_Polizas!$P$110-1)*MAX(0,1-24/Supuestos!$C$20))*(1-Supuestos!$C$18)^24))</f>
        <v>0.00755715080586391</v>
      </c>
      <c r="AB108" s="29" t="n">
        <f aca="false">AA108*(1-MIN(1,INDEX(Tabla_Mortalidad!$B$5:$B$75,MIN(71,Cartera_Polizas!$B$110+25-49))*(1+(Cartera_Polizas!$P$110-1)*MAX(0,1-25/Supuestos!$C$20))*(1-Supuestos!$C$18)^25))</f>
        <v>0.00467580254787561</v>
      </c>
      <c r="AC108" s="29" t="n">
        <f aca="false">AB108*(1-MIN(1,INDEX(Tabla_Mortalidad!$B$5:$B$75,MIN(71,Cartera_Polizas!$B$110+26-49))*(1+(Cartera_Polizas!$P$110-1)*MAX(0,1-26/Supuestos!$C$20))*(1-Supuestos!$C$18)^26))</f>
        <v>0.002753518711073</v>
      </c>
      <c r="AD108" s="29" t="n">
        <f aca="false">AC108*(1-MIN(1,INDEX(Tabla_Mortalidad!$B$5:$B$75,MIN(71,Cartera_Polizas!$B$110+27-49))*(1+(Cartera_Polizas!$P$110-1)*MAX(0,1-27/Supuestos!$C$20))*(1-Supuestos!$C$18)^27))</f>
        <v>0.00153661157598715</v>
      </c>
      <c r="AE108" s="29" t="n">
        <f aca="false">AD108*(1-MIN(1,INDEX(Tabla_Mortalidad!$B$5:$B$75,MIN(71,Cartera_Polizas!$B$110+28-49))*(1+(Cartera_Polizas!$P$110-1)*MAX(0,1-28/Supuestos!$C$20))*(1-Supuestos!$C$18)^28))</f>
        <v>0.000808971169095939</v>
      </c>
      <c r="AF108" s="29" t="n">
        <f aca="false">AE108*(1-MIN(1,INDEX(Tabla_Mortalidad!$B$5:$B$75,MIN(71,Cartera_Polizas!$B$110+29-49))*(1+(Cartera_Polizas!$P$110-1)*MAX(0,1-29/Supuestos!$C$20))*(1-Supuestos!$C$18)^29))</f>
        <v>0.000399962504399295</v>
      </c>
      <c r="AG108" s="29" t="n">
        <f aca="false">AF108*(1-MIN(1,INDEX(Tabla_Mortalidad!$B$5:$B$75,MIN(71,Cartera_Polizas!$B$110+30-49))*(1+(Cartera_Polizas!$P$110-1)*MAX(0,1-30/Supuestos!$C$20))*(1-Supuestos!$C$18)^30))</f>
        <v>0.000184874230938461</v>
      </c>
      <c r="AH108" s="29" t="n">
        <f aca="false">AG108*(1-MIN(1,INDEX(Tabla_Mortalidad!$B$5:$B$75,MIN(71,Cartera_Polizas!$B$110+31-49))*(1+(Cartera_Polizas!$P$110-1)*MAX(0,1-31/Supuestos!$C$20))*(1-Supuestos!$C$18)^31))</f>
        <v>7.95542974797304E-005</v>
      </c>
      <c r="AI108" s="29" t="n">
        <f aca="false">AH108*(1-MIN(1,INDEX(Tabla_Mortalidad!$B$5:$B$75,MIN(71,Cartera_Polizas!$B$110+32-49))*(1+(Cartera_Polizas!$P$110-1)*MAX(0,1-32/Supuestos!$C$20))*(1-Supuestos!$C$18)^32))</f>
        <v>3.17498319900251E-005</v>
      </c>
      <c r="AJ108" s="29" t="n">
        <f aca="false">AI108*(1-MIN(1,INDEX(Tabla_Mortalidad!$B$5:$B$75,MIN(71,Cartera_Polizas!$B$110+33-49))*(1+(Cartera_Polizas!$P$110-1)*MAX(0,1-33/Supuestos!$C$20))*(1-Supuestos!$C$18)^33))</f>
        <v>1.17164987845758E-005</v>
      </c>
      <c r="AK108" s="29" t="n">
        <f aca="false">AJ108*(1-MIN(1,INDEX(Tabla_Mortalidad!$B$5:$B$75,MIN(71,Cartera_Polizas!$B$110+34-49))*(1+(Cartera_Polizas!$P$110-1)*MAX(0,1-34/Supuestos!$C$20))*(1-Supuestos!$C$18)^34))</f>
        <v>3.99025787032794E-006</v>
      </c>
      <c r="AL108" s="29" t="n">
        <f aca="false">AK108*(1-MIN(1,INDEX(Tabla_Mortalidad!$B$5:$B$75,MIN(71,Cartera_Polizas!$B$110+35-49))*(1+(Cartera_Polizas!$P$110-1)*MAX(0,1-35/Supuestos!$C$20))*(1-Supuestos!$C$18)^35))</f>
        <v>1.25361965519064E-006</v>
      </c>
      <c r="AM108" s="29" t="n">
        <f aca="false">AL108*(1-MIN(1,INDEX(Tabla_Mortalidad!$B$5:$B$75,MIN(71,Cartera_Polizas!$B$110+36-49))*(1+(Cartera_Polizas!$P$110-1)*MAX(0,1-36/Supuestos!$C$20))*(1-Supuestos!$C$18)^36))</f>
        <v>3.63856579910065E-007</v>
      </c>
      <c r="AN108" s="29" t="n">
        <f aca="false">AM108*(1-MIN(1,INDEX(Tabla_Mortalidad!$B$5:$B$75,MIN(71,Cartera_Polizas!$B$110+37-49))*(1+(Cartera_Polizas!$P$110-1)*MAX(0,1-37/Supuestos!$C$20))*(1-Supuestos!$C$18)^37))</f>
        <v>9.79272717350602E-008</v>
      </c>
      <c r="AO108" s="29" t="n">
        <f aca="false">AN108*(1-MIN(1,INDEX(Tabla_Mortalidad!$B$5:$B$75,MIN(71,Cartera_Polizas!$B$110+38-49))*(1+(Cartera_Polizas!$P$110-1)*MAX(0,1-38/Supuestos!$C$20))*(1-Supuestos!$C$18)^38))</f>
        <v>2.45892731804548E-008</v>
      </c>
      <c r="AP108" s="29" t="n">
        <f aca="false">AO108*(1-MIN(1,INDEX(Tabla_Mortalidad!$B$5:$B$75,MIN(71,Cartera_Polizas!$B$110+39-49))*(1+(Cartera_Polizas!$P$110-1)*MAX(0,1-39/Supuestos!$C$20))*(1-Supuestos!$C$18)^39))</f>
        <v>5.80955726332171E-009</v>
      </c>
      <c r="AQ108" s="29" t="n">
        <f aca="false">AP108*(1-MIN(1,INDEX(Tabla_Mortalidad!$B$5:$B$75,MIN(71,Cartera_Polizas!$B$110+40-49))*(1+(Cartera_Polizas!$P$110-1)*MAX(0,1-40/Supuestos!$C$20))*(1-Supuestos!$C$18)^40))</f>
        <v>1.30508775097005E-009</v>
      </c>
      <c r="AR108" s="29" t="n">
        <f aca="false">AQ108*(1-MIN(1,INDEX(Tabla_Mortalidad!$B$5:$B$75,MIN(71,Cartera_Polizas!$B$110+41-49))*(1+(Cartera_Polizas!$P$110-1)*MAX(0,1-41/Supuestos!$C$20))*(1-Supuestos!$C$18)^41))</f>
        <v>2.42448082482623E-010</v>
      </c>
      <c r="AS108" s="29" t="n">
        <f aca="false">AR108*(1-MIN(1,INDEX(Tabla_Mortalidad!$B$5:$B$75,MIN(71,Cartera_Polizas!$B$110+42-49))*(1+(Cartera_Polizas!$P$110-1)*MAX(0,1-42/Supuestos!$C$20))*(1-Supuestos!$C$18)^42))</f>
        <v>4.60269797221117E-011</v>
      </c>
      <c r="AT108" s="29" t="n">
        <f aca="false">AS108*(1-MIN(1,INDEX(Tabla_Mortalidad!$B$5:$B$75,MIN(71,Cartera_Polizas!$B$110+43-49))*(1+(Cartera_Polizas!$P$110-1)*MAX(0,1-43/Supuestos!$C$20))*(1-Supuestos!$C$18)^43))</f>
        <v>8.92432800768189E-012</v>
      </c>
      <c r="AU108" s="29" t="n">
        <f aca="false">AT108*(1-MIN(1,INDEX(Tabla_Mortalidad!$B$5:$B$75,MIN(71,Cartera_Polizas!$B$110+44-49))*(1+(Cartera_Polizas!$P$110-1)*MAX(0,1-44/Supuestos!$C$20))*(1-Supuestos!$C$18)^44))</f>
        <v>1.7663381792334E-012</v>
      </c>
    </row>
    <row r="109" customFormat="false" ht="15" hidden="false" customHeight="false" outlineLevel="0" collapsed="false">
      <c r="A109" s="14" t="n">
        <f aca="false">Cartera_Polizas!A111</f>
        <v>106</v>
      </c>
      <c r="B109" s="26" t="n">
        <f aca="false">SUM(C109:AU109)+0.5</f>
        <v>8.94987662879531</v>
      </c>
      <c r="C109" s="29" t="n">
        <f aca="false">1-MIN(1,INDEX(Tabla_Mortalidad!$B$5:$B$75,MIN(71,Cartera_Polizas!$B$111+0-49))*(1+(Cartera_Polizas!$P$111-1)*MAX(0,1-0/Supuestos!$C$20))*(1-Supuestos!$C$18)^0)</f>
        <v>0.937955215</v>
      </c>
      <c r="D109" s="29" t="n">
        <f aca="false">C109*(1-MIN(1,INDEX(Tabla_Mortalidad!$B$5:$B$75,MIN(71,Cartera_Polizas!$B$111+1-49))*(1+(Cartera_Polizas!$P$111-1)*MAX(0,1-1/Supuestos!$C$20))*(1-Supuestos!$C$18)^1))</f>
        <v>0.875025839156994</v>
      </c>
      <c r="E109" s="29" t="n">
        <f aca="false">D109*(1-MIN(1,INDEX(Tabla_Mortalidad!$B$5:$B$75,MIN(71,Cartera_Polizas!$B$111+2-49))*(1+(Cartera_Polizas!$P$111-1)*MAX(0,1-2/Supuestos!$C$20))*(1-Supuestos!$C$18)^2))</f>
        <v>0.811597542133888</v>
      </c>
      <c r="F109" s="29" t="n">
        <f aca="false">E109*(1-MIN(1,INDEX(Tabla_Mortalidad!$B$5:$B$75,MIN(71,Cartera_Polizas!$B$111+3-49))*(1+(Cartera_Polizas!$P$111-1)*MAX(0,1-3/Supuestos!$C$20))*(1-Supuestos!$C$18)^3))</f>
        <v>0.74809521036456</v>
      </c>
      <c r="G109" s="29" t="n">
        <f aca="false">F109*(1-MIN(1,INDEX(Tabla_Mortalidad!$B$5:$B$75,MIN(71,Cartera_Polizas!$B$111+4-49))*(1+(Cartera_Polizas!$P$111-1)*MAX(0,1-4/Supuestos!$C$20))*(1-Supuestos!$C$18)^4))</f>
        <v>0.684978305122291</v>
      </c>
      <c r="H109" s="29" t="n">
        <f aca="false">G109*(1-MIN(1,INDEX(Tabla_Mortalidad!$B$5:$B$75,MIN(71,Cartera_Polizas!$B$111+5-49))*(1+(Cartera_Polizas!$P$111-1)*MAX(0,1-5/Supuestos!$C$20))*(1-Supuestos!$C$18)^5))</f>
        <v>0.622729399512747</v>
      </c>
      <c r="I109" s="29" t="n">
        <f aca="false">H109*(1-MIN(1,INDEX(Tabla_Mortalidad!$B$5:$B$75,MIN(71,Cartera_Polizas!$B$111+6-49))*(1+(Cartera_Polizas!$P$111-1)*MAX(0,1-6/Supuestos!$C$20))*(1-Supuestos!$C$18)^6))</f>
        <v>0.561842994233023</v>
      </c>
      <c r="J109" s="29" t="n">
        <f aca="false">I109*(1-MIN(1,INDEX(Tabla_Mortalidad!$B$5:$B$75,MIN(71,Cartera_Polizas!$B$111+7-49))*(1+(Cartera_Polizas!$P$111-1)*MAX(0,1-7/Supuestos!$C$20))*(1-Supuestos!$C$18)^7))</f>
        <v>0.502816482647522</v>
      </c>
      <c r="K109" s="29" t="n">
        <f aca="false">J109*(1-MIN(1,INDEX(Tabla_Mortalidad!$B$5:$B$75,MIN(71,Cartera_Polizas!$B$111+8-49))*(1+(Cartera_Polizas!$P$111-1)*MAX(0,1-8/Supuestos!$C$20))*(1-Supuestos!$C$18)^8))</f>
        <v>0.446130920172444</v>
      </c>
      <c r="L109" s="29" t="n">
        <f aca="false">K109*(1-MIN(1,INDEX(Tabla_Mortalidad!$B$5:$B$75,MIN(71,Cartera_Polizas!$B$111+9-49))*(1+(Cartera_Polizas!$P$111-1)*MAX(0,1-9/Supuestos!$C$20))*(1-Supuestos!$C$18)^9))</f>
        <v>0.392240212263756</v>
      </c>
      <c r="M109" s="29" t="n">
        <f aca="false">L109*(1-MIN(1,INDEX(Tabla_Mortalidad!$B$5:$B$75,MIN(71,Cartera_Polizas!$B$111+10-49))*(1+(Cartera_Polizas!$P$111-1)*MAX(0,1-10/Supuestos!$C$20))*(1-Supuestos!$C$18)^10))</f>
        <v>0.341552269460132</v>
      </c>
      <c r="N109" s="29" t="n">
        <f aca="false">M109*(1-MIN(1,INDEX(Tabla_Mortalidad!$B$5:$B$75,MIN(71,Cartera_Polizas!$B$111+11-49))*(1+(Cartera_Polizas!$P$111-1)*MAX(0,1-11/Supuestos!$C$20))*(1-Supuestos!$C$18)^11))</f>
        <v>0.294414900201609</v>
      </c>
      <c r="O109" s="29" t="n">
        <f aca="false">N109*(1-MIN(1,INDEX(Tabla_Mortalidad!$B$5:$B$75,MIN(71,Cartera_Polizas!$B$111+12-49))*(1+(Cartera_Polizas!$P$111-1)*MAX(0,1-12/Supuestos!$C$20))*(1-Supuestos!$C$18)^12))</f>
        <v>0.251102165967918</v>
      </c>
      <c r="P109" s="29" t="n">
        <f aca="false">O109*(1-MIN(1,INDEX(Tabla_Mortalidad!$B$5:$B$75,MIN(71,Cartera_Polizas!$B$111+13-49))*(1+(Cartera_Polizas!$P$111-1)*MAX(0,1-13/Supuestos!$C$20))*(1-Supuestos!$C$18)^13))</f>
        <v>0.21180379880941</v>
      </c>
      <c r="Q109" s="29" t="n">
        <f aca="false">P109*(1-MIN(1,INDEX(Tabla_Mortalidad!$B$5:$B$75,MIN(71,Cartera_Polizas!$B$111+14-49))*(1+(Cartera_Polizas!$P$111-1)*MAX(0,1-14/Supuestos!$C$20))*(1-Supuestos!$C$18)^14))</f>
        <v>0.176617998566395</v>
      </c>
      <c r="R109" s="29" t="n">
        <f aca="false">Q109*(1-MIN(1,INDEX(Tabla_Mortalidad!$B$5:$B$75,MIN(71,Cartera_Polizas!$B$111+15-49))*(1+(Cartera_Polizas!$P$111-1)*MAX(0,1-15/Supuestos!$C$20))*(1-Supuestos!$C$18)^15))</f>
        <v>0.145548188583879</v>
      </c>
      <c r="S109" s="29" t="n">
        <f aca="false">R109*(1-MIN(1,INDEX(Tabla_Mortalidad!$B$5:$B$75,MIN(71,Cartera_Polizas!$B$111+16-49))*(1+(Cartera_Polizas!$P$111-1)*MAX(0,1-16/Supuestos!$C$20))*(1-Supuestos!$C$18)^16))</f>
        <v>0.117442526221518</v>
      </c>
      <c r="T109" s="29" t="n">
        <f aca="false">S109*(1-MIN(1,INDEX(Tabla_Mortalidad!$B$5:$B$75,MIN(71,Cartera_Polizas!$B$111+17-49))*(1+(Cartera_Polizas!$P$111-1)*MAX(0,1-17/Supuestos!$C$20))*(1-Supuestos!$C$18)^17))</f>
        <v>0.092581189019546</v>
      </c>
      <c r="U109" s="29" t="n">
        <f aca="false">T109*(1-MIN(1,INDEX(Tabla_Mortalidad!$B$5:$B$75,MIN(71,Cartera_Polizas!$B$111+18-49))*(1+(Cartera_Polizas!$P$111-1)*MAX(0,1-18/Supuestos!$C$20))*(1-Supuestos!$C$18)^18))</f>
        <v>0.0711272869415154</v>
      </c>
      <c r="V109" s="29" t="n">
        <f aca="false">U109*(1-MIN(1,INDEX(Tabla_Mortalidad!$B$5:$B$75,MIN(71,Cartera_Polizas!$B$111+19-49))*(1+(Cartera_Polizas!$P$111-1)*MAX(0,1-19/Supuestos!$C$20))*(1-Supuestos!$C$18)^19))</f>
        <v>0.0531132652740233</v>
      </c>
      <c r="W109" s="29" t="n">
        <f aca="false">V109*(1-MIN(1,INDEX(Tabla_Mortalidad!$B$5:$B$75,MIN(71,Cartera_Polizas!$B$111+20-49))*(1+(Cartera_Polizas!$P$111-1)*MAX(0,1-20/Supuestos!$C$20))*(1-Supuestos!$C$18)^20))</f>
        <v>0.0384374612956837</v>
      </c>
      <c r="X109" s="29" t="n">
        <f aca="false">W109*(1-MIN(1,INDEX(Tabla_Mortalidad!$B$5:$B$75,MIN(71,Cartera_Polizas!$B$111+21-49))*(1+(Cartera_Polizas!$P$111-1)*MAX(0,1-21/Supuestos!$C$20))*(1-Supuestos!$C$18)^21))</f>
        <v>0.0268726968109348</v>
      </c>
      <c r="Y109" s="29" t="n">
        <f aca="false">X109*(1-MIN(1,INDEX(Tabla_Mortalidad!$B$5:$B$75,MIN(71,Cartera_Polizas!$B$111+22-49))*(1+(Cartera_Polizas!$P$111-1)*MAX(0,1-22/Supuestos!$C$20))*(1-Supuestos!$C$18)^22))</f>
        <v>0.0180875309226491</v>
      </c>
      <c r="Z109" s="29" t="n">
        <f aca="false">Y109*(1-MIN(1,INDEX(Tabla_Mortalidad!$B$5:$B$75,MIN(71,Cartera_Polizas!$B$111+23-49))*(1+(Cartera_Polizas!$P$111-1)*MAX(0,1-23/Supuestos!$C$20))*(1-Supuestos!$C$18)^23))</f>
        <v>0.0116774977856956</v>
      </c>
      <c r="AA109" s="29" t="n">
        <f aca="false">Z109*(1-MIN(1,INDEX(Tabla_Mortalidad!$B$5:$B$75,MIN(71,Cartera_Polizas!$B$111+24-49))*(1+(Cartera_Polizas!$P$111-1)*MAX(0,1-24/Supuestos!$C$20))*(1-Supuestos!$C$18)^24))</f>
        <v>0.00720279311707903</v>
      </c>
      <c r="AB109" s="29" t="n">
        <f aca="false">AA109*(1-MIN(1,INDEX(Tabla_Mortalidad!$B$5:$B$75,MIN(71,Cartera_Polizas!$B$111+25-49))*(1+(Cartera_Polizas!$P$111-1)*MAX(0,1-25/Supuestos!$C$20))*(1-Supuestos!$C$18)^25))</f>
        <v>0.00422675005388258</v>
      </c>
      <c r="AC109" s="29" t="n">
        <f aca="false">AB109*(1-MIN(1,INDEX(Tabla_Mortalidad!$B$5:$B$75,MIN(71,Cartera_Polizas!$B$111+26-49))*(1+(Cartera_Polizas!$P$111-1)*MAX(0,1-26/Supuestos!$C$20))*(1-Supuestos!$C$18)^26))</f>
        <v>0.0023493670076975</v>
      </c>
      <c r="AD109" s="29" t="n">
        <f aca="false">AC109*(1-MIN(1,INDEX(Tabla_Mortalidad!$B$5:$B$75,MIN(71,Cartera_Polizas!$B$111+27-49))*(1+(Cartera_Polizas!$P$111-1)*MAX(0,1-27/Supuestos!$C$20))*(1-Supuestos!$C$18)^27))</f>
        <v>0.00123126740711309</v>
      </c>
      <c r="AE109" s="29" t="n">
        <f aca="false">AD109*(1-MIN(1,INDEX(Tabla_Mortalidad!$B$5:$B$75,MIN(71,Cartera_Polizas!$B$111+28-49))*(1+(Cartera_Polizas!$P$111-1)*MAX(0,1-28/Supuestos!$C$20))*(1-Supuestos!$C$18)^28))</f>
        <v>0.000605621270593852</v>
      </c>
      <c r="AF109" s="29" t="n">
        <f aca="false">AE109*(1-MIN(1,INDEX(Tabla_Mortalidad!$B$5:$B$75,MIN(71,Cartera_Polizas!$B$111+29-49))*(1+(Cartera_Polizas!$P$111-1)*MAX(0,1-29/Supuestos!$C$20))*(1-Supuestos!$C$18)^29))</f>
        <v>0.000278299046370503</v>
      </c>
      <c r="AG109" s="29" t="n">
        <f aca="false">AF109*(1-MIN(1,INDEX(Tabla_Mortalidad!$B$5:$B$75,MIN(71,Cartera_Polizas!$B$111+30-49))*(1+(Cartera_Polizas!$P$111-1)*MAX(0,1-30/Supuestos!$C$20))*(1-Supuestos!$C$18)^30))</f>
        <v>0.000118959772723741</v>
      </c>
      <c r="AH109" s="29" t="n">
        <f aca="false">AG109*(1-MIN(1,INDEX(Tabla_Mortalidad!$B$5:$B$75,MIN(71,Cartera_Polizas!$B$111+31-49))*(1+(Cartera_Polizas!$P$111-1)*MAX(0,1-31/Supuestos!$C$20))*(1-Supuestos!$C$18)^31))</f>
        <v>4.71172015832873E-005</v>
      </c>
      <c r="AI109" s="29" t="n">
        <f aca="false">AH109*(1-MIN(1,INDEX(Tabla_Mortalidad!$B$5:$B$75,MIN(71,Cartera_Polizas!$B$111+32-49))*(1+(Cartera_Polizas!$P$111-1)*MAX(0,1-32/Supuestos!$C$20))*(1-Supuestos!$C$18)^32))</f>
        <v>1.7238054860032E-005</v>
      </c>
      <c r="AJ109" s="29" t="n">
        <f aca="false">AI109*(1-MIN(1,INDEX(Tabla_Mortalidad!$B$5:$B$75,MIN(71,Cartera_Polizas!$B$111+33-49))*(1+(Cartera_Polizas!$P$111-1)*MAX(0,1-33/Supuestos!$C$20))*(1-Supuestos!$C$18)^33))</f>
        <v>5.81359774256124E-006</v>
      </c>
      <c r="AK109" s="29" t="n">
        <f aca="false">AJ109*(1-MIN(1,INDEX(Tabla_Mortalidad!$B$5:$B$75,MIN(71,Cartera_Polizas!$B$111+34-49))*(1+(Cartera_Polizas!$P$111-1)*MAX(0,1-34/Supuestos!$C$20))*(1-Supuestos!$C$18)^34))</f>
        <v>1.80642262264473E-006</v>
      </c>
      <c r="AL109" s="29" t="n">
        <f aca="false">AK109*(1-MIN(1,INDEX(Tabla_Mortalidad!$B$5:$B$75,MIN(71,Cartera_Polizas!$B$111+35-49))*(1+(Cartera_Polizas!$P$111-1)*MAX(0,1-35/Supuestos!$C$20))*(1-Supuestos!$C$18)^35))</f>
        <v>5.17861960599788E-007</v>
      </c>
      <c r="AM109" s="29" t="n">
        <f aca="false">AL109*(1-MIN(1,INDEX(Tabla_Mortalidad!$B$5:$B$75,MIN(71,Cartera_Polizas!$B$111+36-49))*(1+(Cartera_Polizas!$P$111-1)*MAX(0,1-36/Supuestos!$C$20))*(1-Supuestos!$C$18)^36))</f>
        <v>1.37473878903184E-007</v>
      </c>
      <c r="AN109" s="29" t="n">
        <f aca="false">AM109*(1-MIN(1,INDEX(Tabla_Mortalidad!$B$5:$B$75,MIN(71,Cartera_Polizas!$B$111+37-49))*(1+(Cartera_Polizas!$P$111-1)*MAX(0,1-37/Supuestos!$C$20))*(1-Supuestos!$C$18)^37))</f>
        <v>3.40019597278835E-008</v>
      </c>
      <c r="AO109" s="29" t="n">
        <f aca="false">AN109*(1-MIN(1,INDEX(Tabla_Mortalidad!$B$5:$B$75,MIN(71,Cartera_Polizas!$B$111+38-49))*(1+(Cartera_Polizas!$P$111-1)*MAX(0,1-38/Supuestos!$C$20))*(1-Supuestos!$C$18)^38))</f>
        <v>7.90294007710186E-009</v>
      </c>
      <c r="AP109" s="29" t="n">
        <f aca="false">AO109*(1-MIN(1,INDEX(Tabla_Mortalidad!$B$5:$B$75,MIN(71,Cartera_Polizas!$B$111+39-49))*(1+(Cartera_Polizas!$P$111-1)*MAX(0,1-39/Supuestos!$C$20))*(1-Supuestos!$C$18)^39))</f>
        <v>1.74456376496905E-009</v>
      </c>
      <c r="AQ109" s="29" t="n">
        <f aca="false">AP109*(1-MIN(1,INDEX(Tabla_Mortalidad!$B$5:$B$75,MIN(71,Cartera_Polizas!$B$111+40-49))*(1+(Cartera_Polizas!$P$111-1)*MAX(0,1-40/Supuestos!$C$20))*(1-Supuestos!$C$18)^40))</f>
        <v>3.16952133687805E-010</v>
      </c>
      <c r="AR109" s="29" t="n">
        <f aca="false">AQ109*(1-MIN(1,INDEX(Tabla_Mortalidad!$B$5:$B$75,MIN(71,Cartera_Polizas!$B$111+41-49))*(1+(Cartera_Polizas!$P$111-1)*MAX(0,1-41/Supuestos!$C$20))*(1-Supuestos!$C$18)^41))</f>
        <v>5.88806668319945E-011</v>
      </c>
      <c r="AS109" s="29" t="n">
        <f aca="false">AR109*(1-MIN(1,INDEX(Tabla_Mortalidad!$B$5:$B$75,MIN(71,Cartera_Polizas!$B$111+42-49))*(1+(Cartera_Polizas!$P$111-1)*MAX(0,1-42/Supuestos!$C$20))*(1-Supuestos!$C$18)^42))</f>
        <v>1.11780601873593E-011</v>
      </c>
      <c r="AT109" s="29" t="n">
        <f aca="false">AS109*(1-MIN(1,INDEX(Tabla_Mortalidad!$B$5:$B$75,MIN(71,Cartera_Polizas!$B$111+43-49))*(1+(Cartera_Polizas!$P$111-1)*MAX(0,1-43/Supuestos!$C$20))*(1-Supuestos!$C$18)^43))</f>
        <v>2.16735219655704E-012</v>
      </c>
      <c r="AU109" s="29" t="n">
        <f aca="false">AT109*(1-MIN(1,INDEX(Tabla_Mortalidad!$B$5:$B$75,MIN(71,Cartera_Polizas!$B$111+44-49))*(1+(Cartera_Polizas!$P$111-1)*MAX(0,1-44/Supuestos!$C$20))*(1-Supuestos!$C$18)^44))</f>
        <v>4.28970890506125E-013</v>
      </c>
    </row>
    <row r="110" customFormat="false" ht="15" hidden="false" customHeight="false" outlineLevel="0" collapsed="false">
      <c r="A110" s="14" t="n">
        <f aca="false">Cartera_Polizas!A112</f>
        <v>107</v>
      </c>
      <c r="B110" s="26" t="n">
        <f aca="false">SUM(C110:AU110)+0.5</f>
        <v>3.85039995032098</v>
      </c>
      <c r="C110" s="29" t="n">
        <f aca="false">1-MIN(1,INDEX(Tabla_Mortalidad!$B$5:$B$75,MIN(71,Cartera_Polizas!$B$112+0-49))*(1+(Cartera_Polizas!$P$112-1)*MAX(0,1-0/Supuestos!$C$20))*(1-Supuestos!$C$18)^0)</f>
        <v>0.79991755975</v>
      </c>
      <c r="D110" s="29" t="n">
        <f aca="false">C110*(1-MIN(1,INDEX(Tabla_Mortalidad!$B$5:$B$75,MIN(71,Cartera_Polizas!$B$112+1-49))*(1+(Cartera_Polizas!$P$112-1)*MAX(0,1-1/Supuestos!$C$20))*(1-Supuestos!$C$18)^1))</f>
        <v>0.63101343471524</v>
      </c>
      <c r="E110" s="29" t="n">
        <f aca="false">D110*(1-MIN(1,INDEX(Tabla_Mortalidad!$B$5:$B$75,MIN(71,Cartera_Polizas!$B$112+2-49))*(1+(Cartera_Polizas!$P$112-1)*MAX(0,1-2/Supuestos!$C$20))*(1-Supuestos!$C$18)^2))</f>
        <v>0.490791196084888</v>
      </c>
      <c r="F110" s="29" t="n">
        <f aca="false">E110*(1-MIN(1,INDEX(Tabla_Mortalidad!$B$5:$B$75,MIN(71,Cartera_Polizas!$B$112+3-49))*(1+(Cartera_Polizas!$P$112-1)*MAX(0,1-3/Supuestos!$C$20))*(1-Supuestos!$C$18)^3))</f>
        <v>0.376368763214305</v>
      </c>
      <c r="G110" s="29" t="n">
        <f aca="false">F110*(1-MIN(1,INDEX(Tabla_Mortalidad!$B$5:$B$75,MIN(71,Cartera_Polizas!$B$112+4-49))*(1+(Cartera_Polizas!$P$112-1)*MAX(0,1-4/Supuestos!$C$20))*(1-Supuestos!$C$18)^4))</f>
        <v>0.284623085174071</v>
      </c>
      <c r="H110" s="29" t="n">
        <f aca="false">G110*(1-MIN(1,INDEX(Tabla_Mortalidad!$B$5:$B$75,MIN(71,Cartera_Polizas!$B$112+5-49))*(1+(Cartera_Polizas!$P$112-1)*MAX(0,1-5/Supuestos!$C$20))*(1-Supuestos!$C$18)^5))</f>
        <v>0.212357214922378</v>
      </c>
      <c r="I110" s="29" t="n">
        <f aca="false">H110*(1-MIN(1,INDEX(Tabla_Mortalidad!$B$5:$B$75,MIN(71,Cartera_Polizas!$B$112+6-49))*(1+(Cartera_Polizas!$P$112-1)*MAX(0,1-6/Supuestos!$C$20))*(1-Supuestos!$C$18)^6))</f>
        <v>0.156438487669696</v>
      </c>
      <c r="J110" s="29" t="n">
        <f aca="false">I110*(1-MIN(1,INDEX(Tabla_Mortalidad!$B$5:$B$75,MIN(71,Cartera_Polizas!$B$112+7-49))*(1+(Cartera_Polizas!$P$112-1)*MAX(0,1-7/Supuestos!$C$20))*(1-Supuestos!$C$18)^7))</f>
        <v>0.113922277534674</v>
      </c>
      <c r="K110" s="29" t="n">
        <f aca="false">J110*(1-MIN(1,INDEX(Tabla_Mortalidad!$B$5:$B$75,MIN(71,Cartera_Polizas!$B$112+8-49))*(1+(Cartera_Polizas!$P$112-1)*MAX(0,1-8/Supuestos!$C$20))*(1-Supuestos!$C$18)^8))</f>
        <v>0.0821430115077383</v>
      </c>
      <c r="L110" s="29" t="n">
        <f aca="false">K110*(1-MIN(1,INDEX(Tabla_Mortalidad!$B$5:$B$75,MIN(71,Cartera_Polizas!$B$112+9-49))*(1+(Cartera_Polizas!$P$112-1)*MAX(0,1-9/Supuestos!$C$20))*(1-Supuestos!$C$18)^9))</f>
        <v>0.058771931778527</v>
      </c>
      <c r="M110" s="29" t="n">
        <f aca="false">L110*(1-MIN(1,INDEX(Tabla_Mortalidad!$B$5:$B$75,MIN(71,Cartera_Polizas!$B$112+10-49))*(1+(Cartera_Polizas!$P$112-1)*MAX(0,1-10/Supuestos!$C$20))*(1-Supuestos!$C$18)^10))</f>
        <v>0.0418417438501313</v>
      </c>
      <c r="N110" s="29" t="n">
        <f aca="false">M110*(1-MIN(1,INDEX(Tabla_Mortalidad!$B$5:$B$75,MIN(71,Cartera_Polizas!$B$112+11-49))*(1+(Cartera_Polizas!$P$112-1)*MAX(0,1-11/Supuestos!$C$20))*(1-Supuestos!$C$18)^11))</f>
        <v>0.0297426575449199</v>
      </c>
      <c r="O110" s="29" t="n">
        <f aca="false">N110*(1-MIN(1,INDEX(Tabla_Mortalidad!$B$5:$B$75,MIN(71,Cartera_Polizas!$B$112+12-49))*(1+(Cartera_Polizas!$P$112-1)*MAX(0,1-12/Supuestos!$C$20))*(1-Supuestos!$C$18)^12))</f>
        <v>0.0211971820409511</v>
      </c>
      <c r="P110" s="29" t="n">
        <f aca="false">O110*(1-MIN(1,INDEX(Tabla_Mortalidad!$B$5:$B$75,MIN(71,Cartera_Polizas!$B$112+13-49))*(1+(Cartera_Polizas!$P$112-1)*MAX(0,1-13/Supuestos!$C$20))*(1-Supuestos!$C$18)^13))</f>
        <v>0.0152201723575297</v>
      </c>
      <c r="Q110" s="29" t="n">
        <f aca="false">P110*(1-MIN(1,INDEX(Tabla_Mortalidad!$B$5:$B$75,MIN(71,Cartera_Polizas!$B$112+14-49))*(1+(Cartera_Polizas!$P$112-1)*MAX(0,1-14/Supuestos!$C$20))*(1-Supuestos!$C$18)^14))</f>
        <v>0.011071983922204</v>
      </c>
      <c r="R110" s="29" t="n">
        <f aca="false">Q110*(1-MIN(1,INDEX(Tabla_Mortalidad!$B$5:$B$75,MIN(71,Cartera_Polizas!$B$112+15-49))*(1+(Cartera_Polizas!$P$112-1)*MAX(0,1-15/Supuestos!$C$20))*(1-Supuestos!$C$18)^15))</f>
        <v>0.00821105175457218</v>
      </c>
      <c r="S110" s="29" t="n">
        <f aca="false">R110*(1-MIN(1,INDEX(Tabla_Mortalidad!$B$5:$B$75,MIN(71,Cartera_Polizas!$B$112+16-49))*(1+(Cartera_Polizas!$P$112-1)*MAX(0,1-16/Supuestos!$C$20))*(1-Supuestos!$C$18)^16))</f>
        <v>0.00589629496160977</v>
      </c>
      <c r="T110" s="29" t="n">
        <f aca="false">S110*(1-MIN(1,INDEX(Tabla_Mortalidad!$B$5:$B$75,MIN(71,Cartera_Polizas!$B$112+17-49))*(1+(Cartera_Polizas!$P$112-1)*MAX(0,1-17/Supuestos!$C$20))*(1-Supuestos!$C$18)^17))</f>
        <v>0.00408633497043903</v>
      </c>
      <c r="U110" s="29" t="n">
        <f aca="false">T110*(1-MIN(1,INDEX(Tabla_Mortalidad!$B$5:$B$75,MIN(71,Cartera_Polizas!$B$112+18-49))*(1+(Cartera_Polizas!$P$112-1)*MAX(0,1-18/Supuestos!$C$20))*(1-Supuestos!$C$18)^18))</f>
        <v>0.00272338361568658</v>
      </c>
      <c r="V110" s="29" t="n">
        <f aca="false">U110*(1-MIN(1,INDEX(Tabla_Mortalidad!$B$5:$B$75,MIN(71,Cartera_Polizas!$B$112+19-49))*(1+(Cartera_Polizas!$P$112-1)*MAX(0,1-19/Supuestos!$C$20))*(1-Supuestos!$C$18)^19))</f>
        <v>0.00173869824574967</v>
      </c>
      <c r="W110" s="29" t="n">
        <f aca="false">V110*(1-MIN(1,INDEX(Tabla_Mortalidad!$B$5:$B$75,MIN(71,Cartera_Polizas!$B$112+20-49))*(1+(Cartera_Polizas!$P$112-1)*MAX(0,1-20/Supuestos!$C$20))*(1-Supuestos!$C$18)^20))</f>
        <v>0.00105895253406978</v>
      </c>
      <c r="X110" s="29" t="n">
        <f aca="false">W110*(1-MIN(1,INDEX(Tabla_Mortalidad!$B$5:$B$75,MIN(71,Cartera_Polizas!$B$112+21-49))*(1+(Cartera_Polizas!$P$112-1)*MAX(0,1-21/Supuestos!$C$20))*(1-Supuestos!$C$18)^21))</f>
        <v>0.000612554327405309</v>
      </c>
      <c r="Y110" s="29" t="n">
        <f aca="false">X110*(1-MIN(1,INDEX(Tabla_Mortalidad!$B$5:$B$75,MIN(71,Cartera_Polizas!$B$112+22-49))*(1+(Cartera_Polizas!$P$112-1)*MAX(0,1-22/Supuestos!$C$20))*(1-Supuestos!$C$18)^22))</f>
        <v>0.000334967652892323</v>
      </c>
      <c r="Z110" s="29" t="n">
        <f aca="false">Y110*(1-MIN(1,INDEX(Tabla_Mortalidad!$B$5:$B$75,MIN(71,Cartera_Polizas!$B$112+23-49))*(1+(Cartera_Polizas!$P$112-1)*MAX(0,1-23/Supuestos!$C$20))*(1-Supuestos!$C$18)^23))</f>
        <v>0.000172322856225671</v>
      </c>
      <c r="AA110" s="29" t="n">
        <f aca="false">Z110*(1-MIN(1,INDEX(Tabla_Mortalidad!$B$5:$B$75,MIN(71,Cartera_Polizas!$B$112+24-49))*(1+(Cartera_Polizas!$P$112-1)*MAX(0,1-24/Supuestos!$C$20))*(1-Supuestos!$C$18)^24))</f>
        <v>8.2986765321876E-005</v>
      </c>
      <c r="AB110" s="29" t="n">
        <f aca="false">AA110*(1-MIN(1,INDEX(Tabla_Mortalidad!$B$5:$B$75,MIN(71,Cartera_Polizas!$B$112+25-49))*(1+(Cartera_Polizas!$P$112-1)*MAX(0,1-25/Supuestos!$C$20))*(1-Supuestos!$C$18)^25))</f>
        <v>3.72262520032471E-005</v>
      </c>
      <c r="AC110" s="29" t="n">
        <f aca="false">AB110*(1-MIN(1,INDEX(Tabla_Mortalidad!$B$5:$B$75,MIN(71,Cartera_Polizas!$B$112+26-49))*(1+(Cartera_Polizas!$P$112-1)*MAX(0,1-26/Supuestos!$C$20))*(1-Supuestos!$C$18)^26))</f>
        <v>1.54808167471519E-005</v>
      </c>
      <c r="AD110" s="29" t="n">
        <f aca="false">AC110*(1-MIN(1,INDEX(Tabla_Mortalidad!$B$5:$B$75,MIN(71,Cartera_Polizas!$B$112+27-49))*(1+(Cartera_Polizas!$P$112-1)*MAX(0,1-27/Supuestos!$C$20))*(1-Supuestos!$C$18)^27))</f>
        <v>5.94224638460606E-006</v>
      </c>
      <c r="AE110" s="29" t="n">
        <f aca="false">AD110*(1-MIN(1,INDEX(Tabla_Mortalidad!$B$5:$B$75,MIN(71,Cartera_Polizas!$B$112+28-49))*(1+(Cartera_Polizas!$P$112-1)*MAX(0,1-28/Supuestos!$C$20))*(1-Supuestos!$C$18)^28))</f>
        <v>2.09768292078862E-006</v>
      </c>
      <c r="AF110" s="29" t="n">
        <f aca="false">AE110*(1-MIN(1,INDEX(Tabla_Mortalidad!$B$5:$B$75,MIN(71,Cartera_Polizas!$B$112+29-49))*(1+(Cartera_Polizas!$P$112-1)*MAX(0,1-29/Supuestos!$C$20))*(1-Supuestos!$C$18)^29))</f>
        <v>6.79295625502474E-007</v>
      </c>
      <c r="AG110" s="29" t="n">
        <f aca="false">AF110*(1-MIN(1,INDEX(Tabla_Mortalidad!$B$5:$B$75,MIN(71,Cartera_Polizas!$B$112+30-49))*(1+(Cartera_Polizas!$P$112-1)*MAX(0,1-30/Supuestos!$C$20))*(1-Supuestos!$C$18)^30))</f>
        <v>2.01590568762787E-007</v>
      </c>
      <c r="AH110" s="29" t="n">
        <f aca="false">AG110*(1-MIN(1,INDEX(Tabla_Mortalidad!$B$5:$B$75,MIN(71,Cartera_Polizas!$B$112+31-49))*(1+(Cartera_Polizas!$P$112-1)*MAX(0,1-31/Supuestos!$C$20))*(1-Supuestos!$C$18)^31))</f>
        <v>5.48793271567731E-008</v>
      </c>
      <c r="AI110" s="29" t="n">
        <f aca="false">AH110*(1-MIN(1,INDEX(Tabla_Mortalidad!$B$5:$B$75,MIN(71,Cartera_Polizas!$B$112+32-49))*(1+(Cartera_Polizas!$P$112-1)*MAX(0,1-32/Supuestos!$C$20))*(1-Supuestos!$C$18)^32))</f>
        <v>1.37521080299454E-008</v>
      </c>
      <c r="AJ110" s="29" t="n">
        <f aca="false">AI110*(1-MIN(1,INDEX(Tabla_Mortalidad!$B$5:$B$75,MIN(71,Cartera_Polizas!$B$112+33-49))*(1+(Cartera_Polizas!$P$112-1)*MAX(0,1-33/Supuestos!$C$20))*(1-Supuestos!$C$18)^33))</f>
        <v>3.19173474025692E-009</v>
      </c>
      <c r="AK110" s="29" t="n">
        <f aca="false">AJ110*(1-MIN(1,INDEX(Tabla_Mortalidad!$B$5:$B$75,MIN(71,Cartera_Polizas!$B$112+34-49))*(1+(Cartera_Polizas!$P$112-1)*MAX(0,1-34/Supuestos!$C$20))*(1-Supuestos!$C$18)^34))</f>
        <v>6.92225690866162E-010</v>
      </c>
      <c r="AL110" s="29" t="n">
        <f aca="false">AK110*(1-MIN(1,INDEX(Tabla_Mortalidad!$B$5:$B$75,MIN(71,Cartera_Polizas!$B$112+35-49))*(1+(Cartera_Polizas!$P$112-1)*MAX(0,1-35/Supuestos!$C$20))*(1-Supuestos!$C$18)^35))</f>
        <v>1.41883352592346E-010</v>
      </c>
      <c r="AM110" s="29" t="n">
        <f aca="false">AL110*(1-MIN(1,INDEX(Tabla_Mortalidad!$B$5:$B$75,MIN(71,Cartera_Polizas!$B$112+36-49))*(1+(Cartera_Polizas!$P$112-1)*MAX(0,1-36/Supuestos!$C$20))*(1-Supuestos!$C$18)^36))</f>
        <v>2.34259109567227E-011</v>
      </c>
      <c r="AN110" s="29" t="n">
        <f aca="false">AM110*(1-MIN(1,INDEX(Tabla_Mortalidad!$B$5:$B$75,MIN(71,Cartera_Polizas!$B$112+37-49))*(1+(Cartera_Polizas!$P$112-1)*MAX(0,1-37/Supuestos!$C$20))*(1-Supuestos!$C$18)^37))</f>
        <v>3.96556862571795E-012</v>
      </c>
      <c r="AO110" s="29" t="n">
        <f aca="false">AN110*(1-MIN(1,INDEX(Tabla_Mortalidad!$B$5:$B$75,MIN(71,Cartera_Polizas!$B$112+38-49))*(1+(Cartera_Polizas!$P$112-1)*MAX(0,1-38/Supuestos!$C$20))*(1-Supuestos!$C$18)^38))</f>
        <v>6.87767966420222E-013</v>
      </c>
      <c r="AP110" s="29" t="n">
        <f aca="false">AO110*(1-MIN(1,INDEX(Tabla_Mortalidad!$B$5:$B$75,MIN(71,Cartera_Polizas!$B$112+39-49))*(1+(Cartera_Polizas!$P$112-1)*MAX(0,1-39/Supuestos!$C$20))*(1-Supuestos!$C$18)^39))</f>
        <v>1.22125388011665E-013</v>
      </c>
      <c r="AQ110" s="29" t="n">
        <f aca="false">AP110*(1-MIN(1,INDEX(Tabla_Mortalidad!$B$5:$B$75,MIN(71,Cartera_Polizas!$B$112+40-49))*(1+(Cartera_Polizas!$P$112-1)*MAX(0,1-40/Supuestos!$C$20))*(1-Supuestos!$C$18)^40))</f>
        <v>2.21877257140182E-014</v>
      </c>
      <c r="AR110" s="29" t="n">
        <f aca="false">AQ110*(1-MIN(1,INDEX(Tabla_Mortalidad!$B$5:$B$75,MIN(71,Cartera_Polizas!$B$112+41-49))*(1+(Cartera_Polizas!$P$112-1)*MAX(0,1-41/Supuestos!$C$20))*(1-Supuestos!$C$18)^41))</f>
        <v>4.12184663446249E-015</v>
      </c>
      <c r="AS110" s="29" t="n">
        <f aca="false">AR110*(1-MIN(1,INDEX(Tabla_Mortalidad!$B$5:$B$75,MIN(71,Cartera_Polizas!$B$112+42-49))*(1+(Cartera_Polizas!$P$112-1)*MAX(0,1-42/Supuestos!$C$20))*(1-Supuestos!$C$18)^42))</f>
        <v>7.82502173328826E-016</v>
      </c>
      <c r="AT110" s="29" t="n">
        <f aca="false">AS110*(1-MIN(1,INDEX(Tabla_Mortalidad!$B$5:$B$75,MIN(71,Cartera_Polizas!$B$112+43-49))*(1+(Cartera_Polizas!$P$112-1)*MAX(0,1-43/Supuestos!$C$20))*(1-Supuestos!$C$18)^43))</f>
        <v>1.5172201399423E-016</v>
      </c>
      <c r="AU110" s="29" t="n">
        <f aca="false">AT110*(1-MIN(1,INDEX(Tabla_Mortalidad!$B$5:$B$75,MIN(71,Cartera_Polizas!$B$112+44-49))*(1+(Cartera_Polizas!$P$112-1)*MAX(0,1-44/Supuestos!$C$20))*(1-Supuestos!$C$18)^44))</f>
        <v>3.00294191022013E-017</v>
      </c>
    </row>
    <row r="111" customFormat="false" ht="15" hidden="false" customHeight="false" outlineLevel="0" collapsed="false">
      <c r="A111" s="14" t="n">
        <f aca="false">Cartera_Polizas!A113</f>
        <v>108</v>
      </c>
      <c r="B111" s="26" t="n">
        <f aca="false">SUM(C111:AU111)+0.5</f>
        <v>3.81716177753433</v>
      </c>
      <c r="C111" s="29" t="n">
        <f aca="false">1-MIN(1,INDEX(Tabla_Mortalidad!$B$5:$B$75,MIN(71,Cartera_Polizas!$B$113+0-49))*(1+(Cartera_Polizas!$P$113-1)*MAX(0,1-0/Supuestos!$C$20))*(1-Supuestos!$C$18)^0)</f>
        <v>0.79988624</v>
      </c>
      <c r="D111" s="29" t="n">
        <f aca="false">C111*(1-MIN(1,INDEX(Tabla_Mortalidad!$B$5:$B$75,MIN(71,Cartera_Polizas!$B$113+1-49))*(1+(Cartera_Polizas!$P$113-1)*MAX(0,1-1/Supuestos!$C$20))*(1-Supuestos!$C$18)^1))</f>
        <v>0.63062750737482</v>
      </c>
      <c r="E111" s="29" t="n">
        <f aca="false">D111*(1-MIN(1,INDEX(Tabla_Mortalidad!$B$5:$B$75,MIN(71,Cartera_Polizas!$B$113+2-49))*(1+(Cartera_Polizas!$P$113-1)*MAX(0,1-2/Supuestos!$C$20))*(1-Supuestos!$C$18)^2))</f>
        <v>0.489891379251452</v>
      </c>
      <c r="F111" s="29" t="n">
        <f aca="false">E111*(1-MIN(1,INDEX(Tabla_Mortalidad!$B$5:$B$75,MIN(71,Cartera_Polizas!$B$113+3-49))*(1+(Cartera_Polizas!$P$113-1)*MAX(0,1-3/Supuestos!$C$20))*(1-Supuestos!$C$18)^3))</f>
        <v>0.374914884313282</v>
      </c>
      <c r="G111" s="29" t="n">
        <f aca="false">F111*(1-MIN(1,INDEX(Tabla_Mortalidad!$B$5:$B$75,MIN(71,Cartera_Polizas!$B$113+4-49))*(1+(Cartera_Polizas!$P$113-1)*MAX(0,1-4/Supuestos!$C$20))*(1-Supuestos!$C$18)^4))</f>
        <v>0.282670654637739</v>
      </c>
      <c r="H111" s="29" t="n">
        <f aca="false">G111*(1-MIN(1,INDEX(Tabla_Mortalidad!$B$5:$B$75,MIN(71,Cartera_Polizas!$B$113+5-49))*(1+(Cartera_Polizas!$P$113-1)*MAX(0,1-5/Supuestos!$C$20))*(1-Supuestos!$C$18)^5))</f>
        <v>0.210016578635761</v>
      </c>
      <c r="I111" s="29" t="n">
        <f aca="false">H111*(1-MIN(1,INDEX(Tabla_Mortalidad!$B$5:$B$75,MIN(71,Cartera_Polizas!$B$113+6-49))*(1+(Cartera_Polizas!$P$113-1)*MAX(0,1-6/Supuestos!$C$20))*(1-Supuestos!$C$18)^6))</f>
        <v>0.153846613617805</v>
      </c>
      <c r="J111" s="29" t="n">
        <f aca="false">I111*(1-MIN(1,INDEX(Tabla_Mortalidad!$B$5:$B$75,MIN(71,Cartera_Polizas!$B$113+7-49))*(1+(Cartera_Polizas!$P$113-1)*MAX(0,1-7/Supuestos!$C$20))*(1-Supuestos!$C$18)^7))</f>
        <v>0.111217900006796</v>
      </c>
      <c r="K111" s="29" t="n">
        <f aca="false">J111*(1-MIN(1,INDEX(Tabla_Mortalidad!$B$5:$B$75,MIN(71,Cartera_Polizas!$B$113+8-49))*(1+(Cartera_Polizas!$P$113-1)*MAX(0,1-8/Supuestos!$C$20))*(1-Supuestos!$C$18)^8))</f>
        <v>0.0794492471057536</v>
      </c>
      <c r="L111" s="29" t="n">
        <f aca="false">K111*(1-MIN(1,INDEX(Tabla_Mortalidad!$B$5:$B$75,MIN(71,Cartera_Polizas!$B$113+9-49))*(1+(Cartera_Polizas!$P$113-1)*MAX(0,1-9/Supuestos!$C$20))*(1-Supuestos!$C$18)^9))</f>
        <v>0.0561857337355918</v>
      </c>
      <c r="M111" s="29" t="n">
        <f aca="false">L111*(1-MIN(1,INDEX(Tabla_Mortalidad!$B$5:$B$75,MIN(71,Cartera_Polizas!$B$113+10-49))*(1+(Cartera_Polizas!$P$113-1)*MAX(0,1-10/Supuestos!$C$20))*(1-Supuestos!$C$18)^10))</f>
        <v>0.0394295654686251</v>
      </c>
      <c r="N111" s="29" t="n">
        <f aca="false">M111*(1-MIN(1,INDEX(Tabla_Mortalidad!$B$5:$B$75,MIN(71,Cartera_Polizas!$B$113+11-49))*(1+(Cartera_Polizas!$P$113-1)*MAX(0,1-11/Supuestos!$C$20))*(1-Supuestos!$C$18)^11))</f>
        <v>0.0275418487428061</v>
      </c>
      <c r="O111" s="29" t="n">
        <f aca="false">N111*(1-MIN(1,INDEX(Tabla_Mortalidad!$B$5:$B$75,MIN(71,Cartera_Polizas!$B$113+12-49))*(1+(Cartera_Polizas!$P$113-1)*MAX(0,1-12/Supuestos!$C$20))*(1-Supuestos!$C$18)^12))</f>
        <v>0.0192200727726633</v>
      </c>
      <c r="P111" s="29" t="n">
        <f aca="false">O111*(1-MIN(1,INDEX(Tabla_Mortalidad!$B$5:$B$75,MIN(71,Cartera_Polizas!$B$113+13-49))*(1+(Cartera_Polizas!$P$113-1)*MAX(0,1-13/Supuestos!$C$20))*(1-Supuestos!$C$18)^13))</f>
        <v>0.0134596675310268</v>
      </c>
      <c r="Q111" s="29" t="n">
        <f aca="false">P111*(1-MIN(1,INDEX(Tabla_Mortalidad!$B$5:$B$75,MIN(71,Cartera_Polizas!$B$113+14-49))*(1+(Cartera_Polizas!$P$113-1)*MAX(0,1-14/Supuestos!$C$20))*(1-Supuestos!$C$18)^14))</f>
        <v>0.00950756725843552</v>
      </c>
      <c r="R111" s="29" t="n">
        <f aca="false">Q111*(1-MIN(1,INDEX(Tabla_Mortalidad!$B$5:$B$75,MIN(71,Cartera_Polizas!$B$113+15-49))*(1+(Cartera_Polizas!$P$113-1)*MAX(0,1-15/Supuestos!$C$20))*(1-Supuestos!$C$18)^15))</f>
        <v>0.00681384445117042</v>
      </c>
      <c r="S111" s="29" t="n">
        <f aca="false">R111*(1-MIN(1,INDEX(Tabla_Mortalidad!$B$5:$B$75,MIN(71,Cartera_Polizas!$B$113+16-49))*(1+(Cartera_Polizas!$P$113-1)*MAX(0,1-16/Supuestos!$C$20))*(1-Supuestos!$C$18)^16))</f>
        <v>0.00471171765432854</v>
      </c>
      <c r="T111" s="29" t="n">
        <f aca="false">S111*(1-MIN(1,INDEX(Tabla_Mortalidad!$B$5:$B$75,MIN(71,Cartera_Polizas!$B$113+17-49))*(1+(Cartera_Polizas!$P$113-1)*MAX(0,1-17/Supuestos!$C$20))*(1-Supuestos!$C$18)^17))</f>
        <v>0.00313227970578007</v>
      </c>
      <c r="U111" s="29" t="n">
        <f aca="false">T111*(1-MIN(1,INDEX(Tabla_Mortalidad!$B$5:$B$75,MIN(71,Cartera_Polizas!$B$113+18-49))*(1+(Cartera_Polizas!$P$113-1)*MAX(0,1-18/Supuestos!$C$20))*(1-Supuestos!$C$18)^18))</f>
        <v>0.00199405994554966</v>
      </c>
      <c r="V111" s="29" t="n">
        <f aca="false">U111*(1-MIN(1,INDEX(Tabla_Mortalidad!$B$5:$B$75,MIN(71,Cartera_Polizas!$B$113+19-49))*(1+(Cartera_Polizas!$P$113-1)*MAX(0,1-19/Supuestos!$C$20))*(1-Supuestos!$C$18)^19))</f>
        <v>0.0012105628521007</v>
      </c>
      <c r="W111" s="29" t="n">
        <f aca="false">V111*(1-MIN(1,INDEX(Tabla_Mortalidad!$B$5:$B$75,MIN(71,Cartera_Polizas!$B$113+20-49))*(1+(Cartera_Polizas!$P$113-1)*MAX(0,1-20/Supuestos!$C$20))*(1-Supuestos!$C$18)^20))</f>
        <v>0.000697689411690681</v>
      </c>
      <c r="X111" s="29" t="n">
        <f aca="false">W111*(1-MIN(1,INDEX(Tabla_Mortalidad!$B$5:$B$75,MIN(71,Cartera_Polizas!$B$113+21-49))*(1+(Cartera_Polizas!$P$113-1)*MAX(0,1-21/Supuestos!$C$20))*(1-Supuestos!$C$18)^21))</f>
        <v>0.000379933928778351</v>
      </c>
      <c r="Y111" s="29" t="n">
        <f aca="false">X111*(1-MIN(1,INDEX(Tabla_Mortalidad!$B$5:$B$75,MIN(71,Cartera_Polizas!$B$113+22-49))*(1+(Cartera_Polizas!$P$113-1)*MAX(0,1-22/Supuestos!$C$20))*(1-Supuestos!$C$18)^22))</f>
        <v>0.000194528561843233</v>
      </c>
      <c r="Z111" s="29" t="n">
        <f aca="false">Y111*(1-MIN(1,INDEX(Tabla_Mortalidad!$B$5:$B$75,MIN(71,Cartera_Polizas!$B$113+23-49))*(1+(Cartera_Polizas!$P$113-1)*MAX(0,1-23/Supuestos!$C$20))*(1-Supuestos!$C$18)^23))</f>
        <v>9.31737536829579E-005</v>
      </c>
      <c r="AA111" s="29" t="n">
        <f aca="false">Z111*(1-MIN(1,INDEX(Tabla_Mortalidad!$B$5:$B$75,MIN(71,Cartera_Polizas!$B$113+24-49))*(1+(Cartera_Polizas!$P$113-1)*MAX(0,1-24/Supuestos!$C$20))*(1-Supuestos!$C$18)^24))</f>
        <v>4.15377572523827E-005</v>
      </c>
      <c r="AB111" s="29" t="n">
        <f aca="false">AA111*(1-MIN(1,INDEX(Tabla_Mortalidad!$B$5:$B$75,MIN(71,Cartera_Polizas!$B$113+25-49))*(1+(Cartera_Polizas!$P$113-1)*MAX(0,1-25/Supuestos!$C$20))*(1-Supuestos!$C$18)^25))</f>
        <v>1.71518591264929E-005</v>
      </c>
      <c r="AC111" s="29" t="n">
        <f aca="false">AB111*(1-MIN(1,INDEX(Tabla_Mortalidad!$B$5:$B$75,MIN(71,Cartera_Polizas!$B$113+26-49))*(1+(Cartera_Polizas!$P$113-1)*MAX(0,1-26/Supuestos!$C$20))*(1-Supuestos!$C$18)^26))</f>
        <v>6.53056248908639E-006</v>
      </c>
      <c r="AD111" s="29" t="n">
        <f aca="false">AC111*(1-MIN(1,INDEX(Tabla_Mortalidad!$B$5:$B$75,MIN(71,Cartera_Polizas!$B$113+27-49))*(1+(Cartera_Polizas!$P$113-1)*MAX(0,1-27/Supuestos!$C$20))*(1-Supuestos!$C$18)^27))</f>
        <v>2.28413328480083E-006</v>
      </c>
      <c r="AE111" s="29" t="n">
        <f aca="false">AD111*(1-MIN(1,INDEX(Tabla_Mortalidad!$B$5:$B$75,MIN(71,Cartera_Polizas!$B$113+28-49))*(1+(Cartera_Polizas!$P$113-1)*MAX(0,1-28/Supuestos!$C$20))*(1-Supuestos!$C$18)^28))</f>
        <v>7.31913009066235E-007</v>
      </c>
      <c r="AF111" s="29" t="n">
        <f aca="false">AE111*(1-MIN(1,INDEX(Tabla_Mortalidad!$B$5:$B$75,MIN(71,Cartera_Polizas!$B$113+29-49))*(1+(Cartera_Polizas!$P$113-1)*MAX(0,1-29/Supuestos!$C$20))*(1-Supuestos!$C$18)^29))</f>
        <v>2.14619050518695E-007</v>
      </c>
      <c r="AG111" s="29" t="n">
        <f aca="false">AF111*(1-MIN(1,INDEX(Tabla_Mortalidad!$B$5:$B$75,MIN(71,Cartera_Polizas!$B$113+30-49))*(1+(Cartera_Polizas!$P$113-1)*MAX(0,1-30/Supuestos!$C$20))*(1-Supuestos!$C$18)^30))</f>
        <v>5.76412026147621E-008</v>
      </c>
      <c r="AH111" s="29" t="n">
        <f aca="false">AG111*(1-MIN(1,INDEX(Tabla_Mortalidad!$B$5:$B$75,MIN(71,Cartera_Polizas!$B$113+31-49))*(1+(Cartera_Polizas!$P$113-1)*MAX(0,1-31/Supuestos!$C$20))*(1-Supuestos!$C$18)^31))</f>
        <v>1.42271308807093E-008</v>
      </c>
      <c r="AI111" s="29" t="n">
        <f aca="false">AH111*(1-MIN(1,INDEX(Tabla_Mortalidad!$B$5:$B$75,MIN(71,Cartera_Polizas!$B$113+32-49))*(1+(Cartera_Polizas!$P$113-1)*MAX(0,1-32/Supuestos!$C$20))*(1-Supuestos!$C$18)^32))</f>
        <v>3.24708282933966E-009</v>
      </c>
      <c r="AJ111" s="29" t="n">
        <f aca="false">AI111*(1-MIN(1,INDEX(Tabla_Mortalidad!$B$5:$B$75,MIN(71,Cartera_Polizas!$B$113+33-49))*(1+(Cartera_Polizas!$P$113-1)*MAX(0,1-33/Supuestos!$C$20))*(1-Supuestos!$C$18)^33))</f>
        <v>6.91451466811523E-010</v>
      </c>
      <c r="AK111" s="29" t="n">
        <f aca="false">AJ111*(1-MIN(1,INDEX(Tabla_Mortalidad!$B$5:$B$75,MIN(71,Cartera_Polizas!$B$113+34-49))*(1+(Cartera_Polizas!$P$113-1)*MAX(0,1-34/Supuestos!$C$20))*(1-Supuestos!$C$18)^34))</f>
        <v>1.38962216035608E-010</v>
      </c>
      <c r="AL111" s="29" t="n">
        <f aca="false">AK111*(1-MIN(1,INDEX(Tabla_Mortalidad!$B$5:$B$75,MIN(71,Cartera_Polizas!$B$113+35-49))*(1+(Cartera_Polizas!$P$113-1)*MAX(0,1-35/Supuestos!$C$20))*(1-Supuestos!$C$18)^35))</f>
        <v>2.23606032882735E-011</v>
      </c>
      <c r="AM111" s="29" t="n">
        <f aca="false">AL111*(1-MIN(1,INDEX(Tabla_Mortalidad!$B$5:$B$75,MIN(71,Cartera_Polizas!$B$113+36-49))*(1+(Cartera_Polizas!$P$113-1)*MAX(0,1-36/Supuestos!$C$20))*(1-Supuestos!$C$18)^36))</f>
        <v>3.69188838576931E-012</v>
      </c>
      <c r="AN111" s="29" t="n">
        <f aca="false">AM111*(1-MIN(1,INDEX(Tabla_Mortalidad!$B$5:$B$75,MIN(71,Cartera_Polizas!$B$113+37-49))*(1+(Cartera_Polizas!$P$113-1)*MAX(0,1-37/Supuestos!$C$20))*(1-Supuestos!$C$18)^37))</f>
        <v>6.24967659926062E-013</v>
      </c>
      <c r="AO111" s="29" t="n">
        <f aca="false">AN111*(1-MIN(1,INDEX(Tabla_Mortalidad!$B$5:$B$75,MIN(71,Cartera_Polizas!$B$113+38-49))*(1+(Cartera_Polizas!$P$113-1)*MAX(0,1-38/Supuestos!$C$20))*(1-Supuestos!$C$18)^38))</f>
        <v>1.08391198618567E-013</v>
      </c>
      <c r="AP111" s="29" t="n">
        <f aca="false">AO111*(1-MIN(1,INDEX(Tabla_Mortalidad!$B$5:$B$75,MIN(71,Cartera_Polizas!$B$113+39-49))*(1+(Cartera_Polizas!$P$113-1)*MAX(0,1-39/Supuestos!$C$20))*(1-Supuestos!$C$18)^39))</f>
        <v>1.924677774285E-014</v>
      </c>
      <c r="AQ111" s="29" t="n">
        <f aca="false">AP111*(1-MIN(1,INDEX(Tabla_Mortalidad!$B$5:$B$75,MIN(71,Cartera_Polizas!$B$113+40-49))*(1+(Cartera_Polizas!$P$113-1)*MAX(0,1-40/Supuestos!$C$20))*(1-Supuestos!$C$18)^40))</f>
        <v>3.49675225102447E-015</v>
      </c>
      <c r="AR111" s="29" t="n">
        <f aca="false">AQ111*(1-MIN(1,INDEX(Tabla_Mortalidad!$B$5:$B$75,MIN(71,Cartera_Polizas!$B$113+41-49))*(1+(Cartera_Polizas!$P$113-1)*MAX(0,1-41/Supuestos!$C$20))*(1-Supuestos!$C$18)^41))</f>
        <v>6.49596839406041E-016</v>
      </c>
      <c r="AS111" s="29" t="n">
        <f aca="false">AR111*(1-MIN(1,INDEX(Tabla_Mortalidad!$B$5:$B$75,MIN(71,Cartera_Polizas!$B$113+42-49))*(1+(Cartera_Polizas!$P$113-1)*MAX(0,1-42/Supuestos!$C$20))*(1-Supuestos!$C$18)^42))</f>
        <v>1.23321167355624E-016</v>
      </c>
      <c r="AT111" s="29" t="n">
        <f aca="false">AS111*(1-MIN(1,INDEX(Tabla_Mortalidad!$B$5:$B$75,MIN(71,Cartera_Polizas!$B$113+43-49))*(1+(Cartera_Polizas!$P$113-1)*MAX(0,1-43/Supuestos!$C$20))*(1-Supuestos!$C$18)^43))</f>
        <v>2.39111615495184E-017</v>
      </c>
      <c r="AU111" s="29" t="n">
        <f aca="false">AT111*(1-MIN(1,INDEX(Tabla_Mortalidad!$B$5:$B$75,MIN(71,Cartera_Polizas!$B$113+44-49))*(1+(Cartera_Polizas!$P$113-1)*MAX(0,1-44/Supuestos!$C$20))*(1-Supuestos!$C$18)^44))</f>
        <v>4.73259135235467E-018</v>
      </c>
    </row>
    <row r="112" customFormat="false" ht="15" hidden="false" customHeight="false" outlineLevel="0" collapsed="false">
      <c r="A112" s="14" t="n">
        <f aca="false">Cartera_Polizas!A114</f>
        <v>109</v>
      </c>
      <c r="B112" s="26" t="n">
        <f aca="false">SUM(C112:AU112)+0.5</f>
        <v>6.79175411769791</v>
      </c>
      <c r="C112" s="29" t="n">
        <f aca="false">1-MIN(1,INDEX(Tabla_Mortalidad!$B$5:$B$75,MIN(71,Cartera_Polizas!$B$114+0-49))*(1+(Cartera_Polizas!$P$114-1)*MAX(0,1-0/Supuestos!$C$20))*(1-Supuestos!$C$18)^0)</f>
        <v>0.9025536455</v>
      </c>
      <c r="D112" s="29" t="n">
        <f aca="false">C112*(1-MIN(1,INDEX(Tabla_Mortalidad!$B$5:$B$75,MIN(71,Cartera_Polizas!$B$114+1-49))*(1+(Cartera_Polizas!$P$114-1)*MAX(0,1-1/Supuestos!$C$20))*(1-Supuestos!$C$18)^1))</f>
        <v>0.808371757211616</v>
      </c>
      <c r="E112" s="29" t="n">
        <f aca="false">D112*(1-MIN(1,INDEX(Tabla_Mortalidad!$B$5:$B$75,MIN(71,Cartera_Polizas!$B$114+2-49))*(1+(Cartera_Polizas!$P$114-1)*MAX(0,1-2/Supuestos!$C$20))*(1-Supuestos!$C$18)^2))</f>
        <v>0.718178810007204</v>
      </c>
      <c r="F112" s="29" t="n">
        <f aca="false">E112*(1-MIN(1,INDEX(Tabla_Mortalidad!$B$5:$B$75,MIN(71,Cartera_Polizas!$B$114+3-49))*(1+(Cartera_Polizas!$P$114-1)*MAX(0,1-3/Supuestos!$C$20))*(1-Supuestos!$C$18)^3))</f>
        <v>0.632642259621862</v>
      </c>
      <c r="G112" s="29" t="n">
        <f aca="false">F112*(1-MIN(1,INDEX(Tabla_Mortalidad!$B$5:$B$75,MIN(71,Cartera_Polizas!$B$114+4-49))*(1+(Cartera_Polizas!$P$114-1)*MAX(0,1-4/Supuestos!$C$20))*(1-Supuestos!$C$18)^4))</f>
        <v>0.552349601193049</v>
      </c>
      <c r="H112" s="29" t="n">
        <f aca="false">G112*(1-MIN(1,INDEX(Tabla_Mortalidad!$B$5:$B$75,MIN(71,Cartera_Polizas!$B$114+5-49))*(1+(Cartera_Polizas!$P$114-1)*MAX(0,1-5/Supuestos!$C$20))*(1-Supuestos!$C$18)^5))</f>
        <v>0.47779246139279</v>
      </c>
      <c r="I112" s="29" t="n">
        <f aca="false">H112*(1-MIN(1,INDEX(Tabla_Mortalidad!$B$5:$B$75,MIN(71,Cartera_Polizas!$B$114+6-49))*(1+(Cartera_Polizas!$P$114-1)*MAX(0,1-6/Supuestos!$C$20))*(1-Supuestos!$C$18)^6))</f>
        <v>0.409342241646145</v>
      </c>
      <c r="J112" s="29" t="n">
        <f aca="false">I112*(1-MIN(1,INDEX(Tabla_Mortalidad!$B$5:$B$75,MIN(71,Cartera_Polizas!$B$114+7-49))*(1+(Cartera_Polizas!$P$114-1)*MAX(0,1-7/Supuestos!$C$20))*(1-Supuestos!$C$18)^7))</f>
        <v>0.347242744457242</v>
      </c>
      <c r="K112" s="29" t="n">
        <f aca="false">J112*(1-MIN(1,INDEX(Tabla_Mortalidad!$B$5:$B$75,MIN(71,Cartera_Polizas!$B$114+8-49))*(1+(Cartera_Polizas!$P$114-1)*MAX(0,1-8/Supuestos!$C$20))*(1-Supuestos!$C$18)^8))</f>
        <v>0.291598538385578</v>
      </c>
      <c r="L112" s="29" t="n">
        <f aca="false">K112*(1-MIN(1,INDEX(Tabla_Mortalidad!$B$5:$B$75,MIN(71,Cartera_Polizas!$B$114+9-49))*(1+(Cartera_Polizas!$P$114-1)*MAX(0,1-9/Supuestos!$C$20))*(1-Supuestos!$C$18)^9))</f>
        <v>0.242375168046892</v>
      </c>
      <c r="M112" s="29" t="n">
        <f aca="false">L112*(1-MIN(1,INDEX(Tabla_Mortalidad!$B$5:$B$75,MIN(71,Cartera_Polizas!$B$114+10-49))*(1+(Cartera_Polizas!$P$114-1)*MAX(0,1-10/Supuestos!$C$20))*(1-Supuestos!$C$18)^10))</f>
        <v>0.199404795988849</v>
      </c>
      <c r="N112" s="29" t="n">
        <f aca="false">M112*(1-MIN(1,INDEX(Tabla_Mortalidad!$B$5:$B$75,MIN(71,Cartera_Polizas!$B$114+11-49))*(1+(Cartera_Polizas!$P$114-1)*MAX(0,1-11/Supuestos!$C$20))*(1-Supuestos!$C$18)^11))</f>
        <v>0.162398949102147</v>
      </c>
      <c r="O112" s="29" t="n">
        <f aca="false">N112*(1-MIN(1,INDEX(Tabla_Mortalidad!$B$5:$B$75,MIN(71,Cartera_Polizas!$B$114+12-49))*(1+(Cartera_Polizas!$P$114-1)*MAX(0,1-12/Supuestos!$C$20))*(1-Supuestos!$C$18)^12))</f>
        <v>0.130966837617246</v>
      </c>
      <c r="P112" s="29" t="n">
        <f aca="false">O112*(1-MIN(1,INDEX(Tabla_Mortalidad!$B$5:$B$75,MIN(71,Cartera_Polizas!$B$114+13-49))*(1+(Cartera_Polizas!$P$114-1)*MAX(0,1-13/Supuestos!$C$20))*(1-Supuestos!$C$18)^13))</f>
        <v>0.104637799572916</v>
      </c>
      <c r="Q112" s="29" t="n">
        <f aca="false">P112*(1-MIN(1,INDEX(Tabla_Mortalidad!$B$5:$B$75,MIN(71,Cartera_Polizas!$B$114+14-49))*(1+(Cartera_Polizas!$P$114-1)*MAX(0,1-14/Supuestos!$C$20))*(1-Supuestos!$C$18)^14))</f>
        <v>0.0828875410922015</v>
      </c>
      <c r="R112" s="29" t="n">
        <f aca="false">Q112*(1-MIN(1,INDEX(Tabla_Mortalidad!$B$5:$B$75,MIN(71,Cartera_Polizas!$B$114+15-49))*(1+(Cartera_Polizas!$P$114-1)*MAX(0,1-15/Supuestos!$C$20))*(1-Supuestos!$C$18)^15))</f>
        <v>0.0651643388080633</v>
      </c>
      <c r="S112" s="29" t="n">
        <f aca="false">R112*(1-MIN(1,INDEX(Tabla_Mortalidad!$B$5:$B$75,MIN(71,Cartera_Polizas!$B$114+16-49))*(1+(Cartera_Polizas!$P$114-1)*MAX(0,1-16/Supuestos!$C$20))*(1-Supuestos!$C$18)^16))</f>
        <v>0.0499116162218583</v>
      </c>
      <c r="T112" s="29" t="n">
        <f aca="false">S112*(1-MIN(1,INDEX(Tabla_Mortalidad!$B$5:$B$75,MIN(71,Cartera_Polizas!$B$114+17-49))*(1+(Cartera_Polizas!$P$114-1)*MAX(0,1-17/Supuestos!$C$20))*(1-Supuestos!$C$18)^17))</f>
        <v>0.0371434093909272</v>
      </c>
      <c r="U112" s="29" t="n">
        <f aca="false">T112*(1-MIN(1,INDEX(Tabla_Mortalidad!$B$5:$B$75,MIN(71,Cartera_Polizas!$B$114+18-49))*(1+(Cartera_Polizas!$P$114-1)*MAX(0,1-18/Supuestos!$C$20))*(1-Supuestos!$C$18)^18))</f>
        <v>0.0267768532416495</v>
      </c>
      <c r="V112" s="29" t="n">
        <f aca="false">U112*(1-MIN(1,INDEX(Tabla_Mortalidad!$B$5:$B$75,MIN(71,Cartera_Polizas!$B$114+19-49))*(1+(Cartera_Polizas!$P$114-1)*MAX(0,1-19/Supuestos!$C$20))*(1-Supuestos!$C$18)^19))</f>
        <v>0.0186392694429254</v>
      </c>
      <c r="W112" s="29" t="n">
        <f aca="false">V112*(1-MIN(1,INDEX(Tabla_Mortalidad!$B$5:$B$75,MIN(71,Cartera_Polizas!$B$114+20-49))*(1+(Cartera_Polizas!$P$114-1)*MAX(0,1-20/Supuestos!$C$20))*(1-Supuestos!$C$18)^20))</f>
        <v>0.0124843632358165</v>
      </c>
      <c r="X112" s="29" t="n">
        <f aca="false">W112*(1-MIN(1,INDEX(Tabla_Mortalidad!$B$5:$B$75,MIN(71,Cartera_Polizas!$B$114+21-49))*(1+(Cartera_Polizas!$P$114-1)*MAX(0,1-21/Supuestos!$C$20))*(1-Supuestos!$C$18)^21))</f>
        <v>0.0080154572057891</v>
      </c>
      <c r="Y112" s="29" t="n">
        <f aca="false">X112*(1-MIN(1,INDEX(Tabla_Mortalidad!$B$5:$B$75,MIN(71,Cartera_Polizas!$B$114+22-49))*(1+(Cartera_Polizas!$P$114-1)*MAX(0,1-22/Supuestos!$C$20))*(1-Supuestos!$C$18)^22))</f>
        <v>0.00491306484922942</v>
      </c>
      <c r="Z112" s="29" t="n">
        <f aca="false">Y112*(1-MIN(1,INDEX(Tabla_Mortalidad!$B$5:$B$75,MIN(71,Cartera_Polizas!$B$114+23-49))*(1+(Cartera_Polizas!$P$114-1)*MAX(0,1-23/Supuestos!$C$20))*(1-Supuestos!$C$18)^23))</f>
        <v>0.00286263646432183</v>
      </c>
      <c r="AA112" s="29" t="n">
        <f aca="false">Z112*(1-MIN(1,INDEX(Tabla_Mortalidad!$B$5:$B$75,MIN(71,Cartera_Polizas!$B$114+24-49))*(1+(Cartera_Polizas!$P$114-1)*MAX(0,1-24/Supuestos!$C$20))*(1-Supuestos!$C$18)^24))</f>
        <v>0.0015783368199429</v>
      </c>
      <c r="AB112" s="29" t="n">
        <f aca="false">AA112*(1-MIN(1,INDEX(Tabla_Mortalidad!$B$5:$B$75,MIN(71,Cartera_Polizas!$B$114+25-49))*(1+(Cartera_Polizas!$P$114-1)*MAX(0,1-25/Supuestos!$C$20))*(1-Supuestos!$C$18)^25))</f>
        <v>0.000819613988195122</v>
      </c>
      <c r="AC112" s="29" t="n">
        <f aca="false">AB112*(1-MIN(1,INDEX(Tabla_Mortalidad!$B$5:$B$75,MIN(71,Cartera_Polizas!$B$114+26-49))*(1+(Cartera_Polizas!$P$114-1)*MAX(0,1-26/Supuestos!$C$20))*(1-Supuestos!$C$18)^26))</f>
        <v>0.000398945884303677</v>
      </c>
      <c r="AD112" s="29" t="n">
        <f aca="false">AC112*(1-MIN(1,INDEX(Tabla_Mortalidad!$B$5:$B$75,MIN(71,Cartera_Polizas!$B$114+27-49))*(1+(Cartera_Polizas!$P$114-1)*MAX(0,1-27/Supuestos!$C$20))*(1-Supuestos!$C$18)^27))</f>
        <v>0.000181153744838077</v>
      </c>
      <c r="AE112" s="29" t="n">
        <f aca="false">AD112*(1-MIN(1,INDEX(Tabla_Mortalidad!$B$5:$B$75,MIN(71,Cartera_Polizas!$B$114+28-49))*(1+(Cartera_Polizas!$P$114-1)*MAX(0,1-28/Supuestos!$C$20))*(1-Supuestos!$C$18)^28))</f>
        <v>7.63896971221428E-005</v>
      </c>
      <c r="AF112" s="29" t="n">
        <f aca="false">AE112*(1-MIN(1,INDEX(Tabla_Mortalidad!$B$5:$B$75,MIN(71,Cartera_Polizas!$B$114+29-49))*(1+(Cartera_Polizas!$P$114-1)*MAX(0,1-29/Supuestos!$C$20))*(1-Supuestos!$C$18)^29))</f>
        <v>2.97913655251594E-005</v>
      </c>
      <c r="AG112" s="29" t="n">
        <f aca="false">AF112*(1-MIN(1,INDEX(Tabla_Mortalidad!$B$5:$B$75,MIN(71,Cartera_Polizas!$B$114+30-49))*(1+(Cartera_Polizas!$P$114-1)*MAX(0,1-30/Supuestos!$C$20))*(1-Supuestos!$C$18)^30))</f>
        <v>1.07089674703522E-005</v>
      </c>
      <c r="AH112" s="29" t="n">
        <f aca="false">AG112*(1-MIN(1,INDEX(Tabla_Mortalidad!$B$5:$B$75,MIN(71,Cartera_Polizas!$B$114+31-49))*(1+(Cartera_Polizas!$P$114-1)*MAX(0,1-31/Supuestos!$C$20))*(1-Supuestos!$C$18)^31))</f>
        <v>3.54012972129143E-006</v>
      </c>
      <c r="AI112" s="29" t="n">
        <f aca="false">AH112*(1-MIN(1,INDEX(Tabla_Mortalidad!$B$5:$B$75,MIN(71,Cartera_Polizas!$B$114+32-49))*(1+(Cartera_Polizas!$P$114-1)*MAX(0,1-32/Supuestos!$C$20))*(1-Supuestos!$C$18)^32))</f>
        <v>1.07541670640943E-006</v>
      </c>
      <c r="AJ112" s="29" t="n">
        <f aca="false">AI112*(1-MIN(1,INDEX(Tabla_Mortalidad!$B$5:$B$75,MIN(71,Cartera_Polizas!$B$114+33-49))*(1+(Cartera_Polizas!$P$114-1)*MAX(0,1-33/Supuestos!$C$20))*(1-Supuestos!$C$18)^33))</f>
        <v>3.00569408788203E-007</v>
      </c>
      <c r="AK112" s="29" t="n">
        <f aca="false">AJ112*(1-MIN(1,INDEX(Tabla_Mortalidad!$B$5:$B$75,MIN(71,Cartera_Polizas!$B$114+34-49))*(1+(Cartera_Polizas!$P$114-1)*MAX(0,1-34/Supuestos!$C$20))*(1-Supuestos!$C$18)^34))</f>
        <v>7.75659979899902E-008</v>
      </c>
      <c r="AL112" s="29" t="n">
        <f aca="false">AK112*(1-MIN(1,INDEX(Tabla_Mortalidad!$B$5:$B$75,MIN(71,Cartera_Polizas!$B$114+35-49))*(1+(Cartera_Polizas!$P$114-1)*MAX(0,1-35/Supuestos!$C$20))*(1-Supuestos!$C$18)^35))</f>
        <v>1.85964850390029E-008</v>
      </c>
      <c r="AM112" s="29" t="n">
        <f aca="false">AL112*(1-MIN(1,INDEX(Tabla_Mortalidad!$B$5:$B$75,MIN(71,Cartera_Polizas!$B$114+36-49))*(1+(Cartera_Polizas!$P$114-1)*MAX(0,1-36/Supuestos!$C$20))*(1-Supuestos!$C$18)^36))</f>
        <v>4.17848742564519E-009</v>
      </c>
      <c r="AN112" s="29" t="n">
        <f aca="false">AM112*(1-MIN(1,INDEX(Tabla_Mortalidad!$B$5:$B$75,MIN(71,Cartera_Polizas!$B$114+37-49))*(1+(Cartera_Polizas!$P$114-1)*MAX(0,1-37/Supuestos!$C$20))*(1-Supuestos!$C$18)^37))</f>
        <v>8.89588913384939E-010</v>
      </c>
      <c r="AO112" s="29" t="n">
        <f aca="false">AN112*(1-MIN(1,INDEX(Tabla_Mortalidad!$B$5:$B$75,MIN(71,Cartera_Polizas!$B$114+38-49))*(1+(Cartera_Polizas!$P$114-1)*MAX(0,1-38/Supuestos!$C$20))*(1-Supuestos!$C$18)^38))</f>
        <v>1.54285757139801E-010</v>
      </c>
      <c r="AP112" s="29" t="n">
        <f aca="false">AO112*(1-MIN(1,INDEX(Tabla_Mortalidad!$B$5:$B$75,MIN(71,Cartera_Polizas!$B$114+39-49))*(1+(Cartera_Polizas!$P$114-1)*MAX(0,1-39/Supuestos!$C$20))*(1-Supuestos!$C$18)^39))</f>
        <v>2.73961697481258E-011</v>
      </c>
      <c r="AQ112" s="29" t="n">
        <f aca="false">AP112*(1-MIN(1,INDEX(Tabla_Mortalidad!$B$5:$B$75,MIN(71,Cartera_Polizas!$B$114+40-49))*(1+(Cartera_Polizas!$P$114-1)*MAX(0,1-40/Supuestos!$C$20))*(1-Supuestos!$C$18)^40))</f>
        <v>4.97733280428176E-012</v>
      </c>
      <c r="AR112" s="29" t="n">
        <f aca="false">AQ112*(1-MIN(1,INDEX(Tabla_Mortalidad!$B$5:$B$75,MIN(71,Cartera_Polizas!$B$114+41-49))*(1+(Cartera_Polizas!$P$114-1)*MAX(0,1-41/Supuestos!$C$20))*(1-Supuestos!$C$18)^41))</f>
        <v>9.24646479425634E-013</v>
      </c>
      <c r="AS112" s="29" t="n">
        <f aca="false">AR112*(1-MIN(1,INDEX(Tabla_Mortalidad!$B$5:$B$75,MIN(71,Cartera_Polizas!$B$114+42-49))*(1+(Cartera_Polizas!$P$114-1)*MAX(0,1-42/Supuestos!$C$20))*(1-Supuestos!$C$18)^42))</f>
        <v>1.75537312247854E-013</v>
      </c>
      <c r="AT112" s="29" t="n">
        <f aca="false">AS112*(1-MIN(1,INDEX(Tabla_Mortalidad!$B$5:$B$75,MIN(71,Cartera_Polizas!$B$114+43-49))*(1+(Cartera_Polizas!$P$114-1)*MAX(0,1-43/Supuestos!$C$20))*(1-Supuestos!$C$18)^43))</f>
        <v>3.40355278913541E-014</v>
      </c>
      <c r="AU112" s="29" t="n">
        <f aca="false">AT112*(1-MIN(1,INDEX(Tabla_Mortalidad!$B$5:$B$75,MIN(71,Cartera_Polizas!$B$114+44-49))*(1+(Cartera_Polizas!$P$114-1)*MAX(0,1-44/Supuestos!$C$20))*(1-Supuestos!$C$18)^44))</f>
        <v>6.73644584926879E-015</v>
      </c>
    </row>
    <row r="113" customFormat="false" ht="15" hidden="false" customHeight="false" outlineLevel="0" collapsed="false">
      <c r="A113" s="14" t="n">
        <f aca="false">Cartera_Polizas!A115</f>
        <v>110</v>
      </c>
      <c r="B113" s="26" t="n">
        <f aca="false">SUM(C113:AU113)+0.5</f>
        <v>6.00768871290442</v>
      </c>
      <c r="C113" s="29" t="n">
        <f aca="false">1-MIN(1,INDEX(Tabla_Mortalidad!$B$5:$B$75,MIN(71,Cartera_Polizas!$B$115+0-49))*(1+(Cartera_Polizas!$P$115-1)*MAX(0,1-0/Supuestos!$C$20))*(1-Supuestos!$C$18)^0)</f>
        <v>0.8820386235</v>
      </c>
      <c r="D113" s="29" t="n">
        <f aca="false">C113*(1-MIN(1,INDEX(Tabla_Mortalidad!$B$5:$B$75,MIN(71,Cartera_Polizas!$B$115+1-49))*(1+(Cartera_Polizas!$P$115-1)*MAX(0,1-1/Supuestos!$C$20))*(1-Supuestos!$C$18)^1))</f>
        <v>0.771293291288426</v>
      </c>
      <c r="E113" s="29" t="n">
        <f aca="false">D113*(1-MIN(1,INDEX(Tabla_Mortalidad!$B$5:$B$75,MIN(71,Cartera_Polizas!$B$115+2-49))*(1+(Cartera_Polizas!$P$115-1)*MAX(0,1-2/Supuestos!$C$20))*(1-Supuestos!$C$18)^2))</f>
        <v>0.668423121520979</v>
      </c>
      <c r="F113" s="29" t="n">
        <f aca="false">E113*(1-MIN(1,INDEX(Tabla_Mortalidad!$B$5:$B$75,MIN(71,Cartera_Polizas!$B$115+3-49))*(1+(Cartera_Polizas!$P$115-1)*MAX(0,1-3/Supuestos!$C$20))*(1-Supuestos!$C$18)^3))</f>
        <v>0.57392677312036</v>
      </c>
      <c r="G113" s="29" t="n">
        <f aca="false">F113*(1-MIN(1,INDEX(Tabla_Mortalidad!$B$5:$B$75,MIN(71,Cartera_Polizas!$B$115+4-49))*(1+(Cartera_Polizas!$P$115-1)*MAX(0,1-4/Supuestos!$C$20))*(1-Supuestos!$C$18)^4))</f>
        <v>0.488124961610957</v>
      </c>
      <c r="H113" s="29" t="n">
        <f aca="false">G113*(1-MIN(1,INDEX(Tabla_Mortalidad!$B$5:$B$75,MIN(71,Cartera_Polizas!$B$115+5-49))*(1+(Cartera_Polizas!$P$115-1)*MAX(0,1-5/Supuestos!$C$20))*(1-Supuestos!$C$18)^5))</f>
        <v>0.411156239843195</v>
      </c>
      <c r="I113" s="29" t="n">
        <f aca="false">H113*(1-MIN(1,INDEX(Tabla_Mortalidad!$B$5:$B$75,MIN(71,Cartera_Polizas!$B$115+6-49))*(1+(Cartera_Polizas!$P$115-1)*MAX(0,1-6/Supuestos!$C$20))*(1-Supuestos!$C$18)^6))</f>
        <v>0.342968926523692</v>
      </c>
      <c r="J113" s="29" t="n">
        <f aca="false">I113*(1-MIN(1,INDEX(Tabla_Mortalidad!$B$5:$B$75,MIN(71,Cartera_Polizas!$B$115+7-49))*(1+(Cartera_Polizas!$P$115-1)*MAX(0,1-7/Supuestos!$C$20))*(1-Supuestos!$C$18)^7))</f>
        <v>0.283335532166732</v>
      </c>
      <c r="K113" s="29" t="n">
        <f aca="false">J113*(1-MIN(1,INDEX(Tabla_Mortalidad!$B$5:$B$75,MIN(71,Cartera_Polizas!$B$115+8-49))*(1+(Cartera_Polizas!$P$115-1)*MAX(0,1-8/Supuestos!$C$20))*(1-Supuestos!$C$18)^8))</f>
        <v>0.231865557562771</v>
      </c>
      <c r="L113" s="29" t="n">
        <f aca="false">K113*(1-MIN(1,INDEX(Tabla_Mortalidad!$B$5:$B$75,MIN(71,Cartera_Polizas!$B$115+9-49))*(1+(Cartera_Polizas!$P$115-1)*MAX(0,1-9/Supuestos!$C$20))*(1-Supuestos!$C$18)^9))</f>
        <v>0.188031533498735</v>
      </c>
      <c r="M113" s="29" t="n">
        <f aca="false">L113*(1-MIN(1,INDEX(Tabla_Mortalidad!$B$5:$B$75,MIN(71,Cartera_Polizas!$B$115+10-49))*(1+(Cartera_Polizas!$P$115-1)*MAX(0,1-10/Supuestos!$C$20))*(1-Supuestos!$C$18)^10))</f>
        <v>0.151199400852285</v>
      </c>
      <c r="N113" s="29" t="n">
        <f aca="false">M113*(1-MIN(1,INDEX(Tabla_Mortalidad!$B$5:$B$75,MIN(71,Cartera_Polizas!$B$115+11-49))*(1+(Cartera_Polizas!$P$115-1)*MAX(0,1-11/Supuestos!$C$20))*(1-Supuestos!$C$18)^11))</f>
        <v>0.120662760252996</v>
      </c>
      <c r="O113" s="29" t="n">
        <f aca="false">N113*(1-MIN(1,INDEX(Tabla_Mortalidad!$B$5:$B$75,MIN(71,Cartera_Polizas!$B$115+12-49))*(1+(Cartera_Polizas!$P$115-1)*MAX(0,1-12/Supuestos!$C$20))*(1-Supuestos!$C$18)^12))</f>
        <v>0.0956776899234386</v>
      </c>
      <c r="P113" s="29" t="n">
        <f aca="false">O113*(1-MIN(1,INDEX(Tabla_Mortalidad!$B$5:$B$75,MIN(71,Cartera_Polizas!$B$115+13-49))*(1+(Cartera_Polizas!$P$115-1)*MAX(0,1-13/Supuestos!$C$20))*(1-Supuestos!$C$18)^13))</f>
        <v>0.0754955293438699</v>
      </c>
      <c r="Q113" s="29" t="n">
        <f aca="false">P113*(1-MIN(1,INDEX(Tabla_Mortalidad!$B$5:$B$75,MIN(71,Cartera_Polizas!$B$115+14-49))*(1+(Cartera_Polizas!$P$115-1)*MAX(0,1-14/Supuestos!$C$20))*(1-Supuestos!$C$18)^14))</f>
        <v>0.0593925084338137</v>
      </c>
      <c r="R113" s="29" t="n">
        <f aca="false">Q113*(1-MIN(1,INDEX(Tabla_Mortalidad!$B$5:$B$75,MIN(71,Cartera_Polizas!$B$115+15-49))*(1+(Cartera_Polizas!$P$115-1)*MAX(0,1-15/Supuestos!$C$20))*(1-Supuestos!$C$18)^15))</f>
        <v>0.0466930673928018</v>
      </c>
      <c r="S113" s="29" t="n">
        <f aca="false">R113*(1-MIN(1,INDEX(Tabla_Mortalidad!$B$5:$B$75,MIN(71,Cartera_Polizas!$B$115+16-49))*(1+(Cartera_Polizas!$P$115-1)*MAX(0,1-16/Supuestos!$C$20))*(1-Supuestos!$C$18)^16))</f>
        <v>0.0357638319141898</v>
      </c>
      <c r="T113" s="29" t="n">
        <f aca="false">S113*(1-MIN(1,INDEX(Tabla_Mortalidad!$B$5:$B$75,MIN(71,Cartera_Polizas!$B$115+17-49))*(1+(Cartera_Polizas!$P$115-1)*MAX(0,1-17/Supuestos!$C$20))*(1-Supuestos!$C$18)^17))</f>
        <v>0.0266148594401819</v>
      </c>
      <c r="U113" s="29" t="n">
        <f aca="false">T113*(1-MIN(1,INDEX(Tabla_Mortalidad!$B$5:$B$75,MIN(71,Cartera_Polizas!$B$115+18-49))*(1+(Cartera_Polizas!$P$115-1)*MAX(0,1-18/Supuestos!$C$20))*(1-Supuestos!$C$18)^18))</f>
        <v>0.0191867735612595</v>
      </c>
      <c r="V113" s="29" t="n">
        <f aca="false">U113*(1-MIN(1,INDEX(Tabla_Mortalidad!$B$5:$B$75,MIN(71,Cartera_Polizas!$B$115+19-49))*(1+(Cartera_Polizas!$P$115-1)*MAX(0,1-19/Supuestos!$C$20))*(1-Supuestos!$C$18)^19))</f>
        <v>0.0133558427841121</v>
      </c>
      <c r="W113" s="29" t="n">
        <f aca="false">V113*(1-MIN(1,INDEX(Tabla_Mortalidad!$B$5:$B$75,MIN(71,Cartera_Polizas!$B$115+20-49))*(1+(Cartera_Polizas!$P$115-1)*MAX(0,1-20/Supuestos!$C$20))*(1-Supuestos!$C$18)^20))</f>
        <v>0.00894558626065682</v>
      </c>
      <c r="X113" s="29" t="n">
        <f aca="false">W113*(1-MIN(1,INDEX(Tabla_Mortalidad!$B$5:$B$75,MIN(71,Cartera_Polizas!$B$115+21-49))*(1+(Cartera_Polizas!$P$115-1)*MAX(0,1-21/Supuestos!$C$20))*(1-Supuestos!$C$18)^21))</f>
        <v>0.00574342179081112</v>
      </c>
      <c r="Y113" s="29" t="n">
        <f aca="false">X113*(1-MIN(1,INDEX(Tabla_Mortalidad!$B$5:$B$75,MIN(71,Cartera_Polizas!$B$115+22-49))*(1+(Cartera_Polizas!$P$115-1)*MAX(0,1-22/Supuestos!$C$20))*(1-Supuestos!$C$18)^22))</f>
        <v>0.00352042347557571</v>
      </c>
      <c r="Z113" s="29" t="n">
        <f aca="false">Y113*(1-MIN(1,INDEX(Tabla_Mortalidad!$B$5:$B$75,MIN(71,Cartera_Polizas!$B$115+23-49))*(1+(Cartera_Polizas!$P$115-1)*MAX(0,1-23/Supuestos!$C$20))*(1-Supuestos!$C$18)^23))</f>
        <v>0.00205120284797752</v>
      </c>
      <c r="AA113" s="29" t="n">
        <f aca="false">Z113*(1-MIN(1,INDEX(Tabla_Mortalidad!$B$5:$B$75,MIN(71,Cartera_Polizas!$B$115+24-49))*(1+(Cartera_Polizas!$P$115-1)*MAX(0,1-24/Supuestos!$C$20))*(1-Supuestos!$C$18)^24))</f>
        <v>0.00113094660131832</v>
      </c>
      <c r="AB113" s="29" t="n">
        <f aca="false">AA113*(1-MIN(1,INDEX(Tabla_Mortalidad!$B$5:$B$75,MIN(71,Cartera_Polizas!$B$115+25-49))*(1+(Cartera_Polizas!$P$115-1)*MAX(0,1-25/Supuestos!$C$20))*(1-Supuestos!$C$18)^25))</f>
        <v>0.000587288874358109</v>
      </c>
      <c r="AC113" s="29" t="n">
        <f aca="false">AB113*(1-MIN(1,INDEX(Tabla_Mortalidad!$B$5:$B$75,MIN(71,Cartera_Polizas!$B$115+26-49))*(1+(Cartera_Polizas!$P$115-1)*MAX(0,1-26/Supuestos!$C$20))*(1-Supuestos!$C$18)^26))</f>
        <v>0.000285861982222208</v>
      </c>
      <c r="AD113" s="29" t="n">
        <f aca="false">AC113*(1-MIN(1,INDEX(Tabla_Mortalidad!$B$5:$B$75,MIN(71,Cartera_Polizas!$B$115+27-49))*(1+(Cartera_Polizas!$P$115-1)*MAX(0,1-27/Supuestos!$C$20))*(1-Supuestos!$C$18)^27))</f>
        <v>0.000129804493852029</v>
      </c>
      <c r="AE113" s="29" t="n">
        <f aca="false">AD113*(1-MIN(1,INDEX(Tabla_Mortalidad!$B$5:$B$75,MIN(71,Cartera_Polizas!$B$115+28-49))*(1+(Cartera_Polizas!$P$115-1)*MAX(0,1-28/Supuestos!$C$20))*(1-Supuestos!$C$18)^28))</f>
        <v>5.47365221696776E-005</v>
      </c>
      <c r="AF113" s="29" t="n">
        <f aca="false">AE113*(1-MIN(1,INDEX(Tabla_Mortalidad!$B$5:$B$75,MIN(71,Cartera_Polizas!$B$115+29-49))*(1+(Cartera_Polizas!$P$115-1)*MAX(0,1-29/Supuestos!$C$20))*(1-Supuestos!$C$18)^29))</f>
        <v>2.13468020029651E-005</v>
      </c>
      <c r="AG113" s="29" t="n">
        <f aca="false">AF113*(1-MIN(1,INDEX(Tabla_Mortalidad!$B$5:$B$75,MIN(71,Cartera_Polizas!$B$115+30-49))*(1+(Cartera_Polizas!$P$115-1)*MAX(0,1-30/Supuestos!$C$20))*(1-Supuestos!$C$18)^30))</f>
        <v>7.67343840122883E-006</v>
      </c>
      <c r="AH113" s="29" t="n">
        <f aca="false">AG113*(1-MIN(1,INDEX(Tabla_Mortalidad!$B$5:$B$75,MIN(71,Cartera_Polizas!$B$115+31-49))*(1+(Cartera_Polizas!$P$115-1)*MAX(0,1-31/Supuestos!$C$20))*(1-Supuestos!$C$18)^31))</f>
        <v>2.53665607108206E-006</v>
      </c>
      <c r="AI113" s="29" t="n">
        <f aca="false">AH113*(1-MIN(1,INDEX(Tabla_Mortalidad!$B$5:$B$75,MIN(71,Cartera_Polizas!$B$115+32-49))*(1+(Cartera_Polizas!$P$115-1)*MAX(0,1-32/Supuestos!$C$20))*(1-Supuestos!$C$18)^32))</f>
        <v>7.70582586522112E-007</v>
      </c>
      <c r="AJ113" s="29" t="n">
        <f aca="false">AI113*(1-MIN(1,INDEX(Tabla_Mortalidad!$B$5:$B$75,MIN(71,Cartera_Polizas!$B$115+33-49))*(1+(Cartera_Polizas!$P$115-1)*MAX(0,1-33/Supuestos!$C$20))*(1-Supuestos!$C$18)^33))</f>
        <v>2.15370982311349E-007</v>
      </c>
      <c r="AK113" s="29" t="n">
        <f aca="false">AJ113*(1-MIN(1,INDEX(Tabla_Mortalidad!$B$5:$B$75,MIN(71,Cartera_Polizas!$B$115+34-49))*(1+(Cartera_Polizas!$P$115-1)*MAX(0,1-34/Supuestos!$C$20))*(1-Supuestos!$C$18)^34))</f>
        <v>5.55793926215422E-008</v>
      </c>
      <c r="AL113" s="29" t="n">
        <f aca="false">AK113*(1-MIN(1,INDEX(Tabla_Mortalidad!$B$5:$B$75,MIN(71,Cartera_Polizas!$B$115+35-49))*(1+(Cartera_Polizas!$P$115-1)*MAX(0,1-35/Supuestos!$C$20))*(1-Supuestos!$C$18)^35))</f>
        <v>1.33251859080928E-008</v>
      </c>
      <c r="AM113" s="29" t="n">
        <f aca="false">AL113*(1-MIN(1,INDEX(Tabla_Mortalidad!$B$5:$B$75,MIN(71,Cartera_Polizas!$B$115+36-49))*(1+(Cartera_Polizas!$P$115-1)*MAX(0,1-36/Supuestos!$C$20))*(1-Supuestos!$C$18)^36))</f>
        <v>2.99406697795702E-009</v>
      </c>
      <c r="AN113" s="29" t="n">
        <f aca="false">AM113*(1-MIN(1,INDEX(Tabla_Mortalidad!$B$5:$B$75,MIN(71,Cartera_Polizas!$B$115+37-49))*(1+(Cartera_Polizas!$P$115-1)*MAX(0,1-37/Supuestos!$C$20))*(1-Supuestos!$C$18)^37))</f>
        <v>6.37428934971907E-010</v>
      </c>
      <c r="AO113" s="29" t="n">
        <f aca="false">AN113*(1-MIN(1,INDEX(Tabla_Mortalidad!$B$5:$B$75,MIN(71,Cartera_Polizas!$B$115+38-49))*(1+(Cartera_Polizas!$P$115-1)*MAX(0,1-38/Supuestos!$C$20))*(1-Supuestos!$C$18)^38))</f>
        <v>1.10552418510641E-010</v>
      </c>
      <c r="AP113" s="29" t="n">
        <f aca="false">AO113*(1-MIN(1,INDEX(Tabla_Mortalidad!$B$5:$B$75,MIN(71,Cartera_Polizas!$B$115+39-49))*(1+(Cartera_Polizas!$P$115-1)*MAX(0,1-39/Supuestos!$C$20))*(1-Supuestos!$C$18)^39))</f>
        <v>1.96305406262419E-011</v>
      </c>
      <c r="AQ113" s="29" t="n">
        <f aca="false">AP113*(1-MIN(1,INDEX(Tabla_Mortalidad!$B$5:$B$75,MIN(71,Cartera_Polizas!$B$115+40-49))*(1+(Cartera_Polizas!$P$115-1)*MAX(0,1-40/Supuestos!$C$20))*(1-Supuestos!$C$18)^40))</f>
        <v>3.5664742452351E-012</v>
      </c>
      <c r="AR113" s="29" t="n">
        <f aca="false">AQ113*(1-MIN(1,INDEX(Tabla_Mortalidad!$B$5:$B$75,MIN(71,Cartera_Polizas!$B$115+41-49))*(1+(Cartera_Polizas!$P$115-1)*MAX(0,1-41/Supuestos!$C$20))*(1-Supuestos!$C$18)^41))</f>
        <v>6.62549197429987E-013</v>
      </c>
      <c r="AS113" s="29" t="n">
        <f aca="false">AR113*(1-MIN(1,INDEX(Tabla_Mortalidad!$B$5:$B$75,MIN(71,Cartera_Polizas!$B$115+42-49))*(1+(Cartera_Polizas!$P$115-1)*MAX(0,1-42/Supuestos!$C$20))*(1-Supuestos!$C$18)^42))</f>
        <v>1.25780076966363E-013</v>
      </c>
      <c r="AT113" s="29" t="n">
        <f aca="false">AS113*(1-MIN(1,INDEX(Tabla_Mortalidad!$B$5:$B$75,MIN(71,Cartera_Polizas!$B$115+43-49))*(1+(Cartera_Polizas!$P$115-1)*MAX(0,1-43/Supuestos!$C$20))*(1-Supuestos!$C$18)^43))</f>
        <v>2.43879279165484E-014</v>
      </c>
      <c r="AU113" s="29" t="n">
        <f aca="false">AT113*(1-MIN(1,INDEX(Tabla_Mortalidad!$B$5:$B$75,MIN(71,Cartera_Polizas!$B$115+44-49))*(1+(Cartera_Polizas!$P$115-1)*MAX(0,1-44/Supuestos!$C$20))*(1-Supuestos!$C$18)^44))</f>
        <v>4.82695483114373E-015</v>
      </c>
    </row>
    <row r="114" customFormat="false" ht="15" hidden="false" customHeight="false" outlineLevel="0" collapsed="false">
      <c r="A114" s="14" t="n">
        <f aca="false">Cartera_Polizas!A116</f>
        <v>111</v>
      </c>
      <c r="B114" s="26" t="n">
        <f aca="false">SUM(C114:AU114)+0.5</f>
        <v>6.99311736304025</v>
      </c>
      <c r="C114" s="29" t="n">
        <f aca="false">1-MIN(1,INDEX(Tabla_Mortalidad!$B$5:$B$75,MIN(71,Cartera_Polizas!$B$116+0-49))*(1+(Cartera_Polizas!$P$116-1)*MAX(0,1-0/Supuestos!$C$20))*(1-Supuestos!$C$18)^0)</f>
        <v>0.9248239</v>
      </c>
      <c r="D114" s="29" t="n">
        <f aca="false">C114*(1-MIN(1,INDEX(Tabla_Mortalidad!$B$5:$B$75,MIN(71,Cartera_Polizas!$B$116+1-49))*(1+(Cartera_Polizas!$P$116-1)*MAX(0,1-1/Supuestos!$C$20))*(1-Supuestos!$C$18)^1))</f>
        <v>0.847417872320059</v>
      </c>
      <c r="E114" s="29" t="n">
        <f aca="false">D114*(1-MIN(1,INDEX(Tabla_Mortalidad!$B$5:$B$75,MIN(71,Cartera_Polizas!$B$116+2-49))*(1+(Cartera_Polizas!$P$116-1)*MAX(0,1-2/Supuestos!$C$20))*(1-Supuestos!$C$18)^2))</f>
        <v>0.76850054589013</v>
      </c>
      <c r="F114" s="29" t="n">
        <f aca="false">E114*(1-MIN(1,INDEX(Tabla_Mortalidad!$B$5:$B$75,MIN(71,Cartera_Polizas!$B$116+3-49))*(1+(Cartera_Polizas!$P$116-1)*MAX(0,1-3/Supuestos!$C$20))*(1-Supuestos!$C$18)^3))</f>
        <v>0.688924882903707</v>
      </c>
      <c r="G114" s="29" t="n">
        <f aca="false">F114*(1-MIN(1,INDEX(Tabla_Mortalidad!$B$5:$B$75,MIN(71,Cartera_Polizas!$B$116+4-49))*(1+(Cartera_Polizas!$P$116-1)*MAX(0,1-4/Supuestos!$C$20))*(1-Supuestos!$C$18)^4))</f>
        <v>0.609667279856045</v>
      </c>
      <c r="H114" s="29" t="n">
        <f aca="false">G114*(1-MIN(1,INDEX(Tabla_Mortalidad!$B$5:$B$75,MIN(71,Cartera_Polizas!$B$116+5-49))*(1+(Cartera_Polizas!$P$116-1)*MAX(0,1-5/Supuestos!$C$20))*(1-Supuestos!$C$18)^5))</f>
        <v>0.531803820915898</v>
      </c>
      <c r="I114" s="29" t="n">
        <f aca="false">H114*(1-MIN(1,INDEX(Tabla_Mortalidad!$B$5:$B$75,MIN(71,Cartera_Polizas!$B$116+6-49))*(1+(Cartera_Polizas!$P$116-1)*MAX(0,1-6/Supuestos!$C$20))*(1-Supuestos!$C$18)^6))</f>
        <v>0.456474495545541</v>
      </c>
      <c r="J114" s="29" t="n">
        <f aca="false">I114*(1-MIN(1,INDEX(Tabla_Mortalidad!$B$5:$B$75,MIN(71,Cartera_Polizas!$B$116+7-49))*(1+(Cartera_Polizas!$P$116-1)*MAX(0,1-7/Supuestos!$C$20))*(1-Supuestos!$C$18)^7))</f>
        <v>0.384834077774398</v>
      </c>
      <c r="K114" s="29" t="n">
        <f aca="false">J114*(1-MIN(1,INDEX(Tabla_Mortalidad!$B$5:$B$75,MIN(71,Cartera_Polizas!$B$116+8-49))*(1+(Cartera_Polizas!$P$116-1)*MAX(0,1-8/Supuestos!$C$20))*(1-Supuestos!$C$18)^8))</f>
        <v>0.317990394303475</v>
      </c>
      <c r="L114" s="29" t="n">
        <f aca="false">K114*(1-MIN(1,INDEX(Tabla_Mortalidad!$B$5:$B$75,MIN(71,Cartera_Polizas!$B$116+9-49))*(1+(Cartera_Polizas!$P$116-1)*MAX(0,1-9/Supuestos!$C$20))*(1-Supuestos!$C$18)^9))</f>
        <v>0.256936876976097</v>
      </c>
      <c r="M114" s="29" t="n">
        <f aca="false">L114*(1-MIN(1,INDEX(Tabla_Mortalidad!$B$5:$B$75,MIN(71,Cartera_Polizas!$B$116+10-49))*(1+(Cartera_Polizas!$P$116-1)*MAX(0,1-10/Supuestos!$C$20))*(1-Supuestos!$C$18)^10))</f>
        <v>0.202481506301409</v>
      </c>
      <c r="N114" s="29" t="n">
        <f aca="false">M114*(1-MIN(1,INDEX(Tabla_Mortalidad!$B$5:$B$75,MIN(71,Cartera_Polizas!$B$116+11-49))*(1+(Cartera_Polizas!$P$116-1)*MAX(0,1-11/Supuestos!$C$20))*(1-Supuestos!$C$18)^11))</f>
        <v>0.155180657468843</v>
      </c>
      <c r="O114" s="29" t="n">
        <f aca="false">N114*(1-MIN(1,INDEX(Tabla_Mortalidad!$B$5:$B$75,MIN(71,Cartera_Polizas!$B$116+12-49))*(1+(Cartera_Polizas!$P$116-1)*MAX(0,1-12/Supuestos!$C$20))*(1-Supuestos!$C$18)^12))</f>
        <v>0.11528950940969</v>
      </c>
      <c r="P114" s="29" t="n">
        <f aca="false">O114*(1-MIN(1,INDEX(Tabla_Mortalidad!$B$5:$B$75,MIN(71,Cartera_Polizas!$B$116+13-49))*(1+(Cartera_Polizas!$P$116-1)*MAX(0,1-13/Supuestos!$C$20))*(1-Supuestos!$C$18)^13))</f>
        <v>0.0827360173349821</v>
      </c>
      <c r="Q114" s="29" t="n">
        <f aca="false">P114*(1-MIN(1,INDEX(Tabla_Mortalidad!$B$5:$B$75,MIN(71,Cartera_Polizas!$B$116+14-49))*(1+(Cartera_Polizas!$P$116-1)*MAX(0,1-14/Supuestos!$C$20))*(1-Supuestos!$C$18)^14))</f>
        <v>0.0571259834799231</v>
      </c>
      <c r="R114" s="29" t="n">
        <f aca="false">Q114*(1-MIN(1,INDEX(Tabla_Mortalidad!$B$5:$B$75,MIN(71,Cartera_Polizas!$B$116+15-49))*(1+(Cartera_Polizas!$P$116-1)*MAX(0,1-15/Supuestos!$C$20))*(1-Supuestos!$C$18)^15))</f>
        <v>0.0377835621545964</v>
      </c>
      <c r="S114" s="29" t="n">
        <f aca="false">R114*(1-MIN(1,INDEX(Tabla_Mortalidad!$B$5:$B$75,MIN(71,Cartera_Polizas!$B$116+16-49))*(1+(Cartera_Polizas!$P$116-1)*MAX(0,1-16/Supuestos!$C$20))*(1-Supuestos!$C$18)^16))</f>
        <v>0.0239152910565073</v>
      </c>
      <c r="T114" s="29" t="n">
        <f aca="false">S114*(1-MIN(1,INDEX(Tabla_Mortalidad!$B$5:$B$75,MIN(71,Cartera_Polizas!$B$116+17-49))*(1+(Cartera_Polizas!$P$116-1)*MAX(0,1-17/Supuestos!$C$20))*(1-Supuestos!$C$18)^17))</f>
        <v>0.0144239257497206</v>
      </c>
      <c r="U114" s="29" t="n">
        <f aca="false">T114*(1-MIN(1,INDEX(Tabla_Mortalidad!$B$5:$B$75,MIN(71,Cartera_Polizas!$B$116+18-49))*(1+(Cartera_Polizas!$P$116-1)*MAX(0,1-18/Supuestos!$C$20))*(1-Supuestos!$C$18)^18))</f>
        <v>0.00825143876116047</v>
      </c>
      <c r="V114" s="29" t="n">
        <f aca="false">U114*(1-MIN(1,INDEX(Tabla_Mortalidad!$B$5:$B$75,MIN(71,Cartera_Polizas!$B$116+19-49))*(1+(Cartera_Polizas!$P$116-1)*MAX(0,1-19/Supuestos!$C$20))*(1-Supuestos!$C$18)^19))</f>
        <v>0.00445554157870899</v>
      </c>
      <c r="W114" s="29" t="n">
        <f aca="false">V114*(1-MIN(1,INDEX(Tabla_Mortalidad!$B$5:$B$75,MIN(71,Cartera_Polizas!$B$116+20-49))*(1+(Cartera_Polizas!$P$116-1)*MAX(0,1-20/Supuestos!$C$20))*(1-Supuestos!$C$18)^20))</f>
        <v>0.00225935839252192</v>
      </c>
      <c r="X114" s="29" t="n">
        <f aca="false">W114*(1-MIN(1,INDEX(Tabla_Mortalidad!$B$5:$B$75,MIN(71,Cartera_Polizas!$B$116+21-49))*(1+(Cartera_Polizas!$P$116-1)*MAX(0,1-21/Supuestos!$C$20))*(1-Supuestos!$C$18)^21))</f>
        <v>0.00107030886378871</v>
      </c>
      <c r="Y114" s="29" t="n">
        <f aca="false">X114*(1-MIN(1,INDEX(Tabla_Mortalidad!$B$5:$B$75,MIN(71,Cartera_Polizas!$B$116+22-49))*(1+(Cartera_Polizas!$P$116-1)*MAX(0,1-22/Supuestos!$C$20))*(1-Supuestos!$C$18)^22))</f>
        <v>0.000471177671772004</v>
      </c>
      <c r="Z114" s="29" t="n">
        <f aca="false">Y114*(1-MIN(1,INDEX(Tabla_Mortalidad!$B$5:$B$75,MIN(71,Cartera_Polizas!$B$116+23-49))*(1+(Cartera_Polizas!$P$116-1)*MAX(0,1-23/Supuestos!$C$20))*(1-Supuestos!$C$18)^23))</f>
        <v>0.000191772621626648</v>
      </c>
      <c r="AA114" s="29" t="n">
        <f aca="false">Z114*(1-MIN(1,INDEX(Tabla_Mortalidad!$B$5:$B$75,MIN(71,Cartera_Polizas!$B$116+24-49))*(1+(Cartera_Polizas!$P$116-1)*MAX(0,1-24/Supuestos!$C$20))*(1-Supuestos!$C$18)^24))</f>
        <v>7.18208184167345E-005</v>
      </c>
      <c r="AB114" s="29" t="n">
        <f aca="false">AA114*(1-MIN(1,INDEX(Tabla_Mortalidad!$B$5:$B$75,MIN(71,Cartera_Polizas!$B$116+25-49))*(1+(Cartera_Polizas!$P$116-1)*MAX(0,1-25/Supuestos!$C$20))*(1-Supuestos!$C$18)^25))</f>
        <v>2.46495573462345E-005</v>
      </c>
      <c r="AC114" s="29" t="n">
        <f aca="false">AB114*(1-MIN(1,INDEX(Tabla_Mortalidad!$B$5:$B$75,MIN(71,Cartera_Polizas!$B$116+26-49))*(1+(Cartera_Polizas!$P$116-1)*MAX(0,1-26/Supuestos!$C$20))*(1-Supuestos!$C$18)^26))</f>
        <v>7.72977107472206E-006</v>
      </c>
      <c r="AD114" s="29" t="n">
        <f aca="false">AC114*(1-MIN(1,INDEX(Tabla_Mortalidad!$B$5:$B$75,MIN(71,Cartera_Polizas!$B$116+27-49))*(1+(Cartera_Polizas!$P$116-1)*MAX(0,1-27/Supuestos!$C$20))*(1-Supuestos!$C$18)^27))</f>
        <v>2.2115587041225E-006</v>
      </c>
      <c r="AE114" s="29" t="n">
        <f aca="false">AD114*(1-MIN(1,INDEX(Tabla_Mortalidad!$B$5:$B$75,MIN(71,Cartera_Polizas!$B$116+28-49))*(1+(Cartera_Polizas!$P$116-1)*MAX(0,1-28/Supuestos!$C$20))*(1-Supuestos!$C$18)^28))</f>
        <v>5.77670219379512E-007</v>
      </c>
      <c r="AF114" s="29" t="n">
        <f aca="false">AE114*(1-MIN(1,INDEX(Tabla_Mortalidad!$B$5:$B$75,MIN(71,Cartera_Polizas!$B$116+29-49))*(1+(Cartera_Polizas!$P$116-1)*MAX(0,1-29/Supuestos!$C$20))*(1-Supuestos!$C$18)^29))</f>
        <v>1.38198124737839E-007</v>
      </c>
      <c r="AG114" s="29" t="n">
        <f aca="false">AF114*(1-MIN(1,INDEX(Tabla_Mortalidad!$B$5:$B$75,MIN(71,Cartera_Polizas!$B$116+30-49))*(1+(Cartera_Polizas!$P$116-1)*MAX(0,1-30/Supuestos!$C$20))*(1-Supuestos!$C$18)^30))</f>
        <v>3.04665762113172E-008</v>
      </c>
      <c r="AH114" s="29" t="n">
        <f aca="false">AG114*(1-MIN(1,INDEX(Tabla_Mortalidad!$B$5:$B$75,MIN(71,Cartera_Polizas!$B$116+31-49))*(1+(Cartera_Polizas!$P$116-1)*MAX(0,1-31/Supuestos!$C$20))*(1-Supuestos!$C$18)^31))</f>
        <v>6.24611927797368E-009</v>
      </c>
      <c r="AI114" s="29" t="n">
        <f aca="false">AH114*(1-MIN(1,INDEX(Tabla_Mortalidad!$B$5:$B$75,MIN(71,Cartera_Polizas!$B$116+32-49))*(1+(Cartera_Polizas!$P$116-1)*MAX(0,1-32/Supuestos!$C$20))*(1-Supuestos!$C$18)^32))</f>
        <v>1.20500848438802E-009</v>
      </c>
      <c r="AJ114" s="29" t="n">
        <f aca="false">AI114*(1-MIN(1,INDEX(Tabla_Mortalidad!$B$5:$B$75,MIN(71,Cartera_Polizas!$B$116+33-49))*(1+(Cartera_Polizas!$P$116-1)*MAX(0,1-33/Supuestos!$C$20))*(1-Supuestos!$C$18)^33))</f>
        <v>1.83712158891289E-010</v>
      </c>
      <c r="AK114" s="29" t="n">
        <f aca="false">AJ114*(1-MIN(1,INDEX(Tabla_Mortalidad!$B$5:$B$75,MIN(71,Cartera_Polizas!$B$116+34-49))*(1+(Cartera_Polizas!$P$116-1)*MAX(0,1-34/Supuestos!$C$20))*(1-Supuestos!$C$18)^34))</f>
        <v>2.87867517432782E-011</v>
      </c>
      <c r="AL114" s="29" t="n">
        <f aca="false">AK114*(1-MIN(1,INDEX(Tabla_Mortalidad!$B$5:$B$75,MIN(71,Cartera_Polizas!$B$116+35-49))*(1+(Cartera_Polizas!$P$116-1)*MAX(0,1-35/Supuestos!$C$20))*(1-Supuestos!$C$18)^35))</f>
        <v>4.63211622592805E-012</v>
      </c>
      <c r="AM114" s="29" t="n">
        <f aca="false">AL114*(1-MIN(1,INDEX(Tabla_Mortalidad!$B$5:$B$75,MIN(71,Cartera_Polizas!$B$116+36-49))*(1+(Cartera_Polizas!$P$116-1)*MAX(0,1-36/Supuestos!$C$20))*(1-Supuestos!$C$18)^36))</f>
        <v>7.64794038674515E-013</v>
      </c>
      <c r="AN114" s="29" t="n">
        <f aca="false">AM114*(1-MIN(1,INDEX(Tabla_Mortalidad!$B$5:$B$75,MIN(71,Cartera_Polizas!$B$116+37-49))*(1+(Cartera_Polizas!$P$116-1)*MAX(0,1-37/Supuestos!$C$20))*(1-Supuestos!$C$18)^37))</f>
        <v>1.29465327965546E-013</v>
      </c>
      <c r="AO114" s="29" t="n">
        <f aca="false">AN114*(1-MIN(1,INDEX(Tabla_Mortalidad!$B$5:$B$75,MIN(71,Cartera_Polizas!$B$116+38-49))*(1+(Cartera_Polizas!$P$116-1)*MAX(0,1-38/Supuestos!$C$20))*(1-Supuestos!$C$18)^38))</f>
        <v>2.24538051767216E-014</v>
      </c>
      <c r="AP114" s="29" t="n">
        <f aca="false">AO114*(1-MIN(1,INDEX(Tabla_Mortalidad!$B$5:$B$75,MIN(71,Cartera_Polizas!$B$116+39-49))*(1+(Cartera_Polizas!$P$116-1)*MAX(0,1-39/Supuestos!$C$20))*(1-Supuestos!$C$18)^39))</f>
        <v>3.98707093588305E-015</v>
      </c>
      <c r="AQ114" s="29" t="n">
        <f aca="false">AP114*(1-MIN(1,INDEX(Tabla_Mortalidad!$B$5:$B$75,MIN(71,Cartera_Polizas!$B$116+40-49))*(1+(Cartera_Polizas!$P$116-1)*MAX(0,1-40/Supuestos!$C$20))*(1-Supuestos!$C$18)^40))</f>
        <v>7.24370565105245E-016</v>
      </c>
      <c r="AR114" s="29" t="n">
        <f aca="false">AQ114*(1-MIN(1,INDEX(Tabla_Mortalidad!$B$5:$B$75,MIN(71,Cartera_Polizas!$B$116+41-49))*(1+(Cartera_Polizas!$P$116-1)*MAX(0,1-41/Supuestos!$C$20))*(1-Supuestos!$C$18)^41))</f>
        <v>1.34567391645569E-016</v>
      </c>
      <c r="AS114" s="29" t="n">
        <f aca="false">AR114*(1-MIN(1,INDEX(Tabla_Mortalidad!$B$5:$B$75,MIN(71,Cartera_Polizas!$B$116+42-49))*(1+(Cartera_Polizas!$P$116-1)*MAX(0,1-42/Supuestos!$C$20))*(1-Supuestos!$C$18)^42))</f>
        <v>2.5546626490527E-017</v>
      </c>
      <c r="AT114" s="29" t="n">
        <f aca="false">AS114*(1-MIN(1,INDEX(Tabla_Mortalidad!$B$5:$B$75,MIN(71,Cartera_Polizas!$B$116+43-49))*(1+(Cartera_Polizas!$P$116-1)*MAX(0,1-43/Supuestos!$C$20))*(1-Supuestos!$C$18)^43))</f>
        <v>4.95332250057833E-018</v>
      </c>
      <c r="AU114" s="29" t="n">
        <f aca="false">AT114*(1-MIN(1,INDEX(Tabla_Mortalidad!$B$5:$B$75,MIN(71,Cartera_Polizas!$B$116+44-49))*(1+(Cartera_Polizas!$P$116-1)*MAX(0,1-44/Supuestos!$C$20))*(1-Supuestos!$C$18)^44))</f>
        <v>9.80381115451623E-019</v>
      </c>
    </row>
    <row r="115" customFormat="false" ht="15" hidden="false" customHeight="false" outlineLevel="0" collapsed="false">
      <c r="A115" s="14" t="n">
        <f aca="false">Cartera_Polizas!A117</f>
        <v>112</v>
      </c>
      <c r="B115" s="26" t="n">
        <f aca="false">SUM(C115:AU115)+0.5</f>
        <v>4.10399425881195</v>
      </c>
      <c r="C115" s="29" t="n">
        <f aca="false">1-MIN(1,INDEX(Tabla_Mortalidad!$B$5:$B$75,MIN(71,Cartera_Polizas!$B$117+0-49))*(1+(Cartera_Polizas!$P$117-1)*MAX(0,1-0/Supuestos!$C$20))*(1-Supuestos!$C$18)^0)</f>
        <v>0.8181007</v>
      </c>
      <c r="D115" s="29" t="n">
        <f aca="false">C115*(1-MIN(1,INDEX(Tabla_Mortalidad!$B$5:$B$75,MIN(71,Cartera_Polizas!$B$117+1-49))*(1+(Cartera_Polizas!$P$117-1)*MAX(0,1-1/Supuestos!$C$20))*(1-Supuestos!$C$18)^1))</f>
        <v>0.659993246353581</v>
      </c>
      <c r="E115" s="29" t="n">
        <f aca="false">D115*(1-MIN(1,INDEX(Tabla_Mortalidad!$B$5:$B$75,MIN(71,Cartera_Polizas!$B$117+2-49))*(1+(Cartera_Polizas!$P$117-1)*MAX(0,1-2/Supuestos!$C$20))*(1-Supuestos!$C$18)^2))</f>
        <v>0.524765647444523</v>
      </c>
      <c r="F115" s="29" t="n">
        <f aca="false">E115*(1-MIN(1,INDEX(Tabla_Mortalidad!$B$5:$B$75,MIN(71,Cartera_Polizas!$B$117+3-49))*(1+(Cartera_Polizas!$P$117-1)*MAX(0,1-3/Supuestos!$C$20))*(1-Supuestos!$C$18)^3))</f>
        <v>0.411046089502261</v>
      </c>
      <c r="G115" s="29" t="n">
        <f aca="false">F115*(1-MIN(1,INDEX(Tabla_Mortalidad!$B$5:$B$75,MIN(71,Cartera_Polizas!$B$117+4-49))*(1+(Cartera_Polizas!$P$117-1)*MAX(0,1-4/Supuestos!$C$20))*(1-Supuestos!$C$18)^4))</f>
        <v>0.317078997511146</v>
      </c>
      <c r="H115" s="29" t="n">
        <f aca="false">G115*(1-MIN(1,INDEX(Tabla_Mortalidad!$B$5:$B$75,MIN(71,Cartera_Polizas!$B$117+5-49))*(1+(Cartera_Polizas!$P$117-1)*MAX(0,1-5/Supuestos!$C$20))*(1-Supuestos!$C$18)^5))</f>
        <v>0.240831135369509</v>
      </c>
      <c r="I115" s="29" t="n">
        <f aca="false">H115*(1-MIN(1,INDEX(Tabla_Mortalidad!$B$5:$B$75,MIN(71,Cartera_Polizas!$B$117+6-49))*(1+(Cartera_Polizas!$P$117-1)*MAX(0,1-6/Supuestos!$C$20))*(1-Supuestos!$C$18)^6))</f>
        <v>0.180104289507817</v>
      </c>
      <c r="J115" s="29" t="n">
        <f aca="false">I115*(1-MIN(1,INDEX(Tabla_Mortalidad!$B$5:$B$75,MIN(71,Cartera_Polizas!$B$117+7-49))*(1+(Cartera_Polizas!$P$117-1)*MAX(0,1-7/Supuestos!$C$20))*(1-Supuestos!$C$18)^7))</f>
        <v>0.132648843970038</v>
      </c>
      <c r="K115" s="29" t="n">
        <f aca="false">J115*(1-MIN(1,INDEX(Tabla_Mortalidad!$B$5:$B$75,MIN(71,Cartera_Polizas!$B$117+8-49))*(1+(Cartera_Polizas!$P$117-1)*MAX(0,1-8/Supuestos!$C$20))*(1-Supuestos!$C$18)^8))</f>
        <v>0.0962677086713132</v>
      </c>
      <c r="L115" s="29" t="n">
        <f aca="false">K115*(1-MIN(1,INDEX(Tabla_Mortalidad!$B$5:$B$75,MIN(71,Cartera_Polizas!$B$117+9-49))*(1+(Cartera_Polizas!$P$117-1)*MAX(0,1-9/Supuestos!$C$20))*(1-Supuestos!$C$18)^9))</f>
        <v>0.0689029358491346</v>
      </c>
      <c r="M115" s="29" t="n">
        <f aca="false">L115*(1-MIN(1,INDEX(Tabla_Mortalidad!$B$5:$B$75,MIN(71,Cartera_Polizas!$B$117+10-49))*(1+(Cartera_Polizas!$P$117-1)*MAX(0,1-10/Supuestos!$C$20))*(1-Supuestos!$C$18)^10))</f>
        <v>0.0487012656408335</v>
      </c>
      <c r="N115" s="29" t="n">
        <f aca="false">M115*(1-MIN(1,INDEX(Tabla_Mortalidad!$B$5:$B$75,MIN(71,Cartera_Polizas!$B$117+11-49))*(1+(Cartera_Polizas!$P$117-1)*MAX(0,1-11/Supuestos!$C$20))*(1-Supuestos!$C$18)^11))</f>
        <v>0.0340538792483109</v>
      </c>
      <c r="O115" s="29" t="n">
        <f aca="false">N115*(1-MIN(1,INDEX(Tabla_Mortalidad!$B$5:$B$75,MIN(71,Cartera_Polizas!$B$117+12-49))*(1+(Cartera_Polizas!$P$117-1)*MAX(0,1-12/Supuestos!$C$20))*(1-Supuestos!$C$18)^12))</f>
        <v>0.0236120479840806</v>
      </c>
      <c r="P115" s="29" t="n">
        <f aca="false">O115*(1-MIN(1,INDEX(Tabla_Mortalidad!$B$5:$B$75,MIN(71,Cartera_Polizas!$B$117+13-49))*(1+(Cartera_Polizas!$P$117-1)*MAX(0,1-13/Supuestos!$C$20))*(1-Supuestos!$C$18)^13))</f>
        <v>0.01628256736164</v>
      </c>
      <c r="Q115" s="29" t="n">
        <f aca="false">P115*(1-MIN(1,INDEX(Tabla_Mortalidad!$B$5:$B$75,MIN(71,Cartera_Polizas!$B$117+14-49))*(1+(Cartera_Polizas!$P$117-1)*MAX(0,1-14/Supuestos!$C$20))*(1-Supuestos!$C$18)^14))</f>
        <v>0.011207226750072</v>
      </c>
      <c r="R115" s="29" t="n">
        <f aca="false">Q115*(1-MIN(1,INDEX(Tabla_Mortalidad!$B$5:$B$75,MIN(71,Cartera_Polizas!$B$117+15-49))*(1+(Cartera_Polizas!$P$117-1)*MAX(0,1-15/Supuestos!$C$20))*(1-Supuestos!$C$18)^15))</f>
        <v>0.00773233106781773</v>
      </c>
      <c r="S115" s="29" t="n">
        <f aca="false">R115*(1-MIN(1,INDEX(Tabla_Mortalidad!$B$5:$B$75,MIN(71,Cartera_Polizas!$B$117+16-49))*(1+(Cartera_Polizas!$P$117-1)*MAX(0,1-16/Supuestos!$C$20))*(1-Supuestos!$C$18)^16))</f>
        <v>0.00512731341650252</v>
      </c>
      <c r="T115" s="29" t="n">
        <f aca="false">S115*(1-MIN(1,INDEX(Tabla_Mortalidad!$B$5:$B$75,MIN(71,Cartera_Polizas!$B$117+17-49))*(1+(Cartera_Polizas!$P$117-1)*MAX(0,1-17/Supuestos!$C$20))*(1-Supuestos!$C$18)^17))</f>
        <v>0.00325476796107106</v>
      </c>
      <c r="U115" s="29" t="n">
        <f aca="false">T115*(1-MIN(1,INDEX(Tabla_Mortalidad!$B$5:$B$75,MIN(71,Cartera_Polizas!$B$117+18-49))*(1+(Cartera_Polizas!$P$117-1)*MAX(0,1-18/Supuestos!$C$20))*(1-Supuestos!$C$18)^18))</f>
        <v>0.00196949275048773</v>
      </c>
      <c r="V115" s="29" t="n">
        <f aca="false">U115*(1-MIN(1,INDEX(Tabla_Mortalidad!$B$5:$B$75,MIN(71,Cartera_Polizas!$B$117+19-49))*(1+(Cartera_Polizas!$P$117-1)*MAX(0,1-19/Supuestos!$C$20))*(1-Supuestos!$C$18)^19))</f>
        <v>0.00113089407461746</v>
      </c>
      <c r="W115" s="29" t="n">
        <f aca="false">V115*(1-MIN(1,INDEX(Tabla_Mortalidad!$B$5:$B$75,MIN(71,Cartera_Polizas!$B$117+20-49))*(1+(Cartera_Polizas!$P$117-1)*MAX(0,1-20/Supuestos!$C$20))*(1-Supuestos!$C$18)^20))</f>
        <v>0.000613251761929034</v>
      </c>
      <c r="X115" s="29" t="n">
        <f aca="false">W115*(1-MIN(1,INDEX(Tabla_Mortalidad!$B$5:$B$75,MIN(71,Cartera_Polizas!$B$117+21-49))*(1+(Cartera_Polizas!$P$117-1)*MAX(0,1-21/Supuestos!$C$20))*(1-Supuestos!$C$18)^21))</f>
        <v>0.000312484926128526</v>
      </c>
      <c r="Y115" s="29" t="n">
        <f aca="false">X115*(1-MIN(1,INDEX(Tabla_Mortalidad!$B$5:$B$75,MIN(71,Cartera_Polizas!$B$117+22-49))*(1+(Cartera_Polizas!$P$117-1)*MAX(0,1-22/Supuestos!$C$20))*(1-Supuestos!$C$18)^22))</f>
        <v>0.000148853403523587</v>
      </c>
      <c r="Z115" s="29" t="n">
        <f aca="false">Y115*(1-MIN(1,INDEX(Tabla_Mortalidad!$B$5:$B$75,MIN(71,Cartera_Polizas!$B$117+23-49))*(1+(Cartera_Polizas!$P$117-1)*MAX(0,1-23/Supuestos!$C$20))*(1-Supuestos!$C$18)^23))</f>
        <v>6.59457434026823E-005</v>
      </c>
      <c r="AA115" s="29" t="n">
        <f aca="false">Z115*(1-MIN(1,INDEX(Tabla_Mortalidad!$B$5:$B$75,MIN(71,Cartera_Polizas!$B$117+24-49))*(1+(Cartera_Polizas!$P$117-1)*MAX(0,1-24/Supuestos!$C$20))*(1-Supuestos!$C$18)^24))</f>
        <v>2.70359075341036E-005</v>
      </c>
      <c r="AB115" s="29" t="n">
        <f aca="false">AA115*(1-MIN(1,INDEX(Tabla_Mortalidad!$B$5:$B$75,MIN(71,Cartera_Polizas!$B$117+25-49))*(1+(Cartera_Polizas!$P$117-1)*MAX(0,1-25/Supuestos!$C$20))*(1-Supuestos!$C$18)^25))</f>
        <v>1.02097787391726E-005</v>
      </c>
      <c r="AC115" s="29" t="n">
        <f aca="false">AB115*(1-MIN(1,INDEX(Tabla_Mortalidad!$B$5:$B$75,MIN(71,Cartera_Polizas!$B$117+26-49))*(1+(Cartera_Polizas!$P$117-1)*MAX(0,1-26/Supuestos!$C$20))*(1-Supuestos!$C$18)^26))</f>
        <v>3.53761726497241E-006</v>
      </c>
      <c r="AD115" s="29" t="n">
        <f aca="false">AC115*(1-MIN(1,INDEX(Tabla_Mortalidad!$B$5:$B$75,MIN(71,Cartera_Polizas!$B$117+27-49))*(1+(Cartera_Polizas!$P$117-1)*MAX(0,1-27/Supuestos!$C$20))*(1-Supuestos!$C$18)^27))</f>
        <v>1.12149073754514E-006</v>
      </c>
      <c r="AE115" s="29" t="n">
        <f aca="false">AD115*(1-MIN(1,INDEX(Tabla_Mortalidad!$B$5:$B$75,MIN(71,Cartera_Polizas!$B$117+28-49))*(1+(Cartera_Polizas!$P$117-1)*MAX(0,1-28/Supuestos!$C$20))*(1-Supuestos!$C$18)^28))</f>
        <v>3.24871939704655E-007</v>
      </c>
      <c r="AF115" s="29" t="n">
        <f aca="false">AE115*(1-MIN(1,INDEX(Tabla_Mortalidad!$B$5:$B$75,MIN(71,Cartera_Polizas!$B$117+29-49))*(1+(Cartera_Polizas!$P$117-1)*MAX(0,1-29/Supuestos!$C$20))*(1-Supuestos!$C$18)^29))</f>
        <v>8.60582479366967E-008</v>
      </c>
      <c r="AG115" s="29" t="n">
        <f aca="false">AF115*(1-MIN(1,INDEX(Tabla_Mortalidad!$B$5:$B$75,MIN(71,Cartera_Polizas!$B$117+30-49))*(1+(Cartera_Polizas!$P$117-1)*MAX(0,1-30/Supuestos!$C$20))*(1-Supuestos!$C$18)^30))</f>
        <v>2.09153753649666E-008</v>
      </c>
      <c r="AH115" s="29" t="n">
        <f aca="false">AG115*(1-MIN(1,INDEX(Tabla_Mortalidad!$B$5:$B$75,MIN(71,Cartera_Polizas!$B$117+31-49))*(1+(Cartera_Polizas!$P$117-1)*MAX(0,1-31/Supuestos!$C$20))*(1-Supuestos!$C$18)^31))</f>
        <v>4.6924378145915E-009</v>
      </c>
      <c r="AI115" s="29" t="n">
        <f aca="false">AH115*(1-MIN(1,INDEX(Tabla_Mortalidad!$B$5:$B$75,MIN(71,Cartera_Polizas!$B$117+32-49))*(1+(Cartera_Polizas!$P$117-1)*MAX(0,1-32/Supuestos!$C$20))*(1-Supuestos!$C$18)^32))</f>
        <v>9.80674396334622E-010</v>
      </c>
      <c r="AJ115" s="29" t="n">
        <f aca="false">AI115*(1-MIN(1,INDEX(Tabla_Mortalidad!$B$5:$B$75,MIN(71,Cartera_Polizas!$B$117+33-49))*(1+(Cartera_Polizas!$P$117-1)*MAX(0,1-33/Supuestos!$C$20))*(1-Supuestos!$C$18)^33))</f>
        <v>1.93150235488056E-010</v>
      </c>
      <c r="AK115" s="29" t="n">
        <f aca="false">AJ115*(1-MIN(1,INDEX(Tabla_Mortalidad!$B$5:$B$75,MIN(71,Cartera_Polizas!$B$117+34-49))*(1+(Cartera_Polizas!$P$117-1)*MAX(0,1-34/Supuestos!$C$20))*(1-Supuestos!$C$18)^34))</f>
        <v>3.02656498715504E-011</v>
      </c>
      <c r="AL115" s="29" t="n">
        <f aca="false">AK115*(1-MIN(1,INDEX(Tabla_Mortalidad!$B$5:$B$75,MIN(71,Cartera_Polizas!$B$117+35-49))*(1+(Cartera_Polizas!$P$117-1)*MAX(0,1-35/Supuestos!$C$20))*(1-Supuestos!$C$18)^35))</f>
        <v>4.87008777886867E-012</v>
      </c>
      <c r="AM115" s="29" t="n">
        <f aca="false">AL115*(1-MIN(1,INDEX(Tabla_Mortalidad!$B$5:$B$75,MIN(71,Cartera_Polizas!$B$117+36-49))*(1+(Cartera_Polizas!$P$117-1)*MAX(0,1-36/Supuestos!$C$20))*(1-Supuestos!$C$18)^36))</f>
        <v>8.04084768048785E-013</v>
      </c>
      <c r="AN115" s="29" t="n">
        <f aca="false">AM115*(1-MIN(1,INDEX(Tabla_Mortalidad!$B$5:$B$75,MIN(71,Cartera_Polizas!$B$117+37-49))*(1+(Cartera_Polizas!$P$117-1)*MAX(0,1-37/Supuestos!$C$20))*(1-Supuestos!$C$18)^37))</f>
        <v>1.36116513653736E-013</v>
      </c>
      <c r="AO115" s="29" t="n">
        <f aca="false">AN115*(1-MIN(1,INDEX(Tabla_Mortalidad!$B$5:$B$75,MIN(71,Cartera_Polizas!$B$117+38-49))*(1+(Cartera_Polizas!$P$117-1)*MAX(0,1-38/Supuestos!$C$20))*(1-Supuestos!$C$18)^38))</f>
        <v>2.36073528483931E-014</v>
      </c>
      <c r="AP115" s="29" t="n">
        <f aca="false">AO115*(1-MIN(1,INDEX(Tabla_Mortalidad!$B$5:$B$75,MIN(71,Cartera_Polizas!$B$117+39-49))*(1+(Cartera_Polizas!$P$117-1)*MAX(0,1-39/Supuestos!$C$20))*(1-Supuestos!$C$18)^39))</f>
        <v>4.19190376304433E-015</v>
      </c>
      <c r="AQ115" s="29" t="n">
        <f aca="false">AP115*(1-MIN(1,INDEX(Tabla_Mortalidad!$B$5:$B$75,MIN(71,Cartera_Polizas!$B$117+40-49))*(1+(Cartera_Polizas!$P$117-1)*MAX(0,1-40/Supuestos!$C$20))*(1-Supuestos!$C$18)^40))</f>
        <v>7.61584568354491E-016</v>
      </c>
      <c r="AR115" s="29" t="n">
        <f aca="false">AQ115*(1-MIN(1,INDEX(Tabla_Mortalidad!$B$5:$B$75,MIN(71,Cartera_Polizas!$B$117+41-49))*(1+(Cartera_Polizas!$P$117-1)*MAX(0,1-41/Supuestos!$C$20))*(1-Supuestos!$C$18)^41))</f>
        <v>1.41480692090367E-016</v>
      </c>
      <c r="AS115" s="29" t="n">
        <f aca="false">AR115*(1-MIN(1,INDEX(Tabla_Mortalidad!$B$5:$B$75,MIN(71,Cartera_Polizas!$B$117+42-49))*(1+(Cartera_Polizas!$P$117-1)*MAX(0,1-42/Supuestos!$C$20))*(1-Supuestos!$C$18)^42))</f>
        <v>2.68590655749169E-017</v>
      </c>
      <c r="AT115" s="29" t="n">
        <f aca="false">AS115*(1-MIN(1,INDEX(Tabla_Mortalidad!$B$5:$B$75,MIN(71,Cartera_Polizas!$B$117+43-49))*(1+(Cartera_Polizas!$P$117-1)*MAX(0,1-43/Supuestos!$C$20))*(1-Supuestos!$C$18)^43))</f>
        <v>5.20779578885213E-018</v>
      </c>
      <c r="AU115" s="29" t="n">
        <f aca="false">AT115*(1-MIN(1,INDEX(Tabla_Mortalidad!$B$5:$B$75,MIN(71,Cartera_Polizas!$B$117+44-49))*(1+(Cartera_Polizas!$P$117-1)*MAX(0,1-44/Supuestos!$C$20))*(1-Supuestos!$C$18)^44))</f>
        <v>1.03074747180766E-018</v>
      </c>
    </row>
    <row r="116" customFormat="false" ht="15" hidden="false" customHeight="false" outlineLevel="0" collapsed="false">
      <c r="A116" s="14" t="n">
        <f aca="false">Cartera_Polizas!A118</f>
        <v>113</v>
      </c>
      <c r="B116" s="26" t="n">
        <f aca="false">SUM(C116:AU116)+0.5</f>
        <v>10.5435458704076</v>
      </c>
      <c r="C116" s="29" t="n">
        <f aca="false">1-MIN(1,INDEX(Tabla_Mortalidad!$B$5:$B$75,MIN(71,Cartera_Polizas!$B$118+0-49))*(1+(Cartera_Polizas!$P$118-1)*MAX(0,1-0/Supuestos!$C$20))*(1-Supuestos!$C$18)^0)</f>
        <v>0.953343467</v>
      </c>
      <c r="D116" s="29" t="n">
        <f aca="false">C116*(1-MIN(1,INDEX(Tabla_Mortalidad!$B$5:$B$75,MIN(71,Cartera_Polizas!$B$118+1-49))*(1+(Cartera_Polizas!$P$118-1)*MAX(0,1-1/Supuestos!$C$20))*(1-Supuestos!$C$18)^1))</f>
        <v>0.905072299307462</v>
      </c>
      <c r="E116" s="29" t="n">
        <f aca="false">D116*(1-MIN(1,INDEX(Tabla_Mortalidad!$B$5:$B$75,MIN(71,Cartera_Polizas!$B$118+2-49))*(1+(Cartera_Polizas!$P$118-1)*MAX(0,1-2/Supuestos!$C$20))*(1-Supuestos!$C$18)^2))</f>
        <v>0.855373263852883</v>
      </c>
      <c r="F116" s="29" t="n">
        <f aca="false">E116*(1-MIN(1,INDEX(Tabla_Mortalidad!$B$5:$B$75,MIN(71,Cartera_Polizas!$B$118+3-49))*(1+(Cartera_Polizas!$P$118-1)*MAX(0,1-3/Supuestos!$C$20))*(1-Supuestos!$C$18)^3))</f>
        <v>0.804472570070432</v>
      </c>
      <c r="G116" s="29" t="n">
        <f aca="false">F116*(1-MIN(1,INDEX(Tabla_Mortalidad!$B$5:$B$75,MIN(71,Cartera_Polizas!$B$118+4-49))*(1+(Cartera_Polizas!$P$118-1)*MAX(0,1-4/Supuestos!$C$20))*(1-Supuestos!$C$18)^4))</f>
        <v>0.752634026171094</v>
      </c>
      <c r="H116" s="29" t="n">
        <f aca="false">G116*(1-MIN(1,INDEX(Tabla_Mortalidad!$B$5:$B$75,MIN(71,Cartera_Polizas!$B$118+5-49))*(1+(Cartera_Polizas!$P$118-1)*MAX(0,1-5/Supuestos!$C$20))*(1-Supuestos!$C$18)^5))</f>
        <v>0.700160095924563</v>
      </c>
      <c r="I116" s="29" t="n">
        <f aca="false">H116*(1-MIN(1,INDEX(Tabla_Mortalidad!$B$5:$B$75,MIN(71,Cartera_Polizas!$B$118+6-49))*(1+(Cartera_Polizas!$P$118-1)*MAX(0,1-6/Supuestos!$C$20))*(1-Supuestos!$C$18)^6))</f>
        <v>0.647390854022725</v>
      </c>
      <c r="J116" s="29" t="n">
        <f aca="false">I116*(1-MIN(1,INDEX(Tabla_Mortalidad!$B$5:$B$75,MIN(71,Cartera_Polizas!$B$118+7-49))*(1+(Cartera_Polizas!$P$118-1)*MAX(0,1-7/Supuestos!$C$20))*(1-Supuestos!$C$18)^7))</f>
        <v>0.594697408072822</v>
      </c>
      <c r="K116" s="29" t="n">
        <f aca="false">J116*(1-MIN(1,INDEX(Tabla_Mortalidad!$B$5:$B$75,MIN(71,Cartera_Polizas!$B$118+8-49))*(1+(Cartera_Polizas!$P$118-1)*MAX(0,1-8/Supuestos!$C$20))*(1-Supuestos!$C$18)^8))</f>
        <v>0.542475379538838</v>
      </c>
      <c r="L116" s="29" t="n">
        <f aca="false">K116*(1-MIN(1,INDEX(Tabla_Mortalidad!$B$5:$B$75,MIN(71,Cartera_Polizas!$B$118+9-49))*(1+(Cartera_Polizas!$P$118-1)*MAX(0,1-9/Supuestos!$C$20))*(1-Supuestos!$C$18)^9))</f>
        <v>0.491140011025727</v>
      </c>
      <c r="M116" s="29" t="n">
        <f aca="false">L116*(1-MIN(1,INDEX(Tabla_Mortalidad!$B$5:$B$75,MIN(71,Cartera_Polizas!$B$118+10-49))*(1+(Cartera_Polizas!$P$118-1)*MAX(0,1-10/Supuestos!$C$20))*(1-Supuestos!$C$18)^10))</f>
        <v>0.44111210029794</v>
      </c>
      <c r="N116" s="29" t="n">
        <f aca="false">M116*(1-MIN(1,INDEX(Tabla_Mortalidad!$B$5:$B$75,MIN(71,Cartera_Polizas!$B$118+11-49))*(1+(Cartera_Polizas!$P$118-1)*MAX(0,1-11/Supuestos!$C$20))*(1-Supuestos!$C$18)^11))</f>
        <v>0.392810410351958</v>
      </c>
      <c r="O116" s="29" t="n">
        <f aca="false">N116*(1-MIN(1,INDEX(Tabla_Mortalidad!$B$5:$B$75,MIN(71,Cartera_Polizas!$B$118+12-49))*(1+(Cartera_Polizas!$P$118-1)*MAX(0,1-12/Supuestos!$C$20))*(1-Supuestos!$C$18)^12))</f>
        <v>0.346636126340664</v>
      </c>
      <c r="P116" s="29" t="n">
        <f aca="false">O116*(1-MIN(1,INDEX(Tabla_Mortalidad!$B$5:$B$75,MIN(71,Cartera_Polizas!$B$118+13-49))*(1+(Cartera_Polizas!$P$118-1)*MAX(0,1-13/Supuestos!$C$20))*(1-Supuestos!$C$18)^13))</f>
        <v>0.302960159901969</v>
      </c>
      <c r="Q116" s="29" t="n">
        <f aca="false">P116*(1-MIN(1,INDEX(Tabla_Mortalidad!$B$5:$B$75,MIN(71,Cartera_Polizas!$B$118+14-49))*(1+(Cartera_Polizas!$P$118-1)*MAX(0,1-14/Supuestos!$C$20))*(1-Supuestos!$C$18)^14))</f>
        <v>0.26210943446605</v>
      </c>
      <c r="R116" s="29" t="n">
        <f aca="false">Q116*(1-MIN(1,INDEX(Tabla_Mortalidad!$B$5:$B$75,MIN(71,Cartera_Polizas!$B$118+15-49))*(1+(Cartera_Polizas!$P$118-1)*MAX(0,1-15/Supuestos!$C$20))*(1-Supuestos!$C$18)^15))</f>
        <v>0.224354375647886</v>
      </c>
      <c r="S116" s="29" t="n">
        <f aca="false">R116*(1-MIN(1,INDEX(Tabla_Mortalidad!$B$5:$B$75,MIN(71,Cartera_Polizas!$B$118+16-49))*(1+(Cartera_Polizas!$P$118-1)*MAX(0,1-16/Supuestos!$C$20))*(1-Supuestos!$C$18)^16))</f>
        <v>0.18880051401387</v>
      </c>
      <c r="T116" s="29" t="n">
        <f aca="false">S116*(1-MIN(1,INDEX(Tabla_Mortalidad!$B$5:$B$75,MIN(71,Cartera_Polizas!$B$118+17-49))*(1+(Cartera_Polizas!$P$118-1)*MAX(0,1-17/Supuestos!$C$20))*(1-Supuestos!$C$18)^17))</f>
        <v>0.155918911736052</v>
      </c>
      <c r="U116" s="29" t="n">
        <f aca="false">T116*(1-MIN(1,INDEX(Tabla_Mortalidad!$B$5:$B$75,MIN(71,Cartera_Polizas!$B$118+18-49))*(1+(Cartera_Polizas!$P$118-1)*MAX(0,1-18/Supuestos!$C$20))*(1-Supuestos!$C$18)^18))</f>
        <v>0.12611097085003</v>
      </c>
      <c r="V116" s="29" t="n">
        <f aca="false">U116*(1-MIN(1,INDEX(Tabla_Mortalidad!$B$5:$B$75,MIN(71,Cartera_Polizas!$B$118+19-49))*(1+(Cartera_Polizas!$P$118-1)*MAX(0,1-19/Supuestos!$C$20))*(1-Supuestos!$C$18)^19))</f>
        <v>0.0996809119990431</v>
      </c>
      <c r="W116" s="29" t="n">
        <f aca="false">V116*(1-MIN(1,INDEX(Tabla_Mortalidad!$B$5:$B$75,MIN(71,Cartera_Polizas!$B$118+20-49))*(1+(Cartera_Polizas!$P$118-1)*MAX(0,1-20/Supuestos!$C$20))*(1-Supuestos!$C$18)^20))</f>
        <v>0.0768122000516125</v>
      </c>
      <c r="X116" s="29" t="n">
        <f aca="false">W116*(1-MIN(1,INDEX(Tabla_Mortalidad!$B$5:$B$75,MIN(71,Cartera_Polizas!$B$118+21-49))*(1+(Cartera_Polizas!$P$118-1)*MAX(0,1-21/Supuestos!$C$20))*(1-Supuestos!$C$18)^21))</f>
        <v>0.0575524430579399</v>
      </c>
      <c r="Y116" s="29" t="n">
        <f aca="false">X116*(1-MIN(1,INDEX(Tabla_Mortalidad!$B$5:$B$75,MIN(71,Cartera_Polizas!$B$118+22-49))*(1+(Cartera_Polizas!$P$118-1)*MAX(0,1-22/Supuestos!$C$20))*(1-Supuestos!$C$18)^22))</f>
        <v>0.0418086698129678</v>
      </c>
      <c r="Z116" s="29" t="n">
        <f aca="false">Y116*(1-MIN(1,INDEX(Tabla_Mortalidad!$B$5:$B$75,MIN(71,Cartera_Polizas!$B$118+23-49))*(1+(Cartera_Polizas!$P$118-1)*MAX(0,1-23/Supuestos!$C$20))*(1-Supuestos!$C$18)^23))</f>
        <v>0.0293550785205384</v>
      </c>
      <c r="AA116" s="29" t="n">
        <f aca="false">Z116*(1-MIN(1,INDEX(Tabla_Mortalidad!$B$5:$B$75,MIN(71,Cartera_Polizas!$B$118+24-49))*(1+(Cartera_Polizas!$P$118-1)*MAX(0,1-24/Supuestos!$C$20))*(1-Supuestos!$C$18)^24))</f>
        <v>0.0198541046827028</v>
      </c>
      <c r="AB116" s="29" t="n">
        <f aca="false">AA116*(1-MIN(1,INDEX(Tabla_Mortalidad!$B$5:$B$75,MIN(71,Cartera_Polizas!$B$118+25-49))*(1+(Cartera_Polizas!$P$118-1)*MAX(0,1-25/Supuestos!$C$20))*(1-Supuestos!$C$18)^25))</f>
        <v>0.0128882011325165</v>
      </c>
      <c r="AC116" s="29" t="n">
        <f aca="false">AB116*(1-MIN(1,INDEX(Tabla_Mortalidad!$B$5:$B$75,MIN(71,Cartera_Polizas!$B$118+26-49))*(1+(Cartera_Polizas!$P$118-1)*MAX(0,1-26/Supuestos!$C$20))*(1-Supuestos!$C$18)^26))</f>
        <v>0.00799882948285993</v>
      </c>
      <c r="AD116" s="29" t="n">
        <f aca="false">AC116*(1-MIN(1,INDEX(Tabla_Mortalidad!$B$5:$B$75,MIN(71,Cartera_Polizas!$B$118+27-49))*(1+(Cartera_Polizas!$P$118-1)*MAX(0,1-27/Supuestos!$C$20))*(1-Supuestos!$C$18)^27))</f>
        <v>0.00472684774957404</v>
      </c>
      <c r="AE116" s="29" t="n">
        <f aca="false">AD116*(1-MIN(1,INDEX(Tabla_Mortalidad!$B$5:$B$75,MIN(71,Cartera_Polizas!$B$118+28-49))*(1+(Cartera_Polizas!$P$118-1)*MAX(0,1-28/Supuestos!$C$20))*(1-Supuestos!$C$18)^28))</f>
        <v>0.00264828040367566</v>
      </c>
      <c r="AF116" s="29" t="n">
        <f aca="false">AE116*(1-MIN(1,INDEX(Tabla_Mortalidad!$B$5:$B$75,MIN(71,Cartera_Polizas!$B$118+29-49))*(1+(Cartera_Polizas!$P$118-1)*MAX(0,1-29/Supuestos!$C$20))*(1-Supuestos!$C$18)^29))</f>
        <v>0.0014004954192964</v>
      </c>
      <c r="AG116" s="29" t="n">
        <f aca="false">AF116*(1-MIN(1,INDEX(Tabla_Mortalidad!$B$5:$B$75,MIN(71,Cartera_Polizas!$B$118+30-49))*(1+(Cartera_Polizas!$P$118-1)*MAX(0,1-30/Supuestos!$C$20))*(1-Supuestos!$C$18)^30))</f>
        <v>0.000695957718415996</v>
      </c>
      <c r="AH116" s="29" t="n">
        <f aca="false">AG116*(1-MIN(1,INDEX(Tabla_Mortalidad!$B$5:$B$75,MIN(71,Cartera_Polizas!$B$118+31-49))*(1+(Cartera_Polizas!$P$118-1)*MAX(0,1-31/Supuestos!$C$20))*(1-Supuestos!$C$18)^31))</f>
        <v>0.000323563104677745</v>
      </c>
      <c r="AI116" s="29" t="n">
        <f aca="false">AH116*(1-MIN(1,INDEX(Tabla_Mortalidad!$B$5:$B$75,MIN(71,Cartera_Polizas!$B$118+32-49))*(1+(Cartera_Polizas!$P$118-1)*MAX(0,1-32/Supuestos!$C$20))*(1-Supuestos!$C$18)^32))</f>
        <v>0.00014015595129045</v>
      </c>
      <c r="AJ116" s="29" t="n">
        <f aca="false">AI116*(1-MIN(1,INDEX(Tabla_Mortalidad!$B$5:$B$75,MIN(71,Cartera_Polizas!$B$118+33-49))*(1+(Cartera_Polizas!$P$118-1)*MAX(0,1-33/Supuestos!$C$20))*(1-Supuestos!$C$18)^33))</f>
        <v>5.63568336292513E-005</v>
      </c>
      <c r="AK116" s="29" t="n">
        <f aca="false">AJ116*(1-MIN(1,INDEX(Tabla_Mortalidad!$B$5:$B$75,MIN(71,Cartera_Polizas!$B$118+34-49))*(1+(Cartera_Polizas!$P$118-1)*MAX(0,1-34/Supuestos!$C$20))*(1-Supuestos!$C$18)^34))</f>
        <v>2.09749093809812E-005</v>
      </c>
      <c r="AL116" s="29" t="n">
        <f aca="false">AK116*(1-MIN(1,INDEX(Tabla_Mortalidad!$B$5:$B$75,MIN(71,Cartera_Polizas!$B$118+35-49))*(1+(Cartera_Polizas!$P$118-1)*MAX(0,1-35/Supuestos!$C$20))*(1-Supuestos!$C$18)^35))</f>
        <v>7.21252865773206E-006</v>
      </c>
      <c r="AM116" s="29" t="n">
        <f aca="false">AL116*(1-MIN(1,INDEX(Tabla_Mortalidad!$B$5:$B$75,MIN(71,Cartera_Polizas!$B$118+36-49))*(1+(Cartera_Polizas!$P$118-1)*MAX(0,1-36/Supuestos!$C$20))*(1-Supuestos!$C$18)^36))</f>
        <v>2.29069358266064E-006</v>
      </c>
      <c r="AN116" s="29" t="n">
        <f aca="false">AM116*(1-MIN(1,INDEX(Tabla_Mortalidad!$B$5:$B$75,MIN(71,Cartera_Polizas!$B$118+37-49))*(1+(Cartera_Polizas!$P$118-1)*MAX(0,1-37/Supuestos!$C$20))*(1-Supuestos!$C$18)^37))</f>
        <v>6.72991047921707E-007</v>
      </c>
      <c r="AO116" s="29" t="n">
        <f aca="false">AN116*(1-MIN(1,INDEX(Tabla_Mortalidad!$B$5:$B$75,MIN(71,Cartera_Polizas!$B$118+38-49))*(1+(Cartera_Polizas!$P$118-1)*MAX(0,1-38/Supuestos!$C$20))*(1-Supuestos!$C$18)^38))</f>
        <v>1.83586119180562E-007</v>
      </c>
      <c r="AP116" s="29" t="n">
        <f aca="false">AO116*(1-MIN(1,INDEX(Tabla_Mortalidad!$B$5:$B$75,MIN(71,Cartera_Polizas!$B$118+39-49))*(1+(Cartera_Polizas!$P$118-1)*MAX(0,1-39/Supuestos!$C$20))*(1-Supuestos!$C$18)^39))</f>
        <v>4.67854188951699E-008</v>
      </c>
      <c r="AQ116" s="29" t="n">
        <f aca="false">AP116*(1-MIN(1,INDEX(Tabla_Mortalidad!$B$5:$B$75,MIN(71,Cartera_Polizas!$B$118+40-49))*(1+(Cartera_Polizas!$P$118-1)*MAX(0,1-40/Supuestos!$C$20))*(1-Supuestos!$C$18)^40))</f>
        <v>1.12323634990195E-008</v>
      </c>
      <c r="AR116" s="29" t="n">
        <f aca="false">AQ116*(1-MIN(1,INDEX(Tabla_Mortalidad!$B$5:$B$75,MIN(71,Cartera_Polizas!$B$118+41-49))*(1+(Cartera_Polizas!$P$118-1)*MAX(0,1-41/Supuestos!$C$20))*(1-Supuestos!$C$18)^41))</f>
        <v>2.56683918167493E-009</v>
      </c>
      <c r="AS116" s="29" t="n">
        <f aca="false">AR116*(1-MIN(1,INDEX(Tabla_Mortalidad!$B$5:$B$75,MIN(71,Cartera_Polizas!$B$118+42-49))*(1+(Cartera_Polizas!$P$118-1)*MAX(0,1-42/Supuestos!$C$20))*(1-Supuestos!$C$18)^42))</f>
        <v>4.87295480975154E-010</v>
      </c>
      <c r="AT116" s="29" t="n">
        <f aca="false">AS116*(1-MIN(1,INDEX(Tabla_Mortalidad!$B$5:$B$75,MIN(71,Cartera_Polizas!$B$118+43-49))*(1+(Cartera_Polizas!$P$118-1)*MAX(0,1-43/Supuestos!$C$20))*(1-Supuestos!$C$18)^43))</f>
        <v>9.44833820324344E-011</v>
      </c>
      <c r="AU116" s="29" t="n">
        <f aca="false">AT116*(1-MIN(1,INDEX(Tabla_Mortalidad!$B$5:$B$75,MIN(71,Cartera_Polizas!$B$118+44-49))*(1+(Cartera_Polizas!$P$118-1)*MAX(0,1-44/Supuestos!$C$20))*(1-Supuestos!$C$18)^44))</f>
        <v>1.87005234280192E-011</v>
      </c>
    </row>
    <row r="117" customFormat="false" ht="15" hidden="false" customHeight="false" outlineLevel="0" collapsed="false">
      <c r="A117" s="14" t="n">
        <f aca="false">Cartera_Polizas!A119</f>
        <v>114</v>
      </c>
      <c r="B117" s="26" t="n">
        <f aca="false">SUM(C117:AU117)+0.5</f>
        <v>6.67968823637793</v>
      </c>
      <c r="C117" s="29" t="n">
        <f aca="false">1-MIN(1,INDEX(Tabla_Mortalidad!$B$5:$B$75,MIN(71,Cartera_Polizas!$B$119+0-49))*(1+(Cartera_Polizas!$P$119-1)*MAX(0,1-0/Supuestos!$C$20))*(1-Supuestos!$C$18)^0)</f>
        <v>0.902953358</v>
      </c>
      <c r="D117" s="29" t="n">
        <f aca="false">C117*(1-MIN(1,INDEX(Tabla_Mortalidad!$B$5:$B$75,MIN(71,Cartera_Polizas!$B$119+1-49))*(1+(Cartera_Polizas!$P$119-1)*MAX(0,1-1/Supuestos!$C$20))*(1-Supuestos!$C$18)^1))</f>
        <v>0.80876602787702</v>
      </c>
      <c r="E117" s="29" t="n">
        <f aca="false">D117*(1-MIN(1,INDEX(Tabla_Mortalidad!$B$5:$B$75,MIN(71,Cartera_Polizas!$B$119+2-49))*(1+(Cartera_Polizas!$P$119-1)*MAX(0,1-2/Supuestos!$C$20))*(1-Supuestos!$C$18)^2))</f>
        <v>0.718204948336906</v>
      </c>
      <c r="F117" s="29" t="n">
        <f aca="false">E117*(1-MIN(1,INDEX(Tabla_Mortalidad!$B$5:$B$75,MIN(71,Cartera_Polizas!$B$119+3-49))*(1+(Cartera_Polizas!$P$119-1)*MAX(0,1-3/Supuestos!$C$20))*(1-Supuestos!$C$18)^3))</f>
        <v>0.631992517192663</v>
      </c>
      <c r="G117" s="29" t="n">
        <f aca="false">F117*(1-MIN(1,INDEX(Tabla_Mortalidad!$B$5:$B$75,MIN(71,Cartera_Polizas!$B$119+4-49))*(1+(Cartera_Polizas!$P$119-1)*MAX(0,1-4/Supuestos!$C$20))*(1-Supuestos!$C$18)^4))</f>
        <v>0.550787209972166</v>
      </c>
      <c r="H117" s="29" t="n">
        <f aca="false">G117*(1-MIN(1,INDEX(Tabla_Mortalidad!$B$5:$B$75,MIN(71,Cartera_Polizas!$B$119+5-49))*(1+(Cartera_Polizas!$P$119-1)*MAX(0,1-5/Supuestos!$C$20))*(1-Supuestos!$C$18)^5))</f>
        <v>0.475152585948548</v>
      </c>
      <c r="I117" s="29" t="n">
        <f aca="false">H117*(1-MIN(1,INDEX(Tabla_Mortalidad!$B$5:$B$75,MIN(71,Cartera_Polizas!$B$119+6-49))*(1+(Cartera_Polizas!$P$119-1)*MAX(0,1-6/Supuestos!$C$20))*(1-Supuestos!$C$18)^6))</f>
        <v>0.405542014099557</v>
      </c>
      <c r="J117" s="29" t="n">
        <f aca="false">I117*(1-MIN(1,INDEX(Tabla_Mortalidad!$B$5:$B$75,MIN(71,Cartera_Polizas!$B$119+7-49))*(1+(Cartera_Polizas!$P$119-1)*MAX(0,1-7/Supuestos!$C$20))*(1-Supuestos!$C$18)^7))</f>
        <v>0.342276536043205</v>
      </c>
      <c r="K117" s="29" t="n">
        <f aca="false">J117*(1-MIN(1,INDEX(Tabla_Mortalidad!$B$5:$B$75,MIN(71,Cartera_Polizas!$B$119+8-49))*(1+(Cartera_Polizas!$P$119-1)*MAX(0,1-8/Supuestos!$C$20))*(1-Supuestos!$C$18)^8))</f>
        <v>0.285533968673575</v>
      </c>
      <c r="L117" s="29" t="n">
        <f aca="false">K117*(1-MIN(1,INDEX(Tabla_Mortalidad!$B$5:$B$75,MIN(71,Cartera_Polizas!$B$119+9-49))*(1+(Cartera_Polizas!$P$119-1)*MAX(0,1-9/Supuestos!$C$20))*(1-Supuestos!$C$18)^9))</f>
        <v>0.235343148031304</v>
      </c>
      <c r="M117" s="29" t="n">
        <f aca="false">L117*(1-MIN(1,INDEX(Tabla_Mortalidad!$B$5:$B$75,MIN(71,Cartera_Polizas!$B$119+10-49))*(1+(Cartera_Polizas!$P$119-1)*MAX(0,1-10/Supuestos!$C$20))*(1-Supuestos!$C$18)^10))</f>
        <v>0.191586213733411</v>
      </c>
      <c r="N117" s="29" t="n">
        <f aca="false">M117*(1-MIN(1,INDEX(Tabla_Mortalidad!$B$5:$B$75,MIN(71,Cartera_Polizas!$B$119+11-49))*(1+(Cartera_Polizas!$P$119-1)*MAX(0,1-11/Supuestos!$C$20))*(1-Supuestos!$C$18)^11))</f>
        <v>0.154008327979735</v>
      </c>
      <c r="O117" s="29" t="n">
        <f aca="false">N117*(1-MIN(1,INDEX(Tabla_Mortalidad!$B$5:$B$75,MIN(71,Cartera_Polizas!$B$119+12-49))*(1+(Cartera_Polizas!$P$119-1)*MAX(0,1-12/Supuestos!$C$20))*(1-Supuestos!$C$18)^12))</f>
        <v>0.122234219410722</v>
      </c>
      <c r="P117" s="29" t="n">
        <f aca="false">O117*(1-MIN(1,INDEX(Tabla_Mortalidad!$B$5:$B$75,MIN(71,Cartera_Polizas!$B$119+13-49))*(1+(Cartera_Polizas!$P$119-1)*MAX(0,1-13/Supuestos!$C$20))*(1-Supuestos!$C$18)^13))</f>
        <v>0.0957921137004709</v>
      </c>
      <c r="Q117" s="29" t="n">
        <f aca="false">P117*(1-MIN(1,INDEX(Tabla_Mortalidad!$B$5:$B$75,MIN(71,Cartera_Polizas!$B$119+14-49))*(1+(Cartera_Polizas!$P$119-1)*MAX(0,1-14/Supuestos!$C$20))*(1-Supuestos!$C$18)^14))</f>
        <v>0.0741410610371123</v>
      </c>
      <c r="R117" s="29" t="n">
        <f aca="false">Q117*(1-MIN(1,INDEX(Tabla_Mortalidad!$B$5:$B$75,MIN(71,Cartera_Polizas!$B$119+15-49))*(1+(Cartera_Polizas!$P$119-1)*MAX(0,1-15/Supuestos!$C$20))*(1-Supuestos!$C$18)^15))</f>
        <v>0.0566999922622468</v>
      </c>
      <c r="S117" s="29" t="n">
        <f aca="false">R117*(1-MIN(1,INDEX(Tabla_Mortalidad!$B$5:$B$75,MIN(71,Cartera_Polizas!$B$119+16-49))*(1+(Cartera_Polizas!$P$119-1)*MAX(0,1-16/Supuestos!$C$20))*(1-Supuestos!$C$18)^16))</f>
        <v>0.0421223195756907</v>
      </c>
      <c r="T117" s="29" t="n">
        <f aca="false">S117*(1-MIN(1,INDEX(Tabla_Mortalidad!$B$5:$B$75,MIN(71,Cartera_Polizas!$B$119+17-49))*(1+(Cartera_Polizas!$P$119-1)*MAX(0,1-17/Supuestos!$C$20))*(1-Supuestos!$C$18)^17))</f>
        <v>0.0303070961857911</v>
      </c>
      <c r="U117" s="29" t="n">
        <f aca="false">T117*(1-MIN(1,INDEX(Tabla_Mortalidad!$B$5:$B$75,MIN(71,Cartera_Polizas!$B$119+18-49))*(1+(Cartera_Polizas!$P$119-1)*MAX(0,1-18/Supuestos!$C$20))*(1-Supuestos!$C$18)^18))</f>
        <v>0.0210503750172456</v>
      </c>
      <c r="V117" s="29" t="n">
        <f aca="false">U117*(1-MIN(1,INDEX(Tabla_Mortalidad!$B$5:$B$75,MIN(71,Cartera_Polizas!$B$119+19-49))*(1+(Cartera_Polizas!$P$119-1)*MAX(0,1-19/Supuestos!$C$20))*(1-Supuestos!$C$18)^19))</f>
        <v>0.0140643633053873</v>
      </c>
      <c r="W117" s="29" t="n">
        <f aca="false">V117*(1-MIN(1,INDEX(Tabla_Mortalidad!$B$5:$B$75,MIN(71,Cartera_Polizas!$B$119+20-49))*(1+(Cartera_Polizas!$P$119-1)*MAX(0,1-20/Supuestos!$C$20))*(1-Supuestos!$C$18)^20))</f>
        <v>0.00900458111348452</v>
      </c>
      <c r="X117" s="29" t="n">
        <f aca="false">W117*(1-MIN(1,INDEX(Tabla_Mortalidad!$B$5:$B$75,MIN(71,Cartera_Polizas!$B$119+21-49))*(1+(Cartera_Polizas!$P$119-1)*MAX(0,1-21/Supuestos!$C$20))*(1-Supuestos!$C$18)^21))</f>
        <v>0.0055018334197626</v>
      </c>
      <c r="Y117" s="29" t="n">
        <f aca="false">X117*(1-MIN(1,INDEX(Tabla_Mortalidad!$B$5:$B$75,MIN(71,Cartera_Polizas!$B$119+22-49))*(1+(Cartera_Polizas!$P$119-1)*MAX(0,1-22/Supuestos!$C$20))*(1-Supuestos!$C$18)^22))</f>
        <v>0.00319414874980183</v>
      </c>
      <c r="Z117" s="29" t="n">
        <f aca="false">Y117*(1-MIN(1,INDEX(Tabla_Mortalidad!$B$5:$B$75,MIN(71,Cartera_Polizas!$B$119+23-49))*(1+(Cartera_Polizas!$P$119-1)*MAX(0,1-23/Supuestos!$C$20))*(1-Supuestos!$C$18)^23))</f>
        <v>0.00175391753398875</v>
      </c>
      <c r="AA117" s="29" t="n">
        <f aca="false">Z117*(1-MIN(1,INDEX(Tabla_Mortalidad!$B$5:$B$75,MIN(71,Cartera_Polizas!$B$119+24-49))*(1+(Cartera_Polizas!$P$119-1)*MAX(0,1-24/Supuestos!$C$20))*(1-Supuestos!$C$18)^24))</f>
        <v>0.000906554421666111</v>
      </c>
      <c r="AB117" s="29" t="n">
        <f aca="false">AA117*(1-MIN(1,INDEX(Tabla_Mortalidad!$B$5:$B$75,MIN(71,Cartera_Polizas!$B$119+25-49))*(1+(Cartera_Polizas!$P$119-1)*MAX(0,1-25/Supuestos!$C$20))*(1-Supuestos!$C$18)^25))</f>
        <v>0.000438925867642175</v>
      </c>
      <c r="AC117" s="29" t="n">
        <f aca="false">AB117*(1-MIN(1,INDEX(Tabla_Mortalidad!$B$5:$B$75,MIN(71,Cartera_Polizas!$B$119+26-49))*(1+(Cartera_Polizas!$P$119-1)*MAX(0,1-26/Supuestos!$C$20))*(1-Supuestos!$C$18)^26))</f>
        <v>0.000198103785114257</v>
      </c>
      <c r="AD117" s="29" t="n">
        <f aca="false">AC117*(1-MIN(1,INDEX(Tabla_Mortalidad!$B$5:$B$75,MIN(71,Cartera_Polizas!$B$119+27-49))*(1+(Cartera_Polizas!$P$119-1)*MAX(0,1-27/Supuestos!$C$20))*(1-Supuestos!$C$18)^27))</f>
        <v>8.29615524863351E-005</v>
      </c>
      <c r="AE117" s="29" t="n">
        <f aca="false">AD117*(1-MIN(1,INDEX(Tabla_Mortalidad!$B$5:$B$75,MIN(71,Cartera_Polizas!$B$119+28-49))*(1+(Cartera_Polizas!$P$119-1)*MAX(0,1-28/Supuestos!$C$20))*(1-Supuestos!$C$18)^28))</f>
        <v>3.21000284719175E-005</v>
      </c>
      <c r="AF117" s="29" t="n">
        <f aca="false">AE117*(1-MIN(1,INDEX(Tabla_Mortalidad!$B$5:$B$75,MIN(71,Cartera_Polizas!$B$119+29-49))*(1+(Cartera_Polizas!$P$119-1)*MAX(0,1-29/Supuestos!$C$20))*(1-Supuestos!$C$18)^29))</f>
        <v>1.14355296073991E-005</v>
      </c>
      <c r="AG117" s="29" t="n">
        <f aca="false">AF117*(1-MIN(1,INDEX(Tabla_Mortalidad!$B$5:$B$75,MIN(71,Cartera_Polizas!$B$119+30-49))*(1+(Cartera_Polizas!$P$119-1)*MAX(0,1-30/Supuestos!$C$20))*(1-Supuestos!$C$18)^30))</f>
        <v>3.74184544736121E-006</v>
      </c>
      <c r="AH117" s="29" t="n">
        <f aca="false">AG117*(1-MIN(1,INDEX(Tabla_Mortalidad!$B$5:$B$75,MIN(71,Cartera_Polizas!$B$119+31-49))*(1+(Cartera_Polizas!$P$119-1)*MAX(0,1-31/Supuestos!$C$20))*(1-Supuestos!$C$18)^31))</f>
        <v>1.12360247256137E-006</v>
      </c>
      <c r="AI117" s="29" t="n">
        <f aca="false">AH117*(1-MIN(1,INDEX(Tabla_Mortalidad!$B$5:$B$75,MIN(71,Cartera_Polizas!$B$119+32-49))*(1+(Cartera_Polizas!$P$119-1)*MAX(0,1-32/Supuestos!$C$20))*(1-Supuestos!$C$18)^32))</f>
        <v>3.09968733351255E-007</v>
      </c>
      <c r="AJ117" s="29" t="n">
        <f aca="false">AI117*(1-MIN(1,INDEX(Tabla_Mortalidad!$B$5:$B$75,MIN(71,Cartera_Polizas!$B$119+33-49))*(1+(Cartera_Polizas!$P$119-1)*MAX(0,1-33/Supuestos!$C$20))*(1-Supuestos!$C$18)^33))</f>
        <v>7.88359568383093E-008</v>
      </c>
      <c r="AK117" s="29" t="n">
        <f aca="false">AJ117*(1-MIN(1,INDEX(Tabla_Mortalidad!$B$5:$B$75,MIN(71,Cartera_Polizas!$B$119+34-49))*(1+(Cartera_Polizas!$P$119-1)*MAX(0,1-34/Supuestos!$C$20))*(1-Supuestos!$C$18)^34))</f>
        <v>1.85997773817338E-008</v>
      </c>
      <c r="AL117" s="29" t="n">
        <f aca="false">AK117*(1-MIN(1,INDEX(Tabla_Mortalidad!$B$5:$B$75,MIN(71,Cartera_Polizas!$B$119+35-49))*(1+(Cartera_Polizas!$P$119-1)*MAX(0,1-35/Supuestos!$C$20))*(1-Supuestos!$C$18)^35))</f>
        <v>4.1067621134405E-009</v>
      </c>
      <c r="AM117" s="29" t="n">
        <f aca="false">AL117*(1-MIN(1,INDEX(Tabla_Mortalidad!$B$5:$B$75,MIN(71,Cartera_Polizas!$B$119+36-49))*(1+(Cartera_Polizas!$P$119-1)*MAX(0,1-36/Supuestos!$C$20))*(1-Supuestos!$C$18)^36))</f>
        <v>8.58075350442659E-010</v>
      </c>
      <c r="AN117" s="29" t="n">
        <f aca="false">AM117*(1-MIN(1,INDEX(Tabla_Mortalidad!$B$5:$B$75,MIN(71,Cartera_Polizas!$B$119+37-49))*(1+(Cartera_Polizas!$P$119-1)*MAX(0,1-37/Supuestos!$C$20))*(1-Supuestos!$C$18)^37))</f>
        <v>1.45256109549107E-010</v>
      </c>
      <c r="AO117" s="29" t="n">
        <f aca="false">AN117*(1-MIN(1,INDEX(Tabla_Mortalidad!$B$5:$B$75,MIN(71,Cartera_Polizas!$B$119+38-49))*(1+(Cartera_Polizas!$P$119-1)*MAX(0,1-38/Supuestos!$C$20))*(1-Supuestos!$C$18)^38))</f>
        <v>2.51924776756614E-011</v>
      </c>
      <c r="AP117" s="29" t="n">
        <f aca="false">AO117*(1-MIN(1,INDEX(Tabla_Mortalidad!$B$5:$B$75,MIN(71,Cartera_Polizas!$B$119+39-49))*(1+(Cartera_Polizas!$P$119-1)*MAX(0,1-39/Supuestos!$C$20))*(1-Supuestos!$C$18)^39))</f>
        <v>4.47337076067822E-012</v>
      </c>
      <c r="AQ117" s="29" t="n">
        <f aca="false">AP117*(1-MIN(1,INDEX(Tabla_Mortalidad!$B$5:$B$75,MIN(71,Cartera_Polizas!$B$119+40-49))*(1+(Cartera_Polizas!$P$119-1)*MAX(0,1-40/Supuestos!$C$20))*(1-Supuestos!$C$18)^40))</f>
        <v>8.12721458420727E-013</v>
      </c>
      <c r="AR117" s="29" t="n">
        <f aca="false">AQ117*(1-MIN(1,INDEX(Tabla_Mortalidad!$B$5:$B$75,MIN(71,Cartera_Polizas!$B$119+41-49))*(1+(Cartera_Polizas!$P$119-1)*MAX(0,1-41/Supuestos!$C$20))*(1-Supuestos!$C$18)^41))</f>
        <v>1.50980467819216E-013</v>
      </c>
      <c r="AS117" s="29" t="n">
        <f aca="false">AR117*(1-MIN(1,INDEX(Tabla_Mortalidad!$B$5:$B$75,MIN(71,Cartera_Polizas!$B$119+42-49))*(1+(Cartera_Polizas!$P$119-1)*MAX(0,1-42/Supuestos!$C$20))*(1-Supuestos!$C$18)^42))</f>
        <v>2.86625279094466E-014</v>
      </c>
      <c r="AT117" s="29" t="n">
        <f aca="false">AS117*(1-MIN(1,INDEX(Tabla_Mortalidad!$B$5:$B$75,MIN(71,Cartera_Polizas!$B$119+43-49))*(1+(Cartera_Polizas!$P$119-1)*MAX(0,1-43/Supuestos!$C$20))*(1-Supuestos!$C$18)^43))</f>
        <v>5.55747524902993E-015</v>
      </c>
      <c r="AU117" s="29" t="n">
        <f aca="false">AT117*(1-MIN(1,INDEX(Tabla_Mortalidad!$B$5:$B$75,MIN(71,Cartera_Polizas!$B$119+44-49))*(1+(Cartera_Polizas!$P$119-1)*MAX(0,1-44/Supuestos!$C$20))*(1-Supuestos!$C$18)^44))</f>
        <v>1.09995740901236E-015</v>
      </c>
    </row>
    <row r="118" customFormat="false" ht="15" hidden="false" customHeight="false" outlineLevel="0" collapsed="false">
      <c r="A118" s="14" t="n">
        <f aca="false">Cartera_Polizas!A120</f>
        <v>115</v>
      </c>
      <c r="B118" s="26" t="n">
        <f aca="false">SUM(C118:AU118)+0.5</f>
        <v>5.66155154780422</v>
      </c>
      <c r="C118" s="29" t="n">
        <f aca="false">1-MIN(1,INDEX(Tabla_Mortalidad!$B$5:$B$75,MIN(71,Cartera_Polizas!$B$120+0-49))*(1+(Cartera_Polizas!$P$120-1)*MAX(0,1-0/Supuestos!$C$20))*(1-Supuestos!$C$18)^0)</f>
        <v>0.874410228</v>
      </c>
      <c r="D118" s="29" t="n">
        <f aca="false">C118*(1-MIN(1,INDEX(Tabla_Mortalidad!$B$5:$B$75,MIN(71,Cartera_Polizas!$B$120+1-49))*(1+(Cartera_Polizas!$P$120-1)*MAX(0,1-1/Supuestos!$C$20))*(1-Supuestos!$C$18)^1))</f>
        <v>0.75741070511277</v>
      </c>
      <c r="E118" s="29" t="n">
        <f aca="false">D118*(1-MIN(1,INDEX(Tabla_Mortalidad!$B$5:$B$75,MIN(71,Cartera_Polizas!$B$120+2-49))*(1+(Cartera_Polizas!$P$120-1)*MAX(0,1-2/Supuestos!$C$20))*(1-Supuestos!$C$18)^2))</f>
        <v>0.649643841305422</v>
      </c>
      <c r="F118" s="29" t="n">
        <f aca="false">E118*(1-MIN(1,INDEX(Tabla_Mortalidad!$B$5:$B$75,MIN(71,Cartera_Polizas!$B$120+3-49))*(1+(Cartera_Polizas!$P$120-1)*MAX(0,1-3/Supuestos!$C$20))*(1-Supuestos!$C$18)^3))</f>
        <v>0.551554898867353</v>
      </c>
      <c r="G118" s="29" t="n">
        <f aca="false">F118*(1-MIN(1,INDEX(Tabla_Mortalidad!$B$5:$B$75,MIN(71,Cartera_Polizas!$B$120+4-49))*(1+(Cartera_Polizas!$P$120-1)*MAX(0,1-4/Supuestos!$C$20))*(1-Supuestos!$C$18)^4))</f>
        <v>0.463382707131408</v>
      </c>
      <c r="H118" s="29" t="n">
        <f aca="false">G118*(1-MIN(1,INDEX(Tabla_Mortalidad!$B$5:$B$75,MIN(71,Cartera_Polizas!$B$120+5-49))*(1+(Cartera_Polizas!$P$120-1)*MAX(0,1-5/Supuestos!$C$20))*(1-Supuestos!$C$18)^5))</f>
        <v>0.385145764279846</v>
      </c>
      <c r="I118" s="29" t="n">
        <f aca="false">H118*(1-MIN(1,INDEX(Tabla_Mortalidad!$B$5:$B$75,MIN(71,Cartera_Polizas!$B$120+6-49))*(1+(Cartera_Polizas!$P$120-1)*MAX(0,1-6/Supuestos!$C$20))*(1-Supuestos!$C$18)^6))</f>
        <v>0.316654296754976</v>
      </c>
      <c r="J118" s="29" t="n">
        <f aca="false">I118*(1-MIN(1,INDEX(Tabla_Mortalidad!$B$5:$B$75,MIN(71,Cartera_Polizas!$B$120+7-49))*(1+(Cartera_Polizas!$P$120-1)*MAX(0,1-7/Supuestos!$C$20))*(1-Supuestos!$C$18)^7))</f>
        <v>0.257521064727673</v>
      </c>
      <c r="K118" s="29" t="n">
        <f aca="false">J118*(1-MIN(1,INDEX(Tabla_Mortalidad!$B$5:$B$75,MIN(71,Cartera_Polizas!$B$120+8-49))*(1+(Cartera_Polizas!$P$120-1)*MAX(0,1-8/Supuestos!$C$20))*(1-Supuestos!$C$18)^8))</f>
        <v>0.207188364997442</v>
      </c>
      <c r="L118" s="29" t="n">
        <f aca="false">K118*(1-MIN(1,INDEX(Tabla_Mortalidad!$B$5:$B$75,MIN(71,Cartera_Polizas!$B$120+9-49))*(1+(Cartera_Polizas!$P$120-1)*MAX(0,1-9/Supuestos!$C$20))*(1-Supuestos!$C$18)^9))</f>
        <v>0.164961290011195</v>
      </c>
      <c r="M118" s="29" t="n">
        <f aca="false">L118*(1-MIN(1,INDEX(Tabla_Mortalidad!$B$5:$B$75,MIN(71,Cartera_Polizas!$B$120+10-49))*(1+(Cartera_Polizas!$P$120-1)*MAX(0,1-10/Supuestos!$C$20))*(1-Supuestos!$C$18)^10))</f>
        <v>0.130046830077858</v>
      </c>
      <c r="N118" s="29" t="n">
        <f aca="false">M118*(1-MIN(1,INDEX(Tabla_Mortalidad!$B$5:$B$75,MIN(71,Cartera_Polizas!$B$120+11-49))*(1+(Cartera_Polizas!$P$120-1)*MAX(0,1-11/Supuestos!$C$20))*(1-Supuestos!$C$18)^11))</f>
        <v>0.101594967415996</v>
      </c>
      <c r="O118" s="29" t="n">
        <f aca="false">N118*(1-MIN(1,INDEX(Tabla_Mortalidad!$B$5:$B$75,MIN(71,Cartera_Polizas!$B$120+12-49))*(1+(Cartera_Polizas!$P$120-1)*MAX(0,1-12/Supuestos!$C$20))*(1-Supuestos!$C$18)^12))</f>
        <v>0.0787385480766728</v>
      </c>
      <c r="P118" s="29" t="n">
        <f aca="false">O118*(1-MIN(1,INDEX(Tabla_Mortalidad!$B$5:$B$75,MIN(71,Cartera_Polizas!$B$120+13-49))*(1+(Cartera_Polizas!$P$120-1)*MAX(0,1-13/Supuestos!$C$20))*(1-Supuestos!$C$18)^13))</f>
        <v>0.0606302666996701</v>
      </c>
      <c r="Q118" s="29" t="n">
        <f aca="false">P118*(1-MIN(1,INDEX(Tabla_Mortalidad!$B$5:$B$75,MIN(71,Cartera_Polizas!$B$120+14-49))*(1+(Cartera_Polizas!$P$120-1)*MAX(0,1-14/Supuestos!$C$20))*(1-Supuestos!$C$18)^14))</f>
        <v>0.0464726862984421</v>
      </c>
      <c r="R118" s="29" t="n">
        <f aca="false">Q118*(1-MIN(1,INDEX(Tabla_Mortalidad!$B$5:$B$75,MIN(71,Cartera_Polizas!$B$120+15-49))*(1+(Cartera_Polizas!$P$120-1)*MAX(0,1-15/Supuestos!$C$20))*(1-Supuestos!$C$18)^15))</f>
        <v>0.0355403728604384</v>
      </c>
      <c r="S118" s="29" t="n">
        <f aca="false">R118*(1-MIN(1,INDEX(Tabla_Mortalidad!$B$5:$B$75,MIN(71,Cartera_Polizas!$B$120+16-49))*(1+(Cartera_Polizas!$P$120-1)*MAX(0,1-16/Supuestos!$C$20))*(1-Supuestos!$C$18)^16))</f>
        <v>0.0264028773856356</v>
      </c>
      <c r="T118" s="29" t="n">
        <f aca="false">S118*(1-MIN(1,INDEX(Tabla_Mortalidad!$B$5:$B$75,MIN(71,Cartera_Polizas!$B$120+17-49))*(1+(Cartera_Polizas!$P$120-1)*MAX(0,1-17/Supuestos!$C$20))*(1-Supuestos!$C$18)^17))</f>
        <v>0.0189969249692011</v>
      </c>
      <c r="U118" s="29" t="n">
        <f aca="false">T118*(1-MIN(1,INDEX(Tabla_Mortalidad!$B$5:$B$75,MIN(71,Cartera_Polizas!$B$120+18-49))*(1+(Cartera_Polizas!$P$120-1)*MAX(0,1-18/Supuestos!$C$20))*(1-Supuestos!$C$18)^18))</f>
        <v>0.0131946786430711</v>
      </c>
      <c r="V118" s="29" t="n">
        <f aca="false">U118*(1-MIN(1,INDEX(Tabla_Mortalidad!$B$5:$B$75,MIN(71,Cartera_Polizas!$B$120+19-49))*(1+(Cartera_Polizas!$P$120-1)*MAX(0,1-19/Supuestos!$C$20))*(1-Supuestos!$C$18)^19))</f>
        <v>0.00881574575189062</v>
      </c>
      <c r="W118" s="29" t="n">
        <f aca="false">V118*(1-MIN(1,INDEX(Tabla_Mortalidad!$B$5:$B$75,MIN(71,Cartera_Polizas!$B$120+20-49))*(1+(Cartera_Polizas!$P$120-1)*MAX(0,1-20/Supuestos!$C$20))*(1-Supuestos!$C$18)^20))</f>
        <v>0.00564420130332871</v>
      </c>
      <c r="X118" s="29" t="n">
        <f aca="false">W118*(1-MIN(1,INDEX(Tabla_Mortalidad!$B$5:$B$75,MIN(71,Cartera_Polizas!$B$120+21-49))*(1+(Cartera_Polizas!$P$120-1)*MAX(0,1-21/Supuestos!$C$20))*(1-Supuestos!$C$18)^21))</f>
        <v>0.00344862853331605</v>
      </c>
      <c r="Y118" s="29" t="n">
        <f aca="false">X118*(1-MIN(1,INDEX(Tabla_Mortalidad!$B$5:$B$75,MIN(71,Cartera_Polizas!$B$120+22-49))*(1+(Cartera_Polizas!$P$120-1)*MAX(0,1-22/Supuestos!$C$20))*(1-Supuestos!$C$18)^22))</f>
        <v>0.00200213850144116</v>
      </c>
      <c r="Z118" s="29" t="n">
        <f aca="false">Y118*(1-MIN(1,INDEX(Tabla_Mortalidad!$B$5:$B$75,MIN(71,Cartera_Polizas!$B$120+23-49))*(1+(Cartera_Polizas!$P$120-1)*MAX(0,1-23/Supuestos!$C$20))*(1-Supuestos!$C$18)^23))</f>
        <v>0.00109938080478233</v>
      </c>
      <c r="AA118" s="29" t="n">
        <f aca="false">Z118*(1-MIN(1,INDEX(Tabla_Mortalidad!$B$5:$B$75,MIN(71,Cartera_Polizas!$B$120+24-49))*(1+(Cartera_Polizas!$P$120-1)*MAX(0,1-24/Supuestos!$C$20))*(1-Supuestos!$C$18)^24))</f>
        <v>0.000568241385559158</v>
      </c>
      <c r="AB118" s="29" t="n">
        <f aca="false">AA118*(1-MIN(1,INDEX(Tabla_Mortalidad!$B$5:$B$75,MIN(71,Cartera_Polizas!$B$120+25-49))*(1+(Cartera_Polizas!$P$120-1)*MAX(0,1-25/Supuestos!$C$20))*(1-Supuestos!$C$18)^25))</f>
        <v>0.000275125063896723</v>
      </c>
      <c r="AC118" s="29" t="n">
        <f aca="false">AB118*(1-MIN(1,INDEX(Tabla_Mortalidad!$B$5:$B$75,MIN(71,Cartera_Polizas!$B$120+26-49))*(1+(Cartera_Polizas!$P$120-1)*MAX(0,1-26/Supuestos!$C$20))*(1-Supuestos!$C$18)^26))</f>
        <v>0.000124174309503615</v>
      </c>
      <c r="AD118" s="29" t="n">
        <f aca="false">AC118*(1-MIN(1,INDEX(Tabla_Mortalidad!$B$5:$B$75,MIN(71,Cartera_Polizas!$B$120+27-49))*(1+(Cartera_Polizas!$P$120-1)*MAX(0,1-27/Supuestos!$C$20))*(1-Supuestos!$C$18)^27))</f>
        <v>5.2001497545325E-005</v>
      </c>
      <c r="AE118" s="29" t="n">
        <f aca="false">AD118*(1-MIN(1,INDEX(Tabla_Mortalidad!$B$5:$B$75,MIN(71,Cartera_Polizas!$B$120+28-49))*(1+(Cartera_Polizas!$P$120-1)*MAX(0,1-28/Supuestos!$C$20))*(1-Supuestos!$C$18)^28))</f>
        <v>2.01207607832825E-005</v>
      </c>
      <c r="AF118" s="29" t="n">
        <f aca="false">AE118*(1-MIN(1,INDEX(Tabla_Mortalidad!$B$5:$B$75,MIN(71,Cartera_Polizas!$B$120+29-49))*(1+(Cartera_Polizas!$P$120-1)*MAX(0,1-29/Supuestos!$C$20))*(1-Supuestos!$C$18)^29))</f>
        <v>7.16795487773214E-006</v>
      </c>
      <c r="AG118" s="29" t="n">
        <f aca="false">AF118*(1-MIN(1,INDEX(Tabla_Mortalidad!$B$5:$B$75,MIN(71,Cartera_Polizas!$B$120+30-49))*(1+(Cartera_Polizas!$P$120-1)*MAX(0,1-30/Supuestos!$C$20))*(1-Supuestos!$C$18)^30))</f>
        <v>2.34544269019061E-006</v>
      </c>
      <c r="AH118" s="29" t="n">
        <f aca="false">AG118*(1-MIN(1,INDEX(Tabla_Mortalidad!$B$5:$B$75,MIN(71,Cartera_Polizas!$B$120+31-49))*(1+(Cartera_Polizas!$P$120-1)*MAX(0,1-31/Supuestos!$C$20))*(1-Supuestos!$C$18)^31))</f>
        <v>7.04290234062887E-007</v>
      </c>
      <c r="AI118" s="29" t="n">
        <f aca="false">AH118*(1-MIN(1,INDEX(Tabla_Mortalidad!$B$5:$B$75,MIN(71,Cartera_Polizas!$B$120+32-49))*(1+(Cartera_Polizas!$P$120-1)*MAX(0,1-32/Supuestos!$C$20))*(1-Supuestos!$C$18)^32))</f>
        <v>1.94292872341652E-007</v>
      </c>
      <c r="AJ118" s="29" t="n">
        <f aca="false">AI118*(1-MIN(1,INDEX(Tabla_Mortalidad!$B$5:$B$75,MIN(71,Cartera_Polizas!$B$120+33-49))*(1+(Cartera_Polizas!$P$120-1)*MAX(0,1-33/Supuestos!$C$20))*(1-Supuestos!$C$18)^33))</f>
        <v>4.94155146950264E-008</v>
      </c>
      <c r="AK118" s="29" t="n">
        <f aca="false">AJ118*(1-MIN(1,INDEX(Tabla_Mortalidad!$B$5:$B$75,MIN(71,Cartera_Polizas!$B$120+34-49))*(1+(Cartera_Polizas!$P$120-1)*MAX(0,1-34/Supuestos!$C$20))*(1-Supuestos!$C$18)^34))</f>
        <v>1.16586087033404E-008</v>
      </c>
      <c r="AL118" s="29" t="n">
        <f aca="false">AK118*(1-MIN(1,INDEX(Tabla_Mortalidad!$B$5:$B$75,MIN(71,Cartera_Polizas!$B$120+35-49))*(1+(Cartera_Polizas!$P$120-1)*MAX(0,1-35/Supuestos!$C$20))*(1-Supuestos!$C$18)^35))</f>
        <v>2.57417771920898E-009</v>
      </c>
      <c r="AM118" s="29" t="n">
        <f aca="false">AL118*(1-MIN(1,INDEX(Tabla_Mortalidad!$B$5:$B$75,MIN(71,Cartera_Polizas!$B$120+36-49))*(1+(Cartera_Polizas!$P$120-1)*MAX(0,1-36/Supuestos!$C$20))*(1-Supuestos!$C$18)^36))</f>
        <v>5.37854004565519E-010</v>
      </c>
      <c r="AN118" s="29" t="n">
        <f aca="false">AM118*(1-MIN(1,INDEX(Tabla_Mortalidad!$B$5:$B$75,MIN(71,Cartera_Polizas!$B$120+37-49))*(1+(Cartera_Polizas!$P$120-1)*MAX(0,1-37/Supuestos!$C$20))*(1-Supuestos!$C$18)^37))</f>
        <v>9.1048624305886E-011</v>
      </c>
      <c r="AO118" s="29" t="n">
        <f aca="false">AN118*(1-MIN(1,INDEX(Tabla_Mortalidad!$B$5:$B$75,MIN(71,Cartera_Polizas!$B$120+38-49))*(1+(Cartera_Polizas!$P$120-1)*MAX(0,1-38/Supuestos!$C$20))*(1-Supuestos!$C$18)^38))</f>
        <v>1.57910083255414E-011</v>
      </c>
      <c r="AP118" s="29" t="n">
        <f aca="false">AO118*(1-MIN(1,INDEX(Tabla_Mortalidad!$B$5:$B$75,MIN(71,Cartera_Polizas!$B$120+39-49))*(1+(Cartera_Polizas!$P$120-1)*MAX(0,1-39/Supuestos!$C$20))*(1-Supuestos!$C$18)^39))</f>
        <v>2.8039733064187E-012</v>
      </c>
      <c r="AQ118" s="29" t="n">
        <f aca="false">AP118*(1-MIN(1,INDEX(Tabla_Mortalidad!$B$5:$B$75,MIN(71,Cartera_Polizas!$B$120+40-49))*(1+(Cartera_Polizas!$P$120-1)*MAX(0,1-40/Supuestos!$C$20))*(1-Supuestos!$C$18)^40))</f>
        <v>5.09425530965801E-013</v>
      </c>
      <c r="AR118" s="29" t="n">
        <f aca="false">AQ118*(1-MIN(1,INDEX(Tabla_Mortalidad!$B$5:$B$75,MIN(71,Cartera_Polizas!$B$120+41-49))*(1+(Cartera_Polizas!$P$120-1)*MAX(0,1-41/Supuestos!$C$20))*(1-Supuestos!$C$18)^41))</f>
        <v>9.46367346245865E-014</v>
      </c>
      <c r="AS118" s="29" t="n">
        <f aca="false">AR118*(1-MIN(1,INDEX(Tabla_Mortalidad!$B$5:$B$75,MIN(71,Cartera_Polizas!$B$120+42-49))*(1+(Cartera_Polizas!$P$120-1)*MAX(0,1-42/Supuestos!$C$20))*(1-Supuestos!$C$18)^42))</f>
        <v>1.79660858561127E-014</v>
      </c>
      <c r="AT118" s="29" t="n">
        <f aca="false">AS118*(1-MIN(1,INDEX(Tabla_Mortalidad!$B$5:$B$75,MIN(71,Cartera_Polizas!$B$120+43-49))*(1+(Cartera_Polizas!$P$120-1)*MAX(0,1-43/Supuestos!$C$20))*(1-Supuestos!$C$18)^43))</f>
        <v>3.48350563435076E-015</v>
      </c>
      <c r="AU118" s="29" t="n">
        <f aca="false">AT118*(1-MIN(1,INDEX(Tabla_Mortalidad!$B$5:$B$75,MIN(71,Cartera_Polizas!$B$120+44-49))*(1+(Cartera_Polizas!$P$120-1)*MAX(0,1-44/Supuestos!$C$20))*(1-Supuestos!$C$18)^44))</f>
        <v>6.89469167228274E-016</v>
      </c>
    </row>
    <row r="119" customFormat="false" ht="15" hidden="false" customHeight="false" outlineLevel="0" collapsed="false">
      <c r="A119" s="14" t="n">
        <f aca="false">Cartera_Polizas!A121</f>
        <v>116</v>
      </c>
      <c r="B119" s="26" t="n">
        <f aca="false">SUM(C119:AU119)+0.5</f>
        <v>11.1306695552403</v>
      </c>
      <c r="C119" s="29" t="n">
        <f aca="false">1-MIN(1,INDEX(Tabla_Mortalidad!$B$5:$B$75,MIN(71,Cartera_Polizas!$B$121+0-49))*(1+(Cartera_Polizas!$P$121-1)*MAX(0,1-0/Supuestos!$C$20))*(1-Supuestos!$C$18)^0)</f>
        <v>0.9604252621875</v>
      </c>
      <c r="D119" s="29" t="n">
        <f aca="false">C119*(1-MIN(1,INDEX(Tabla_Mortalidad!$B$5:$B$75,MIN(71,Cartera_Polizas!$B$121+1-49))*(1+(Cartera_Polizas!$P$121-1)*MAX(0,1-1/Supuestos!$C$20))*(1-Supuestos!$C$18)^1))</f>
        <v>0.918833214520411</v>
      </c>
      <c r="E119" s="29" t="n">
        <f aca="false">D119*(1-MIN(1,INDEX(Tabla_Mortalidad!$B$5:$B$75,MIN(71,Cartera_Polizas!$B$121+2-49))*(1+(Cartera_Polizas!$P$121-1)*MAX(0,1-2/Supuestos!$C$20))*(1-Supuestos!$C$18)^2))</f>
        <v>0.875308139918702</v>
      </c>
      <c r="F119" s="29" t="n">
        <f aca="false">E119*(1-MIN(1,INDEX(Tabla_Mortalidad!$B$5:$B$75,MIN(71,Cartera_Polizas!$B$121+3-49))*(1+(Cartera_Polizas!$P$121-1)*MAX(0,1-3/Supuestos!$C$20))*(1-Supuestos!$C$18)^3))</f>
        <v>0.829973405819168</v>
      </c>
      <c r="G119" s="29" t="n">
        <f aca="false">F119*(1-MIN(1,INDEX(Tabla_Mortalidad!$B$5:$B$75,MIN(71,Cartera_Polizas!$B$121+4-49))*(1+(Cartera_Polizas!$P$121-1)*MAX(0,1-4/Supuestos!$C$20))*(1-Supuestos!$C$18)^4))</f>
        <v>0.78299336984054</v>
      </c>
      <c r="H119" s="29" t="n">
        <f aca="false">G119*(1-MIN(1,INDEX(Tabla_Mortalidad!$B$5:$B$75,MIN(71,Cartera_Polizas!$B$121+5-49))*(1+(Cartera_Polizas!$P$121-1)*MAX(0,1-5/Supuestos!$C$20))*(1-Supuestos!$C$18)^5))</f>
        <v>0.734578283560285</v>
      </c>
      <c r="I119" s="29" t="n">
        <f aca="false">H119*(1-MIN(1,INDEX(Tabla_Mortalidad!$B$5:$B$75,MIN(71,Cartera_Polizas!$B$121+6-49))*(1+(Cartera_Polizas!$P$121-1)*MAX(0,1-6/Supuestos!$C$20))*(1-Supuestos!$C$18)^6))</f>
        <v>0.684987814794188</v>
      </c>
      <c r="J119" s="29" t="n">
        <f aca="false">I119*(1-MIN(1,INDEX(Tabla_Mortalidad!$B$5:$B$75,MIN(71,Cartera_Polizas!$B$121+7-49))*(1+(Cartera_Polizas!$P$121-1)*MAX(0,1-7/Supuestos!$C$20))*(1-Supuestos!$C$18)^7))</f>
        <v>0.634529677323961</v>
      </c>
      <c r="K119" s="29" t="n">
        <f aca="false">J119*(1-MIN(1,INDEX(Tabla_Mortalidad!$B$5:$B$75,MIN(71,Cartera_Polizas!$B$121+8-49))*(1+(Cartera_Polizas!$P$121-1)*MAX(0,1-8/Supuestos!$C$20))*(1-Supuestos!$C$18)^8))</f>
        <v>0.583558124158002</v>
      </c>
      <c r="L119" s="29" t="n">
        <f aca="false">K119*(1-MIN(1,INDEX(Tabla_Mortalidad!$B$5:$B$75,MIN(71,Cartera_Polizas!$B$121+9-49))*(1+(Cartera_Polizas!$P$121-1)*MAX(0,1-9/Supuestos!$C$20))*(1-Supuestos!$C$18)^9))</f>
        <v>0.532473729382937</v>
      </c>
      <c r="M119" s="29" t="n">
        <f aca="false">L119*(1-MIN(1,INDEX(Tabla_Mortalidad!$B$5:$B$75,MIN(71,Cartera_Polizas!$B$121+10-49))*(1+(Cartera_Polizas!$P$121-1)*MAX(0,1-10/Supuestos!$C$20))*(1-Supuestos!$C$18)^10))</f>
        <v>0.481713520471309</v>
      </c>
      <c r="N119" s="29" t="n">
        <f aca="false">M119*(1-MIN(1,INDEX(Tabla_Mortalidad!$B$5:$B$75,MIN(71,Cartera_Polizas!$B$121+11-49))*(1+(Cartera_Polizas!$P$121-1)*MAX(0,1-11/Supuestos!$C$20))*(1-Supuestos!$C$18)^11))</f>
        <v>0.431746246331292</v>
      </c>
      <c r="O119" s="29" t="n">
        <f aca="false">N119*(1-MIN(1,INDEX(Tabla_Mortalidad!$B$5:$B$75,MIN(71,Cartera_Polizas!$B$121+12-49))*(1+(Cartera_Polizas!$P$121-1)*MAX(0,1-12/Supuestos!$C$20))*(1-Supuestos!$C$18)^12))</f>
        <v>0.383058067363274</v>
      </c>
      <c r="P119" s="29" t="n">
        <f aca="false">O119*(1-MIN(1,INDEX(Tabla_Mortalidad!$B$5:$B$75,MIN(71,Cartera_Polizas!$B$121+13-49))*(1+(Cartera_Polizas!$P$121-1)*MAX(0,1-13/Supuestos!$C$20))*(1-Supuestos!$C$18)^13))</f>
        <v>0.336138914820702</v>
      </c>
      <c r="Q119" s="29" t="n">
        <f aca="false">P119*(1-MIN(1,INDEX(Tabla_Mortalidad!$B$5:$B$75,MIN(71,Cartera_Polizas!$B$121+14-49))*(1+(Cartera_Polizas!$P$121-1)*MAX(0,1-14/Supuestos!$C$20))*(1-Supuestos!$C$18)^14))</f>
        <v>0.291465312708664</v>
      </c>
      <c r="R119" s="29" t="n">
        <f aca="false">Q119*(1-MIN(1,INDEX(Tabla_Mortalidad!$B$5:$B$75,MIN(71,Cartera_Polizas!$B$121+15-49))*(1+(Cartera_Polizas!$P$121-1)*MAX(0,1-15/Supuestos!$C$20))*(1-Supuestos!$C$18)^15))</f>
        <v>0.249481741811313</v>
      </c>
      <c r="S119" s="29" t="n">
        <f aca="false">R119*(1-MIN(1,INDEX(Tabla_Mortalidad!$B$5:$B$75,MIN(71,Cartera_Polizas!$B$121+16-49))*(1+(Cartera_Polizas!$P$121-1)*MAX(0,1-16/Supuestos!$C$20))*(1-Supuestos!$C$18)^16))</f>
        <v>0.209945899004779</v>
      </c>
      <c r="T119" s="29" t="n">
        <f aca="false">S119*(1-MIN(1,INDEX(Tabla_Mortalidad!$B$5:$B$75,MIN(71,Cartera_Polizas!$B$121+17-49))*(1+(Cartera_Polizas!$P$121-1)*MAX(0,1-17/Supuestos!$C$20))*(1-Supuestos!$C$18)^17))</f>
        <v>0.173381604744293</v>
      </c>
      <c r="U119" s="29" t="n">
        <f aca="false">T119*(1-MIN(1,INDEX(Tabla_Mortalidad!$B$5:$B$75,MIN(71,Cartera_Polizas!$B$121+18-49))*(1+(Cartera_Polizas!$P$121-1)*MAX(0,1-18/Supuestos!$C$20))*(1-Supuestos!$C$18)^18))</f>
        <v>0.14023521751392</v>
      </c>
      <c r="V119" s="29" t="n">
        <f aca="false">U119*(1-MIN(1,INDEX(Tabla_Mortalidad!$B$5:$B$75,MIN(71,Cartera_Polizas!$B$121+19-49))*(1+(Cartera_Polizas!$P$121-1)*MAX(0,1-19/Supuestos!$C$20))*(1-Supuestos!$C$18)^19))</f>
        <v>0.110845030229727</v>
      </c>
      <c r="W119" s="29" t="n">
        <f aca="false">V119*(1-MIN(1,INDEX(Tabla_Mortalidad!$B$5:$B$75,MIN(71,Cartera_Polizas!$B$121+20-49))*(1+(Cartera_Polizas!$P$121-1)*MAX(0,1-20/Supuestos!$C$20))*(1-Supuestos!$C$18)^20))</f>
        <v>0.0854150555606328</v>
      </c>
      <c r="X119" s="29" t="n">
        <f aca="false">W119*(1-MIN(1,INDEX(Tabla_Mortalidad!$B$5:$B$75,MIN(71,Cartera_Polizas!$B$121+21-49))*(1+(Cartera_Polizas!$P$121-1)*MAX(0,1-21/Supuestos!$C$20))*(1-Supuestos!$C$18)^21))</f>
        <v>0.063998233589729</v>
      </c>
      <c r="Y119" s="29" t="n">
        <f aca="false">X119*(1-MIN(1,INDEX(Tabla_Mortalidad!$B$5:$B$75,MIN(71,Cartera_Polizas!$B$121+22-49))*(1+(Cartera_Polizas!$P$121-1)*MAX(0,1-22/Supuestos!$C$20))*(1-Supuestos!$C$18)^22))</f>
        <v>0.0464911804712178</v>
      </c>
      <c r="Z119" s="29" t="n">
        <f aca="false">Y119*(1-MIN(1,INDEX(Tabla_Mortalidad!$B$5:$B$75,MIN(71,Cartera_Polizas!$B$121+23-49))*(1+(Cartera_Polizas!$P$121-1)*MAX(0,1-23/Supuestos!$C$20))*(1-Supuestos!$C$18)^23))</f>
        <v>0.0326428049337702</v>
      </c>
      <c r="AA119" s="29" t="n">
        <f aca="false">Z119*(1-MIN(1,INDEX(Tabla_Mortalidad!$B$5:$B$75,MIN(71,Cartera_Polizas!$B$121+24-49))*(1+(Cartera_Polizas!$P$121-1)*MAX(0,1-24/Supuestos!$C$20))*(1-Supuestos!$C$18)^24))</f>
        <v>0.0220777357430225</v>
      </c>
      <c r="AB119" s="29" t="n">
        <f aca="false">AA119*(1-MIN(1,INDEX(Tabla_Mortalidad!$B$5:$B$75,MIN(71,Cartera_Polizas!$B$121+25-49))*(1+(Cartera_Polizas!$P$121-1)*MAX(0,1-25/Supuestos!$C$20))*(1-Supuestos!$C$18)^25))</f>
        <v>0.0143316610521612</v>
      </c>
      <c r="AC119" s="29" t="n">
        <f aca="false">AB119*(1-MIN(1,INDEX(Tabla_Mortalidad!$B$5:$B$75,MIN(71,Cartera_Polizas!$B$121+26-49))*(1+(Cartera_Polizas!$P$121-1)*MAX(0,1-26/Supuestos!$C$20))*(1-Supuestos!$C$18)^26))</f>
        <v>0.00889468683671905</v>
      </c>
      <c r="AD119" s="29" t="n">
        <f aca="false">AC119*(1-MIN(1,INDEX(Tabla_Mortalidad!$B$5:$B$75,MIN(71,Cartera_Polizas!$B$121+27-49))*(1+(Cartera_Polizas!$P$121-1)*MAX(0,1-27/Supuestos!$C$20))*(1-Supuestos!$C$18)^27))</f>
        <v>0.00525624787319242</v>
      </c>
      <c r="AE119" s="29" t="n">
        <f aca="false">AD119*(1-MIN(1,INDEX(Tabla_Mortalidad!$B$5:$B$75,MIN(71,Cartera_Polizas!$B$121+28-49))*(1+(Cartera_Polizas!$P$121-1)*MAX(0,1-28/Supuestos!$C$20))*(1-Supuestos!$C$18)^28))</f>
        <v>0.00294488398546192</v>
      </c>
      <c r="AF119" s="29" t="n">
        <f aca="false">AE119*(1-MIN(1,INDEX(Tabla_Mortalidad!$B$5:$B$75,MIN(71,Cartera_Polizas!$B$121+29-49))*(1+(Cartera_Polizas!$P$121-1)*MAX(0,1-29/Supuestos!$C$20))*(1-Supuestos!$C$18)^29))</f>
        <v>0.0015573488843079</v>
      </c>
      <c r="AG119" s="29" t="n">
        <f aca="false">AF119*(1-MIN(1,INDEX(Tabla_Mortalidad!$B$5:$B$75,MIN(71,Cartera_Polizas!$B$121+30-49))*(1+(Cartera_Polizas!$P$121-1)*MAX(0,1-30/Supuestos!$C$20))*(1-Supuestos!$C$18)^30))</f>
        <v>0.000773903978097365</v>
      </c>
      <c r="AH119" s="29" t="n">
        <f aca="false">AG119*(1-MIN(1,INDEX(Tabla_Mortalidad!$B$5:$B$75,MIN(71,Cartera_Polizas!$B$121+31-49))*(1+(Cartera_Polizas!$P$121-1)*MAX(0,1-31/Supuestos!$C$20))*(1-Supuestos!$C$18)^31))</f>
        <v>0.000359801705261015</v>
      </c>
      <c r="AI119" s="29" t="n">
        <f aca="false">AH119*(1-MIN(1,INDEX(Tabla_Mortalidad!$B$5:$B$75,MIN(71,Cartera_Polizas!$B$121+32-49))*(1+(Cartera_Polizas!$P$121-1)*MAX(0,1-32/Supuestos!$C$20))*(1-Supuestos!$C$18)^32))</f>
        <v>0.000155853215486383</v>
      </c>
      <c r="AJ119" s="29" t="n">
        <f aca="false">AI119*(1-MIN(1,INDEX(Tabla_Mortalidad!$B$5:$B$75,MIN(71,Cartera_Polizas!$B$121+33-49))*(1+(Cartera_Polizas!$P$121-1)*MAX(0,1-33/Supuestos!$C$20))*(1-Supuestos!$C$18)^33))</f>
        <v>6.26687176311751E-005</v>
      </c>
      <c r="AK119" s="29" t="n">
        <f aca="false">AJ119*(1-MIN(1,INDEX(Tabla_Mortalidad!$B$5:$B$75,MIN(71,Cartera_Polizas!$B$121+34-49))*(1+(Cartera_Polizas!$P$121-1)*MAX(0,1-34/Supuestos!$C$20))*(1-Supuestos!$C$18)^34))</f>
        <v>2.33240689493588E-005</v>
      </c>
      <c r="AL119" s="29" t="n">
        <f aca="false">AK119*(1-MIN(1,INDEX(Tabla_Mortalidad!$B$5:$B$75,MIN(71,Cartera_Polizas!$B$121+35-49))*(1+(Cartera_Polizas!$P$121-1)*MAX(0,1-35/Supuestos!$C$20))*(1-Supuestos!$C$18)^35))</f>
        <v>8.02032145438995E-006</v>
      </c>
      <c r="AM119" s="29" t="n">
        <f aca="false">AL119*(1-MIN(1,INDEX(Tabla_Mortalidad!$B$5:$B$75,MIN(71,Cartera_Polizas!$B$121+36-49))*(1+(Cartera_Polizas!$P$121-1)*MAX(0,1-36/Supuestos!$C$20))*(1-Supuestos!$C$18)^36))</f>
        <v>2.54724795675522E-006</v>
      </c>
      <c r="AN119" s="29" t="n">
        <f aca="false">AM119*(1-MIN(1,INDEX(Tabla_Mortalidad!$B$5:$B$75,MIN(71,Cartera_Polizas!$B$121+37-49))*(1+(Cartera_Polizas!$P$121-1)*MAX(0,1-37/Supuestos!$C$20))*(1-Supuestos!$C$18)^37))</f>
        <v>7.48365073665591E-007</v>
      </c>
      <c r="AO119" s="29" t="n">
        <f aca="false">AN119*(1-MIN(1,INDEX(Tabla_Mortalidad!$B$5:$B$75,MIN(71,Cartera_Polizas!$B$121+38-49))*(1+(Cartera_Polizas!$P$121-1)*MAX(0,1-38/Supuestos!$C$20))*(1-Supuestos!$C$18)^38))</f>
        <v>2.04147499478366E-007</v>
      </c>
      <c r="AP119" s="29" t="n">
        <f aca="false">AO119*(1-MIN(1,INDEX(Tabla_Mortalidad!$B$5:$B$75,MIN(71,Cartera_Polizas!$B$121+39-49))*(1+(Cartera_Polizas!$P$121-1)*MAX(0,1-39/Supuestos!$C$20))*(1-Supuestos!$C$18)^39))</f>
        <v>5.20253182655003E-008</v>
      </c>
      <c r="AQ119" s="29" t="n">
        <f aca="false">AP119*(1-MIN(1,INDEX(Tabla_Mortalidad!$B$5:$B$75,MIN(71,Cartera_Polizas!$B$121+40-49))*(1+(Cartera_Polizas!$P$121-1)*MAX(0,1-40/Supuestos!$C$20))*(1-Supuestos!$C$18)^40))</f>
        <v>1.24903719943097E-008</v>
      </c>
      <c r="AR119" s="29" t="n">
        <f aca="false">AQ119*(1-MIN(1,INDEX(Tabla_Mortalidad!$B$5:$B$75,MIN(71,Cartera_Polizas!$B$121+41-49))*(1+(Cartera_Polizas!$P$121-1)*MAX(0,1-41/Supuestos!$C$20))*(1-Supuestos!$C$18)^41))</f>
        <v>2.85432146417698E-009</v>
      </c>
      <c r="AS119" s="29" t="n">
        <f aca="false">AR119*(1-MIN(1,INDEX(Tabla_Mortalidad!$B$5:$B$75,MIN(71,Cartera_Polizas!$B$121+42-49))*(1+(Cartera_Polizas!$P$121-1)*MAX(0,1-42/Supuestos!$C$20))*(1-Supuestos!$C$18)^42))</f>
        <v>5.41871871316936E-010</v>
      </c>
      <c r="AT119" s="29" t="n">
        <f aca="false">AS119*(1-MIN(1,INDEX(Tabla_Mortalidad!$B$5:$B$75,MIN(71,Cartera_Polizas!$B$121+43-49))*(1+(Cartera_Polizas!$P$121-1)*MAX(0,1-43/Supuestos!$C$20))*(1-Supuestos!$C$18)^43))</f>
        <v>1.05065384410734E-010</v>
      </c>
      <c r="AU119" s="29" t="n">
        <f aca="false">AT119*(1-MIN(1,INDEX(Tabla_Mortalidad!$B$5:$B$75,MIN(71,Cartera_Polizas!$B$121+44-49))*(1+(Cartera_Polizas!$P$121-1)*MAX(0,1-44/Supuestos!$C$20))*(1-Supuestos!$C$18)^44))</f>
        <v>2.07949550532845E-011</v>
      </c>
    </row>
    <row r="120" customFormat="false" ht="15" hidden="false" customHeight="false" outlineLevel="0" collapsed="false">
      <c r="A120" s="14" t="n">
        <f aca="false">Cartera_Polizas!A122</f>
        <v>117</v>
      </c>
      <c r="B120" s="26" t="n">
        <f aca="false">SUM(C120:AU120)+0.5</f>
        <v>8.66411010150022</v>
      </c>
      <c r="C120" s="29" t="n">
        <f aca="false">1-MIN(1,INDEX(Tabla_Mortalidad!$B$5:$B$75,MIN(71,Cartera_Polizas!$B$122+0-49))*(1+(Cartera_Polizas!$P$122-1)*MAX(0,1-0/Supuestos!$C$20))*(1-Supuestos!$C$18)^0)</f>
        <v>0.948030535</v>
      </c>
      <c r="D120" s="29" t="n">
        <f aca="false">C120*(1-MIN(1,INDEX(Tabla_Mortalidad!$B$5:$B$75,MIN(71,Cartera_Polizas!$B$122+1-49))*(1+(Cartera_Polizas!$P$122-1)*MAX(0,1-1/Supuestos!$C$20))*(1-Supuestos!$C$18)^1))</f>
        <v>0.89288893487004</v>
      </c>
      <c r="E120" s="29" t="n">
        <f aca="false">D120*(1-MIN(1,INDEX(Tabla_Mortalidad!$B$5:$B$75,MIN(71,Cartera_Polizas!$B$122+2-49))*(1+(Cartera_Polizas!$P$122-1)*MAX(0,1-2/Supuestos!$C$20))*(1-Supuestos!$C$18)^2))</f>
        <v>0.834794263388897</v>
      </c>
      <c r="F120" s="29" t="n">
        <f aca="false">E120*(1-MIN(1,INDEX(Tabla_Mortalidad!$B$5:$B$75,MIN(71,Cartera_Polizas!$B$122+3-49))*(1+(Cartera_Polizas!$P$122-1)*MAX(0,1-3/Supuestos!$C$20))*(1-Supuestos!$C$18)^3))</f>
        <v>0.774073357050798</v>
      </c>
      <c r="G120" s="29" t="n">
        <f aca="false">F120*(1-MIN(1,INDEX(Tabla_Mortalidad!$B$5:$B$75,MIN(71,Cartera_Polizas!$B$122+4-49))*(1+(Cartera_Polizas!$P$122-1)*MAX(0,1-4/Supuestos!$C$20))*(1-Supuestos!$C$18)^4))</f>
        <v>0.71116693155213</v>
      </c>
      <c r="H120" s="29" t="n">
        <f aca="false">G120*(1-MIN(1,INDEX(Tabla_Mortalidad!$B$5:$B$75,MIN(71,Cartera_Polizas!$B$122+5-49))*(1+(Cartera_Polizas!$P$122-1)*MAX(0,1-5/Supuestos!$C$20))*(1-Supuestos!$C$18)^5))</f>
        <v>0.646641002081133</v>
      </c>
      <c r="I120" s="29" t="n">
        <f aca="false">H120*(1-MIN(1,INDEX(Tabla_Mortalidad!$B$5:$B$75,MIN(71,Cartera_Polizas!$B$122+6-49))*(1+(Cartera_Polizas!$P$122-1)*MAX(0,1-6/Supuestos!$C$20))*(1-Supuestos!$C$18)^6))</f>
        <v>0.581184692446851</v>
      </c>
      <c r="J120" s="29" t="n">
        <f aca="false">I120*(1-MIN(1,INDEX(Tabla_Mortalidad!$B$5:$B$75,MIN(71,Cartera_Polizas!$B$122+7-49))*(1+(Cartera_Polizas!$P$122-1)*MAX(0,1-7/Supuestos!$C$20))*(1-Supuestos!$C$18)^7))</f>
        <v>0.515604337616688</v>
      </c>
      <c r="K120" s="29" t="n">
        <f aca="false">J120*(1-MIN(1,INDEX(Tabla_Mortalidad!$B$5:$B$75,MIN(71,Cartera_Polizas!$B$122+8-49))*(1+(Cartera_Polizas!$P$122-1)*MAX(0,1-8/Supuestos!$C$20))*(1-Supuestos!$C$18)^8))</f>
        <v>0.450806420720861</v>
      </c>
      <c r="L120" s="29" t="n">
        <f aca="false">K120*(1-MIN(1,INDEX(Tabla_Mortalidad!$B$5:$B$75,MIN(71,Cartera_Polizas!$B$122+9-49))*(1+(Cartera_Polizas!$P$122-1)*MAX(0,1-9/Supuestos!$C$20))*(1-Supuestos!$C$18)^9))</f>
        <v>0.387769497263336</v>
      </c>
      <c r="M120" s="29" t="n">
        <f aca="false">L120*(1-MIN(1,INDEX(Tabla_Mortalidad!$B$5:$B$75,MIN(71,Cartera_Polizas!$B$122+10-49))*(1+(Cartera_Polizas!$P$122-1)*MAX(0,1-10/Supuestos!$C$20))*(1-Supuestos!$C$18)^10))</f>
        <v>0.32750351342372</v>
      </c>
      <c r="N120" s="29" t="n">
        <f aca="false">M120*(1-MIN(1,INDEX(Tabla_Mortalidad!$B$5:$B$75,MIN(71,Cartera_Polizas!$B$122+11-49))*(1+(Cartera_Polizas!$P$122-1)*MAX(0,1-11/Supuestos!$C$20))*(1-Supuestos!$C$18)^11))</f>
        <v>0.270996639757378</v>
      </c>
      <c r="O120" s="29" t="n">
        <f aca="false">N120*(1-MIN(1,INDEX(Tabla_Mortalidad!$B$5:$B$75,MIN(71,Cartera_Polizas!$B$122+12-49))*(1+(Cartera_Polizas!$P$122-1)*MAX(0,1-12/Supuestos!$C$20))*(1-Supuestos!$C$18)^12))</f>
        <v>0.219155107098371</v>
      </c>
      <c r="P120" s="29" t="n">
        <f aca="false">O120*(1-MIN(1,INDEX(Tabla_Mortalidad!$B$5:$B$75,MIN(71,Cartera_Polizas!$B$122+13-49))*(1+(Cartera_Polizas!$P$122-1)*MAX(0,1-13/Supuestos!$C$20))*(1-Supuestos!$C$18)^13))</f>
        <v>0.172737816590309</v>
      </c>
      <c r="Q120" s="29" t="n">
        <f aca="false">P120*(1-MIN(1,INDEX(Tabla_Mortalidad!$B$5:$B$75,MIN(71,Cartera_Polizas!$B$122+14-49))*(1+(Cartera_Polizas!$P$122-1)*MAX(0,1-14/Supuestos!$C$20))*(1-Supuestos!$C$18)^14))</f>
        <v>0.132293263595764</v>
      </c>
      <c r="R120" s="29" t="n">
        <f aca="false">Q120*(1-MIN(1,INDEX(Tabla_Mortalidad!$B$5:$B$75,MIN(71,Cartera_Polizas!$B$122+15-49))*(1+(Cartera_Polizas!$P$122-1)*MAX(0,1-15/Supuestos!$C$20))*(1-Supuestos!$C$18)^15))</f>
        <v>0.0981095024883165</v>
      </c>
      <c r="S120" s="29" t="n">
        <f aca="false">R120*(1-MIN(1,INDEX(Tabla_Mortalidad!$B$5:$B$75,MIN(71,Cartera_Polizas!$B$122+16-49))*(1+(Cartera_Polizas!$P$122-1)*MAX(0,1-16/Supuestos!$C$20))*(1-Supuestos!$C$18)^16))</f>
        <v>0.0704517012556625</v>
      </c>
      <c r="T120" s="29" t="n">
        <f aca="false">S120*(1-MIN(1,INDEX(Tabla_Mortalidad!$B$5:$B$75,MIN(71,Cartera_Polizas!$B$122+17-49))*(1+(Cartera_Polizas!$P$122-1)*MAX(0,1-17/Supuestos!$C$20))*(1-Supuestos!$C$18)^17))</f>
        <v>0.0488254492765977</v>
      </c>
      <c r="U120" s="29" t="n">
        <f aca="false">T120*(1-MIN(1,INDEX(Tabla_Mortalidad!$B$5:$B$75,MIN(71,Cartera_Polizas!$B$122+18-49))*(1+(Cartera_Polizas!$P$122-1)*MAX(0,1-18/Supuestos!$C$20))*(1-Supuestos!$C$18)^18))</f>
        <v>0.0325402664124072</v>
      </c>
      <c r="V120" s="29" t="n">
        <f aca="false">U120*(1-MIN(1,INDEX(Tabla_Mortalidad!$B$5:$B$75,MIN(71,Cartera_Polizas!$B$122+19-49))*(1+(Cartera_Polizas!$P$122-1)*MAX(0,1-19/Supuestos!$C$20))*(1-Supuestos!$C$18)^19))</f>
        <v>0.0207747831783941</v>
      </c>
      <c r="W120" s="29" t="n">
        <f aca="false">V120*(1-MIN(1,INDEX(Tabla_Mortalidad!$B$5:$B$75,MIN(71,Cartera_Polizas!$B$122+20-49))*(1+(Cartera_Polizas!$P$122-1)*MAX(0,1-20/Supuestos!$C$20))*(1-Supuestos!$C$18)^20))</f>
        <v>0.0126528621888758</v>
      </c>
      <c r="X120" s="29" t="n">
        <f aca="false">W120*(1-MIN(1,INDEX(Tabla_Mortalidad!$B$5:$B$75,MIN(71,Cartera_Polizas!$B$122+21-49))*(1+(Cartera_Polizas!$P$122-1)*MAX(0,1-21/Supuestos!$C$20))*(1-Supuestos!$C$18)^21))</f>
        <v>0.00731908677537394</v>
      </c>
      <c r="Y120" s="29" t="n">
        <f aca="false">X120*(1-MIN(1,INDEX(Tabla_Mortalidad!$B$5:$B$75,MIN(71,Cartera_Polizas!$B$122+22-49))*(1+(Cartera_Polizas!$P$122-1)*MAX(0,1-22/Supuestos!$C$20))*(1-Supuestos!$C$18)^22))</f>
        <v>0.00400235082632934</v>
      </c>
      <c r="Z120" s="29" t="n">
        <f aca="false">Y120*(1-MIN(1,INDEX(Tabla_Mortalidad!$B$5:$B$75,MIN(71,Cartera_Polizas!$B$122+23-49))*(1+(Cartera_Polizas!$P$122-1)*MAX(0,1-23/Supuestos!$C$20))*(1-Supuestos!$C$18)^23))</f>
        <v>0.00205899441350521</v>
      </c>
      <c r="AA120" s="29" t="n">
        <f aca="false">Z120*(1-MIN(1,INDEX(Tabla_Mortalidad!$B$5:$B$75,MIN(71,Cartera_Polizas!$B$122+24-49))*(1+(Cartera_Polizas!$P$122-1)*MAX(0,1-24/Supuestos!$C$20))*(1-Supuestos!$C$18)^24))</f>
        <v>0.000991564844821532</v>
      </c>
      <c r="AB120" s="29" t="n">
        <f aca="false">AA120*(1-MIN(1,INDEX(Tabla_Mortalidad!$B$5:$B$75,MIN(71,Cartera_Polizas!$B$122+25-49))*(1+(Cartera_Polizas!$P$122-1)*MAX(0,1-25/Supuestos!$C$20))*(1-Supuestos!$C$18)^25))</f>
        <v>0.000444796741356499</v>
      </c>
      <c r="AC120" s="29" t="n">
        <f aca="false">AB120*(1-MIN(1,INDEX(Tabla_Mortalidad!$B$5:$B$75,MIN(71,Cartera_Polizas!$B$122+26-49))*(1+(Cartera_Polizas!$P$122-1)*MAX(0,1-26/Supuestos!$C$20))*(1-Supuestos!$C$18)^26))</f>
        <v>0.000184972068691462</v>
      </c>
      <c r="AD120" s="29" t="n">
        <f aca="false">AC120*(1-MIN(1,INDEX(Tabla_Mortalidad!$B$5:$B$75,MIN(71,Cartera_Polizas!$B$122+27-49))*(1+(Cartera_Polizas!$P$122-1)*MAX(0,1-27/Supuestos!$C$20))*(1-Supuestos!$C$18)^27))</f>
        <v>7.10007504376123E-005</v>
      </c>
      <c r="AE120" s="29" t="n">
        <f aca="false">AD120*(1-MIN(1,INDEX(Tabla_Mortalidad!$B$5:$B$75,MIN(71,Cartera_Polizas!$B$122+28-49))*(1+(Cartera_Polizas!$P$122-1)*MAX(0,1-28/Supuestos!$C$20))*(1-Supuestos!$C$18)^28))</f>
        <v>2.50641006643531E-005</v>
      </c>
      <c r="AF120" s="29" t="n">
        <f aca="false">AE120*(1-MIN(1,INDEX(Tabla_Mortalidad!$B$5:$B$75,MIN(71,Cartera_Polizas!$B$122+29-49))*(1+(Cartera_Polizas!$P$122-1)*MAX(0,1-29/Supuestos!$C$20))*(1-Supuestos!$C$18)^29))</f>
        <v>8.11654314849826E-006</v>
      </c>
      <c r="AG120" s="29" t="n">
        <f aca="false">AF120*(1-MIN(1,INDEX(Tabla_Mortalidad!$B$5:$B$75,MIN(71,Cartera_Polizas!$B$122+30-49))*(1+(Cartera_Polizas!$P$122-1)*MAX(0,1-30/Supuestos!$C$20))*(1-Supuestos!$C$18)^30))</f>
        <v>2.40869878778206E-006</v>
      </c>
      <c r="AH120" s="29" t="n">
        <f aca="false">AG120*(1-MIN(1,INDEX(Tabla_Mortalidad!$B$5:$B$75,MIN(71,Cartera_Polizas!$B$122+31-49))*(1+(Cartera_Polizas!$P$122-1)*MAX(0,1-31/Supuestos!$C$20))*(1-Supuestos!$C$18)^31))</f>
        <v>6.55723973636688E-007</v>
      </c>
      <c r="AI120" s="29" t="n">
        <f aca="false">AH120*(1-MIN(1,INDEX(Tabla_Mortalidad!$B$5:$B$75,MIN(71,Cartera_Polizas!$B$122+32-49))*(1+(Cartera_Polizas!$P$122-1)*MAX(0,1-32/Supuestos!$C$20))*(1-Supuestos!$C$18)^32))</f>
        <v>1.64316645091446E-007</v>
      </c>
      <c r="AJ120" s="29" t="n">
        <f aca="false">AI120*(1-MIN(1,INDEX(Tabla_Mortalidad!$B$5:$B$75,MIN(71,Cartera_Polizas!$B$122+33-49))*(1+(Cartera_Polizas!$P$122-1)*MAX(0,1-33/Supuestos!$C$20))*(1-Supuestos!$C$18)^33))</f>
        <v>3.81363455987129E-008</v>
      </c>
      <c r="AK120" s="29" t="n">
        <f aca="false">AJ120*(1-MIN(1,INDEX(Tabla_Mortalidad!$B$5:$B$75,MIN(71,Cartera_Polizas!$B$122+34-49))*(1+(Cartera_Polizas!$P$122-1)*MAX(0,1-34/Supuestos!$C$20))*(1-Supuestos!$C$18)^34))</f>
        <v>8.27103764176053E-009</v>
      </c>
      <c r="AL120" s="29" t="n">
        <f aca="false">AK120*(1-MIN(1,INDEX(Tabla_Mortalidad!$B$5:$B$75,MIN(71,Cartera_Polizas!$B$122+35-49))*(1+(Cartera_Polizas!$P$122-1)*MAX(0,1-35/Supuestos!$C$20))*(1-Supuestos!$C$18)^35))</f>
        <v>1.69528892890711E-009</v>
      </c>
      <c r="AM120" s="29" t="n">
        <f aca="false">AL120*(1-MIN(1,INDEX(Tabla_Mortalidad!$B$5:$B$75,MIN(71,Cartera_Polizas!$B$122+36-49))*(1+(Cartera_Polizas!$P$122-1)*MAX(0,1-36/Supuestos!$C$20))*(1-Supuestos!$C$18)^36))</f>
        <v>2.79903785531481E-010</v>
      </c>
      <c r="AN120" s="29" t="n">
        <f aca="false">AM120*(1-MIN(1,INDEX(Tabla_Mortalidad!$B$5:$B$75,MIN(71,Cartera_Polizas!$B$122+37-49))*(1+(Cartera_Polizas!$P$122-1)*MAX(0,1-37/Supuestos!$C$20))*(1-Supuestos!$C$18)^37))</f>
        <v>4.73824762748357E-011</v>
      </c>
      <c r="AO120" s="29" t="n">
        <f aca="false">AN120*(1-MIN(1,INDEX(Tabla_Mortalidad!$B$5:$B$75,MIN(71,Cartera_Polizas!$B$122+38-49))*(1+(Cartera_Polizas!$P$122-1)*MAX(0,1-38/Supuestos!$C$20))*(1-Supuestos!$C$18)^38))</f>
        <v>8.21777465661643E-012</v>
      </c>
      <c r="AP120" s="29" t="n">
        <f aca="false">AO120*(1-MIN(1,INDEX(Tabla_Mortalidad!$B$5:$B$75,MIN(71,Cartera_Polizas!$B$122+39-49))*(1+(Cartera_Polizas!$P$122-1)*MAX(0,1-39/Supuestos!$C$20))*(1-Supuestos!$C$18)^39))</f>
        <v>1.45921148924013E-012</v>
      </c>
      <c r="AQ120" s="29" t="n">
        <f aca="false">AP120*(1-MIN(1,INDEX(Tabla_Mortalidad!$B$5:$B$75,MIN(71,Cartera_Polizas!$B$122+40-49))*(1+(Cartera_Polizas!$P$122-1)*MAX(0,1-40/Supuestos!$C$20))*(1-Supuestos!$C$18)^40))</f>
        <v>2.65109366767469E-013</v>
      </c>
      <c r="AR120" s="29" t="n">
        <f aca="false">AQ120*(1-MIN(1,INDEX(Tabla_Mortalidad!$B$5:$B$75,MIN(71,Cartera_Polizas!$B$122+41-49))*(1+(Cartera_Polizas!$P$122-1)*MAX(0,1-41/Supuestos!$C$20))*(1-Supuestos!$C$18)^41))</f>
        <v>4.92497593155563E-014</v>
      </c>
      <c r="AS120" s="29" t="n">
        <f aca="false">AR120*(1-MIN(1,INDEX(Tabla_Mortalidad!$B$5:$B$75,MIN(71,Cartera_Polizas!$B$122+42-49))*(1+(Cartera_Polizas!$P$122-1)*MAX(0,1-42/Supuestos!$C$20))*(1-Supuestos!$C$18)^42))</f>
        <v>9.34970345042205E-015</v>
      </c>
      <c r="AT120" s="29" t="n">
        <f aca="false">AS120*(1-MIN(1,INDEX(Tabla_Mortalidad!$B$5:$B$75,MIN(71,Cartera_Polizas!$B$122+43-49))*(1+(Cartera_Polizas!$P$122-1)*MAX(0,1-43/Supuestos!$C$20))*(1-Supuestos!$C$18)^43))</f>
        <v>1.81284587582957E-015</v>
      </c>
      <c r="AU120" s="29" t="n">
        <f aca="false">AT120*(1-MIN(1,INDEX(Tabla_Mortalidad!$B$5:$B$75,MIN(71,Cartera_Polizas!$B$122+44-49))*(1+(Cartera_Polizas!$P$122-1)*MAX(0,1-44/Supuestos!$C$20))*(1-Supuestos!$C$18)^44))</f>
        <v>3.58805602033819E-016</v>
      </c>
    </row>
    <row r="121" customFormat="false" ht="15" hidden="false" customHeight="false" outlineLevel="0" collapsed="false">
      <c r="A121" s="14" t="n">
        <f aca="false">Cartera_Polizas!A123</f>
        <v>118</v>
      </c>
      <c r="B121" s="26" t="n">
        <f aca="false">SUM(C121:AU121)+0.5</f>
        <v>9.10101656511559</v>
      </c>
      <c r="C121" s="29" t="n">
        <f aca="false">1-MIN(1,INDEX(Tabla_Mortalidad!$B$5:$B$75,MIN(71,Cartera_Polizas!$B$123+0-49))*(1+(Cartera_Polizas!$P$123-1)*MAX(0,1-0/Supuestos!$C$20))*(1-Supuestos!$C$18)^0)</f>
        <v>0.9368756255</v>
      </c>
      <c r="D121" s="29" t="n">
        <f aca="false">C121*(1-MIN(1,INDEX(Tabla_Mortalidad!$B$5:$B$75,MIN(71,Cartera_Polizas!$B$123+1-49))*(1+(Cartera_Polizas!$P$123-1)*MAX(0,1-1/Supuestos!$C$20))*(1-Supuestos!$C$18)^1))</f>
        <v>0.87323642539527</v>
      </c>
      <c r="E121" s="29" t="n">
        <f aca="false">D121*(1-MIN(1,INDEX(Tabla_Mortalidad!$B$5:$B$75,MIN(71,Cartera_Polizas!$B$123+2-49))*(1+(Cartera_Polizas!$P$123-1)*MAX(0,1-2/Supuestos!$C$20))*(1-Supuestos!$C$18)^2))</f>
        <v>0.80948106123786</v>
      </c>
      <c r="F121" s="29" t="n">
        <f aca="false">E121*(1-MIN(1,INDEX(Tabla_Mortalidad!$B$5:$B$75,MIN(71,Cartera_Polizas!$B$123+3-49))*(1+(Cartera_Polizas!$P$123-1)*MAX(0,1-3/Supuestos!$C$20))*(1-Supuestos!$C$18)^3))</f>
        <v>0.746034478619279</v>
      </c>
      <c r="G121" s="29" t="n">
        <f aca="false">F121*(1-MIN(1,INDEX(Tabla_Mortalidad!$B$5:$B$75,MIN(71,Cartera_Polizas!$B$123+4-49))*(1+(Cartera_Polizas!$P$123-1)*MAX(0,1-4/Supuestos!$C$20))*(1-Supuestos!$C$18)^4))</f>
        <v>0.683342872643699</v>
      </c>
      <c r="H121" s="29" t="n">
        <f aca="false">G121*(1-MIN(1,INDEX(Tabla_Mortalidad!$B$5:$B$75,MIN(71,Cartera_Polizas!$B$123+5-49))*(1+(Cartera_Polizas!$P$123-1)*MAX(0,1-5/Supuestos!$C$20))*(1-Supuestos!$C$18)^5))</f>
        <v>0.621865882086147</v>
      </c>
      <c r="I121" s="29" t="n">
        <f aca="false">H121*(1-MIN(1,INDEX(Tabla_Mortalidad!$B$5:$B$75,MIN(71,Cartera_Polizas!$B$123+6-49))*(1+(Cartera_Polizas!$P$123-1)*MAX(0,1-6/Supuestos!$C$20))*(1-Supuestos!$C$18)^6))</f>
        <v>0.562062630087249</v>
      </c>
      <c r="J121" s="29" t="n">
        <f aca="false">I121*(1-MIN(1,INDEX(Tabla_Mortalidad!$B$5:$B$75,MIN(71,Cartera_Polizas!$B$123+7-49))*(1+(Cartera_Polizas!$P$123-1)*MAX(0,1-7/Supuestos!$C$20))*(1-Supuestos!$C$18)^7))</f>
        <v>0.504379037915919</v>
      </c>
      <c r="K121" s="29" t="n">
        <f aca="false">J121*(1-MIN(1,INDEX(Tabla_Mortalidad!$B$5:$B$75,MIN(71,Cartera_Polizas!$B$123+8-49))*(1+(Cartera_Polizas!$P$123-1)*MAX(0,1-8/Supuestos!$C$20))*(1-Supuestos!$C$18)^8))</f>
        <v>0.449238250180458</v>
      </c>
      <c r="L121" s="29" t="n">
        <f aca="false">K121*(1-MIN(1,INDEX(Tabla_Mortalidad!$B$5:$B$75,MIN(71,Cartera_Polizas!$B$123+9-49))*(1+(Cartera_Polizas!$P$123-1)*MAX(0,1-9/Supuestos!$C$20))*(1-Supuestos!$C$18)^9))</f>
        <v>0.397022728234615</v>
      </c>
      <c r="M121" s="29" t="n">
        <f aca="false">L121*(1-MIN(1,INDEX(Tabla_Mortalidad!$B$5:$B$75,MIN(71,Cartera_Polizas!$B$123+10-49))*(1+(Cartera_Polizas!$P$123-1)*MAX(0,1-10/Supuestos!$C$20))*(1-Supuestos!$C$18)^10))</f>
        <v>0.348065853473824</v>
      </c>
      <c r="N121" s="29" t="n">
        <f aca="false">M121*(1-MIN(1,INDEX(Tabla_Mortalidad!$B$5:$B$75,MIN(71,Cartera_Polizas!$B$123+11-49))*(1+(Cartera_Polizas!$P$123-1)*MAX(0,1-11/Supuestos!$C$20))*(1-Supuestos!$C$18)^11))</f>
        <v>0.302637648107935</v>
      </c>
      <c r="O121" s="29" t="n">
        <f aca="false">N121*(1-MIN(1,INDEX(Tabla_Mortalidad!$B$5:$B$75,MIN(71,Cartera_Polizas!$B$123+12-49))*(1+(Cartera_Polizas!$P$123-1)*MAX(0,1-12/Supuestos!$C$20))*(1-Supuestos!$C$18)^12))</f>
        <v>0.26093651130549</v>
      </c>
      <c r="P121" s="29" t="n">
        <f aca="false">O121*(1-MIN(1,INDEX(Tabla_Mortalidad!$B$5:$B$75,MIN(71,Cartera_Polizas!$B$123+13-49))*(1+(Cartera_Polizas!$P$123-1)*MAX(0,1-13/Supuestos!$C$20))*(1-Supuestos!$C$18)^13))</f>
        <v>0.223082754997179</v>
      </c>
      <c r="Q121" s="29" t="n">
        <f aca="false">P121*(1-MIN(1,INDEX(Tabla_Mortalidad!$B$5:$B$75,MIN(71,Cartera_Polizas!$B$123+14-49))*(1+(Cartera_Polizas!$P$123-1)*MAX(0,1-14/Supuestos!$C$20))*(1-Supuestos!$C$18)^14))</f>
        <v>0.189115940531624</v>
      </c>
      <c r="R121" s="29" t="n">
        <f aca="false">Q121*(1-MIN(1,INDEX(Tabla_Mortalidad!$B$5:$B$75,MIN(71,Cartera_Polizas!$B$123+15-49))*(1+(Cartera_Polizas!$P$123-1)*MAX(0,1-15/Supuestos!$C$20))*(1-Supuestos!$C$18)^15))</f>
        <v>0.158995779457902</v>
      </c>
      <c r="S121" s="29" t="n">
        <f aca="false">R121*(1-MIN(1,INDEX(Tabla_Mortalidad!$B$5:$B$75,MIN(71,Cartera_Polizas!$B$123+16-49))*(1+(Cartera_Polizas!$P$123-1)*MAX(0,1-16/Supuestos!$C$20))*(1-Supuestos!$C$18)^16))</f>
        <v>0.131165836573274</v>
      </c>
      <c r="T121" s="29" t="n">
        <f aca="false">S121*(1-MIN(1,INDEX(Tabla_Mortalidad!$B$5:$B$75,MIN(71,Cartera_Polizas!$B$123+17-49))*(1+(Cartera_Polizas!$P$123-1)*MAX(0,1-17/Supuestos!$C$20))*(1-Supuestos!$C$18)^17))</f>
        <v>0.105964078734081</v>
      </c>
      <c r="U121" s="29" t="n">
        <f aca="false">T121*(1-MIN(1,INDEX(Tabla_Mortalidad!$B$5:$B$75,MIN(71,Cartera_Polizas!$B$123+18-49))*(1+(Cartera_Polizas!$P$123-1)*MAX(0,1-18/Supuestos!$C$20))*(1-Supuestos!$C$18)^18))</f>
        <v>0.0836447644824731</v>
      </c>
      <c r="V121" s="29" t="n">
        <f aca="false">U121*(1-MIN(1,INDEX(Tabla_Mortalidad!$B$5:$B$75,MIN(71,Cartera_Polizas!$B$123+19-49))*(1+(Cartera_Polizas!$P$123-1)*MAX(0,1-19/Supuestos!$C$20))*(1-Supuestos!$C$18)^19))</f>
        <v>0.0643586214492786</v>
      </c>
      <c r="W121" s="29" t="n">
        <f aca="false">V121*(1-MIN(1,INDEX(Tabla_Mortalidad!$B$5:$B$75,MIN(71,Cartera_Polizas!$B$123+20-49))*(1+(Cartera_Polizas!$P$123-1)*MAX(0,1-20/Supuestos!$C$20))*(1-Supuestos!$C$18)^20))</f>
        <v>0.0481403617226092</v>
      </c>
      <c r="X121" s="29" t="n">
        <f aca="false">W121*(1-MIN(1,INDEX(Tabla_Mortalidad!$B$5:$B$75,MIN(71,Cartera_Polizas!$B$123+21-49))*(1+(Cartera_Polizas!$P$123-1)*MAX(0,1-21/Supuestos!$C$20))*(1-Supuestos!$C$18)^21))</f>
        <v>0.0349051366634798</v>
      </c>
      <c r="Y121" s="29" t="n">
        <f aca="false">X121*(1-MIN(1,INDEX(Tabla_Mortalidad!$B$5:$B$75,MIN(71,Cartera_Polizas!$B$123+22-49))*(1+(Cartera_Polizas!$P$123-1)*MAX(0,1-22/Supuestos!$C$20))*(1-Supuestos!$C$18)^22))</f>
        <v>0.0244556604791067</v>
      </c>
      <c r="Z121" s="29" t="n">
        <f aca="false">Y121*(1-MIN(1,INDEX(Tabla_Mortalidad!$B$5:$B$75,MIN(71,Cartera_Polizas!$B$123+23-49))*(1+(Cartera_Polizas!$P$123-1)*MAX(0,1-23/Supuestos!$C$20))*(1-Supuestos!$C$18)^23))</f>
        <v>0.0165006420248935</v>
      </c>
      <c r="AA121" s="29" t="n">
        <f aca="false">Z121*(1-MIN(1,INDEX(Tabla_Mortalidad!$B$5:$B$75,MIN(71,Cartera_Polizas!$B$123+24-49))*(1+(Cartera_Polizas!$P$123-1)*MAX(0,1-24/Supuestos!$C$20))*(1-Supuestos!$C$18)^24))</f>
        <v>0.0106822241159023</v>
      </c>
      <c r="AB121" s="29" t="n">
        <f aca="false">AA121*(1-MIN(1,INDEX(Tabla_Mortalidad!$B$5:$B$75,MIN(71,Cartera_Polizas!$B$123+25-49))*(1+(Cartera_Polizas!$P$123-1)*MAX(0,1-25/Supuestos!$C$20))*(1-Supuestos!$C$18)^25))</f>
        <v>0.00660936535755746</v>
      </c>
      <c r="AC121" s="29" t="n">
        <f aca="false">AB121*(1-MIN(1,INDEX(Tabla_Mortalidad!$B$5:$B$75,MIN(71,Cartera_Polizas!$B$123+26-49))*(1+(Cartera_Polizas!$P$123-1)*MAX(0,1-26/Supuestos!$C$20))*(1-Supuestos!$C$18)^26))</f>
        <v>0.00389216845536403</v>
      </c>
      <c r="AD121" s="29" t="n">
        <f aca="false">AC121*(1-MIN(1,INDEX(Tabla_Mortalidad!$B$5:$B$75,MIN(71,Cartera_Polizas!$B$123+27-49))*(1+(Cartera_Polizas!$P$123-1)*MAX(0,1-27/Supuestos!$C$20))*(1-Supuestos!$C$18)^27))</f>
        <v>0.00217203939096305</v>
      </c>
      <c r="AE121" s="29" t="n">
        <f aca="false">AD121*(1-MIN(1,INDEX(Tabla_Mortalidad!$B$5:$B$75,MIN(71,Cartera_Polizas!$B$123+28-49))*(1+(Cartera_Polizas!$P$123-1)*MAX(0,1-28/Supuestos!$C$20))*(1-Supuestos!$C$18)^28))</f>
        <v>0.00114350124188086</v>
      </c>
      <c r="AF121" s="29" t="n">
        <f aca="false">AE121*(1-MIN(1,INDEX(Tabla_Mortalidad!$B$5:$B$75,MIN(71,Cartera_Polizas!$B$123+29-49))*(1+(Cartera_Polizas!$P$123-1)*MAX(0,1-29/Supuestos!$C$20))*(1-Supuestos!$C$18)^29))</f>
        <v>0.000565357132563194</v>
      </c>
      <c r="AG121" s="29" t="n">
        <f aca="false">AF121*(1-MIN(1,INDEX(Tabla_Mortalidad!$B$5:$B$75,MIN(71,Cartera_Polizas!$B$123+30-49))*(1+(Cartera_Polizas!$P$123-1)*MAX(0,1-30/Supuestos!$C$20))*(1-Supuestos!$C$18)^30))</f>
        <v>0.000261324409009721</v>
      </c>
      <c r="AH121" s="29" t="n">
        <f aca="false">AG121*(1-MIN(1,INDEX(Tabla_Mortalidad!$B$5:$B$75,MIN(71,Cartera_Polizas!$B$123+31-49))*(1+(Cartera_Polizas!$P$123-1)*MAX(0,1-31/Supuestos!$C$20))*(1-Supuestos!$C$18)^31))</f>
        <v>0.000112452014905172</v>
      </c>
      <c r="AI121" s="29" t="n">
        <f aca="false">AH121*(1-MIN(1,INDEX(Tabla_Mortalidad!$B$5:$B$75,MIN(71,Cartera_Polizas!$B$123+32-49))*(1+(Cartera_Polizas!$P$123-1)*MAX(0,1-32/Supuestos!$C$20))*(1-Supuestos!$C$18)^32))</f>
        <v>4.48791918637546E-005</v>
      </c>
      <c r="AJ121" s="29" t="n">
        <f aca="false">AI121*(1-MIN(1,INDEX(Tabla_Mortalidad!$B$5:$B$75,MIN(71,Cartera_Polizas!$B$123+33-49))*(1+(Cartera_Polizas!$P$123-1)*MAX(0,1-33/Supuestos!$C$20))*(1-Supuestos!$C$18)^33))</f>
        <v>1.65615678561582E-005</v>
      </c>
      <c r="AK121" s="29" t="n">
        <f aca="false">AJ121*(1-MIN(1,INDEX(Tabla_Mortalidad!$B$5:$B$75,MIN(71,Cartera_Polizas!$B$123+34-49))*(1+(Cartera_Polizas!$P$123-1)*MAX(0,1-34/Supuestos!$C$20))*(1-Supuestos!$C$18)^34))</f>
        <v>5.64033058834976E-006</v>
      </c>
      <c r="AL121" s="29" t="n">
        <f aca="false">AK121*(1-MIN(1,INDEX(Tabla_Mortalidad!$B$5:$B$75,MIN(71,Cartera_Polizas!$B$123+35-49))*(1+(Cartera_Polizas!$P$123-1)*MAX(0,1-35/Supuestos!$C$20))*(1-Supuestos!$C$18)^35))</f>
        <v>1.772023141639E-006</v>
      </c>
      <c r="AM121" s="29" t="n">
        <f aca="false">AL121*(1-MIN(1,INDEX(Tabla_Mortalidad!$B$5:$B$75,MIN(71,Cartera_Polizas!$B$123+36-49))*(1+(Cartera_Polizas!$P$123-1)*MAX(0,1-36/Supuestos!$C$20))*(1-Supuestos!$C$18)^36))</f>
        <v>5.14320493595167E-007</v>
      </c>
      <c r="AN121" s="29" t="n">
        <f aca="false">AM121*(1-MIN(1,INDEX(Tabla_Mortalidad!$B$5:$B$75,MIN(71,Cartera_Polizas!$B$123+37-49))*(1+(Cartera_Polizas!$P$123-1)*MAX(0,1-37/Supuestos!$C$20))*(1-Supuestos!$C$18)^37))</f>
        <v>1.38422679473471E-007</v>
      </c>
      <c r="AO121" s="29" t="n">
        <f aca="false">AN121*(1-MIN(1,INDEX(Tabla_Mortalidad!$B$5:$B$75,MIN(71,Cartera_Polizas!$B$123+38-49))*(1+(Cartera_Polizas!$P$123-1)*MAX(0,1-38/Supuestos!$C$20))*(1-Supuestos!$C$18)^38))</f>
        <v>3.475756058182E-008</v>
      </c>
      <c r="AP121" s="29" t="n">
        <f aca="false">AO121*(1-MIN(1,INDEX(Tabla_Mortalidad!$B$5:$B$75,MIN(71,Cartera_Polizas!$B$123+39-49))*(1+(Cartera_Polizas!$P$123-1)*MAX(0,1-39/Supuestos!$C$20))*(1-Supuestos!$C$18)^39))</f>
        <v>8.21195637022574E-009</v>
      </c>
      <c r="AQ121" s="29" t="n">
        <f aca="false">AP121*(1-MIN(1,INDEX(Tabla_Mortalidad!$B$5:$B$75,MIN(71,Cartera_Polizas!$B$123+40-49))*(1+(Cartera_Polizas!$P$123-1)*MAX(0,1-40/Supuestos!$C$20))*(1-Supuestos!$C$18)^40))</f>
        <v>1.84477459890881E-009</v>
      </c>
      <c r="AR121" s="29" t="n">
        <f aca="false">AQ121*(1-MIN(1,INDEX(Tabla_Mortalidad!$B$5:$B$75,MIN(71,Cartera_Polizas!$B$123+41-49))*(1+(Cartera_Polizas!$P$123-1)*MAX(0,1-41/Supuestos!$C$20))*(1-Supuestos!$C$18)^41))</f>
        <v>3.4270650673539E-010</v>
      </c>
      <c r="AS121" s="29" t="n">
        <f aca="false">AR121*(1-MIN(1,INDEX(Tabla_Mortalidad!$B$5:$B$75,MIN(71,Cartera_Polizas!$B$123+42-49))*(1+(Cartera_Polizas!$P$123-1)*MAX(0,1-42/Supuestos!$C$20))*(1-Supuestos!$C$18)^42))</f>
        <v>6.50603018783457E-011</v>
      </c>
      <c r="AT121" s="29" t="n">
        <f aca="false">AS121*(1-MIN(1,INDEX(Tabla_Mortalidad!$B$5:$B$75,MIN(71,Cartera_Polizas!$B$123+43-49))*(1+(Cartera_Polizas!$P$123-1)*MAX(0,1-43/Supuestos!$C$20))*(1-Supuestos!$C$18)^43))</f>
        <v>1.26147637265503E-011</v>
      </c>
      <c r="AU121" s="29" t="n">
        <f aca="false">AT121*(1-MIN(1,INDEX(Tabla_Mortalidad!$B$5:$B$75,MIN(71,Cartera_Polizas!$B$123+44-49))*(1+(Cartera_Polizas!$P$123-1)*MAX(0,1-44/Supuestos!$C$20))*(1-Supuestos!$C$18)^44))</f>
        <v>2.49676376451363E-012</v>
      </c>
    </row>
    <row r="122" customFormat="false" ht="15" hidden="false" customHeight="false" outlineLevel="0" collapsed="false">
      <c r="A122" s="14" t="n">
        <f aca="false">Cartera_Polizas!A124</f>
        <v>119</v>
      </c>
      <c r="B122" s="26" t="n">
        <f aca="false">SUM(C122:AU122)+0.5</f>
        <v>5.3525494152483</v>
      </c>
      <c r="C122" s="29" t="n">
        <f aca="false">1-MIN(1,INDEX(Tabla_Mortalidad!$B$5:$B$75,MIN(71,Cartera_Polizas!$B$124+0-49))*(1+(Cartera_Polizas!$P$124-1)*MAX(0,1-0/Supuestos!$C$20))*(1-Supuestos!$C$18)^0)</f>
        <v>0.8788087375</v>
      </c>
      <c r="D122" s="29" t="n">
        <f aca="false">C122*(1-MIN(1,INDEX(Tabla_Mortalidad!$B$5:$B$75,MIN(71,Cartera_Polizas!$B$124+1-49))*(1+(Cartera_Polizas!$P$124-1)*MAX(0,1-1/Supuestos!$C$20))*(1-Supuestos!$C$18)^1))</f>
        <v>0.763010645936605</v>
      </c>
      <c r="E122" s="29" t="n">
        <f aca="false">D122*(1-MIN(1,INDEX(Tabla_Mortalidad!$B$5:$B$75,MIN(71,Cartera_Polizas!$B$124+2-49))*(1+(Cartera_Polizas!$P$124-1)*MAX(0,1-2/Supuestos!$C$20))*(1-Supuestos!$C$18)^2))</f>
        <v>0.653793876825563</v>
      </c>
      <c r="F122" s="29" t="n">
        <f aca="false">E122*(1-MIN(1,INDEX(Tabla_Mortalidad!$B$5:$B$75,MIN(71,Cartera_Polizas!$B$124+3-49))*(1+(Cartera_Polizas!$P$124-1)*MAX(0,1-3/Supuestos!$C$20))*(1-Supuestos!$C$18)^3))</f>
        <v>0.552231550205896</v>
      </c>
      <c r="G122" s="29" t="n">
        <f aca="false">F122*(1-MIN(1,INDEX(Tabla_Mortalidad!$B$5:$B$75,MIN(71,Cartera_Polizas!$B$124+4-49))*(1+(Cartera_Polizas!$P$124-1)*MAX(0,1-4/Supuestos!$C$20))*(1-Supuestos!$C$18)^4))</f>
        <v>0.45922993158336</v>
      </c>
      <c r="H122" s="29" t="n">
        <f aca="false">G122*(1-MIN(1,INDEX(Tabla_Mortalidad!$B$5:$B$75,MIN(71,Cartera_Polizas!$B$124+5-49))*(1+(Cartera_Polizas!$P$124-1)*MAX(0,1-5/Supuestos!$C$20))*(1-Supuestos!$C$18)^5))</f>
        <v>0.37548115373894</v>
      </c>
      <c r="I122" s="29" t="n">
        <f aca="false">H122*(1-MIN(1,INDEX(Tabla_Mortalidad!$B$5:$B$75,MIN(71,Cartera_Polizas!$B$124+6-49))*(1+(Cartera_Polizas!$P$124-1)*MAX(0,1-6/Supuestos!$C$20))*(1-Supuestos!$C$18)^6))</f>
        <v>0.301423565958571</v>
      </c>
      <c r="J122" s="29" t="n">
        <f aca="false">I122*(1-MIN(1,INDEX(Tabla_Mortalidad!$B$5:$B$75,MIN(71,Cartera_Polizas!$B$124+7-49))*(1+(Cartera_Polizas!$P$124-1)*MAX(0,1-7/Supuestos!$C$20))*(1-Supuestos!$C$18)^7))</f>
        <v>0.237213906317731</v>
      </c>
      <c r="K122" s="29" t="n">
        <f aca="false">J122*(1-MIN(1,INDEX(Tabla_Mortalidad!$B$5:$B$75,MIN(71,Cartera_Polizas!$B$124+8-49))*(1+(Cartera_Polizas!$P$124-1)*MAX(0,1-8/Supuestos!$C$20))*(1-Supuestos!$C$18)^8))</f>
        <v>0.182718852584157</v>
      </c>
      <c r="L122" s="29" t="n">
        <f aca="false">K122*(1-MIN(1,INDEX(Tabla_Mortalidad!$B$5:$B$75,MIN(71,Cartera_Polizas!$B$124+9-49))*(1+(Cartera_Polizas!$P$124-1)*MAX(0,1-9/Supuestos!$C$20))*(1-Supuestos!$C$18)^9))</f>
        <v>0.137524500705714</v>
      </c>
      <c r="M122" s="29" t="n">
        <f aca="false">L122*(1-MIN(1,INDEX(Tabla_Mortalidad!$B$5:$B$75,MIN(71,Cartera_Polizas!$B$124+10-49))*(1+(Cartera_Polizas!$P$124-1)*MAX(0,1-10/Supuestos!$C$20))*(1-Supuestos!$C$18)^10))</f>
        <v>0.10096557667432</v>
      </c>
      <c r="N122" s="29" t="n">
        <f aca="false">M122*(1-MIN(1,INDEX(Tabla_Mortalidad!$B$5:$B$75,MIN(71,Cartera_Polizas!$B$124+11-49))*(1+(Cartera_Polizas!$P$124-1)*MAX(0,1-11/Supuestos!$C$20))*(1-Supuestos!$C$18)^11))</f>
        <v>0.0721745887111592</v>
      </c>
      <c r="O122" s="29" t="n">
        <f aca="false">N122*(1-MIN(1,INDEX(Tabla_Mortalidad!$B$5:$B$75,MIN(71,Cartera_Polizas!$B$124+12-49))*(1+(Cartera_Polizas!$P$124-1)*MAX(0,1-12/Supuestos!$C$20))*(1-Supuestos!$C$18)^12))</f>
        <v>0.0501444984901801</v>
      </c>
      <c r="P122" s="29" t="n">
        <f aca="false">O122*(1-MIN(1,INDEX(Tabla_Mortalidad!$B$5:$B$75,MIN(71,Cartera_Polizas!$B$124+13-49))*(1+(Cartera_Polizas!$P$124-1)*MAX(0,1-13/Supuestos!$C$20))*(1-Supuestos!$C$18)^13))</f>
        <v>0.0337988582697058</v>
      </c>
      <c r="Q122" s="29" t="n">
        <f aca="false">P122*(1-MIN(1,INDEX(Tabla_Mortalidad!$B$5:$B$75,MIN(71,Cartera_Polizas!$B$124+14-49))*(1+(Cartera_Polizas!$P$124-1)*MAX(0,1-14/Supuestos!$C$20))*(1-Supuestos!$C$18)^14))</f>
        <v>0.0220624923454754</v>
      </c>
      <c r="R122" s="29" t="n">
        <f aca="false">Q122*(1-MIN(1,INDEX(Tabla_Mortalidad!$B$5:$B$75,MIN(71,Cartera_Polizas!$B$124+15-49))*(1+(Cartera_Polizas!$P$124-1)*MAX(0,1-15/Supuestos!$C$20))*(1-Supuestos!$C$18)^15))</f>
        <v>0.0139238696696411</v>
      </c>
      <c r="S122" s="29" t="n">
        <f aca="false">R122*(1-MIN(1,INDEX(Tabla_Mortalidad!$B$5:$B$75,MIN(71,Cartera_Polizas!$B$124+16-49))*(1+(Cartera_Polizas!$P$124-1)*MAX(0,1-16/Supuestos!$C$20))*(1-Supuestos!$C$18)^16))</f>
        <v>0.00837007413404286</v>
      </c>
      <c r="T122" s="29" t="n">
        <f aca="false">S122*(1-MIN(1,INDEX(Tabla_Mortalidad!$B$5:$B$75,MIN(71,Cartera_Polizas!$B$124+17-49))*(1+(Cartera_Polizas!$P$124-1)*MAX(0,1-17/Supuestos!$C$20))*(1-Supuestos!$C$18)^17))</f>
        <v>0.00477023636796773</v>
      </c>
      <c r="U122" s="29" t="n">
        <f aca="false">T122*(1-MIN(1,INDEX(Tabla_Mortalidad!$B$5:$B$75,MIN(71,Cartera_Polizas!$B$124+18-49))*(1+(Cartera_Polizas!$P$124-1)*MAX(0,1-18/Supuestos!$C$20))*(1-Supuestos!$C$18)^18))</f>
        <v>0.00256476421850947</v>
      </c>
      <c r="V122" s="29" t="n">
        <f aca="false">U122*(1-MIN(1,INDEX(Tabla_Mortalidad!$B$5:$B$75,MIN(71,Cartera_Polizas!$B$124+19-49))*(1+(Cartera_Polizas!$P$124-1)*MAX(0,1-19/Supuestos!$C$20))*(1-Supuestos!$C$18)^19))</f>
        <v>0.00129421226911949</v>
      </c>
      <c r="W122" s="29" t="n">
        <f aca="false">V122*(1-MIN(1,INDEX(Tabla_Mortalidad!$B$5:$B$75,MIN(71,Cartera_Polizas!$B$124+20-49))*(1+(Cartera_Polizas!$P$124-1)*MAX(0,1-20/Supuestos!$C$20))*(1-Supuestos!$C$18)^20))</f>
        <v>0.000609674759874015</v>
      </c>
      <c r="X122" s="29" t="n">
        <f aca="false">W122*(1-MIN(1,INDEX(Tabla_Mortalidad!$B$5:$B$75,MIN(71,Cartera_Polizas!$B$124+21-49))*(1+(Cartera_Polizas!$P$124-1)*MAX(0,1-21/Supuestos!$C$20))*(1-Supuestos!$C$18)^21))</f>
        <v>0.000266679637959002</v>
      </c>
      <c r="Y122" s="29" t="n">
        <f aca="false">X122*(1-MIN(1,INDEX(Tabla_Mortalidad!$B$5:$B$75,MIN(71,Cartera_Polizas!$B$124+22-49))*(1+(Cartera_Polizas!$P$124-1)*MAX(0,1-22/Supuestos!$C$20))*(1-Supuestos!$C$18)^22))</f>
        <v>0.000107745816509375</v>
      </c>
      <c r="Z122" s="29" t="n">
        <f aca="false">Y122*(1-MIN(1,INDEX(Tabla_Mortalidad!$B$5:$B$75,MIN(71,Cartera_Polizas!$B$124+23-49))*(1+(Cartera_Polizas!$P$124-1)*MAX(0,1-23/Supuestos!$C$20))*(1-Supuestos!$C$18)^23))</f>
        <v>4.00132532027834E-005</v>
      </c>
      <c r="AA122" s="29" t="n">
        <f aca="false">Z122*(1-MIN(1,INDEX(Tabla_Mortalidad!$B$5:$B$75,MIN(71,Cartera_Polizas!$B$124+24-49))*(1+(Cartera_Polizas!$P$124-1)*MAX(0,1-24/Supuestos!$C$20))*(1-Supuestos!$C$18)^24))</f>
        <v>1.36008499887532E-005</v>
      </c>
      <c r="AB122" s="29" t="n">
        <f aca="false">AA122*(1-MIN(1,INDEX(Tabla_Mortalidad!$B$5:$B$75,MIN(71,Cartera_Polizas!$B$124+25-49))*(1+(Cartera_Polizas!$P$124-1)*MAX(0,1-25/Supuestos!$C$20))*(1-Supuestos!$C$18)^25))</f>
        <v>4.21813081682464E-006</v>
      </c>
      <c r="AC122" s="29" t="n">
        <f aca="false">AB122*(1-MIN(1,INDEX(Tabla_Mortalidad!$B$5:$B$75,MIN(71,Cartera_Polizas!$B$124+26-49))*(1+(Cartera_Polizas!$P$124-1)*MAX(0,1-26/Supuestos!$C$20))*(1-Supuestos!$C$18)^26))</f>
        <v>1.19171399618792E-006</v>
      </c>
      <c r="AD122" s="29" t="n">
        <f aca="false">AC122*(1-MIN(1,INDEX(Tabla_Mortalidad!$B$5:$B$75,MIN(71,Cartera_Polizas!$B$124+27-49))*(1+(Cartera_Polizas!$P$124-1)*MAX(0,1-27/Supuestos!$C$20))*(1-Supuestos!$C$18)^27))</f>
        <v>3.06857386450864E-007</v>
      </c>
      <c r="AE122" s="29" t="n">
        <f aca="false">AD122*(1-MIN(1,INDEX(Tabla_Mortalidad!$B$5:$B$75,MIN(71,Cartera_Polizas!$B$124+28-49))*(1+(Cartera_Polizas!$P$124-1)*MAX(0,1-28/Supuestos!$C$20))*(1-Supuestos!$C$18)^28))</f>
        <v>7.22374970260924E-008</v>
      </c>
      <c r="AF122" s="29" t="n">
        <f aca="false">AE122*(1-MIN(1,INDEX(Tabla_Mortalidad!$B$5:$B$75,MIN(71,Cartera_Polizas!$B$124+29-49))*(1+(Cartera_Polizas!$P$124-1)*MAX(0,1-29/Supuestos!$C$20))*(1-Supuestos!$C$18)^29))</f>
        <v>1.56421976880915E-008</v>
      </c>
      <c r="AG122" s="29" t="n">
        <f aca="false">AF122*(1-MIN(1,INDEX(Tabla_Mortalidad!$B$5:$B$75,MIN(71,Cartera_Polizas!$B$124+30-49))*(1+(Cartera_Polizas!$P$124-1)*MAX(0,1-30/Supuestos!$C$20))*(1-Supuestos!$C$18)^30))</f>
        <v>3.14440345586421E-009</v>
      </c>
      <c r="AH122" s="29" t="n">
        <f aca="false">AG122*(1-MIN(1,INDEX(Tabla_Mortalidad!$B$5:$B$75,MIN(71,Cartera_Polizas!$B$124+31-49))*(1+(Cartera_Polizas!$P$124-1)*MAX(0,1-31/Supuestos!$C$20))*(1-Supuestos!$C$18)^31))</f>
        <v>5.93869244734054E-010</v>
      </c>
      <c r="AI122" s="29" t="n">
        <f aca="false">AH122*(1-MIN(1,INDEX(Tabla_Mortalidad!$B$5:$B$75,MIN(71,Cartera_Polizas!$B$124+32-49))*(1+(Cartera_Polizas!$P$124-1)*MAX(0,1-32/Supuestos!$C$20))*(1-Supuestos!$C$18)^32))</f>
        <v>8.80103177101332E-011</v>
      </c>
      <c r="AJ122" s="29" t="n">
        <f aca="false">AI122*(1-MIN(1,INDEX(Tabla_Mortalidad!$B$5:$B$75,MIN(71,Cartera_Polizas!$B$124+33-49))*(1+(Cartera_Polizas!$P$124-1)*MAX(0,1-33/Supuestos!$C$20))*(1-Supuestos!$C$18)^33))</f>
        <v>1.34178021820719E-011</v>
      </c>
      <c r="AK122" s="29" t="n">
        <f aca="false">AJ122*(1-MIN(1,INDEX(Tabla_Mortalidad!$B$5:$B$75,MIN(71,Cartera_Polizas!$B$124+34-49))*(1+(Cartera_Polizas!$P$124-1)*MAX(0,1-34/Supuestos!$C$20))*(1-Supuestos!$C$18)^34))</f>
        <v>2.10250068741659E-012</v>
      </c>
      <c r="AL122" s="29" t="n">
        <f aca="false">AK122*(1-MIN(1,INDEX(Tabla_Mortalidad!$B$5:$B$75,MIN(71,Cartera_Polizas!$B$124+35-49))*(1+(Cartera_Polizas!$P$124-1)*MAX(0,1-35/Supuestos!$C$20))*(1-Supuestos!$C$18)^35))</f>
        <v>3.38316307309016E-013</v>
      </c>
      <c r="AM122" s="29" t="n">
        <f aca="false">AL122*(1-MIN(1,INDEX(Tabla_Mortalidad!$B$5:$B$75,MIN(71,Cartera_Polizas!$B$124+36-49))*(1+(Cartera_Polizas!$P$124-1)*MAX(0,1-36/Supuestos!$C$20))*(1-Supuestos!$C$18)^36))</f>
        <v>5.58583339442161E-014</v>
      </c>
      <c r="AN122" s="29" t="n">
        <f aca="false">AM122*(1-MIN(1,INDEX(Tabla_Mortalidad!$B$5:$B$75,MIN(71,Cartera_Polizas!$B$124+37-49))*(1+(Cartera_Polizas!$P$124-1)*MAX(0,1-37/Supuestos!$C$20))*(1-Supuestos!$C$18)^37))</f>
        <v>9.45577130312156E-015</v>
      </c>
      <c r="AO122" s="29" t="n">
        <f aca="false">AN122*(1-MIN(1,INDEX(Tabla_Mortalidad!$B$5:$B$75,MIN(71,Cartera_Polizas!$B$124+38-49))*(1+(Cartera_Polizas!$P$124-1)*MAX(0,1-38/Supuestos!$C$20))*(1-Supuestos!$C$18)^38))</f>
        <v>1.63996067497261E-015</v>
      </c>
      <c r="AP122" s="29" t="n">
        <f aca="false">AO122*(1-MIN(1,INDEX(Tabla_Mortalidad!$B$5:$B$75,MIN(71,Cartera_Polizas!$B$124+39-49))*(1+(Cartera_Polizas!$P$124-1)*MAX(0,1-39/Supuestos!$C$20))*(1-Supuestos!$C$18)^39))</f>
        <v>2.91204073951492E-016</v>
      </c>
      <c r="AQ122" s="29" t="n">
        <f aca="false">AP122*(1-MIN(1,INDEX(Tabla_Mortalidad!$B$5:$B$75,MIN(71,Cartera_Polizas!$B$124+40-49))*(1+(Cartera_Polizas!$P$124-1)*MAX(0,1-40/Supuestos!$C$20))*(1-Supuestos!$C$18)^40))</f>
        <v>5.29059209132112E-017</v>
      </c>
      <c r="AR122" s="29" t="n">
        <f aca="false">AQ122*(1-MIN(1,INDEX(Tabla_Mortalidad!$B$5:$B$75,MIN(71,Cartera_Polizas!$B$124+41-49))*(1+(Cartera_Polizas!$P$124-1)*MAX(0,1-41/Supuestos!$C$20))*(1-Supuestos!$C$18)^41))</f>
        <v>9.82841120671875E-018</v>
      </c>
      <c r="AS122" s="29" t="n">
        <f aca="false">AR122*(1-MIN(1,INDEX(Tabla_Mortalidad!$B$5:$B$75,MIN(71,Cartera_Polizas!$B$124+42-49))*(1+(Cartera_Polizas!$P$124-1)*MAX(0,1-42/Supuestos!$C$20))*(1-Supuestos!$C$18)^42))</f>
        <v>1.86585135539128E-018</v>
      </c>
      <c r="AT122" s="29" t="n">
        <f aca="false">AS122*(1-MIN(1,INDEX(Tabla_Mortalidad!$B$5:$B$75,MIN(71,Cartera_Polizas!$B$124+43-49))*(1+(Cartera_Polizas!$P$124-1)*MAX(0,1-43/Supuestos!$C$20))*(1-Supuestos!$C$18)^43))</f>
        <v>3.6177628012142E-019</v>
      </c>
      <c r="AU122" s="29" t="n">
        <f aca="false">AT122*(1-MIN(1,INDEX(Tabla_Mortalidad!$B$5:$B$75,MIN(71,Cartera_Polizas!$B$124+44-49))*(1+(Cartera_Polizas!$P$124-1)*MAX(0,1-44/Supuestos!$C$20))*(1-Supuestos!$C$18)^44))</f>
        <v>7.1604187493943E-020</v>
      </c>
    </row>
    <row r="123" customFormat="false" ht="15" hidden="false" customHeight="false" outlineLevel="0" collapsed="false">
      <c r="A123" s="14" t="n">
        <f aca="false">Cartera_Polizas!A125</f>
        <v>120</v>
      </c>
      <c r="B123" s="26" t="n">
        <f aca="false">SUM(C123:AU123)+0.5</f>
        <v>6.87641339439771</v>
      </c>
      <c r="C123" s="29" t="n">
        <f aca="false">1-MIN(1,INDEX(Tabla_Mortalidad!$B$5:$B$75,MIN(71,Cartera_Polizas!$B$125+0-49))*(1+(Cartera_Polizas!$P$125-1)*MAX(0,1-0/Supuestos!$C$20))*(1-Supuestos!$C$18)^0)</f>
        <v>0.911074471</v>
      </c>
      <c r="D123" s="29" t="n">
        <f aca="false">C123*(1-MIN(1,INDEX(Tabla_Mortalidad!$B$5:$B$75,MIN(71,Cartera_Polizas!$B$125+1-49))*(1+(Cartera_Polizas!$P$125-1)*MAX(0,1-1/Supuestos!$C$20))*(1-Supuestos!$C$18)^1))</f>
        <v>0.823304561093929</v>
      </c>
      <c r="E123" s="29" t="n">
        <f aca="false">D123*(1-MIN(1,INDEX(Tabla_Mortalidad!$B$5:$B$75,MIN(71,Cartera_Polizas!$B$125+2-49))*(1+(Cartera_Polizas!$P$125-1)*MAX(0,1-2/Supuestos!$C$20))*(1-Supuestos!$C$18)^2))</f>
        <v>0.737454000415514</v>
      </c>
      <c r="F123" s="29" t="n">
        <f aca="false">E123*(1-MIN(1,INDEX(Tabla_Mortalidad!$B$5:$B$75,MIN(71,Cartera_Polizas!$B$125+3-49))*(1+(Cartera_Polizas!$P$125-1)*MAX(0,1-3/Supuestos!$C$20))*(1-Supuestos!$C$18)^3))</f>
        <v>0.654298915734313</v>
      </c>
      <c r="G123" s="29" t="n">
        <f aca="false">F123*(1-MIN(1,INDEX(Tabla_Mortalidad!$B$5:$B$75,MIN(71,Cartera_Polizas!$B$125+4-49))*(1+(Cartera_Polizas!$P$125-1)*MAX(0,1-4/Supuestos!$C$20))*(1-Supuestos!$C$18)^4))</f>
        <v>0.574597312952397</v>
      </c>
      <c r="H123" s="29" t="n">
        <f aca="false">G123*(1-MIN(1,INDEX(Tabla_Mortalidad!$B$5:$B$75,MIN(71,Cartera_Polizas!$B$125+5-49))*(1+(Cartera_Polizas!$P$125-1)*MAX(0,1-5/Supuestos!$C$20))*(1-Supuestos!$C$18)^5))</f>
        <v>0.499069430278856</v>
      </c>
      <c r="I123" s="29" t="n">
        <f aca="false">H123*(1-MIN(1,INDEX(Tabla_Mortalidad!$B$5:$B$75,MIN(71,Cartera_Polizas!$B$125+6-49))*(1+(Cartera_Polizas!$P$125-1)*MAX(0,1-6/Supuestos!$C$20))*(1-Supuestos!$C$18)^6))</f>
        <v>0.428365858702149</v>
      </c>
      <c r="J123" s="29" t="n">
        <f aca="false">I123*(1-MIN(1,INDEX(Tabla_Mortalidad!$B$5:$B$75,MIN(71,Cartera_Polizas!$B$125+7-49))*(1+(Cartera_Polizas!$P$125-1)*MAX(0,1-7/Supuestos!$C$20))*(1-Supuestos!$C$18)^7))</f>
        <v>0.363041846920527</v>
      </c>
      <c r="K123" s="29" t="n">
        <f aca="false">J123*(1-MIN(1,INDEX(Tabla_Mortalidad!$B$5:$B$75,MIN(71,Cartera_Polizas!$B$125+8-49))*(1+(Cartera_Polizas!$P$125-1)*MAX(0,1-8/Supuestos!$C$20))*(1-Supuestos!$C$18)^8))</f>
        <v>0.303532204207107</v>
      </c>
      <c r="L123" s="29" t="n">
        <f aca="false">K123*(1-MIN(1,INDEX(Tabla_Mortalidad!$B$5:$B$75,MIN(71,Cartera_Polizas!$B$125+9-49))*(1+(Cartera_Polizas!$P$125-1)*MAX(0,1-9/Supuestos!$C$20))*(1-Supuestos!$C$18)^9))</f>
        <v>0.250131076079268</v>
      </c>
      <c r="M123" s="29" t="n">
        <f aca="false">L123*(1-MIN(1,INDEX(Tabla_Mortalidad!$B$5:$B$75,MIN(71,Cartera_Polizas!$B$125+10-49))*(1+(Cartera_Polizas!$P$125-1)*MAX(0,1-10/Supuestos!$C$20))*(1-Supuestos!$C$18)^10))</f>
        <v>0.202977716839261</v>
      </c>
      <c r="N123" s="29" t="n">
        <f aca="false">M123*(1-MIN(1,INDEX(Tabla_Mortalidad!$B$5:$B$75,MIN(71,Cartera_Polizas!$B$125+11-49))*(1+(Cartera_Polizas!$P$125-1)*MAX(0,1-11/Supuestos!$C$20))*(1-Supuestos!$C$18)^11))</f>
        <v>0.16204977838877</v>
      </c>
      <c r="O123" s="29" t="n">
        <f aca="false">N123*(1-MIN(1,INDEX(Tabla_Mortalidad!$B$5:$B$75,MIN(71,Cartera_Polizas!$B$125+12-49))*(1+(Cartera_Polizas!$P$125-1)*MAX(0,1-12/Supuestos!$C$20))*(1-Supuestos!$C$18)^12))</f>
        <v>0.127167540901998</v>
      </c>
      <c r="P123" s="29" t="n">
        <f aca="false">O123*(1-MIN(1,INDEX(Tabla_Mortalidad!$B$5:$B$75,MIN(71,Cartera_Polizas!$B$125+13-49))*(1+(Cartera_Polizas!$P$125-1)*MAX(0,1-13/Supuestos!$C$20))*(1-Supuestos!$C$18)^13))</f>
        <v>0.0980068034888017</v>
      </c>
      <c r="Q123" s="29" t="n">
        <f aca="false">P123*(1-MIN(1,INDEX(Tabla_Mortalidad!$B$5:$B$75,MIN(71,Cartera_Polizas!$B$125+14-49))*(1+(Cartera_Polizas!$P$125-1)*MAX(0,1-14/Supuestos!$C$20))*(1-Supuestos!$C$18)^14))</f>
        <v>0.0741204454047427</v>
      </c>
      <c r="R123" s="29" t="n">
        <f aca="false">Q123*(1-MIN(1,INDEX(Tabla_Mortalidad!$B$5:$B$75,MIN(71,Cartera_Polizas!$B$125+15-49))*(1+(Cartera_Polizas!$P$125-1)*MAX(0,1-15/Supuestos!$C$20))*(1-Supuestos!$C$18)^15))</f>
        <v>0.0549681807313473</v>
      </c>
      <c r="S123" s="29" t="n">
        <f aca="false">R123*(1-MIN(1,INDEX(Tabla_Mortalidad!$B$5:$B$75,MIN(71,Cartera_Polizas!$B$125+16-49))*(1+(Cartera_Polizas!$P$125-1)*MAX(0,1-16/Supuestos!$C$20))*(1-Supuestos!$C$18)^16))</f>
        <v>0.0394722401931792</v>
      </c>
      <c r="T123" s="29" t="n">
        <f aca="false">S123*(1-MIN(1,INDEX(Tabla_Mortalidad!$B$5:$B$75,MIN(71,Cartera_Polizas!$B$125+17-49))*(1+(Cartera_Polizas!$P$125-1)*MAX(0,1-17/Supuestos!$C$20))*(1-Supuestos!$C$18)^17))</f>
        <v>0.0273556184880753</v>
      </c>
      <c r="U123" s="29" t="n">
        <f aca="false">T123*(1-MIN(1,INDEX(Tabla_Mortalidad!$B$5:$B$75,MIN(71,Cartera_Polizas!$B$125+18-49))*(1+(Cartera_Polizas!$P$125-1)*MAX(0,1-18/Supuestos!$C$20))*(1-Supuestos!$C$18)^18))</f>
        <v>0.0182314577063154</v>
      </c>
      <c r="V123" s="29" t="n">
        <f aca="false">U123*(1-MIN(1,INDEX(Tabla_Mortalidad!$B$5:$B$75,MIN(71,Cartera_Polizas!$B$125+19-49))*(1+(Cartera_Polizas!$P$125-1)*MAX(0,1-19/Supuestos!$C$20))*(1-Supuestos!$C$18)^19))</f>
        <v>0.011639566070988</v>
      </c>
      <c r="W123" s="29" t="n">
        <f aca="false">V123*(1-MIN(1,INDEX(Tabla_Mortalidad!$B$5:$B$75,MIN(71,Cartera_Polizas!$B$125+20-49))*(1+(Cartera_Polizas!$P$125-1)*MAX(0,1-20/Supuestos!$C$20))*(1-Supuestos!$C$18)^20))</f>
        <v>0.00708906678687704</v>
      </c>
      <c r="X123" s="29" t="n">
        <f aca="false">W123*(1-MIN(1,INDEX(Tabla_Mortalidad!$B$5:$B$75,MIN(71,Cartera_Polizas!$B$125+21-49))*(1+(Cartera_Polizas!$P$125-1)*MAX(0,1-21/Supuestos!$C$20))*(1-Supuestos!$C$18)^21))</f>
        <v>0.00410069233309056</v>
      </c>
      <c r="Y123" s="29" t="n">
        <f aca="false">X123*(1-MIN(1,INDEX(Tabla_Mortalidad!$B$5:$B$75,MIN(71,Cartera_Polizas!$B$125+22-49))*(1+(Cartera_Polizas!$P$125-1)*MAX(0,1-22/Supuestos!$C$20))*(1-Supuestos!$C$18)^22))</f>
        <v>0.00224241218222595</v>
      </c>
      <c r="Z123" s="29" t="n">
        <f aca="false">Y123*(1-MIN(1,INDEX(Tabla_Mortalidad!$B$5:$B$75,MIN(71,Cartera_Polizas!$B$125+23-49))*(1+(Cartera_Polizas!$P$125-1)*MAX(0,1-23/Supuestos!$C$20))*(1-Supuestos!$C$18)^23))</f>
        <v>0.00115360056035212</v>
      </c>
      <c r="AA123" s="29" t="n">
        <f aca="false">Z123*(1-MIN(1,INDEX(Tabla_Mortalidad!$B$5:$B$75,MIN(71,Cartera_Polizas!$B$125+24-49))*(1+(Cartera_Polizas!$P$125-1)*MAX(0,1-24/Supuestos!$C$20))*(1-Supuestos!$C$18)^24))</f>
        <v>0.000555547772790827</v>
      </c>
      <c r="AB123" s="29" t="n">
        <f aca="false">AA123*(1-MIN(1,INDEX(Tabla_Mortalidad!$B$5:$B$75,MIN(71,Cartera_Polizas!$B$125+25-49))*(1+(Cartera_Polizas!$P$125-1)*MAX(0,1-25/Supuestos!$C$20))*(1-Supuestos!$C$18)^25))</f>
        <v>0.000249207946707405</v>
      </c>
      <c r="AC123" s="29" t="n">
        <f aca="false">AB123*(1-MIN(1,INDEX(Tabla_Mortalidad!$B$5:$B$75,MIN(71,Cartera_Polizas!$B$125+26-49))*(1+(Cartera_Polizas!$P$125-1)*MAX(0,1-26/Supuestos!$C$20))*(1-Supuestos!$C$18)^26))</f>
        <v>0.000103634998080785</v>
      </c>
      <c r="AD123" s="29" t="n">
        <f aca="false">AC123*(1-MIN(1,INDEX(Tabla_Mortalidad!$B$5:$B$75,MIN(71,Cartera_Polizas!$B$125+27-49))*(1+(Cartera_Polizas!$P$125-1)*MAX(0,1-27/Supuestos!$C$20))*(1-Supuestos!$C$18)^27))</f>
        <v>3.97798580477027E-005</v>
      </c>
      <c r="AE123" s="29" t="n">
        <f aca="false">AD123*(1-MIN(1,INDEX(Tabla_Mortalidad!$B$5:$B$75,MIN(71,Cartera_Polizas!$B$125+28-49))*(1+(Cartera_Polizas!$P$125-1)*MAX(0,1-28/Supuestos!$C$20))*(1-Supuestos!$C$18)^28))</f>
        <v>1.40427581451747E-005</v>
      </c>
      <c r="AF123" s="29" t="n">
        <f aca="false">AE123*(1-MIN(1,INDEX(Tabla_Mortalidad!$B$5:$B$75,MIN(71,Cartera_Polizas!$B$125+29-49))*(1+(Cartera_Polizas!$P$125-1)*MAX(0,1-29/Supuestos!$C$20))*(1-Supuestos!$C$18)^29))</f>
        <v>4.54748622085371E-006</v>
      </c>
      <c r="AG123" s="29" t="n">
        <f aca="false">AF123*(1-MIN(1,INDEX(Tabla_Mortalidad!$B$5:$B$75,MIN(71,Cartera_Polizas!$B$125+30-49))*(1+(Cartera_Polizas!$P$125-1)*MAX(0,1-30/Supuestos!$C$20))*(1-Supuestos!$C$18)^30))</f>
        <v>1.34953074815509E-006</v>
      </c>
      <c r="AH123" s="29" t="n">
        <f aca="false">AG123*(1-MIN(1,INDEX(Tabla_Mortalidad!$B$5:$B$75,MIN(71,Cartera_Polizas!$B$125+31-49))*(1+(Cartera_Polizas!$P$125-1)*MAX(0,1-31/Supuestos!$C$20))*(1-Supuestos!$C$18)^31))</f>
        <v>3.67384942116397E-007</v>
      </c>
      <c r="AI123" s="29" t="n">
        <f aca="false">AH123*(1-MIN(1,INDEX(Tabla_Mortalidad!$B$5:$B$75,MIN(71,Cartera_Polizas!$B$125+32-49))*(1+(Cartera_Polizas!$P$125-1)*MAX(0,1-32/Supuestos!$C$20))*(1-Supuestos!$C$18)^32))</f>
        <v>9.20623060506381E-008</v>
      </c>
      <c r="AJ123" s="29" t="n">
        <f aca="false">AI123*(1-MIN(1,INDEX(Tabla_Mortalidad!$B$5:$B$75,MIN(71,Cartera_Polizas!$B$125+33-49))*(1+(Cartera_Polizas!$P$125-1)*MAX(0,1-33/Supuestos!$C$20))*(1-Supuestos!$C$18)^33))</f>
        <v>2.13667940835069E-008</v>
      </c>
      <c r="AK123" s="29" t="n">
        <f aca="false">AJ123*(1-MIN(1,INDEX(Tabla_Mortalidad!$B$5:$B$75,MIN(71,Cartera_Polizas!$B$125+34-49))*(1+(Cartera_Polizas!$P$125-1)*MAX(0,1-34/Supuestos!$C$20))*(1-Supuestos!$C$18)^34))</f>
        <v>4.63404543287956E-009</v>
      </c>
      <c r="AL123" s="29" t="n">
        <f aca="false">AK123*(1-MIN(1,INDEX(Tabla_Mortalidad!$B$5:$B$75,MIN(71,Cartera_Polizas!$B$125+35-49))*(1+(Cartera_Polizas!$P$125-1)*MAX(0,1-35/Supuestos!$C$20))*(1-Supuestos!$C$18)^35))</f>
        <v>9.49825917699617E-010</v>
      </c>
      <c r="AM123" s="29" t="n">
        <f aca="false">AL123*(1-MIN(1,INDEX(Tabla_Mortalidad!$B$5:$B$75,MIN(71,Cartera_Polizas!$B$125+36-49))*(1+(Cartera_Polizas!$P$125-1)*MAX(0,1-36/Supuestos!$C$20))*(1-Supuestos!$C$18)^36))</f>
        <v>1.56822748869968E-010</v>
      </c>
      <c r="AN123" s="29" t="n">
        <f aca="false">AM123*(1-MIN(1,INDEX(Tabla_Mortalidad!$B$5:$B$75,MIN(71,Cartera_Polizas!$B$125+37-49))*(1+(Cartera_Polizas!$P$125-1)*MAX(0,1-37/Supuestos!$C$20))*(1-Supuestos!$C$18)^37))</f>
        <v>2.65471585658495E-011</v>
      </c>
      <c r="AO123" s="29" t="n">
        <f aca="false">AN123*(1-MIN(1,INDEX(Tabla_Mortalidad!$B$5:$B$75,MIN(71,Cartera_Polizas!$B$125+38-49))*(1+(Cartera_Polizas!$P$125-1)*MAX(0,1-38/Supuestos!$C$20))*(1-Supuestos!$C$18)^38))</f>
        <v>4.60420357944605E-012</v>
      </c>
      <c r="AP123" s="29" t="n">
        <f aca="false">AO123*(1-MIN(1,INDEX(Tabla_Mortalidad!$B$5:$B$75,MIN(71,Cartera_Polizas!$B$125+39-49))*(1+(Cartera_Polizas!$P$125-1)*MAX(0,1-39/Supuestos!$C$20))*(1-Supuestos!$C$18)^39))</f>
        <v>8.17557920807536E-013</v>
      </c>
      <c r="AQ123" s="29" t="n">
        <f aca="false">AP123*(1-MIN(1,INDEX(Tabla_Mortalidad!$B$5:$B$75,MIN(71,Cartera_Polizas!$B$125+40-49))*(1+(Cartera_Polizas!$P$125-1)*MAX(0,1-40/Supuestos!$C$20))*(1-Supuestos!$C$18)^40))</f>
        <v>1.48533824109267E-013</v>
      </c>
      <c r="AR123" s="29" t="n">
        <f aca="false">AQ123*(1-MIN(1,INDEX(Tabla_Mortalidad!$B$5:$B$75,MIN(71,Cartera_Polizas!$B$125+41-49))*(1+(Cartera_Polizas!$P$125-1)*MAX(0,1-41/Supuestos!$C$20))*(1-Supuestos!$C$18)^41))</f>
        <v>2.75933482728163E-014</v>
      </c>
      <c r="AS123" s="29" t="n">
        <f aca="false">AR123*(1-MIN(1,INDEX(Tabla_Mortalidad!$B$5:$B$75,MIN(71,Cartera_Polizas!$B$125+42-49))*(1+(Cartera_Polizas!$P$125-1)*MAX(0,1-42/Supuestos!$C$20))*(1-Supuestos!$C$18)^42))</f>
        <v>5.23839359096234E-015</v>
      </c>
      <c r="AT123" s="29" t="n">
        <f aca="false">AS123*(1-MIN(1,INDEX(Tabla_Mortalidad!$B$5:$B$75,MIN(71,Cartera_Polizas!$B$125+43-49))*(1+(Cartera_Polizas!$P$125-1)*MAX(0,1-43/Supuestos!$C$20))*(1-Supuestos!$C$18)^43))</f>
        <v>1.01568999142101E-015</v>
      </c>
      <c r="AU123" s="29" t="n">
        <f aca="false">AT123*(1-MIN(1,INDEX(Tabla_Mortalidad!$B$5:$B$75,MIN(71,Cartera_Polizas!$B$125+44-49))*(1+(Cartera_Polizas!$P$125-1)*MAX(0,1-44/Supuestos!$C$20))*(1-Supuestos!$C$18)^44))</f>
        <v>2.01029366980671E-016</v>
      </c>
    </row>
    <row r="124" customFormat="false" ht="15" hidden="false" customHeight="false" outlineLevel="0" collapsed="false">
      <c r="A124" s="14" t="n">
        <f aca="false">Cartera_Polizas!A126</f>
        <v>121</v>
      </c>
      <c r="B124" s="26" t="n">
        <f aca="false">SUM(C124:AU124)+0.5</f>
        <v>8.2224723271336</v>
      </c>
      <c r="C124" s="29" t="n">
        <f aca="false">1-MIN(1,INDEX(Tabla_Mortalidad!$B$5:$B$75,MIN(71,Cartera_Polizas!$B$126+0-49))*(1+(Cartera_Polizas!$P$126-1)*MAX(0,1-0/Supuestos!$C$20))*(1-Supuestos!$C$18)^0)</f>
        <v>0.936167182</v>
      </c>
      <c r="D124" s="29" t="n">
        <f aca="false">C124*(1-MIN(1,INDEX(Tabla_Mortalidad!$B$5:$B$75,MIN(71,Cartera_Polizas!$B$126+1-49))*(1+(Cartera_Polizas!$P$126-1)*MAX(0,1-1/Supuestos!$C$20))*(1-Supuestos!$C$18)^1))</f>
        <v>0.870644439221546</v>
      </c>
      <c r="E124" s="29" t="n">
        <f aca="false">D124*(1-MIN(1,INDEX(Tabla_Mortalidad!$B$5:$B$75,MIN(71,Cartera_Polizas!$B$126+2-49))*(1+(Cartera_Polizas!$P$126-1)*MAX(0,1-2/Supuestos!$C$20))*(1-Supuestos!$C$18)^2))</f>
        <v>0.803860892035035</v>
      </c>
      <c r="F124" s="29" t="n">
        <f aca="false">E124*(1-MIN(1,INDEX(Tabla_Mortalidad!$B$5:$B$75,MIN(71,Cartera_Polizas!$B$126+3-49))*(1+(Cartera_Polizas!$P$126-1)*MAX(0,1-3/Supuestos!$C$20))*(1-Supuestos!$C$18)^3))</f>
        <v>0.736317147785532</v>
      </c>
      <c r="G124" s="29" t="n">
        <f aca="false">F124*(1-MIN(1,INDEX(Tabla_Mortalidad!$B$5:$B$75,MIN(71,Cartera_Polizas!$B$126+4-49))*(1+(Cartera_Polizas!$P$126-1)*MAX(0,1-4/Supuestos!$C$20))*(1-Supuestos!$C$18)^4))</f>
        <v>0.668585231003574</v>
      </c>
      <c r="H124" s="29" t="n">
        <f aca="false">G124*(1-MIN(1,INDEX(Tabla_Mortalidad!$B$5:$B$75,MIN(71,Cartera_Polizas!$B$126+5-49))*(1+(Cartera_Polizas!$P$126-1)*MAX(0,1-5/Supuestos!$C$20))*(1-Supuestos!$C$18)^5))</f>
        <v>0.601294981166838</v>
      </c>
      <c r="I124" s="29" t="n">
        <f aca="false">H124*(1-MIN(1,INDEX(Tabla_Mortalidad!$B$5:$B$75,MIN(71,Cartera_Polizas!$B$126+6-49))*(1+(Cartera_Polizas!$P$126-1)*MAX(0,1-6/Supuestos!$C$20))*(1-Supuestos!$C$18)^6))</f>
        <v>0.535126357532573</v>
      </c>
      <c r="J124" s="29" t="n">
        <f aca="false">I124*(1-MIN(1,INDEX(Tabla_Mortalidad!$B$5:$B$75,MIN(71,Cartera_Polizas!$B$126+7-49))*(1+(Cartera_Polizas!$P$126-1)*MAX(0,1-7/Supuestos!$C$20))*(1-Supuestos!$C$18)^7))</f>
        <v>0.470787952040613</v>
      </c>
      <c r="K124" s="29" t="n">
        <f aca="false">J124*(1-MIN(1,INDEX(Tabla_Mortalidad!$B$5:$B$75,MIN(71,Cartera_Polizas!$B$126+8-49))*(1+(Cartera_Polizas!$P$126-1)*MAX(0,1-8/Supuestos!$C$20))*(1-Supuestos!$C$18)^8))</f>
        <v>0.408995273329297</v>
      </c>
      <c r="L124" s="29" t="n">
        <f aca="false">K124*(1-MIN(1,INDEX(Tabla_Mortalidad!$B$5:$B$75,MIN(71,Cartera_Polizas!$B$126+9-49))*(1+(Cartera_Polizas!$P$126-1)*MAX(0,1-9/Supuestos!$C$20))*(1-Supuestos!$C$18)^9))</f>
        <v>0.350443259220923</v>
      </c>
      <c r="M124" s="29" t="n">
        <f aca="false">L124*(1-MIN(1,INDEX(Tabla_Mortalidad!$B$5:$B$75,MIN(71,Cartera_Polizas!$B$126+10-49))*(1+(Cartera_Polizas!$P$126-1)*MAX(0,1-10/Supuestos!$C$20))*(1-Supuestos!$C$18)^10))</f>
        <v>0.295776004939781</v>
      </c>
      <c r="N124" s="29" t="n">
        <f aca="false">M124*(1-MIN(1,INDEX(Tabla_Mortalidad!$B$5:$B$75,MIN(71,Cartera_Polizas!$B$126+11-49))*(1+(Cartera_Polizas!$P$126-1)*MAX(0,1-11/Supuestos!$C$20))*(1-Supuestos!$C$18)^11))</f>
        <v>0.245554658494409</v>
      </c>
      <c r="O124" s="29" t="n">
        <f aca="false">N124*(1-MIN(1,INDEX(Tabla_Mortalidad!$B$5:$B$75,MIN(71,Cartera_Polizas!$B$126+12-49))*(1+(Cartera_Polizas!$P$126-1)*MAX(0,1-12/Supuestos!$C$20))*(1-Supuestos!$C$18)^12))</f>
        <v>0.200225559166494</v>
      </c>
      <c r="P124" s="29" t="n">
        <f aca="false">O124*(1-MIN(1,INDEX(Tabla_Mortalidad!$B$5:$B$75,MIN(71,Cartera_Polizas!$B$126+13-49))*(1+(Cartera_Polizas!$P$126-1)*MAX(0,1-13/Supuestos!$C$20))*(1-Supuestos!$C$18)^13))</f>
        <v>0.160093961340424</v>
      </c>
      <c r="Q124" s="29" t="n">
        <f aca="false">P124*(1-MIN(1,INDEX(Tabla_Mortalidad!$B$5:$B$75,MIN(71,Cartera_Polizas!$B$126+14-49))*(1+(Cartera_Polizas!$P$126-1)*MAX(0,1-14/Supuestos!$C$20))*(1-Supuestos!$C$18)^14))</f>
        <v>0.125303820645553</v>
      </c>
      <c r="R124" s="29" t="n">
        <f aca="false">Q124*(1-MIN(1,INDEX(Tabla_Mortalidad!$B$5:$B$75,MIN(71,Cartera_Polizas!$B$126+15-49))*(1+(Cartera_Polizas!$P$126-1)*MAX(0,1-15/Supuestos!$C$20))*(1-Supuestos!$C$18)^15))</f>
        <v>0.0958271376434236</v>
      </c>
      <c r="S124" s="29" t="n">
        <f aca="false">R124*(1-MIN(1,INDEX(Tabla_Mortalidad!$B$5:$B$75,MIN(71,Cartera_Polizas!$B$126+16-49))*(1+(Cartera_Polizas!$P$126-1)*MAX(0,1-16/Supuestos!$C$20))*(1-Supuestos!$C$18)^16))</f>
        <v>0.0711898036453107</v>
      </c>
      <c r="T124" s="29" t="n">
        <f aca="false">S124*(1-MIN(1,INDEX(Tabla_Mortalidad!$B$5:$B$75,MIN(71,Cartera_Polizas!$B$126+17-49))*(1+(Cartera_Polizas!$P$126-1)*MAX(0,1-17/Supuestos!$C$20))*(1-Supuestos!$C$18)^17))</f>
        <v>0.0512212111835162</v>
      </c>
      <c r="U124" s="29" t="n">
        <f aca="false">T124*(1-MIN(1,INDEX(Tabla_Mortalidad!$B$5:$B$75,MIN(71,Cartera_Polizas!$B$126+18-49))*(1+(Cartera_Polizas!$P$126-1)*MAX(0,1-18/Supuestos!$C$20))*(1-Supuestos!$C$18)^18))</f>
        <v>0.0355766747708432</v>
      </c>
      <c r="V124" s="29" t="n">
        <f aca="false">U124*(1-MIN(1,INDEX(Tabla_Mortalidad!$B$5:$B$75,MIN(71,Cartera_Polizas!$B$126+19-49))*(1+(Cartera_Polizas!$P$126-1)*MAX(0,1-19/Supuestos!$C$20))*(1-Supuestos!$C$18)^19))</f>
        <v>0.0237698035671489</v>
      </c>
      <c r="W124" s="29" t="n">
        <f aca="false">V124*(1-MIN(1,INDEX(Tabla_Mortalidad!$B$5:$B$75,MIN(71,Cartera_Polizas!$B$126+20-49))*(1+(Cartera_Polizas!$P$126-1)*MAX(0,1-20/Supuestos!$C$20))*(1-Supuestos!$C$18)^20))</f>
        <v>0.0152184012617193</v>
      </c>
      <c r="X124" s="29" t="n">
        <f aca="false">W124*(1-MIN(1,INDEX(Tabla_Mortalidad!$B$5:$B$75,MIN(71,Cartera_Polizas!$B$126+21-49))*(1+(Cartera_Polizas!$P$126-1)*MAX(0,1-21/Supuestos!$C$20))*(1-Supuestos!$C$18)^21))</f>
        <v>0.00929850124085161</v>
      </c>
      <c r="Y124" s="29" t="n">
        <f aca="false">X124*(1-MIN(1,INDEX(Tabla_Mortalidad!$B$5:$B$75,MIN(71,Cartera_Polizas!$B$126+22-49))*(1+(Cartera_Polizas!$P$126-1)*MAX(0,1-22/Supuestos!$C$20))*(1-Supuestos!$C$18)^22))</f>
        <v>0.00539834521467182</v>
      </c>
      <c r="Z124" s="29" t="n">
        <f aca="false">Y124*(1-MIN(1,INDEX(Tabla_Mortalidad!$B$5:$B$75,MIN(71,Cartera_Polizas!$B$126+23-49))*(1+(Cartera_Polizas!$P$126-1)*MAX(0,1-23/Supuestos!$C$20))*(1-Supuestos!$C$18)^23))</f>
        <v>0.00296424902789031</v>
      </c>
      <c r="AA124" s="29" t="n">
        <f aca="false">Z124*(1-MIN(1,INDEX(Tabla_Mortalidad!$B$5:$B$75,MIN(71,Cartera_Polizas!$B$126+24-49))*(1+(Cartera_Polizas!$P$126-1)*MAX(0,1-24/Supuestos!$C$20))*(1-Supuestos!$C$18)^24))</f>
        <v>0.00153214333688888</v>
      </c>
      <c r="AB124" s="29" t="n">
        <f aca="false">AA124*(1-MIN(1,INDEX(Tabla_Mortalidad!$B$5:$B$75,MIN(71,Cartera_Polizas!$B$126+25-49))*(1+(Cartera_Polizas!$P$126-1)*MAX(0,1-25/Supuestos!$C$20))*(1-Supuestos!$C$18)^25))</f>
        <v>0.000741816847862461</v>
      </c>
      <c r="AC124" s="29" t="n">
        <f aca="false">AB124*(1-MIN(1,INDEX(Tabla_Mortalidad!$B$5:$B$75,MIN(71,Cartera_Polizas!$B$126+26-49))*(1+(Cartera_Polizas!$P$126-1)*MAX(0,1-26/Supuestos!$C$20))*(1-Supuestos!$C$18)^26))</f>
        <v>0.000334809899021225</v>
      </c>
      <c r="AD124" s="29" t="n">
        <f aca="false">AC124*(1-MIN(1,INDEX(Tabla_Mortalidad!$B$5:$B$75,MIN(71,Cartera_Polizas!$B$126+27-49))*(1+(Cartera_Polizas!$P$126-1)*MAX(0,1-27/Supuestos!$C$20))*(1-Supuestos!$C$18)^27))</f>
        <v>0.000140211096898395</v>
      </c>
      <c r="AE124" s="29" t="n">
        <f aca="false">AD124*(1-MIN(1,INDEX(Tabla_Mortalidad!$B$5:$B$75,MIN(71,Cartera_Polizas!$B$126+28-49))*(1+(Cartera_Polizas!$P$126-1)*MAX(0,1-28/Supuestos!$C$20))*(1-Supuestos!$C$18)^28))</f>
        <v>5.42513979985923E-005</v>
      </c>
      <c r="AF124" s="29" t="n">
        <f aca="false">AE124*(1-MIN(1,INDEX(Tabla_Mortalidad!$B$5:$B$75,MIN(71,Cartera_Polizas!$B$126+29-49))*(1+(Cartera_Polizas!$P$126-1)*MAX(0,1-29/Supuestos!$C$20))*(1-Supuestos!$C$18)^29))</f>
        <v>1.93268821739034E-005</v>
      </c>
      <c r="AG124" s="29" t="n">
        <f aca="false">AF124*(1-MIN(1,INDEX(Tabla_Mortalidad!$B$5:$B$75,MIN(71,Cartera_Polizas!$B$126+30-49))*(1+(Cartera_Polizas!$P$126-1)*MAX(0,1-30/Supuestos!$C$20))*(1-Supuestos!$C$18)^30))</f>
        <v>6.32399272765776E-006</v>
      </c>
      <c r="AH124" s="29" t="n">
        <f aca="false">AG124*(1-MIN(1,INDEX(Tabla_Mortalidad!$B$5:$B$75,MIN(71,Cartera_Polizas!$B$126+31-49))*(1+(Cartera_Polizas!$P$126-1)*MAX(0,1-31/Supuestos!$C$20))*(1-Supuestos!$C$18)^31))</f>
        <v>1.89897043189408E-006</v>
      </c>
      <c r="AI124" s="29" t="n">
        <f aca="false">AH124*(1-MIN(1,INDEX(Tabla_Mortalidad!$B$5:$B$75,MIN(71,Cartera_Polizas!$B$126+32-49))*(1+(Cartera_Polizas!$P$126-1)*MAX(0,1-32/Supuestos!$C$20))*(1-Supuestos!$C$18)^32))</f>
        <v>5.23869850609947E-007</v>
      </c>
      <c r="AJ124" s="29" t="n">
        <f aca="false">AI124*(1-MIN(1,INDEX(Tabla_Mortalidad!$B$5:$B$75,MIN(71,Cartera_Polizas!$B$126+33-49))*(1+(Cartera_Polizas!$P$126-1)*MAX(0,1-33/Supuestos!$C$20))*(1-Supuestos!$C$18)^33))</f>
        <v>1.33238538239199E-007</v>
      </c>
      <c r="AK124" s="29" t="n">
        <f aca="false">AJ124*(1-MIN(1,INDEX(Tabla_Mortalidad!$B$5:$B$75,MIN(71,Cartera_Polizas!$B$126+34-49))*(1+(Cartera_Polizas!$P$126-1)*MAX(0,1-34/Supuestos!$C$20))*(1-Supuestos!$C$18)^34))</f>
        <v>3.14349853709453E-008</v>
      </c>
      <c r="AL124" s="29" t="n">
        <f aca="false">AK124*(1-MIN(1,INDEX(Tabla_Mortalidad!$B$5:$B$75,MIN(71,Cartera_Polizas!$B$126+35-49))*(1+(Cartera_Polizas!$P$126-1)*MAX(0,1-35/Supuestos!$C$20))*(1-Supuestos!$C$18)^35))</f>
        <v>6.94072860703888E-009</v>
      </c>
      <c r="AM124" s="29" t="n">
        <f aca="false">AL124*(1-MIN(1,INDEX(Tabla_Mortalidad!$B$5:$B$75,MIN(71,Cartera_Polizas!$B$126+36-49))*(1+(Cartera_Polizas!$P$126-1)*MAX(0,1-36/Supuestos!$C$20))*(1-Supuestos!$C$18)^36))</f>
        <v>1.45021015761315E-009</v>
      </c>
      <c r="AN124" s="29" t="n">
        <f aca="false">AM124*(1-MIN(1,INDEX(Tabla_Mortalidad!$B$5:$B$75,MIN(71,Cartera_Polizas!$B$126+37-49))*(1+(Cartera_Polizas!$P$126-1)*MAX(0,1-37/Supuestos!$C$20))*(1-Supuestos!$C$18)^37))</f>
        <v>2.45493458604556E-010</v>
      </c>
      <c r="AO124" s="29" t="n">
        <f aca="false">AN124*(1-MIN(1,INDEX(Tabla_Mortalidad!$B$5:$B$75,MIN(71,Cartera_Polizas!$B$126+38-49))*(1+(Cartera_Polizas!$P$126-1)*MAX(0,1-38/Supuestos!$C$20))*(1-Supuestos!$C$18)^38))</f>
        <v>4.25771314859931E-011</v>
      </c>
      <c r="AP124" s="29" t="n">
        <f aca="false">AO124*(1-MIN(1,INDEX(Tabla_Mortalidad!$B$5:$B$75,MIN(71,Cartera_Polizas!$B$126+39-49))*(1+(Cartera_Polizas!$P$126-1)*MAX(0,1-39/Supuestos!$C$20))*(1-Supuestos!$C$18)^39))</f>
        <v>7.56032405843915E-012</v>
      </c>
      <c r="AQ124" s="29" t="n">
        <f aca="false">AP124*(1-MIN(1,INDEX(Tabla_Mortalidad!$B$5:$B$75,MIN(71,Cartera_Polizas!$B$126+40-49))*(1+(Cartera_Polizas!$P$126-1)*MAX(0,1-40/Supuestos!$C$20))*(1-Supuestos!$C$18)^40))</f>
        <v>1.37355875996659E-012</v>
      </c>
      <c r="AR124" s="29" t="n">
        <f aca="false">AQ124*(1-MIN(1,INDEX(Tabla_Mortalidad!$B$5:$B$75,MIN(71,Cartera_Polizas!$B$126+41-49))*(1+(Cartera_Polizas!$P$126-1)*MAX(0,1-41/Supuestos!$C$20))*(1-Supuestos!$C$18)^41))</f>
        <v>2.55168043132414E-013</v>
      </c>
      <c r="AS124" s="29" t="n">
        <f aca="false">AR124*(1-MIN(1,INDEX(Tabla_Mortalidad!$B$5:$B$75,MIN(71,Cartera_Polizas!$B$126+42-49))*(1+(Cartera_Polizas!$P$126-1)*MAX(0,1-42/Supuestos!$C$20))*(1-Supuestos!$C$18)^42))</f>
        <v>4.84417704059519E-014</v>
      </c>
      <c r="AT124" s="29" t="n">
        <f aca="false">AS124*(1-MIN(1,INDEX(Tabla_Mortalidad!$B$5:$B$75,MIN(71,Cartera_Polizas!$B$126+43-49))*(1+(Cartera_Polizas!$P$126-1)*MAX(0,1-43/Supuestos!$C$20))*(1-Supuestos!$C$18)^43))</f>
        <v>9.39254000557084E-015</v>
      </c>
      <c r="AU124" s="29" t="n">
        <f aca="false">AT124*(1-MIN(1,INDEX(Tabla_Mortalidad!$B$5:$B$75,MIN(71,Cartera_Polizas!$B$126+44-49))*(1+(Cartera_Polizas!$P$126-1)*MAX(0,1-44/Supuestos!$C$20))*(1-Supuestos!$C$18)^44))</f>
        <v>1.85900854356049E-015</v>
      </c>
    </row>
    <row r="125" customFormat="false" ht="15" hidden="false" customHeight="false" outlineLevel="0" collapsed="false">
      <c r="A125" s="14" t="n">
        <f aca="false">Cartera_Polizas!A127</f>
        <v>122</v>
      </c>
      <c r="B125" s="26" t="n">
        <f aca="false">SUM(C125:AU125)+0.5</f>
        <v>9.77570802783928</v>
      </c>
      <c r="C125" s="29" t="n">
        <f aca="false">1-MIN(1,INDEX(Tabla_Mortalidad!$B$5:$B$75,MIN(71,Cartera_Polizas!$B$127+0-49))*(1+(Cartera_Polizas!$P$127-1)*MAX(0,1-0/Supuestos!$C$20))*(1-Supuestos!$C$18)^0)</f>
        <v>0.950364172</v>
      </c>
      <c r="D125" s="29" t="n">
        <f aca="false">C125*(1-MIN(1,INDEX(Tabla_Mortalidad!$B$5:$B$75,MIN(71,Cartera_Polizas!$B$127+1-49))*(1+(Cartera_Polizas!$P$127-1)*MAX(0,1-1/Supuestos!$C$20))*(1-Supuestos!$C$18)^1))</f>
        <v>0.898798856528868</v>
      </c>
      <c r="E125" s="29" t="n">
        <f aca="false">D125*(1-MIN(1,INDEX(Tabla_Mortalidad!$B$5:$B$75,MIN(71,Cartera_Polizas!$B$127+2-49))*(1+(Cartera_Polizas!$P$127-1)*MAX(0,1-2/Supuestos!$C$20))*(1-Supuestos!$C$18)^2))</f>
        <v>0.845513034499285</v>
      </c>
      <c r="F125" s="29" t="n">
        <f aca="false">E125*(1-MIN(1,INDEX(Tabla_Mortalidad!$B$5:$B$75,MIN(71,Cartera_Polizas!$B$127+3-49))*(1+(Cartera_Polizas!$P$127-1)*MAX(0,1-3/Supuestos!$C$20))*(1-Supuestos!$C$18)^3))</f>
        <v>0.790768259731132</v>
      </c>
      <c r="G125" s="29" t="n">
        <f aca="false">F125*(1-MIN(1,INDEX(Tabla_Mortalidad!$B$5:$B$75,MIN(71,Cartera_Polizas!$B$127+4-49))*(1+(Cartera_Polizas!$P$127-1)*MAX(0,1-4/Supuestos!$C$20))*(1-Supuestos!$C$18)^4))</f>
        <v>0.734881875733203</v>
      </c>
      <c r="H125" s="29" t="n">
        <f aca="false">G125*(1-MIN(1,INDEX(Tabla_Mortalidad!$B$5:$B$75,MIN(71,Cartera_Polizas!$B$127+5-49))*(1+(Cartera_Polizas!$P$127-1)*MAX(0,1-5/Supuestos!$C$20))*(1-Supuestos!$C$18)^5))</f>
        <v>0.678224492636395</v>
      </c>
      <c r="I125" s="29" t="n">
        <f aca="false">H125*(1-MIN(1,INDEX(Tabla_Mortalidad!$B$5:$B$75,MIN(71,Cartera_Polizas!$B$127+6-49))*(1+(Cartera_Polizas!$P$127-1)*MAX(0,1-6/Supuestos!$C$20))*(1-Supuestos!$C$18)^6))</f>
        <v>0.621217141056528</v>
      </c>
      <c r="J125" s="29" t="n">
        <f aca="false">I125*(1-MIN(1,INDEX(Tabla_Mortalidad!$B$5:$B$75,MIN(71,Cartera_Polizas!$B$127+7-49))*(1+(Cartera_Polizas!$P$127-1)*MAX(0,1-7/Supuestos!$C$20))*(1-Supuestos!$C$18)^7))</f>
        <v>0.564329664795606</v>
      </c>
      <c r="K125" s="29" t="n">
        <f aca="false">J125*(1-MIN(1,INDEX(Tabla_Mortalidad!$B$5:$B$75,MIN(71,Cartera_Polizas!$B$127+8-49))*(1+(Cartera_Polizas!$P$127-1)*MAX(0,1-8/Supuestos!$C$20))*(1-Supuestos!$C$18)^8))</f>
        <v>0.508068144506238</v>
      </c>
      <c r="L125" s="29" t="n">
        <f aca="false">K125*(1-MIN(1,INDEX(Tabla_Mortalidad!$B$5:$B$75,MIN(71,Cartera_Polizas!$B$127+9-49))*(1+(Cartera_Polizas!$P$127-1)*MAX(0,1-9/Supuestos!$C$20))*(1-Supuestos!$C$18)^9))</f>
        <v>0.452967980089715</v>
      </c>
      <c r="M125" s="29" t="n">
        <f aca="false">L125*(1-MIN(1,INDEX(Tabla_Mortalidad!$B$5:$B$75,MIN(71,Cartera_Polizas!$B$127+10-49))*(1+(Cartera_Polizas!$P$127-1)*MAX(0,1-10/Supuestos!$C$20))*(1-Supuestos!$C$18)^10))</f>
        <v>0.399576295925685</v>
      </c>
      <c r="N125" s="29" t="n">
        <f aca="false">M125*(1-MIN(1,INDEX(Tabla_Mortalidad!$B$5:$B$75,MIN(71,Cartera_Polizas!$B$127+11-49))*(1+(Cartera_Polizas!$P$127-1)*MAX(0,1-11/Supuestos!$C$20))*(1-Supuestos!$C$18)^11))</f>
        <v>0.348435250139056</v>
      </c>
      <c r="O125" s="29" t="n">
        <f aca="false">N125*(1-MIN(1,INDEX(Tabla_Mortalidad!$B$5:$B$75,MIN(71,Cartera_Polizas!$B$127+12-49))*(1+(Cartera_Polizas!$P$127-1)*MAX(0,1-12/Supuestos!$C$20))*(1-Supuestos!$C$18)^12))</f>
        <v>0.300061724388824</v>
      </c>
      <c r="P125" s="29" t="n">
        <f aca="false">O125*(1-MIN(1,INDEX(Tabla_Mortalidad!$B$5:$B$75,MIN(71,Cartera_Polizas!$B$127+13-49))*(1+(Cartera_Polizas!$P$127-1)*MAX(0,1-13/Supuestos!$C$20))*(1-Supuestos!$C$18)^13))</f>
        <v>0.254925890518815</v>
      </c>
      <c r="Q125" s="29" t="n">
        <f aca="false">P125*(1-MIN(1,INDEX(Tabla_Mortalidad!$B$5:$B$75,MIN(71,Cartera_Polizas!$B$127+14-49))*(1+(Cartera_Polizas!$P$127-1)*MAX(0,1-14/Supuestos!$C$20))*(1-Supuestos!$C$18)^14))</f>
        <v>0.213429291867481</v>
      </c>
      <c r="R125" s="29" t="n">
        <f aca="false">Q125*(1-MIN(1,INDEX(Tabla_Mortalidad!$B$5:$B$75,MIN(71,Cartera_Polizas!$B$127+15-49))*(1+(Cartera_Polizas!$P$127-1)*MAX(0,1-15/Supuestos!$C$20))*(1-Supuestos!$C$18)^15))</f>
        <v>0.175883811809668</v>
      </c>
      <c r="S125" s="29" t="n">
        <f aca="false">R125*(1-MIN(1,INDEX(Tabla_Mortalidad!$B$5:$B$75,MIN(71,Cartera_Polizas!$B$127+16-49))*(1+(Cartera_Polizas!$P$127-1)*MAX(0,1-16/Supuestos!$C$20))*(1-Supuestos!$C$18)^16))</f>
        <v>0.141920276585877</v>
      </c>
      <c r="T125" s="29" t="n">
        <f aca="false">S125*(1-MIN(1,INDEX(Tabla_Mortalidad!$B$5:$B$75,MIN(71,Cartera_Polizas!$B$127+17-49))*(1+(Cartera_Polizas!$P$127-1)*MAX(0,1-17/Supuestos!$C$20))*(1-Supuestos!$C$18)^17))</f>
        <v>0.111877259243559</v>
      </c>
      <c r="U125" s="29" t="n">
        <f aca="false">T125*(1-MIN(1,INDEX(Tabla_Mortalidad!$B$5:$B$75,MIN(71,Cartera_Polizas!$B$127+18-49))*(1+(Cartera_Polizas!$P$127-1)*MAX(0,1-18/Supuestos!$C$20))*(1-Supuestos!$C$18)^18))</f>
        <v>0.0859518656513143</v>
      </c>
      <c r="V125" s="29" t="n">
        <f aca="false">U125*(1-MIN(1,INDEX(Tabla_Mortalidad!$B$5:$B$75,MIN(71,Cartera_Polizas!$B$127+19-49))*(1+(Cartera_Polizas!$P$127-1)*MAX(0,1-19/Supuestos!$C$20))*(1-Supuestos!$C$18)^19))</f>
        <v>0.0641833034470893</v>
      </c>
      <c r="W125" s="29" t="n">
        <f aca="false">V125*(1-MIN(1,INDEX(Tabla_Mortalidad!$B$5:$B$75,MIN(71,Cartera_Polizas!$B$127+20-49))*(1+(Cartera_Polizas!$P$127-1)*MAX(0,1-20/Supuestos!$C$20))*(1-Supuestos!$C$18)^20))</f>
        <v>0.0464487210369873</v>
      </c>
      <c r="X125" s="29" t="n">
        <f aca="false">W125*(1-MIN(1,INDEX(Tabla_Mortalidad!$B$5:$B$75,MIN(71,Cartera_Polizas!$B$127+21-49))*(1+(Cartera_Polizas!$P$127-1)*MAX(0,1-21/Supuestos!$C$20))*(1-Supuestos!$C$18)^21))</f>
        <v>0.0324735910127034</v>
      </c>
      <c r="Y125" s="29" t="n">
        <f aca="false">X125*(1-MIN(1,INDEX(Tabla_Mortalidad!$B$5:$B$75,MIN(71,Cartera_Polizas!$B$127+22-49))*(1+(Cartera_Polizas!$P$127-1)*MAX(0,1-22/Supuestos!$C$20))*(1-Supuestos!$C$18)^22))</f>
        <v>0.0218573924955953</v>
      </c>
      <c r="Z125" s="29" t="n">
        <f aca="false">Y125*(1-MIN(1,INDEX(Tabla_Mortalidad!$B$5:$B$75,MIN(71,Cartera_Polizas!$B$127+23-49))*(1+(Cartera_Polizas!$P$127-1)*MAX(0,1-23/Supuestos!$C$20))*(1-Supuestos!$C$18)^23))</f>
        <v>0.014111359563664</v>
      </c>
      <c r="AA125" s="29" t="n">
        <f aca="false">Z125*(1-MIN(1,INDEX(Tabla_Mortalidad!$B$5:$B$75,MIN(71,Cartera_Polizas!$B$127+24-49))*(1+(Cartera_Polizas!$P$127-1)*MAX(0,1-24/Supuestos!$C$20))*(1-Supuestos!$C$18)^24))</f>
        <v>0.0087040225057711</v>
      </c>
      <c r="AB125" s="29" t="n">
        <f aca="false">AA125*(1-MIN(1,INDEX(Tabla_Mortalidad!$B$5:$B$75,MIN(71,Cartera_Polizas!$B$127+25-49))*(1+(Cartera_Polizas!$P$127-1)*MAX(0,1-25/Supuestos!$C$20))*(1-Supuestos!$C$18)^25))</f>
        <v>0.00510770294207515</v>
      </c>
      <c r="AC125" s="29" t="n">
        <f aca="false">AB125*(1-MIN(1,INDEX(Tabla_Mortalidad!$B$5:$B$75,MIN(71,Cartera_Polizas!$B$127+26-49))*(1+(Cartera_Polizas!$P$127-1)*MAX(0,1-26/Supuestos!$C$20))*(1-Supuestos!$C$18)^26))</f>
        <v>0.00283902966209418</v>
      </c>
      <c r="AD125" s="29" t="n">
        <f aca="false">AC125*(1-MIN(1,INDEX(Tabla_Mortalidad!$B$5:$B$75,MIN(71,Cartera_Polizas!$B$127+27-49))*(1+(Cartera_Polizas!$P$127-1)*MAX(0,1-27/Supuestos!$C$20))*(1-Supuestos!$C$18)^27))</f>
        <v>0.00148789213405602</v>
      </c>
      <c r="AE125" s="29" t="n">
        <f aca="false">AD125*(1-MIN(1,INDEX(Tabla_Mortalidad!$B$5:$B$75,MIN(71,Cartera_Polizas!$B$127+28-49))*(1+(Cartera_Polizas!$P$127-1)*MAX(0,1-28/Supuestos!$C$20))*(1-Supuestos!$C$18)^28))</f>
        <v>0.000731846810471808</v>
      </c>
      <c r="AF125" s="29" t="n">
        <f aca="false">AE125*(1-MIN(1,INDEX(Tabla_Mortalidad!$B$5:$B$75,MIN(71,Cartera_Polizas!$B$127+29-49))*(1+(Cartera_Polizas!$P$127-1)*MAX(0,1-29/Supuestos!$C$20))*(1-Supuestos!$C$18)^29))</f>
        <v>0.000336303031833549</v>
      </c>
      <c r="AG125" s="29" t="n">
        <f aca="false">AF125*(1-MIN(1,INDEX(Tabla_Mortalidad!$B$5:$B$75,MIN(71,Cartera_Polizas!$B$127+30-49))*(1+(Cartera_Polizas!$P$127-1)*MAX(0,1-30/Supuestos!$C$20))*(1-Supuestos!$C$18)^30))</f>
        <v>0.000143753752501051</v>
      </c>
      <c r="AH125" s="29" t="n">
        <f aca="false">AG125*(1-MIN(1,INDEX(Tabla_Mortalidad!$B$5:$B$75,MIN(71,Cartera_Polizas!$B$127+31-49))*(1+(Cartera_Polizas!$P$127-1)*MAX(0,1-31/Supuestos!$C$20))*(1-Supuestos!$C$18)^31))</f>
        <v>5.69375208094549E-005</v>
      </c>
      <c r="AI125" s="29" t="n">
        <f aca="false">AH125*(1-MIN(1,INDEX(Tabla_Mortalidad!$B$5:$B$75,MIN(71,Cartera_Polizas!$B$127+32-49))*(1+(Cartera_Polizas!$P$127-1)*MAX(0,1-32/Supuestos!$C$20))*(1-Supuestos!$C$18)^32))</f>
        <v>2.08308658902981E-005</v>
      </c>
      <c r="AJ125" s="29" t="n">
        <f aca="false">AI125*(1-MIN(1,INDEX(Tabla_Mortalidad!$B$5:$B$75,MIN(71,Cartera_Polizas!$B$127+33-49))*(1+(Cartera_Polizas!$P$127-1)*MAX(0,1-33/Supuestos!$C$20))*(1-Supuestos!$C$18)^33))</f>
        <v>7.02528654762664E-006</v>
      </c>
      <c r="AK125" s="29" t="n">
        <f aca="false">AJ125*(1-MIN(1,INDEX(Tabla_Mortalidad!$B$5:$B$75,MIN(71,Cartera_Polizas!$B$127+34-49))*(1+(Cartera_Polizas!$P$127-1)*MAX(0,1-34/Supuestos!$C$20))*(1-Supuestos!$C$18)^34))</f>
        <v>2.18292305593945E-006</v>
      </c>
      <c r="AL125" s="29" t="n">
        <f aca="false">AK125*(1-MIN(1,INDEX(Tabla_Mortalidad!$B$5:$B$75,MIN(71,Cartera_Polizas!$B$127+35-49))*(1+(Cartera_Polizas!$P$127-1)*MAX(0,1-35/Supuestos!$C$20))*(1-Supuestos!$C$18)^35))</f>
        <v>6.25796421842979E-007</v>
      </c>
      <c r="AM125" s="29" t="n">
        <f aca="false">AL125*(1-MIN(1,INDEX(Tabla_Mortalidad!$B$5:$B$75,MIN(71,Cartera_Polizas!$B$127+36-49))*(1+(Cartera_Polizas!$P$127-1)*MAX(0,1-36/Supuestos!$C$20))*(1-Supuestos!$C$18)^36))</f>
        <v>1.66126628445247E-007</v>
      </c>
      <c r="AN125" s="29" t="n">
        <f aca="false">AM125*(1-MIN(1,INDEX(Tabla_Mortalidad!$B$5:$B$75,MIN(71,Cartera_Polizas!$B$127+37-49))*(1+(Cartera_Polizas!$P$127-1)*MAX(0,1-37/Supuestos!$C$20))*(1-Supuestos!$C$18)^37))</f>
        <v>4.10887579167121E-008</v>
      </c>
      <c r="AO125" s="29" t="n">
        <f aca="false">AN125*(1-MIN(1,INDEX(Tabla_Mortalidad!$B$5:$B$75,MIN(71,Cartera_Polizas!$B$127+38-49))*(1+(Cartera_Polizas!$P$127-1)*MAX(0,1-38/Supuestos!$C$20))*(1-Supuestos!$C$18)^38))</f>
        <v>9.55009635494717E-009</v>
      </c>
      <c r="AP125" s="29" t="n">
        <f aca="false">AO125*(1-MIN(1,INDEX(Tabla_Mortalidad!$B$5:$B$75,MIN(71,Cartera_Polizas!$B$127+39-49))*(1+(Cartera_Polizas!$P$127-1)*MAX(0,1-39/Supuestos!$C$20))*(1-Supuestos!$C$18)^39))</f>
        <v>2.10817137549569E-009</v>
      </c>
      <c r="AQ125" s="29" t="n">
        <f aca="false">AP125*(1-MIN(1,INDEX(Tabla_Mortalidad!$B$5:$B$75,MIN(71,Cartera_Polizas!$B$127+40-49))*(1+(Cartera_Polizas!$P$127-1)*MAX(0,1-40/Supuestos!$C$20))*(1-Supuestos!$C$18)^40))</f>
        <v>3.83012320363519E-010</v>
      </c>
      <c r="AR125" s="29" t="n">
        <f aca="false">AQ125*(1-MIN(1,INDEX(Tabla_Mortalidad!$B$5:$B$75,MIN(71,Cartera_Polizas!$B$127+41-49))*(1+(Cartera_Polizas!$P$127-1)*MAX(0,1-41/Supuestos!$C$20))*(1-Supuestos!$C$18)^41))</f>
        <v>7.11527654522341E-011</v>
      </c>
      <c r="AS125" s="29" t="n">
        <f aca="false">AR125*(1-MIN(1,INDEX(Tabla_Mortalidad!$B$5:$B$75,MIN(71,Cartera_Polizas!$B$127+42-49))*(1+(Cartera_Polizas!$P$127-1)*MAX(0,1-42/Supuestos!$C$20))*(1-Supuestos!$C$18)^42))</f>
        <v>1.35078275691327E-011</v>
      </c>
      <c r="AT125" s="29" t="n">
        <f aca="false">AS125*(1-MIN(1,INDEX(Tabla_Mortalidad!$B$5:$B$75,MIN(71,Cartera_Polizas!$B$127+43-49))*(1+(Cartera_Polizas!$P$127-1)*MAX(0,1-43/Supuestos!$C$20))*(1-Supuestos!$C$18)^43))</f>
        <v>2.61907873655757E-012</v>
      </c>
      <c r="AU125" s="29" t="n">
        <f aca="false">AT125*(1-MIN(1,INDEX(Tabla_Mortalidad!$B$5:$B$75,MIN(71,Cartera_Polizas!$B$127+44-49))*(1+(Cartera_Polizas!$P$127-1)*MAX(0,1-44/Supuestos!$C$20))*(1-Supuestos!$C$18)^44))</f>
        <v>5.18378388021806E-013</v>
      </c>
    </row>
    <row r="126" customFormat="false" ht="15" hidden="false" customHeight="false" outlineLevel="0" collapsed="false">
      <c r="A126" s="14" t="n">
        <f aca="false">Cartera_Polizas!A128</f>
        <v>123</v>
      </c>
      <c r="B126" s="26" t="n">
        <f aca="false">SUM(C126:AU126)+0.5</f>
        <v>9.62191016629205</v>
      </c>
      <c r="C126" s="29" t="n">
        <f aca="false">1-MIN(1,INDEX(Tabla_Mortalidad!$B$5:$B$75,MIN(71,Cartera_Polizas!$B$128+0-49))*(1+(Cartera_Polizas!$P$128-1)*MAX(0,1-0/Supuestos!$C$20))*(1-Supuestos!$C$18)^0)</f>
        <v>0.9557062025</v>
      </c>
      <c r="D126" s="29" t="n">
        <f aca="false">C126*(1-MIN(1,INDEX(Tabla_Mortalidad!$B$5:$B$75,MIN(71,Cartera_Polizas!$B$128+1-49))*(1+(Cartera_Polizas!$P$128-1)*MAX(0,1-1/Supuestos!$C$20))*(1-Supuestos!$C$18)^1))</f>
        <v>0.908486127854241</v>
      </c>
      <c r="E126" s="29" t="n">
        <f aca="false">D126*(1-MIN(1,INDEX(Tabla_Mortalidad!$B$5:$B$75,MIN(71,Cartera_Polizas!$B$128+2-49))*(1+(Cartera_Polizas!$P$128-1)*MAX(0,1-2/Supuestos!$C$20))*(1-Supuestos!$C$18)^2))</f>
        <v>0.858436028765734</v>
      </c>
      <c r="F126" s="29" t="n">
        <f aca="false">E126*(1-MIN(1,INDEX(Tabla_Mortalidad!$B$5:$B$75,MIN(71,Cartera_Polizas!$B$128+3-49))*(1+(Cartera_Polizas!$P$128-1)*MAX(0,1-3/Supuestos!$C$20))*(1-Supuestos!$C$18)^3))</f>
        <v>0.805725989328203</v>
      </c>
      <c r="G126" s="29" t="n">
        <f aca="false">F126*(1-MIN(1,INDEX(Tabla_Mortalidad!$B$5:$B$75,MIN(71,Cartera_Polizas!$B$128+4-49))*(1+(Cartera_Polizas!$P$128-1)*MAX(0,1-4/Supuestos!$C$20))*(1-Supuestos!$C$18)^4))</f>
        <v>0.750610043420358</v>
      </c>
      <c r="H126" s="29" t="n">
        <f aca="false">G126*(1-MIN(1,INDEX(Tabla_Mortalidad!$B$5:$B$75,MIN(71,Cartera_Polizas!$B$128+5-49))*(1+(Cartera_Polizas!$P$128-1)*MAX(0,1-5/Supuestos!$C$20))*(1-Supuestos!$C$18)^5))</f>
        <v>0.693438664405332</v>
      </c>
      <c r="I126" s="29" t="n">
        <f aca="false">H126*(1-MIN(1,INDEX(Tabla_Mortalidad!$B$5:$B$75,MIN(71,Cartera_Polizas!$B$128+6-49))*(1+(Cartera_Polizas!$P$128-1)*MAX(0,1-6/Supuestos!$C$20))*(1-Supuestos!$C$18)^6))</f>
        <v>0.634661061803003</v>
      </c>
      <c r="J126" s="29" t="n">
        <f aca="false">I126*(1-MIN(1,INDEX(Tabla_Mortalidad!$B$5:$B$75,MIN(71,Cartera_Polizas!$B$128+7-49))*(1+(Cartera_Polizas!$P$128-1)*MAX(0,1-7/Supuestos!$C$20))*(1-Supuestos!$C$18)^7))</f>
        <v>0.574832159951839</v>
      </c>
      <c r="K126" s="29" t="n">
        <f aca="false">J126*(1-MIN(1,INDEX(Tabla_Mortalidad!$B$5:$B$75,MIN(71,Cartera_Polizas!$B$128+8-49))*(1+(Cartera_Polizas!$P$128-1)*MAX(0,1-8/Supuestos!$C$20))*(1-Supuestos!$C$18)^8))</f>
        <v>0.514606626996139</v>
      </c>
      <c r="L126" s="29" t="n">
        <f aca="false">K126*(1-MIN(1,INDEX(Tabla_Mortalidad!$B$5:$B$75,MIN(71,Cartera_Polizas!$B$128+9-49))*(1+(Cartera_Polizas!$P$128-1)*MAX(0,1-9/Supuestos!$C$20))*(1-Supuestos!$C$18)^9))</f>
        <v>0.454729674573308</v>
      </c>
      <c r="M126" s="29" t="n">
        <f aca="false">L126*(1-MIN(1,INDEX(Tabla_Mortalidad!$B$5:$B$75,MIN(71,Cartera_Polizas!$B$128+10-49))*(1+(Cartera_Polizas!$P$128-1)*MAX(0,1-10/Supuestos!$C$20))*(1-Supuestos!$C$18)^10))</f>
        <v>0.396018103495715</v>
      </c>
      <c r="N126" s="29" t="n">
        <f aca="false">M126*(1-MIN(1,INDEX(Tabla_Mortalidad!$B$5:$B$75,MIN(71,Cartera_Polizas!$B$128+11-49))*(1+(Cartera_Polizas!$P$128-1)*MAX(0,1-11/Supuestos!$C$20))*(1-Supuestos!$C$18)^11))</f>
        <v>0.339332317701113</v>
      </c>
      <c r="O126" s="29" t="n">
        <f aca="false">N126*(1-MIN(1,INDEX(Tabla_Mortalidad!$B$5:$B$75,MIN(71,Cartera_Polizas!$B$128+12-49))*(1+(Cartera_Polizas!$P$128-1)*MAX(0,1-12/Supuestos!$C$20))*(1-Supuestos!$C$18)^12))</f>
        <v>0.285538454743366</v>
      </c>
      <c r="P126" s="29" t="n">
        <f aca="false">O126*(1-MIN(1,INDEX(Tabla_Mortalidad!$B$5:$B$75,MIN(71,Cartera_Polizas!$B$128+13-49))*(1+(Cartera_Polizas!$P$128-1)*MAX(0,1-13/Supuestos!$C$20))*(1-Supuestos!$C$18)^13))</f>
        <v>0.235461347408835</v>
      </c>
      <c r="Q126" s="29" t="n">
        <f aca="false">P126*(1-MIN(1,INDEX(Tabla_Mortalidad!$B$5:$B$75,MIN(71,Cartera_Polizas!$B$128+14-49))*(1+(Cartera_Polizas!$P$128-1)*MAX(0,1-14/Supuestos!$C$20))*(1-Supuestos!$C$18)^14))</f>
        <v>0.189833670801633</v>
      </c>
      <c r="R126" s="29" t="n">
        <f aca="false">Q126*(1-MIN(1,INDEX(Tabla_Mortalidad!$B$5:$B$75,MIN(71,Cartera_Polizas!$B$128+15-49))*(1+(Cartera_Polizas!$P$128-1)*MAX(0,1-15/Supuestos!$C$20))*(1-Supuestos!$C$18)^15))</f>
        <v>0.149243004175206</v>
      </c>
      <c r="S126" s="29" t="n">
        <f aca="false">R126*(1-MIN(1,INDEX(Tabla_Mortalidad!$B$5:$B$75,MIN(71,Cartera_Polizas!$B$128+16-49))*(1+(Cartera_Polizas!$P$128-1)*MAX(0,1-16/Supuestos!$C$20))*(1-Supuestos!$C$18)^16))</f>
        <v>0.114310367977959</v>
      </c>
      <c r="T126" s="29" t="n">
        <f aca="false">S126*(1-MIN(1,INDEX(Tabla_Mortalidad!$B$5:$B$75,MIN(71,Cartera_Polizas!$B$128+17-49))*(1+(Cartera_Polizas!$P$128-1)*MAX(0,1-17/Supuestos!$C$20))*(1-Supuestos!$C$18)^17))</f>
        <v>0.0850679083714667</v>
      </c>
      <c r="U126" s="29" t="n">
        <f aca="false">T126*(1-MIN(1,INDEX(Tabla_Mortalidad!$B$5:$B$75,MIN(71,Cartera_Polizas!$B$128+18-49))*(1+(Cartera_Polizas!$P$128-1)*MAX(0,1-18/Supuestos!$C$20))*(1-Supuestos!$C$18)^18))</f>
        <v>0.0613258431411857</v>
      </c>
      <c r="V126" s="29" t="n">
        <f aca="false">U126*(1-MIN(1,INDEX(Tabla_Mortalidad!$B$5:$B$75,MIN(71,Cartera_Polizas!$B$128+19-49))*(1+(Cartera_Polizas!$P$128-1)*MAX(0,1-19/Supuestos!$C$20))*(1-Supuestos!$C$18)^19))</f>
        <v>0.042688694739723</v>
      </c>
      <c r="W126" s="29" t="n">
        <f aca="false">V126*(1-MIN(1,INDEX(Tabla_Mortalidad!$B$5:$B$75,MIN(71,Cartera_Polizas!$B$128+20-49))*(1+(Cartera_Polizas!$P$128-1)*MAX(0,1-20/Supuestos!$C$20))*(1-Supuestos!$C$18)^20))</f>
        <v>0.0285923851696812</v>
      </c>
      <c r="X126" s="29" t="n">
        <f aca="false">W126*(1-MIN(1,INDEX(Tabla_Mortalidad!$B$5:$B$75,MIN(71,Cartera_Polizas!$B$128+21-49))*(1+(Cartera_Polizas!$P$128-1)*MAX(0,1-21/Supuestos!$C$20))*(1-Supuestos!$C$18)^21))</f>
        <v>0.018357447265033</v>
      </c>
      <c r="Y126" s="29" t="n">
        <f aca="false">X126*(1-MIN(1,INDEX(Tabla_Mortalidad!$B$5:$B$75,MIN(71,Cartera_Polizas!$B$128+22-49))*(1+(Cartera_Polizas!$P$128-1)*MAX(0,1-22/Supuestos!$C$20))*(1-Supuestos!$C$18)^22))</f>
        <v>0.0112521752114498</v>
      </c>
      <c r="Z126" s="29" t="n">
        <f aca="false">Y126*(1-MIN(1,INDEX(Tabla_Mortalidad!$B$5:$B$75,MIN(71,Cartera_Polizas!$B$128+23-49))*(1+(Cartera_Polizas!$P$128-1)*MAX(0,1-23/Supuestos!$C$20))*(1-Supuestos!$C$18)^23))</f>
        <v>0.00655616973349872</v>
      </c>
      <c r="AA126" s="29" t="n">
        <f aca="false">Z126*(1-MIN(1,INDEX(Tabla_Mortalidad!$B$5:$B$75,MIN(71,Cartera_Polizas!$B$128+24-49))*(1+(Cartera_Polizas!$P$128-1)*MAX(0,1-24/Supuestos!$C$20))*(1-Supuestos!$C$18)^24))</f>
        <v>0.00361479503847084</v>
      </c>
      <c r="AB126" s="29" t="n">
        <f aca="false">AA126*(1-MIN(1,INDEX(Tabla_Mortalidad!$B$5:$B$75,MIN(71,Cartera_Polizas!$B$128+25-49))*(1+(Cartera_Polizas!$P$128-1)*MAX(0,1-25/Supuestos!$C$20))*(1-Supuestos!$C$18)^25))</f>
        <v>0.00187712568100401</v>
      </c>
      <c r="AC126" s="29" t="n">
        <f aca="false">AB126*(1-MIN(1,INDEX(Tabla_Mortalidad!$B$5:$B$75,MIN(71,Cartera_Polizas!$B$128+26-49))*(1+(Cartera_Polizas!$P$128-1)*MAX(0,1-26/Supuestos!$C$20))*(1-Supuestos!$C$18)^26))</f>
        <v>0.000913688120924316</v>
      </c>
      <c r="AD126" s="29" t="n">
        <f aca="false">AC126*(1-MIN(1,INDEX(Tabla_Mortalidad!$B$5:$B$75,MIN(71,Cartera_Polizas!$B$128+27-49))*(1+(Cartera_Polizas!$P$128-1)*MAX(0,1-27/Supuestos!$C$20))*(1-Supuestos!$C$18)^27))</f>
        <v>0.000414888412769071</v>
      </c>
      <c r="AE126" s="29" t="n">
        <f aca="false">AD126*(1-MIN(1,INDEX(Tabla_Mortalidad!$B$5:$B$75,MIN(71,Cartera_Polizas!$B$128+28-49))*(1+(Cartera_Polizas!$P$128-1)*MAX(0,1-28/Supuestos!$C$20))*(1-Supuestos!$C$18)^28))</f>
        <v>0.000174951946034815</v>
      </c>
      <c r="AF126" s="29" t="n">
        <f aca="false">AE126*(1-MIN(1,INDEX(Tabla_Mortalidad!$B$5:$B$75,MIN(71,Cartera_Polizas!$B$128+29-49))*(1+(Cartera_Polizas!$P$128-1)*MAX(0,1-29/Supuestos!$C$20))*(1-Supuestos!$C$18)^29))</f>
        <v>6.82298473487509E-005</v>
      </c>
      <c r="AG126" s="29" t="n">
        <f aca="false">AF126*(1-MIN(1,INDEX(Tabla_Mortalidad!$B$5:$B$75,MIN(71,Cartera_Polizas!$B$128+30-49))*(1+(Cartera_Polizas!$P$128-1)*MAX(0,1-30/Supuestos!$C$20))*(1-Supuestos!$C$18)^30))</f>
        <v>2.45262747405051E-005</v>
      </c>
      <c r="AH126" s="29" t="n">
        <f aca="false">AG126*(1-MIN(1,INDEX(Tabla_Mortalidad!$B$5:$B$75,MIN(71,Cartera_Polizas!$B$128+31-49))*(1+(Cartera_Polizas!$P$128-1)*MAX(0,1-31/Supuestos!$C$20))*(1-Supuestos!$C$18)^31))</f>
        <v>8.10780258711215E-006</v>
      </c>
      <c r="AI126" s="29" t="n">
        <f aca="false">AH126*(1-MIN(1,INDEX(Tabla_Mortalidad!$B$5:$B$75,MIN(71,Cartera_Polizas!$B$128+32-49))*(1+(Cartera_Polizas!$P$128-1)*MAX(0,1-32/Supuestos!$C$20))*(1-Supuestos!$C$18)^32))</f>
        <v>2.46297933717221E-006</v>
      </c>
      <c r="AJ126" s="29" t="n">
        <f aca="false">AI126*(1-MIN(1,INDEX(Tabla_Mortalidad!$B$5:$B$75,MIN(71,Cartera_Polizas!$B$128+33-49))*(1+(Cartera_Polizas!$P$128-1)*MAX(0,1-33/Supuestos!$C$20))*(1-Supuestos!$C$18)^33))</f>
        <v>6.88380828398221E-007</v>
      </c>
      <c r="AK126" s="29" t="n">
        <f aca="false">AJ126*(1-MIN(1,INDEX(Tabla_Mortalidad!$B$5:$B$75,MIN(71,Cartera_Polizas!$B$128+34-49))*(1+(Cartera_Polizas!$P$128-1)*MAX(0,1-34/Supuestos!$C$20))*(1-Supuestos!$C$18)^34))</f>
        <v>1.77645975906713E-007</v>
      </c>
      <c r="AL126" s="29" t="n">
        <f aca="false">AK126*(1-MIN(1,INDEX(Tabla_Mortalidad!$B$5:$B$75,MIN(71,Cartera_Polizas!$B$128+35-49))*(1+(Cartera_Polizas!$P$128-1)*MAX(0,1-35/Supuestos!$C$20))*(1-Supuestos!$C$18)^35))</f>
        <v>4.25907075109713E-008</v>
      </c>
      <c r="AM126" s="29" t="n">
        <f aca="false">AL126*(1-MIN(1,INDEX(Tabla_Mortalidad!$B$5:$B$75,MIN(71,Cartera_Polizas!$B$128+36-49))*(1+(Cartera_Polizas!$P$128-1)*MAX(0,1-36/Supuestos!$C$20))*(1-Supuestos!$C$18)^36))</f>
        <v>9.56980501480122E-009</v>
      </c>
      <c r="AN126" s="29" t="n">
        <f aca="false">AM126*(1-MIN(1,INDEX(Tabla_Mortalidad!$B$5:$B$75,MIN(71,Cartera_Polizas!$B$128+37-49))*(1+(Cartera_Polizas!$P$128-1)*MAX(0,1-37/Supuestos!$C$20))*(1-Supuestos!$C$18)^37))</f>
        <v>2.03738615848731E-009</v>
      </c>
      <c r="AO126" s="29" t="n">
        <f aca="false">AN126*(1-MIN(1,INDEX(Tabla_Mortalidad!$B$5:$B$75,MIN(71,Cartera_Polizas!$B$128+38-49))*(1+(Cartera_Polizas!$P$128-1)*MAX(0,1-38/Supuestos!$C$20))*(1-Supuestos!$C$18)^38))</f>
        <v>3.53353848411042E-010</v>
      </c>
      <c r="AP126" s="29" t="n">
        <f aca="false">AO126*(1-MIN(1,INDEX(Tabla_Mortalidad!$B$5:$B$75,MIN(71,Cartera_Polizas!$B$128+39-49))*(1+(Cartera_Polizas!$P$128-1)*MAX(0,1-39/Supuestos!$C$20))*(1-Supuestos!$C$18)^39))</f>
        <v>6.27442363552112E-011</v>
      </c>
      <c r="AQ126" s="29" t="n">
        <f aca="false">AP126*(1-MIN(1,INDEX(Tabla_Mortalidad!$B$5:$B$75,MIN(71,Cartera_Polizas!$B$128+40-49))*(1+(Cartera_Polizas!$P$128-1)*MAX(0,1-40/Supuestos!$C$20))*(1-Supuestos!$C$18)^40))</f>
        <v>1.13993652675395E-011</v>
      </c>
      <c r="AR126" s="29" t="n">
        <f aca="false">AQ126*(1-MIN(1,INDEX(Tabla_Mortalidad!$B$5:$B$75,MIN(71,Cartera_Polizas!$B$128+41-49))*(1+(Cartera_Polizas!$P$128-1)*MAX(0,1-41/Supuestos!$C$20))*(1-Supuestos!$C$18)^41))</f>
        <v>2.11767695205148E-012</v>
      </c>
      <c r="AS126" s="29" t="n">
        <f aca="false">AR126*(1-MIN(1,INDEX(Tabla_Mortalidad!$B$5:$B$75,MIN(71,Cartera_Polizas!$B$128+42-49))*(1+(Cartera_Polizas!$P$128-1)*MAX(0,1-42/Supuestos!$C$20))*(1-Supuestos!$C$18)^42))</f>
        <v>4.0202534551719E-013</v>
      </c>
      <c r="AT126" s="29" t="n">
        <f aca="false">AS126*(1-MIN(1,INDEX(Tabla_Mortalidad!$B$5:$B$75,MIN(71,Cartera_Polizas!$B$128+43-49))*(1+(Cartera_Polizas!$P$128-1)*MAX(0,1-43/Supuestos!$C$20))*(1-Supuestos!$C$18)^43))</f>
        <v>7.79500647763215E-014</v>
      </c>
      <c r="AU126" s="29" t="n">
        <f aca="false">AT126*(1-MIN(1,INDEX(Tabla_Mortalidad!$B$5:$B$75,MIN(71,Cartera_Polizas!$B$128+44-49))*(1+(Cartera_Polizas!$P$128-1)*MAX(0,1-44/Supuestos!$C$20))*(1-Supuestos!$C$18)^44))</f>
        <v>1.54281841018859E-014</v>
      </c>
    </row>
    <row r="127" customFormat="false" ht="15" hidden="false" customHeight="false" outlineLevel="0" collapsed="false">
      <c r="A127" s="14" t="n">
        <f aca="false">Cartera_Polizas!A129</f>
        <v>124</v>
      </c>
      <c r="B127" s="26" t="n">
        <f aca="false">SUM(C127:AU127)+0.5</f>
        <v>12.5965003632297</v>
      </c>
      <c r="C127" s="29" t="n">
        <f aca="false">1-MIN(1,INDEX(Tabla_Mortalidad!$B$5:$B$75,MIN(71,Cartera_Polizas!$B$129+0-49))*(1+(Cartera_Polizas!$P$129-1)*MAX(0,1-0/Supuestos!$C$20))*(1-Supuestos!$C$18)^0)</f>
        <v>0.9583165</v>
      </c>
      <c r="D127" s="29" t="n">
        <f aca="false">C127*(1-MIN(1,INDEX(Tabla_Mortalidad!$B$5:$B$75,MIN(71,Cartera_Polizas!$B$129+1-49))*(1+(Cartera_Polizas!$P$129-1)*MAX(0,1-1/Supuestos!$C$20))*(1-Supuestos!$C$18)^1))</f>
        <v>0.915639744188272</v>
      </c>
      <c r="E127" s="29" t="n">
        <f aca="false">D127*(1-MIN(1,INDEX(Tabla_Mortalidad!$B$5:$B$75,MIN(71,Cartera_Polizas!$B$129+2-49))*(1+(Cartera_Polizas!$P$129-1)*MAX(0,1-2/Supuestos!$C$20))*(1-Supuestos!$C$18)^2))</f>
        <v>0.872142553214048</v>
      </c>
      <c r="F127" s="29" t="n">
        <f aca="false">E127*(1-MIN(1,INDEX(Tabla_Mortalidad!$B$5:$B$75,MIN(71,Cartera_Polizas!$B$129+3-49))*(1+(Cartera_Polizas!$P$129-1)*MAX(0,1-3/Supuestos!$C$20))*(1-Supuestos!$C$18)^3))</f>
        <v>0.828026447667177</v>
      </c>
      <c r="G127" s="29" t="n">
        <f aca="false">F127*(1-MIN(1,INDEX(Tabla_Mortalidad!$B$5:$B$75,MIN(71,Cartera_Polizas!$B$129+4-49))*(1+(Cartera_Polizas!$P$129-1)*MAX(0,1-4/Supuestos!$C$20))*(1-Supuestos!$C$18)^4))</f>
        <v>0.783511360810646</v>
      </c>
      <c r="H127" s="29" t="n">
        <f aca="false">G127*(1-MIN(1,INDEX(Tabla_Mortalidad!$B$5:$B$75,MIN(71,Cartera_Polizas!$B$129+5-49))*(1+(Cartera_Polizas!$P$129-1)*MAX(0,1-5/Supuestos!$C$20))*(1-Supuestos!$C$18)^5))</f>
        <v>0.738835773128776</v>
      </c>
      <c r="I127" s="29" t="n">
        <f aca="false">H127*(1-MIN(1,INDEX(Tabla_Mortalidad!$B$5:$B$75,MIN(71,Cartera_Polizas!$B$129+6-49))*(1+(Cartera_Polizas!$P$129-1)*MAX(0,1-6/Supuestos!$C$20))*(1-Supuestos!$C$18)^6))</f>
        <v>0.694254104024581</v>
      </c>
      <c r="J127" s="29" t="n">
        <f aca="false">I127*(1-MIN(1,INDEX(Tabla_Mortalidad!$B$5:$B$75,MIN(71,Cartera_Polizas!$B$129+7-49))*(1+(Cartera_Polizas!$P$129-1)*MAX(0,1-7/Supuestos!$C$20))*(1-Supuestos!$C$18)^7))</f>
        <v>0.650033313201243</v>
      </c>
      <c r="K127" s="29" t="n">
        <f aca="false">J127*(1-MIN(1,INDEX(Tabla_Mortalidad!$B$5:$B$75,MIN(71,Cartera_Polizas!$B$129+8-49))*(1+(Cartera_Polizas!$P$129-1)*MAX(0,1-8/Supuestos!$C$20))*(1-Supuestos!$C$18)^8))</f>
        <v>0.606447610404347</v>
      </c>
      <c r="L127" s="29" t="n">
        <f aca="false">K127*(1-MIN(1,INDEX(Tabla_Mortalidad!$B$5:$B$75,MIN(71,Cartera_Polizas!$B$129+9-49))*(1+(Cartera_Polizas!$P$129-1)*MAX(0,1-9/Supuestos!$C$20))*(1-Supuestos!$C$18)^9))</f>
        <v>0.563771190446206</v>
      </c>
      <c r="M127" s="29" t="n">
        <f aca="false">L127*(1-MIN(1,INDEX(Tabla_Mortalidad!$B$5:$B$75,MIN(71,Cartera_Polizas!$B$129+10-49))*(1+(Cartera_Polizas!$P$129-1)*MAX(0,1-10/Supuestos!$C$20))*(1-Supuestos!$C$18)^10))</f>
        <v>0.522274194102719</v>
      </c>
      <c r="N127" s="29" t="n">
        <f aca="false">M127*(1-MIN(1,INDEX(Tabla_Mortalidad!$B$5:$B$75,MIN(71,Cartera_Polizas!$B$129+11-49))*(1+(Cartera_Polizas!$P$129-1)*MAX(0,1-11/Supuestos!$C$20))*(1-Supuestos!$C$18)^11))</f>
        <v>0.48221766419729</v>
      </c>
      <c r="O127" s="29" t="n">
        <f aca="false">N127*(1-MIN(1,INDEX(Tabla_Mortalidad!$B$5:$B$75,MIN(71,Cartera_Polizas!$B$129+12-49))*(1+(Cartera_Polizas!$P$129-1)*MAX(0,1-12/Supuestos!$C$20))*(1-Supuestos!$C$18)^12))</f>
        <v>0.443845584475977</v>
      </c>
      <c r="P127" s="29" t="n">
        <f aca="false">O127*(1-MIN(1,INDEX(Tabla_Mortalidad!$B$5:$B$75,MIN(71,Cartera_Polizas!$B$129+13-49))*(1+(Cartera_Polizas!$P$129-1)*MAX(0,1-13/Supuestos!$C$20))*(1-Supuestos!$C$18)^13))</f>
        <v>0.407379057398735</v>
      </c>
      <c r="Q127" s="29" t="n">
        <f aca="false">P127*(1-MIN(1,INDEX(Tabla_Mortalidad!$B$5:$B$75,MIN(71,Cartera_Polizas!$B$129+14-49))*(1+(Cartera_Polizas!$P$129-1)*MAX(0,1-14/Supuestos!$C$20))*(1-Supuestos!$C$18)^14))</f>
        <v>0.373013672078748</v>
      </c>
      <c r="R127" s="29" t="n">
        <f aca="false">Q127*(1-MIN(1,INDEX(Tabla_Mortalidad!$B$5:$B$75,MIN(71,Cartera_Polizas!$B$129+15-49))*(1+(Cartera_Polizas!$P$129-1)*MAX(0,1-15/Supuestos!$C$20))*(1-Supuestos!$C$18)^15))</f>
        <v>0.340912863803773</v>
      </c>
      <c r="S127" s="29" t="n">
        <f aca="false">R127*(1-MIN(1,INDEX(Tabla_Mortalidad!$B$5:$B$75,MIN(71,Cartera_Polizas!$B$129+16-49))*(1+(Cartera_Polizas!$P$129-1)*MAX(0,1-16/Supuestos!$C$20))*(1-Supuestos!$C$18)^16))</f>
        <v>0.308507869021134</v>
      </c>
      <c r="T127" s="29" t="n">
        <f aca="false">S127*(1-MIN(1,INDEX(Tabla_Mortalidad!$B$5:$B$75,MIN(71,Cartera_Polizas!$B$129+17-49))*(1+(Cartera_Polizas!$P$129-1)*MAX(0,1-17/Supuestos!$C$20))*(1-Supuestos!$C$18)^17))</f>
        <v>0.27613824654156</v>
      </c>
      <c r="U127" s="29" t="n">
        <f aca="false">T127*(1-MIN(1,INDEX(Tabla_Mortalidad!$B$5:$B$75,MIN(71,Cartera_Polizas!$B$129+18-49))*(1+(Cartera_Polizas!$P$129-1)*MAX(0,1-18/Supuestos!$C$20))*(1-Supuestos!$C$18)^18))</f>
        <v>0.244179096919573</v>
      </c>
      <c r="V127" s="29" t="n">
        <f aca="false">U127*(1-MIN(1,INDEX(Tabla_Mortalidad!$B$5:$B$75,MIN(71,Cartera_Polizas!$B$129+19-49))*(1+(Cartera_Polizas!$P$129-1)*MAX(0,1-19/Supuestos!$C$20))*(1-Supuestos!$C$18)^19))</f>
        <v>0.213030704175871</v>
      </c>
      <c r="W127" s="29" t="n">
        <f aca="false">V127*(1-MIN(1,INDEX(Tabla_Mortalidad!$B$5:$B$75,MIN(71,Cartera_Polizas!$B$129+20-49))*(1+(Cartera_Polizas!$P$129-1)*MAX(0,1-20/Supuestos!$C$20))*(1-Supuestos!$C$18)^20))</f>
        <v>0.183104605441099</v>
      </c>
      <c r="X127" s="29" t="n">
        <f aca="false">W127*(1-MIN(1,INDEX(Tabla_Mortalidad!$B$5:$B$75,MIN(71,Cartera_Polizas!$B$129+21-49))*(1+(Cartera_Polizas!$P$129-1)*MAX(0,1-21/Supuestos!$C$20))*(1-Supuestos!$C$18)^21))</f>
        <v>0.154805878061301</v>
      </c>
      <c r="Y127" s="29" t="n">
        <f aca="false">X127*(1-MIN(1,INDEX(Tabla_Mortalidad!$B$5:$B$75,MIN(71,Cartera_Polizas!$B$129+22-49))*(1+(Cartera_Polizas!$P$129-1)*MAX(0,1-22/Supuestos!$C$20))*(1-Supuestos!$C$18)^22))</f>
        <v>0.128512120731349</v>
      </c>
      <c r="Z127" s="29" t="n">
        <f aca="false">Y127*(1-MIN(1,INDEX(Tabla_Mortalidad!$B$5:$B$75,MIN(71,Cartera_Polizas!$B$129+23-49))*(1+(Cartera_Polizas!$P$129-1)*MAX(0,1-23/Supuestos!$C$20))*(1-Supuestos!$C$18)^23))</f>
        <v>0.104551797330648</v>
      </c>
      <c r="AA127" s="29" t="n">
        <f aca="false">Z127*(1-MIN(1,INDEX(Tabla_Mortalidad!$B$5:$B$75,MIN(71,Cartera_Polizas!$B$129+24-49))*(1+(Cartera_Polizas!$P$129-1)*MAX(0,1-24/Supuestos!$C$20))*(1-Supuestos!$C$18)^24))</f>
        <v>0.083182405227976</v>
      </c>
      <c r="AB127" s="29" t="n">
        <f aca="false">AA127*(1-MIN(1,INDEX(Tabla_Mortalidad!$B$5:$B$75,MIN(71,Cartera_Polizas!$B$129+25-49))*(1+(Cartera_Polizas!$P$129-1)*MAX(0,1-25/Supuestos!$C$20))*(1-Supuestos!$C$18)^25))</f>
        <v>0.0645711108271366</v>
      </c>
      <c r="AC127" s="29" t="n">
        <f aca="false">AB127*(1-MIN(1,INDEX(Tabla_Mortalidad!$B$5:$B$75,MIN(71,Cartera_Polizas!$B$129+26-49))*(1+(Cartera_Polizas!$P$129-1)*MAX(0,1-26/Supuestos!$C$20))*(1-Supuestos!$C$18)^26))</f>
        <v>0.0487813969500175</v>
      </c>
      <c r="AD127" s="29" t="n">
        <f aca="false">AC127*(1-MIN(1,INDEX(Tabla_Mortalidad!$B$5:$B$75,MIN(71,Cartera_Polizas!$B$129+27-49))*(1+(Cartera_Polizas!$P$129-1)*MAX(0,1-27/Supuestos!$C$20))*(1-Supuestos!$C$18)^27))</f>
        <v>0.0357672801851959</v>
      </c>
      <c r="AE127" s="29" t="n">
        <f aca="false">AD127*(1-MIN(1,INDEX(Tabla_Mortalidad!$B$5:$B$75,MIN(71,Cartera_Polizas!$B$129+28-49))*(1+(Cartera_Polizas!$P$129-1)*MAX(0,1-28/Supuestos!$C$20))*(1-Supuestos!$C$18)^28))</f>
        <v>0.0253769444926506</v>
      </c>
      <c r="AF127" s="29" t="n">
        <f aca="false">AE127*(1-MIN(1,INDEX(Tabla_Mortalidad!$B$5:$B$75,MIN(71,Cartera_Polizas!$B$129+29-49))*(1+(Cartera_Polizas!$P$129-1)*MAX(0,1-29/Supuestos!$C$20))*(1-Supuestos!$C$18)^29))</f>
        <v>0.017366813666611</v>
      </c>
      <c r="AG127" s="29" t="n">
        <f aca="false">AF127*(1-MIN(1,INDEX(Tabla_Mortalidad!$B$5:$B$75,MIN(71,Cartera_Polizas!$B$129+30-49))*(1+(Cartera_Polizas!$P$129-1)*MAX(0,1-30/Supuestos!$C$20))*(1-Supuestos!$C$18)^30))</f>
        <v>0.0114244025036668</v>
      </c>
      <c r="AH127" s="29" t="n">
        <f aca="false">AG127*(1-MIN(1,INDEX(Tabla_Mortalidad!$B$5:$B$75,MIN(71,Cartera_Polizas!$B$129+31-49))*(1+(Cartera_Polizas!$P$129-1)*MAX(0,1-31/Supuestos!$C$20))*(1-Supuestos!$C$18)^31))</f>
        <v>0.007197622497535</v>
      </c>
      <c r="AI127" s="29" t="n">
        <f aca="false">AH127*(1-MIN(1,INDEX(Tabla_Mortalidad!$B$5:$B$75,MIN(71,Cartera_Polizas!$B$129+32-49))*(1+(Cartera_Polizas!$P$129-1)*MAX(0,1-32/Supuestos!$C$20))*(1-Supuestos!$C$18)^32))</f>
        <v>0.00432625420438589</v>
      </c>
      <c r="AJ127" s="29" t="n">
        <f aca="false">AI127*(1-MIN(1,INDEX(Tabla_Mortalidad!$B$5:$B$75,MIN(71,Cartera_Polizas!$B$129+33-49))*(1+(Cartera_Polizas!$P$129-1)*MAX(0,1-33/Supuestos!$C$20))*(1-Supuestos!$C$18)^33))</f>
        <v>0.00247092951313902</v>
      </c>
      <c r="AK127" s="29" t="n">
        <f aca="false">AJ127*(1-MIN(1,INDEX(Tabla_Mortalidad!$B$5:$B$75,MIN(71,Cartera_Polizas!$B$129+34-49))*(1+(Cartera_Polizas!$P$129-1)*MAX(0,1-34/Supuestos!$C$20))*(1-Supuestos!$C$18)^34))</f>
        <v>0.00133552256227099</v>
      </c>
      <c r="AL127" s="29" t="n">
        <f aca="false">AK127*(1-MIN(1,INDEX(Tabla_Mortalidad!$B$5:$B$75,MIN(71,Cartera_Polizas!$B$129+35-49))*(1+(Cartera_Polizas!$P$129-1)*MAX(0,1-35/Supuestos!$C$20))*(1-Supuestos!$C$18)^35))</f>
        <v>0.000680299495316047</v>
      </c>
      <c r="AM127" s="29" t="n">
        <f aca="false">AL127*(1-MIN(1,INDEX(Tabla_Mortalidad!$B$5:$B$75,MIN(71,Cartera_Polizas!$B$129+36-49))*(1+(Cartera_Polizas!$P$129-1)*MAX(0,1-36/Supuestos!$C$20))*(1-Supuestos!$C$18)^36))</f>
        <v>0.000325293172898543</v>
      </c>
      <c r="AN127" s="29" t="n">
        <f aca="false">AM127*(1-MIN(1,INDEX(Tabla_Mortalidad!$B$5:$B$75,MIN(71,Cartera_Polizas!$B$129+37-49))*(1+(Cartera_Polizas!$P$129-1)*MAX(0,1-37/Supuestos!$C$20))*(1-Supuestos!$C$18)^37))</f>
        <v>0.000145469183300744</v>
      </c>
      <c r="AO127" s="29" t="n">
        <f aca="false">AN127*(1-MIN(1,INDEX(Tabla_Mortalidad!$B$5:$B$75,MIN(71,Cartera_Polizas!$B$129+38-49))*(1+(Cartera_Polizas!$P$129-1)*MAX(0,1-38/Supuestos!$C$20))*(1-Supuestos!$C$18)^38))</f>
        <v>6.06460508153115E-005</v>
      </c>
      <c r="AP127" s="29" t="n">
        <f aca="false">AO127*(1-MIN(1,INDEX(Tabla_Mortalidad!$B$5:$B$75,MIN(71,Cartera_Polizas!$B$129+39-49))*(1+(Cartera_Polizas!$P$129-1)*MAX(0,1-39/Supuestos!$C$20))*(1-Supuestos!$C$18)^39))</f>
        <v>2.35136702374988E-005</v>
      </c>
      <c r="AQ127" s="29" t="n">
        <f aca="false">AP127*(1-MIN(1,INDEX(Tabla_Mortalidad!$B$5:$B$75,MIN(71,Cartera_Polizas!$B$129+40-49))*(1+(Cartera_Polizas!$P$129-1)*MAX(0,1-40/Supuestos!$C$20))*(1-Supuestos!$C$18)^40))</f>
        <v>8.46738461344888E-006</v>
      </c>
      <c r="AR127" s="29" t="n">
        <f aca="false">AQ127*(1-MIN(1,INDEX(Tabla_Mortalidad!$B$5:$B$75,MIN(71,Cartera_Polizas!$B$129+41-49))*(1+(Cartera_Polizas!$P$129-1)*MAX(0,1-41/Supuestos!$C$20))*(1-Supuestos!$C$18)^41))</f>
        <v>2.83225128467949E-006</v>
      </c>
      <c r="AS127" s="29" t="n">
        <f aca="false">AR127*(1-MIN(1,INDEX(Tabla_Mortalidad!$B$5:$B$75,MIN(71,Cartera_Polizas!$B$129+42-49))*(1+(Cartera_Polizas!$P$129-1)*MAX(0,1-42/Supuestos!$C$20))*(1-Supuestos!$C$18)^42))</f>
        <v>8.81603526219095E-007</v>
      </c>
      <c r="AT127" s="29" t="n">
        <f aca="false">AS127*(1-MIN(1,INDEX(Tabla_Mortalidad!$B$5:$B$75,MIN(71,Cartera_Polizas!$B$129+43-49))*(1+(Cartera_Polizas!$P$129-1)*MAX(0,1-43/Supuestos!$C$20))*(1-Supuestos!$C$18)^43))</f>
        <v>2.56362058666497E-007</v>
      </c>
      <c r="AU127" s="29" t="n">
        <f aca="false">AT127*(1-MIN(1,INDEX(Tabla_Mortalidad!$B$5:$B$75,MIN(71,Cartera_Polizas!$B$129+44-49))*(1+(Cartera_Polizas!$P$129-1)*MAX(0,1-44/Supuestos!$C$20))*(1-Supuestos!$C$18)^44))</f>
        <v>7.00600088455334E-008</v>
      </c>
    </row>
    <row r="128" customFormat="false" ht="15" hidden="false" customHeight="false" outlineLevel="0" collapsed="false">
      <c r="A128" s="14" t="n">
        <f aca="false">Cartera_Polizas!A130</f>
        <v>125</v>
      </c>
      <c r="B128" s="26" t="n">
        <f aca="false">SUM(C128:AU128)+0.5</f>
        <v>10.9858981425424</v>
      </c>
      <c r="C128" s="29" t="n">
        <f aca="false">1-MIN(1,INDEX(Tabla_Mortalidad!$B$5:$B$75,MIN(71,Cartera_Polizas!$B$130+0-49))*(1+(Cartera_Polizas!$P$130-1)*MAX(0,1-0/Supuestos!$C$20))*(1-Supuestos!$C$18)^0)</f>
        <v>0.9551428525</v>
      </c>
      <c r="D128" s="29" t="n">
        <f aca="false">C128*(1-MIN(1,INDEX(Tabla_Mortalidad!$B$5:$B$75,MIN(71,Cartera_Polizas!$B$130+1-49))*(1+(Cartera_Polizas!$P$130-1)*MAX(0,1-1/Supuestos!$C$20))*(1-Supuestos!$C$18)^1))</f>
        <v>0.908781472859005</v>
      </c>
      <c r="E128" s="29" t="n">
        <f aca="false">D128*(1-MIN(1,INDEX(Tabla_Mortalidad!$B$5:$B$75,MIN(71,Cartera_Polizas!$B$130+2-49))*(1+(Cartera_Polizas!$P$130-1)*MAX(0,1-2/Supuestos!$C$20))*(1-Supuestos!$C$18)^2))</f>
        <v>0.861088125034252</v>
      </c>
      <c r="F128" s="29" t="n">
        <f aca="false">E128*(1-MIN(1,INDEX(Tabla_Mortalidad!$B$5:$B$75,MIN(71,Cartera_Polizas!$B$130+3-49))*(1+(Cartera_Polizas!$P$130-1)*MAX(0,1-3/Supuestos!$C$20))*(1-Supuestos!$C$18)^3))</f>
        <v>0.812270237414874</v>
      </c>
      <c r="G128" s="29" t="n">
        <f aca="false">F128*(1-MIN(1,INDEX(Tabla_Mortalidad!$B$5:$B$75,MIN(71,Cartera_Polizas!$B$130+4-49))*(1+(Cartera_Polizas!$P$130-1)*MAX(0,1-4/Supuestos!$C$20))*(1-Supuestos!$C$18)^4))</f>
        <v>0.762569976413655</v>
      </c>
      <c r="H128" s="29" t="n">
        <f aca="false">G128*(1-MIN(1,INDEX(Tabla_Mortalidad!$B$5:$B$75,MIN(71,Cartera_Polizas!$B$130+5-49))*(1+(Cartera_Polizas!$P$130-1)*MAX(0,1-5/Supuestos!$C$20))*(1-Supuestos!$C$18)^5))</f>
        <v>0.712261047574699</v>
      </c>
      <c r="I128" s="29" t="n">
        <f aca="false">H128*(1-MIN(1,INDEX(Tabla_Mortalidad!$B$5:$B$75,MIN(71,Cartera_Polizas!$B$130+6-49))*(1+(Cartera_Polizas!$P$130-1)*MAX(0,1-6/Supuestos!$C$20))*(1-Supuestos!$C$18)^6))</f>
        <v>0.661648313577565</v>
      </c>
      <c r="J128" s="29" t="n">
        <f aca="false">I128*(1-MIN(1,INDEX(Tabla_Mortalidad!$B$5:$B$75,MIN(71,Cartera_Polizas!$B$130+7-49))*(1+(Cartera_Polizas!$P$130-1)*MAX(0,1-7/Supuestos!$C$20))*(1-Supuestos!$C$18)^7))</f>
        <v>0.611065357417023</v>
      </c>
      <c r="K128" s="29" t="n">
        <f aca="false">J128*(1-MIN(1,INDEX(Tabla_Mortalidad!$B$5:$B$75,MIN(71,Cartera_Polizas!$B$130+8-49))*(1+(Cartera_Polizas!$P$130-1)*MAX(0,1-8/Supuestos!$C$20))*(1-Supuestos!$C$18)^8))</f>
        <v>0.560866844377612</v>
      </c>
      <c r="L128" s="29" t="n">
        <f aca="false">K128*(1-MIN(1,INDEX(Tabla_Mortalidad!$B$5:$B$75,MIN(71,Cartera_Polizas!$B$130+9-49))*(1+(Cartera_Polizas!$P$130-1)*MAX(0,1-9/Supuestos!$C$20))*(1-Supuestos!$C$18)^9))</f>
        <v>0.511421236695236</v>
      </c>
      <c r="M128" s="29" t="n">
        <f aca="false">L128*(1-MIN(1,INDEX(Tabla_Mortalidad!$B$5:$B$75,MIN(71,Cartera_Polizas!$B$130+10-49))*(1+(Cartera_Polizas!$P$130-1)*MAX(0,1-10/Supuestos!$C$20))*(1-Supuestos!$C$18)^10))</f>
        <v>0.4631053922112</v>
      </c>
      <c r="N128" s="29" t="n">
        <f aca="false">M128*(1-MIN(1,INDEX(Tabla_Mortalidad!$B$5:$B$75,MIN(71,Cartera_Polizas!$B$130+11-49))*(1+(Cartera_Polizas!$P$130-1)*MAX(0,1-11/Supuestos!$C$20))*(1-Supuestos!$C$18)^11))</f>
        <v>0.416290954573276</v>
      </c>
      <c r="O128" s="29" t="n">
        <f aca="false">N128*(1-MIN(1,INDEX(Tabla_Mortalidad!$B$5:$B$75,MIN(71,Cartera_Polizas!$B$130+12-49))*(1+(Cartera_Polizas!$P$130-1)*MAX(0,1-12/Supuestos!$C$20))*(1-Supuestos!$C$18)^12))</f>
        <v>0.371337461933886</v>
      </c>
      <c r="P128" s="29" t="n">
        <f aca="false">O128*(1-MIN(1,INDEX(Tabla_Mortalidad!$B$5:$B$75,MIN(71,Cartera_Polizas!$B$130+13-49))*(1+(Cartera_Polizas!$P$130-1)*MAX(0,1-13/Supuestos!$C$20))*(1-Supuestos!$C$18)^13))</f>
        <v>0.328578658750953</v>
      </c>
      <c r="Q128" s="29" t="n">
        <f aca="false">P128*(1-MIN(1,INDEX(Tabla_Mortalidad!$B$5:$B$75,MIN(71,Cartera_Polizas!$B$130+14-49))*(1+(Cartera_Polizas!$P$130-1)*MAX(0,1-14/Supuestos!$C$20))*(1-Supuestos!$C$18)^14))</f>
        <v>0.288312212985363</v>
      </c>
      <c r="R128" s="29" t="n">
        <f aca="false">Q128*(1-MIN(1,INDEX(Tabla_Mortalidad!$B$5:$B$75,MIN(71,Cartera_Polizas!$B$130+15-49))*(1+(Cartera_Polizas!$P$130-1)*MAX(0,1-15/Supuestos!$C$20))*(1-Supuestos!$C$18)^15))</f>
        <v>0.250789185158594</v>
      </c>
      <c r="S128" s="29" t="n">
        <f aca="false">R128*(1-MIN(1,INDEX(Tabla_Mortalidad!$B$5:$B$75,MIN(71,Cartera_Polizas!$B$130+16-49))*(1+(Cartera_Polizas!$P$130-1)*MAX(0,1-16/Supuestos!$C$20))*(1-Supuestos!$C$18)^16))</f>
        <v>0.214845352561988</v>
      </c>
      <c r="T128" s="29" t="n">
        <f aca="false">S128*(1-MIN(1,INDEX(Tabla_Mortalidad!$B$5:$B$75,MIN(71,Cartera_Polizas!$B$130+17-49))*(1+(Cartera_Polizas!$P$130-1)*MAX(0,1-17/Supuestos!$C$20))*(1-Supuestos!$C$18)^17))</f>
        <v>0.180968638519466</v>
      </c>
      <c r="U128" s="29" t="n">
        <f aca="false">T128*(1-MIN(1,INDEX(Tabla_Mortalidad!$B$5:$B$75,MIN(71,Cartera_Polizas!$B$130+18-49))*(1+(Cartera_Polizas!$P$130-1)*MAX(0,1-18/Supuestos!$C$20))*(1-Supuestos!$C$18)^18))</f>
        <v>0.1496086280158</v>
      </c>
      <c r="V128" s="29" t="n">
        <f aca="false">U128*(1-MIN(1,INDEX(Tabla_Mortalidad!$B$5:$B$75,MIN(71,Cartera_Polizas!$B$130+19-49))*(1+(Cartera_Polizas!$P$130-1)*MAX(0,1-19/Supuestos!$C$20))*(1-Supuestos!$C$18)^19))</f>
        <v>0.121150069237852</v>
      </c>
      <c r="W128" s="29" t="n">
        <f aca="false">V128*(1-MIN(1,INDEX(Tabla_Mortalidad!$B$5:$B$75,MIN(71,Cartera_Polizas!$B$130+20-49))*(1+(Cartera_Polizas!$P$130-1)*MAX(0,1-20/Supuestos!$C$20))*(1-Supuestos!$C$18)^20))</f>
        <v>0.0958866570146005</v>
      </c>
      <c r="X128" s="29" t="n">
        <f aca="false">W128*(1-MIN(1,INDEX(Tabla_Mortalidad!$B$5:$B$75,MIN(71,Cartera_Polizas!$B$130+21-49))*(1+(Cartera_Polizas!$P$130-1)*MAX(0,1-21/Supuestos!$C$20))*(1-Supuestos!$C$18)^21))</f>
        <v>0.0739984110764456</v>
      </c>
      <c r="Y128" s="29" t="n">
        <f aca="false">X128*(1-MIN(1,INDEX(Tabla_Mortalidad!$B$5:$B$75,MIN(71,Cartera_Polizas!$B$130+22-49))*(1+(Cartera_Polizas!$P$130-1)*MAX(0,1-22/Supuestos!$C$20))*(1-Supuestos!$C$18)^22))</f>
        <v>0.0555369497822613</v>
      </c>
      <c r="Z128" s="29" t="n">
        <f aca="false">Y128*(1-MIN(1,INDEX(Tabla_Mortalidad!$B$5:$B$75,MIN(71,Cartera_Polizas!$B$130+23-49))*(1+(Cartera_Polizas!$P$130-1)*MAX(0,1-23/Supuestos!$C$20))*(1-Supuestos!$C$18)^23))</f>
        <v>0.0404204874369004</v>
      </c>
      <c r="AA128" s="29" t="n">
        <f aca="false">Z128*(1-MIN(1,INDEX(Tabla_Mortalidad!$B$5:$B$75,MIN(71,Cartera_Polizas!$B$130+24-49))*(1+(Cartera_Polizas!$P$130-1)*MAX(0,1-24/Supuestos!$C$20))*(1-Supuestos!$C$18)^24))</f>
        <v>0.0284405959103663</v>
      </c>
      <c r="AB128" s="29" t="n">
        <f aca="false">AA128*(1-MIN(1,INDEX(Tabla_Mortalidad!$B$5:$B$75,MIN(71,Cartera_Polizas!$B$130+25-49))*(1+(Cartera_Polizas!$P$130-1)*MAX(0,1-25/Supuestos!$C$20))*(1-Supuestos!$C$18)^25))</f>
        <v>0.0192816256592614</v>
      </c>
      <c r="AC128" s="29" t="n">
        <f aca="false">AB128*(1-MIN(1,INDEX(Tabla_Mortalidad!$B$5:$B$75,MIN(71,Cartera_Polizas!$B$130+26-49))*(1+(Cartera_Polizas!$P$130-1)*MAX(0,1-26/Supuestos!$C$20))*(1-Supuestos!$C$18)^26))</f>
        <v>0.0125504042294441</v>
      </c>
      <c r="AD128" s="29" t="n">
        <f aca="false">AC128*(1-MIN(1,INDEX(Tabla_Mortalidad!$B$5:$B$75,MIN(71,Cartera_Polizas!$B$130+27-49))*(1+(Cartera_Polizas!$P$130-1)*MAX(0,1-27/Supuestos!$C$20))*(1-Supuestos!$C$18)^27))</f>
        <v>0.00781298804155001</v>
      </c>
      <c r="AE128" s="29" t="n">
        <f aca="false">AD128*(1-MIN(1,INDEX(Tabla_Mortalidad!$B$5:$B$75,MIN(71,Cartera_Polizas!$B$130+28-49))*(1+(Cartera_Polizas!$P$130-1)*MAX(0,1-28/Supuestos!$C$20))*(1-Supuestos!$C$18)^28))</f>
        <v>0.00463300596566427</v>
      </c>
      <c r="AF128" s="29" t="n">
        <f aca="false">AE128*(1-MIN(1,INDEX(Tabla_Mortalidad!$B$5:$B$75,MIN(71,Cartera_Polizas!$B$130+29-49))*(1+(Cartera_Polizas!$P$130-1)*MAX(0,1-29/Supuestos!$C$20))*(1-Supuestos!$C$18)^29))</f>
        <v>0.00260589078306129</v>
      </c>
      <c r="AG128" s="29" t="n">
        <f aca="false">AF128*(1-MIN(1,INDEX(Tabla_Mortalidad!$B$5:$B$75,MIN(71,Cartera_Polizas!$B$130+30-49))*(1+(Cartera_Polizas!$P$130-1)*MAX(0,1-30/Supuestos!$C$20))*(1-Supuestos!$C$18)^30))</f>
        <v>0.00138421749325574</v>
      </c>
      <c r="AH128" s="29" t="n">
        <f aca="false">AG128*(1-MIN(1,INDEX(Tabla_Mortalidad!$B$5:$B$75,MIN(71,Cartera_Polizas!$B$130+31-49))*(1+(Cartera_Polizas!$P$130-1)*MAX(0,1-31/Supuestos!$C$20))*(1-Supuestos!$C$18)^31))</f>
        <v>0.000691350362242024</v>
      </c>
      <c r="AI128" s="29" t="n">
        <f aca="false">AH128*(1-MIN(1,INDEX(Tabla_Mortalidad!$B$5:$B$75,MIN(71,Cartera_Polizas!$B$130+32-49))*(1+(Cartera_Polizas!$P$130-1)*MAX(0,1-32/Supuestos!$C$20))*(1-Supuestos!$C$18)^32))</f>
        <v>0.000323270709454447</v>
      </c>
      <c r="AJ128" s="29" t="n">
        <f aca="false">AI128*(1-MIN(1,INDEX(Tabla_Mortalidad!$B$5:$B$75,MIN(71,Cartera_Polizas!$B$130+33-49))*(1+(Cartera_Polizas!$P$130-1)*MAX(0,1-33/Supuestos!$C$20))*(1-Supuestos!$C$18)^33))</f>
        <v>0.000140945503215886</v>
      </c>
      <c r="AK128" s="29" t="n">
        <f aca="false">AJ128*(1-MIN(1,INDEX(Tabla_Mortalidad!$B$5:$B$75,MIN(71,Cartera_Polizas!$B$130+34-49))*(1+(Cartera_Polizas!$P$130-1)*MAX(0,1-34/Supuestos!$C$20))*(1-Supuestos!$C$18)^34))</f>
        <v>5.70956691163575E-005</v>
      </c>
      <c r="AL128" s="29" t="n">
        <f aca="false">AK128*(1-MIN(1,INDEX(Tabla_Mortalidad!$B$5:$B$75,MIN(71,Cartera_Polizas!$B$130+35-49))*(1+(Cartera_Polizas!$P$130-1)*MAX(0,1-35/Supuestos!$C$20))*(1-Supuestos!$C$18)^35))</f>
        <v>2.14291183728454E-005</v>
      </c>
      <c r="AM128" s="29" t="n">
        <f aca="false">AL128*(1-MIN(1,INDEX(Tabla_Mortalidad!$B$5:$B$75,MIN(71,Cartera_Polizas!$B$130+36-49))*(1+(Cartera_Polizas!$P$130-1)*MAX(0,1-36/Supuestos!$C$20))*(1-Supuestos!$C$18)^36))</f>
        <v>7.43901706405534E-006</v>
      </c>
      <c r="AN128" s="29" t="n">
        <f aca="false">AM128*(1-MIN(1,INDEX(Tabla_Mortalidad!$B$5:$B$75,MIN(71,Cartera_Polizas!$B$130+37-49))*(1+(Cartera_Polizas!$P$130-1)*MAX(0,1-37/Supuestos!$C$20))*(1-Supuestos!$C$18)^37))</f>
        <v>2.388008081884E-006</v>
      </c>
      <c r="AO128" s="29" t="n">
        <f aca="false">AN128*(1-MIN(1,INDEX(Tabla_Mortalidad!$B$5:$B$75,MIN(71,Cartera_Polizas!$B$130+38-49))*(1+(Cartera_Polizas!$P$130-1)*MAX(0,1-38/Supuestos!$C$20))*(1-Supuestos!$C$18)^38))</f>
        <v>7.10013555465912E-007</v>
      </c>
      <c r="AP128" s="29" t="n">
        <f aca="false">AO128*(1-MIN(1,INDEX(Tabla_Mortalidad!$B$5:$B$75,MIN(71,Cartera_Polizas!$B$130+39-49))*(1+(Cartera_Polizas!$P$130-1)*MAX(0,1-39/Supuestos!$C$20))*(1-Supuestos!$C$18)^39))</f>
        <v>1.96267178128254E-007</v>
      </c>
      <c r="AQ128" s="29" t="n">
        <f aca="false">AP128*(1-MIN(1,INDEX(Tabla_Mortalidad!$B$5:$B$75,MIN(71,Cartera_Polizas!$B$130+40-49))*(1+(Cartera_Polizas!$P$130-1)*MAX(0,1-40/Supuestos!$C$20))*(1-Supuestos!$C$18)^40))</f>
        <v>5.07483333856791E-008</v>
      </c>
      <c r="AR128" s="29" t="n">
        <f aca="false">AQ128*(1-MIN(1,INDEX(Tabla_Mortalidad!$B$5:$B$75,MIN(71,Cartera_Polizas!$B$130+41-49))*(1+(Cartera_Polizas!$P$130-1)*MAX(0,1-41/Supuestos!$C$20))*(1-Supuestos!$C$18)^41))</f>
        <v>1.23766129014562E-008</v>
      </c>
      <c r="AS128" s="29" t="n">
        <f aca="false">AR128*(1-MIN(1,INDEX(Tabla_Mortalidad!$B$5:$B$75,MIN(71,Cartera_Polizas!$B$130+42-49))*(1+(Cartera_Polizas!$P$130-1)*MAX(0,1-42/Supuestos!$C$20))*(1-Supuestos!$C$18)^42))</f>
        <v>2.87606647835256E-009</v>
      </c>
      <c r="AT128" s="29" t="n">
        <f aca="false">AS128*(1-MIN(1,INDEX(Tabla_Mortalidad!$B$5:$B$75,MIN(71,Cartera_Polizas!$B$130+43-49))*(1+(Cartera_Polizas!$P$130-1)*MAX(0,1-43/Supuestos!$C$20))*(1-Supuestos!$C$18)^43))</f>
        <v>5.57650334210092E-010</v>
      </c>
      <c r="AU128" s="29" t="n">
        <f aca="false">AT128*(1-MIN(1,INDEX(Tabla_Mortalidad!$B$5:$B$75,MIN(71,Cartera_Polizas!$B$130+44-49))*(1+(Cartera_Polizas!$P$130-1)*MAX(0,1-44/Supuestos!$C$20))*(1-Supuestos!$C$18)^44))</f>
        <v>1.10372352420225E-010</v>
      </c>
    </row>
    <row r="129" customFormat="false" ht="15" hidden="false" customHeight="false" outlineLevel="0" collapsed="false">
      <c r="A129" s="14" t="n">
        <f aca="false">Cartera_Polizas!A131</f>
        <v>126</v>
      </c>
      <c r="B129" s="26" t="n">
        <f aca="false">SUM(C129:AU129)+0.5</f>
        <v>4.55145517172605</v>
      </c>
      <c r="C129" s="29" t="n">
        <f aca="false">1-MIN(1,INDEX(Tabla_Mortalidad!$B$5:$B$75,MIN(71,Cartera_Polizas!$B$131+0-49))*(1+(Cartera_Polizas!$P$131-1)*MAX(0,1-0/Supuestos!$C$20))*(1-Supuestos!$C$18)^0)</f>
        <v>0.8377456</v>
      </c>
      <c r="D129" s="29" t="n">
        <f aca="false">C129*(1-MIN(1,INDEX(Tabla_Mortalidad!$B$5:$B$75,MIN(71,Cartera_Polizas!$B$131+1-49))*(1+(Cartera_Polizas!$P$131-1)*MAX(0,1-1/Supuestos!$C$20))*(1-Supuestos!$C$18)^1))</f>
        <v>0.693223009398517</v>
      </c>
      <c r="E129" s="29" t="n">
        <f aca="false">D129*(1-MIN(1,INDEX(Tabla_Mortalidad!$B$5:$B$75,MIN(71,Cartera_Polizas!$B$131+2-49))*(1+(Cartera_Polizas!$P$131-1)*MAX(0,1-2/Supuestos!$C$20))*(1-Supuestos!$C$18)^2))</f>
        <v>0.566340068088058</v>
      </c>
      <c r="F129" s="29" t="n">
        <f aca="false">E129*(1-MIN(1,INDEX(Tabla_Mortalidad!$B$5:$B$75,MIN(71,Cartera_Polizas!$B$131+3-49))*(1+(Cartera_Polizas!$P$131-1)*MAX(0,1-3/Supuestos!$C$20))*(1-Supuestos!$C$18)^3))</f>
        <v>0.456609557980698</v>
      </c>
      <c r="G129" s="29" t="n">
        <f aca="false">F129*(1-MIN(1,INDEX(Tabla_Mortalidad!$B$5:$B$75,MIN(71,Cartera_Polizas!$B$131+4-49))*(1+(Cartera_Polizas!$P$131-1)*MAX(0,1-4/Supuestos!$C$20))*(1-Supuestos!$C$18)^4))</f>
        <v>0.363194062720125</v>
      </c>
      <c r="H129" s="29" t="n">
        <f aca="false">G129*(1-MIN(1,INDEX(Tabla_Mortalidad!$B$5:$B$75,MIN(71,Cartera_Polizas!$B$131+5-49))*(1+(Cartera_Polizas!$P$131-1)*MAX(0,1-5/Supuestos!$C$20))*(1-Supuestos!$C$18)^5))</f>
        <v>0.284952070757423</v>
      </c>
      <c r="I129" s="29" t="n">
        <f aca="false">H129*(1-MIN(1,INDEX(Tabla_Mortalidad!$B$5:$B$75,MIN(71,Cartera_Polizas!$B$131+6-49))*(1+(Cartera_Polizas!$P$131-1)*MAX(0,1-6/Supuestos!$C$20))*(1-Supuestos!$C$18)^6))</f>
        <v>0.220508243685387</v>
      </c>
      <c r="J129" s="29" t="n">
        <f aca="false">I129*(1-MIN(1,INDEX(Tabla_Mortalidad!$B$5:$B$75,MIN(71,Cartera_Polizas!$B$131+7-49))*(1+(Cartera_Polizas!$P$131-1)*MAX(0,1-7/Supuestos!$C$20))*(1-Supuestos!$C$18)^7))</f>
        <v>0.168330529164649</v>
      </c>
      <c r="K129" s="29" t="n">
        <f aca="false">J129*(1-MIN(1,INDEX(Tabla_Mortalidad!$B$5:$B$75,MIN(71,Cartera_Polizas!$B$131+8-49))*(1+(Cartera_Polizas!$P$131-1)*MAX(0,1-8/Supuestos!$C$20))*(1-Supuestos!$C$18)^8))</f>
        <v>0.126810825707472</v>
      </c>
      <c r="L129" s="29" t="n">
        <f aca="false">K129*(1-MIN(1,INDEX(Tabla_Mortalidad!$B$5:$B$75,MIN(71,Cartera_Polizas!$B$131+9-49))*(1+(Cartera_Polizas!$P$131-1)*MAX(0,1-9/Supuestos!$C$20))*(1-Supuestos!$C$18)^9))</f>
        <v>0.0943416250313686</v>
      </c>
      <c r="M129" s="29" t="n">
        <f aca="false">L129*(1-MIN(1,INDEX(Tabla_Mortalidad!$B$5:$B$75,MIN(71,Cartera_Polizas!$B$131+10-49))*(1+(Cartera_Polizas!$P$131-1)*MAX(0,1-10/Supuestos!$C$20))*(1-Supuestos!$C$18)^10))</f>
        <v>0.0693828648054576</v>
      </c>
      <c r="N129" s="29" t="n">
        <f aca="false">M129*(1-MIN(1,INDEX(Tabla_Mortalidad!$B$5:$B$75,MIN(71,Cartera_Polizas!$B$131+11-49))*(1+(Cartera_Polizas!$P$131-1)*MAX(0,1-11/Supuestos!$C$20))*(1-Supuestos!$C$18)^11))</f>
        <v>0.0505159970515452</v>
      </c>
      <c r="O129" s="29" t="n">
        <f aca="false">N129*(1-MIN(1,INDEX(Tabla_Mortalidad!$B$5:$B$75,MIN(71,Cartera_Polizas!$B$131+12-49))*(1+(Cartera_Polizas!$P$131-1)*MAX(0,1-12/Supuestos!$C$20))*(1-Supuestos!$C$18)^12))</f>
        <v>0.0364806681345069</v>
      </c>
      <c r="P129" s="29" t="n">
        <f aca="false">O129*(1-MIN(1,INDEX(Tabla_Mortalidad!$B$5:$B$75,MIN(71,Cartera_Polizas!$B$131+13-49))*(1+(Cartera_Polizas!$P$131-1)*MAX(0,1-13/Supuestos!$C$20))*(1-Supuestos!$C$18)^13))</f>
        <v>0.0261943568414859</v>
      </c>
      <c r="Q129" s="29" t="n">
        <f aca="false">P129*(1-MIN(1,INDEX(Tabla_Mortalidad!$B$5:$B$75,MIN(71,Cartera_Polizas!$B$131+14-49))*(1+(Cartera_Polizas!$P$131-1)*MAX(0,1-14/Supuestos!$C$20))*(1-Supuestos!$C$18)^14))</f>
        <v>0.0187569872775628</v>
      </c>
      <c r="R129" s="29" t="n">
        <f aca="false">Q129*(1-MIN(1,INDEX(Tabla_Mortalidad!$B$5:$B$75,MIN(71,Cartera_Polizas!$B$131+15-49))*(1+(Cartera_Polizas!$P$131-1)*MAX(0,1-15/Supuestos!$C$20))*(1-Supuestos!$C$18)^15))</f>
        <v>0.0134426809937631</v>
      </c>
      <c r="S129" s="29" t="n">
        <f aca="false">R129*(1-MIN(1,INDEX(Tabla_Mortalidad!$B$5:$B$75,MIN(71,Cartera_Polizas!$B$131+16-49))*(1+(Cartera_Polizas!$P$131-1)*MAX(0,1-16/Supuestos!$C$20))*(1-Supuestos!$C$18)^16))</f>
        <v>0.00929550385450033</v>
      </c>
      <c r="T129" s="29" t="n">
        <f aca="false">S129*(1-MIN(1,INDEX(Tabla_Mortalidad!$B$5:$B$75,MIN(71,Cartera_Polizas!$B$131+17-49))*(1+(Cartera_Polizas!$P$131-1)*MAX(0,1-17/Supuestos!$C$20))*(1-Supuestos!$C$18)^17))</f>
        <v>0.00617951248664137</v>
      </c>
      <c r="U129" s="29" t="n">
        <f aca="false">T129*(1-MIN(1,INDEX(Tabla_Mortalidad!$B$5:$B$75,MIN(71,Cartera_Polizas!$B$131+18-49))*(1+(Cartera_Polizas!$P$131-1)*MAX(0,1-18/Supuestos!$C$20))*(1-Supuestos!$C$18)^18))</f>
        <v>0.00393397764251285</v>
      </c>
      <c r="V129" s="29" t="n">
        <f aca="false">U129*(1-MIN(1,INDEX(Tabla_Mortalidad!$B$5:$B$75,MIN(71,Cartera_Polizas!$B$131+19-49))*(1+(Cartera_Polizas!$P$131-1)*MAX(0,1-19/Supuestos!$C$20))*(1-Supuestos!$C$18)^19))</f>
        <v>0.00238825678518307</v>
      </c>
      <c r="W129" s="29" t="n">
        <f aca="false">V129*(1-MIN(1,INDEX(Tabla_Mortalidad!$B$5:$B$75,MIN(71,Cartera_Polizas!$B$131+20-49))*(1+(Cartera_Polizas!$P$131-1)*MAX(0,1-20/Supuestos!$C$20))*(1-Supuestos!$C$18)^20))</f>
        <v>0.00137643532389018</v>
      </c>
      <c r="X129" s="29" t="n">
        <f aca="false">W129*(1-MIN(1,INDEX(Tabla_Mortalidad!$B$5:$B$75,MIN(71,Cartera_Polizas!$B$131+21-49))*(1+(Cartera_Polizas!$P$131-1)*MAX(0,1-21/Supuestos!$C$20))*(1-Supuestos!$C$18)^21))</f>
        <v>0.000749551980511853</v>
      </c>
      <c r="Y129" s="29" t="n">
        <f aca="false">X129*(1-MIN(1,INDEX(Tabla_Mortalidad!$B$5:$B$75,MIN(71,Cartera_Polizas!$B$131+22-49))*(1+(Cartera_Polizas!$P$131-1)*MAX(0,1-22/Supuestos!$C$20))*(1-Supuestos!$C$18)^22))</f>
        <v>0.0003837753297384</v>
      </c>
      <c r="Z129" s="29" t="n">
        <f aca="false">Y129*(1-MIN(1,INDEX(Tabla_Mortalidad!$B$5:$B$75,MIN(71,Cartera_Polizas!$B$131+23-49))*(1+(Cartera_Polizas!$P$131-1)*MAX(0,1-23/Supuestos!$C$20))*(1-Supuestos!$C$18)^23))</f>
        <v>0.000183817675429371</v>
      </c>
      <c r="AA129" s="29" t="n">
        <f aca="false">Z129*(1-MIN(1,INDEX(Tabla_Mortalidad!$B$5:$B$75,MIN(71,Cartera_Polizas!$B$131+24-49))*(1+(Cartera_Polizas!$P$131-1)*MAX(0,1-24/Supuestos!$C$20))*(1-Supuestos!$C$18)^24))</f>
        <v>8.19476910489552E-005</v>
      </c>
      <c r="AB129" s="29" t="n">
        <f aca="false">AA129*(1-MIN(1,INDEX(Tabla_Mortalidad!$B$5:$B$75,MIN(71,Cartera_Polizas!$B$131+25-49))*(1+(Cartera_Polizas!$P$131-1)*MAX(0,1-25/Supuestos!$C$20))*(1-Supuestos!$C$18)^25))</f>
        <v>3.38380149913466E-005</v>
      </c>
      <c r="AC129" s="29" t="n">
        <f aca="false">AB129*(1-MIN(1,INDEX(Tabla_Mortalidad!$B$5:$B$75,MIN(71,Cartera_Polizas!$B$131+26-49))*(1+(Cartera_Polizas!$P$131-1)*MAX(0,1-26/Supuestos!$C$20))*(1-Supuestos!$C$18)^26))</f>
        <v>1.28838086750783E-005</v>
      </c>
      <c r="AD129" s="29" t="n">
        <f aca="false">AC129*(1-MIN(1,INDEX(Tabla_Mortalidad!$B$5:$B$75,MIN(71,Cartera_Polizas!$B$131+27-49))*(1+(Cartera_Polizas!$P$131-1)*MAX(0,1-27/Supuestos!$C$20))*(1-Supuestos!$C$18)^27))</f>
        <v>4.50624831764974E-006</v>
      </c>
      <c r="AE129" s="29" t="n">
        <f aca="false">AD129*(1-MIN(1,INDEX(Tabla_Mortalidad!$B$5:$B$75,MIN(71,Cartera_Polizas!$B$131+28-49))*(1+(Cartera_Polizas!$P$131-1)*MAX(0,1-28/Supuestos!$C$20))*(1-Supuestos!$C$18)^28))</f>
        <v>1.44395328754131E-006</v>
      </c>
      <c r="AF129" s="29" t="n">
        <f aca="false">AE129*(1-MIN(1,INDEX(Tabla_Mortalidad!$B$5:$B$75,MIN(71,Cartera_Polizas!$B$131+29-49))*(1+(Cartera_Polizas!$P$131-1)*MAX(0,1-29/Supuestos!$C$20))*(1-Supuestos!$C$18)^29))</f>
        <v>4.23410814846467E-007</v>
      </c>
      <c r="AG129" s="29" t="n">
        <f aca="false">AF129*(1-MIN(1,INDEX(Tabla_Mortalidad!$B$5:$B$75,MIN(71,Cartera_Polizas!$B$131+30-49))*(1+(Cartera_Polizas!$P$131-1)*MAX(0,1-30/Supuestos!$C$20))*(1-Supuestos!$C$18)^30))</f>
        <v>1.13717344797035E-007</v>
      </c>
      <c r="AH129" s="29" t="n">
        <f aca="false">AG129*(1-MIN(1,INDEX(Tabla_Mortalidad!$B$5:$B$75,MIN(71,Cartera_Polizas!$B$131+31-49))*(1+(Cartera_Polizas!$P$131-1)*MAX(0,1-31/Supuestos!$C$20))*(1-Supuestos!$C$18)^31))</f>
        <v>2.80679700360698E-008</v>
      </c>
      <c r="AI129" s="29" t="n">
        <f aca="false">AH129*(1-MIN(1,INDEX(Tabla_Mortalidad!$B$5:$B$75,MIN(71,Cartera_Polizas!$B$131+32-49))*(1+(Cartera_Polizas!$P$131-1)*MAX(0,1-32/Supuestos!$C$20))*(1-Supuestos!$C$18)^32))</f>
        <v>6.40600162623922E-009</v>
      </c>
      <c r="AJ129" s="29" t="n">
        <f aca="false">AI129*(1-MIN(1,INDEX(Tabla_Mortalidad!$B$5:$B$75,MIN(71,Cartera_Polizas!$B$131+33-49))*(1+(Cartera_Polizas!$P$131-1)*MAX(0,1-33/Supuestos!$C$20))*(1-Supuestos!$C$18)^33))</f>
        <v>1.36412880535015E-009</v>
      </c>
      <c r="AK129" s="29" t="n">
        <f aca="false">AJ129*(1-MIN(1,INDEX(Tabla_Mortalidad!$B$5:$B$75,MIN(71,Cartera_Polizas!$B$131+34-49))*(1+(Cartera_Polizas!$P$131-1)*MAX(0,1-34/Supuestos!$C$20))*(1-Supuestos!$C$18)^34))</f>
        <v>2.74151362529593E-010</v>
      </c>
      <c r="AL129" s="29" t="n">
        <f aca="false">AK129*(1-MIN(1,INDEX(Tabla_Mortalidad!$B$5:$B$75,MIN(71,Cartera_Polizas!$B$131+35-49))*(1+(Cartera_Polizas!$P$131-1)*MAX(0,1-35/Supuestos!$C$20))*(1-Supuestos!$C$18)^35))</f>
        <v>4.41140767134359E-011</v>
      </c>
      <c r="AM129" s="29" t="n">
        <f aca="false">AL129*(1-MIN(1,INDEX(Tabla_Mortalidad!$B$5:$B$75,MIN(71,Cartera_Polizas!$B$131+36-49))*(1+(Cartera_Polizas!$P$131-1)*MAX(0,1-36/Supuestos!$C$20))*(1-Supuestos!$C$18)^36))</f>
        <v>7.28353548281413E-012</v>
      </c>
      <c r="AN129" s="29" t="n">
        <f aca="false">AM129*(1-MIN(1,INDEX(Tabla_Mortalidad!$B$5:$B$75,MIN(71,Cartera_Polizas!$B$131+37-49))*(1+(Cartera_Polizas!$P$131-1)*MAX(0,1-37/Supuestos!$C$20))*(1-Supuestos!$C$18)^37))</f>
        <v>1.23296634433174E-012</v>
      </c>
      <c r="AO129" s="29" t="n">
        <f aca="false">AN129*(1-MIN(1,INDEX(Tabla_Mortalidad!$B$5:$B$75,MIN(71,Cartera_Polizas!$B$131+38-49))*(1+(Cartera_Polizas!$P$131-1)*MAX(0,1-38/Supuestos!$C$20))*(1-Supuestos!$C$18)^38))</f>
        <v>2.13839384799976E-013</v>
      </c>
      <c r="AP129" s="29" t="n">
        <f aca="false">AO129*(1-MIN(1,INDEX(Tabla_Mortalidad!$B$5:$B$75,MIN(71,Cartera_Polizas!$B$131+39-49))*(1+(Cartera_Polizas!$P$131-1)*MAX(0,1-39/Supuestos!$C$20))*(1-Supuestos!$C$18)^39))</f>
        <v>3.7970971484468E-014</v>
      </c>
      <c r="AQ129" s="29" t="n">
        <f aca="false">AP129*(1-MIN(1,INDEX(Tabla_Mortalidad!$B$5:$B$75,MIN(71,Cartera_Polizas!$B$131+40-49))*(1+(Cartera_Polizas!$P$131-1)*MAX(0,1-40/Supuestos!$C$20))*(1-Supuestos!$C$18)^40))</f>
        <v>6.89856150394963E-015</v>
      </c>
      <c r="AR129" s="29" t="n">
        <f aca="false">AQ129*(1-MIN(1,INDEX(Tabla_Mortalidad!$B$5:$B$75,MIN(71,Cartera_Polizas!$B$131+41-49))*(1+(Cartera_Polizas!$P$131-1)*MAX(0,1-41/Supuestos!$C$20))*(1-Supuestos!$C$18)^41))</f>
        <v>1.28155597757918E-015</v>
      </c>
      <c r="AS129" s="29" t="n">
        <f aca="false">AR129*(1-MIN(1,INDEX(Tabla_Mortalidad!$B$5:$B$75,MIN(71,Cartera_Polizas!$B$131+42-49))*(1+(Cartera_Polizas!$P$131-1)*MAX(0,1-42/Supuestos!$C$20))*(1-Supuestos!$C$18)^42))</f>
        <v>2.43293947259886E-016</v>
      </c>
      <c r="AT129" s="29" t="n">
        <f aca="false">AS129*(1-MIN(1,INDEX(Tabla_Mortalidad!$B$5:$B$75,MIN(71,Cartera_Polizas!$B$131+43-49))*(1+(Cartera_Polizas!$P$131-1)*MAX(0,1-43/Supuestos!$C$20))*(1-Supuestos!$C$18)^43))</f>
        <v>4.7173092841193E-017</v>
      </c>
      <c r="AU129" s="29" t="n">
        <f aca="false">AT129*(1-MIN(1,INDEX(Tabla_Mortalidad!$B$5:$B$75,MIN(71,Cartera_Polizas!$B$131+44-49))*(1+(Cartera_Polizas!$P$131-1)*MAX(0,1-44/Supuestos!$C$20))*(1-Supuestos!$C$18)^44))</f>
        <v>9.33668449279289E-018</v>
      </c>
    </row>
    <row r="130" customFormat="false" ht="15" hidden="false" customHeight="false" outlineLevel="0" collapsed="false">
      <c r="A130" s="14" t="n">
        <f aca="false">Cartera_Polizas!A132</f>
        <v>127</v>
      </c>
      <c r="B130" s="26" t="n">
        <f aca="false">SUM(C130:AU130)+0.5</f>
        <v>11.2893142301119</v>
      </c>
      <c r="C130" s="29" t="n">
        <f aca="false">1-MIN(1,INDEX(Tabla_Mortalidad!$B$5:$B$75,MIN(71,Cartera_Polizas!$B$132+0-49))*(1+(Cartera_Polizas!$P$132-1)*MAX(0,1-0/Supuestos!$C$20))*(1-Supuestos!$C$18)^0)</f>
        <v>0.942140404</v>
      </c>
      <c r="D130" s="29" t="n">
        <f aca="false">C130*(1-MIN(1,INDEX(Tabla_Mortalidad!$B$5:$B$75,MIN(71,Cartera_Polizas!$B$132+1-49))*(1+(Cartera_Polizas!$P$132-1)*MAX(0,1-1/Supuestos!$C$20))*(1-Supuestos!$C$18)^1))</f>
        <v>0.884526548723249</v>
      </c>
      <c r="E130" s="29" t="n">
        <f aca="false">D130*(1-MIN(1,INDEX(Tabla_Mortalidad!$B$5:$B$75,MIN(71,Cartera_Polizas!$B$132+2-49))*(1+(Cartera_Polizas!$P$132-1)*MAX(0,1-2/Supuestos!$C$20))*(1-Supuestos!$C$18)^2))</f>
        <v>0.827509949936265</v>
      </c>
      <c r="F130" s="29" t="n">
        <f aca="false">E130*(1-MIN(1,INDEX(Tabla_Mortalidad!$B$5:$B$75,MIN(71,Cartera_Polizas!$B$132+3-49))*(1+(Cartera_Polizas!$P$132-1)*MAX(0,1-3/Supuestos!$C$20))*(1-Supuestos!$C$18)^3))</f>
        <v>0.771441042247115</v>
      </c>
      <c r="G130" s="29" t="n">
        <f aca="false">F130*(1-MIN(1,INDEX(Tabla_Mortalidad!$B$5:$B$75,MIN(71,Cartera_Polizas!$B$132+4-49))*(1+(Cartera_Polizas!$P$132-1)*MAX(0,1-4/Supuestos!$C$20))*(1-Supuestos!$C$18)^4))</f>
        <v>0.716677935914452</v>
      </c>
      <c r="H130" s="29" t="n">
        <f aca="false">G130*(1-MIN(1,INDEX(Tabla_Mortalidad!$B$5:$B$75,MIN(71,Cartera_Polizas!$B$132+5-49))*(1+(Cartera_Polizas!$P$132-1)*MAX(0,1-5/Supuestos!$C$20))*(1-Supuestos!$C$18)^5))</f>
        <v>0.663567167022133</v>
      </c>
      <c r="I130" s="29" t="n">
        <f aca="false">H130*(1-MIN(1,INDEX(Tabla_Mortalidad!$B$5:$B$75,MIN(71,Cartera_Polizas!$B$132+6-49))*(1+(Cartera_Polizas!$P$132-1)*MAX(0,1-6/Supuestos!$C$20))*(1-Supuestos!$C$18)^6))</f>
        <v>0.612439500270903</v>
      </c>
      <c r="J130" s="29" t="n">
        <f aca="false">I130*(1-MIN(1,INDEX(Tabla_Mortalidad!$B$5:$B$75,MIN(71,Cartera_Polizas!$B$132+7-49))*(1+(Cartera_Polizas!$P$132-1)*MAX(0,1-7/Supuestos!$C$20))*(1-Supuestos!$C$18)^7))</f>
        <v>0.563603218770818</v>
      </c>
      <c r="K130" s="29" t="n">
        <f aca="false">J130*(1-MIN(1,INDEX(Tabla_Mortalidad!$B$5:$B$75,MIN(71,Cartera_Polizas!$B$132+8-49))*(1+(Cartera_Polizas!$P$132-1)*MAX(0,1-8/Supuestos!$C$20))*(1-Supuestos!$C$18)^8))</f>
        <v>0.517337976284765</v>
      </c>
      <c r="L130" s="29" t="n">
        <f aca="false">K130*(1-MIN(1,INDEX(Tabla_Mortalidad!$B$5:$B$75,MIN(71,Cartera_Polizas!$B$132+9-49))*(1+(Cartera_Polizas!$P$132-1)*MAX(0,1-9/Supuestos!$C$20))*(1-Supuestos!$C$18)^9))</f>
        <v>0.473888514290438</v>
      </c>
      <c r="M130" s="29" t="n">
        <f aca="false">L130*(1-MIN(1,INDEX(Tabla_Mortalidad!$B$5:$B$75,MIN(71,Cartera_Polizas!$B$132+10-49))*(1+(Cartera_Polizas!$P$132-1)*MAX(0,1-10/Supuestos!$C$20))*(1-Supuestos!$C$18)^10))</f>
        <v>0.433458891753974</v>
      </c>
      <c r="N130" s="29" t="n">
        <f aca="false">M130*(1-MIN(1,INDEX(Tabla_Mortalidad!$B$5:$B$75,MIN(71,Cartera_Polizas!$B$132+11-49))*(1+(Cartera_Polizas!$P$132-1)*MAX(0,1-11/Supuestos!$C$20))*(1-Supuestos!$C$18)^11))</f>
        <v>0.396212606555655</v>
      </c>
      <c r="O130" s="29" t="n">
        <f aca="false">N130*(1-MIN(1,INDEX(Tabla_Mortalidad!$B$5:$B$75,MIN(71,Cartera_Polizas!$B$132+12-49))*(1+(Cartera_Polizas!$P$132-1)*MAX(0,1-12/Supuestos!$C$20))*(1-Supuestos!$C$18)^12))</f>
        <v>0.362274068488643</v>
      </c>
      <c r="P130" s="29" t="n">
        <f aca="false">O130*(1-MIN(1,INDEX(Tabla_Mortalidad!$B$5:$B$75,MIN(71,Cartera_Polizas!$B$132+13-49))*(1+(Cartera_Polizas!$P$132-1)*MAX(0,1-13/Supuestos!$C$20))*(1-Supuestos!$C$18)^13))</f>
        <v>0.331730319153264</v>
      </c>
      <c r="Q130" s="29" t="n">
        <f aca="false">P130*(1-MIN(1,INDEX(Tabla_Mortalidad!$B$5:$B$75,MIN(71,Cartera_Polizas!$B$132+14-49))*(1+(Cartera_Polizas!$P$132-1)*MAX(0,1-14/Supuestos!$C$20))*(1-Supuestos!$C$18)^14))</f>
        <v>0.304637845650038</v>
      </c>
      <c r="R130" s="29" t="n">
        <f aca="false">Q130*(1-MIN(1,INDEX(Tabla_Mortalidad!$B$5:$B$75,MIN(71,Cartera_Polizas!$B$132+15-49))*(1+(Cartera_Polizas!$P$132-1)*MAX(0,1-15/Supuestos!$C$20))*(1-Supuestos!$C$18)^15))</f>
        <v>0.281034837912834</v>
      </c>
      <c r="S130" s="29" t="n">
        <f aca="false">R130*(1-MIN(1,INDEX(Tabla_Mortalidad!$B$5:$B$75,MIN(71,Cartera_Polizas!$B$132+16-49))*(1+(Cartera_Polizas!$P$132-1)*MAX(0,1-16/Supuestos!$C$20))*(1-Supuestos!$C$18)^16))</f>
        <v>0.25697047004891</v>
      </c>
      <c r="T130" s="29" t="n">
        <f aca="false">S130*(1-MIN(1,INDEX(Tabla_Mortalidad!$B$5:$B$75,MIN(71,Cartera_Polizas!$B$132+17-49))*(1+(Cartera_Polizas!$P$132-1)*MAX(0,1-17/Supuestos!$C$20))*(1-Supuestos!$C$18)^17))</f>
        <v>0.232666631774593</v>
      </c>
      <c r="U130" s="29" t="n">
        <f aca="false">T130*(1-MIN(1,INDEX(Tabla_Mortalidad!$B$5:$B$75,MIN(71,Cartera_Polizas!$B$132+18-49))*(1+(Cartera_Polizas!$P$132-1)*MAX(0,1-18/Supuestos!$C$20))*(1-Supuestos!$C$18)^18))</f>
        <v>0.208376572649866</v>
      </c>
      <c r="V130" s="29" t="n">
        <f aca="false">U130*(1-MIN(1,INDEX(Tabla_Mortalidad!$B$5:$B$75,MIN(71,Cartera_Polizas!$B$132+19-49))*(1+(Cartera_Polizas!$P$132-1)*MAX(0,1-19/Supuestos!$C$20))*(1-Supuestos!$C$18)^19))</f>
        <v>0.184380474841222</v>
      </c>
      <c r="W130" s="29" t="n">
        <f aca="false">V130*(1-MIN(1,INDEX(Tabla_Mortalidad!$B$5:$B$75,MIN(71,Cartera_Polizas!$B$132+20-49))*(1+(Cartera_Polizas!$P$132-1)*MAX(0,1-20/Supuestos!$C$20))*(1-Supuestos!$C$18)^20))</f>
        <v>0.16097781777724</v>
      </c>
      <c r="X130" s="29" t="n">
        <f aca="false">W130*(1-MIN(1,INDEX(Tabla_Mortalidad!$B$5:$B$75,MIN(71,Cartera_Polizas!$B$132+21-49))*(1+(Cartera_Polizas!$P$132-1)*MAX(0,1-21/Supuestos!$C$20))*(1-Supuestos!$C$18)^21))</f>
        <v>0.138477066549342</v>
      </c>
      <c r="Y130" s="29" t="n">
        <f aca="false">X130*(1-MIN(1,INDEX(Tabla_Mortalidad!$B$5:$B$75,MIN(71,Cartera_Polizas!$B$132+22-49))*(1+(Cartera_Polizas!$P$132-1)*MAX(0,1-22/Supuestos!$C$20))*(1-Supuestos!$C$18)^22))</f>
        <v>0.117182511333388</v>
      </c>
      <c r="Z130" s="29" t="n">
        <f aca="false">Y130*(1-MIN(1,INDEX(Tabla_Mortalidad!$B$5:$B$75,MIN(71,Cartera_Polizas!$B$132+23-49))*(1+(Cartera_Polizas!$P$132-1)*MAX(0,1-23/Supuestos!$C$20))*(1-Supuestos!$C$18)^23))</f>
        <v>0.0973785948921869</v>
      </c>
      <c r="AA130" s="29" t="n">
        <f aca="false">Z130*(1-MIN(1,INDEX(Tabla_Mortalidad!$B$5:$B$75,MIN(71,Cartera_Polizas!$B$132+24-49))*(1+(Cartera_Polizas!$P$132-1)*MAX(0,1-24/Supuestos!$C$20))*(1-Supuestos!$C$18)^24))</f>
        <v>0.0793137112097658</v>
      </c>
      <c r="AB130" s="29" t="n">
        <f aca="false">AA130*(1-MIN(1,INDEX(Tabla_Mortalidad!$B$5:$B$75,MIN(71,Cartera_Polizas!$B$132+25-49))*(1+(Cartera_Polizas!$P$132-1)*MAX(0,1-25/Supuestos!$C$20))*(1-Supuestos!$C$18)^25))</f>
        <v>0.0631837984962</v>
      </c>
      <c r="AC130" s="29" t="n">
        <f aca="false">AB130*(1-MIN(1,INDEX(Tabla_Mortalidad!$B$5:$B$75,MIN(71,Cartera_Polizas!$B$132+26-49))*(1+(Cartera_Polizas!$P$132-1)*MAX(0,1-26/Supuestos!$C$20))*(1-Supuestos!$C$18)^26))</f>
        <v>0.049117691480017</v>
      </c>
      <c r="AD130" s="29" t="n">
        <f aca="false">AC130*(1-MIN(1,INDEX(Tabla_Mortalidad!$B$5:$B$75,MIN(71,Cartera_Polizas!$B$132+27-49))*(1+(Cartera_Polizas!$P$132-1)*MAX(0,1-27/Supuestos!$C$20))*(1-Supuestos!$C$18)^27))</f>
        <v>0.037166890054809</v>
      </c>
      <c r="AE130" s="29" t="n">
        <f aca="false">AD130*(1-MIN(1,INDEX(Tabla_Mortalidad!$B$5:$B$75,MIN(71,Cartera_Polizas!$B$132+28-49))*(1+(Cartera_Polizas!$P$132-1)*MAX(0,1-28/Supuestos!$C$20))*(1-Supuestos!$C$18)^28))</f>
        <v>0.0273009205292354</v>
      </c>
      <c r="AF130" s="29" t="n">
        <f aca="false">AE130*(1-MIN(1,INDEX(Tabla_Mortalidad!$B$5:$B$75,MIN(71,Cartera_Polizas!$B$132+29-49))*(1+(Cartera_Polizas!$P$132-1)*MAX(0,1-29/Supuestos!$C$20))*(1-Supuestos!$C$18)^29))</f>
        <v>0.0194097026645344</v>
      </c>
      <c r="AG130" s="29" t="n">
        <f aca="false">AF130*(1-MIN(1,INDEX(Tabla_Mortalidad!$B$5:$B$75,MIN(71,Cartera_Polizas!$B$132+30-49))*(1+(Cartera_Polizas!$P$132-1)*MAX(0,1-30/Supuestos!$C$20))*(1-Supuestos!$C$18)^30))</f>
        <v>0.013313740780941</v>
      </c>
      <c r="AH130" s="29" t="n">
        <f aca="false">AG130*(1-MIN(1,INDEX(Tabla_Mortalidad!$B$5:$B$75,MIN(71,Cartera_Polizas!$B$132+31-49))*(1+(Cartera_Polizas!$P$132-1)*MAX(0,1-31/Supuestos!$C$20))*(1-Supuestos!$C$18)^31))</f>
        <v>0.008780949404284</v>
      </c>
      <c r="AI130" s="29" t="n">
        <f aca="false">AH130*(1-MIN(1,INDEX(Tabla_Mortalidad!$B$5:$B$75,MIN(71,Cartera_Polizas!$B$132+32-49))*(1+(Cartera_Polizas!$P$132-1)*MAX(0,1-32/Supuestos!$C$20))*(1-Supuestos!$C$18)^32))</f>
        <v>0.00554843324791214</v>
      </c>
      <c r="AJ130" s="29" t="n">
        <f aca="false">AI130*(1-MIN(1,INDEX(Tabla_Mortalidad!$B$5:$B$75,MIN(71,Cartera_Polizas!$B$132+33-49))*(1+(Cartera_Polizas!$P$132-1)*MAX(0,1-33/Supuestos!$C$20))*(1-Supuestos!$C$18)^33))</f>
        <v>0.00334604803896091</v>
      </c>
      <c r="AK130" s="29" t="n">
        <f aca="false">AJ130*(1-MIN(1,INDEX(Tabla_Mortalidad!$B$5:$B$75,MIN(71,Cartera_Polizas!$B$132+34-49))*(1+(Cartera_Polizas!$P$132-1)*MAX(0,1-34/Supuestos!$C$20))*(1-Supuestos!$C$18)^34))</f>
        <v>0.00191826196231375</v>
      </c>
      <c r="AL130" s="29" t="n">
        <f aca="false">AK130*(1-MIN(1,INDEX(Tabla_Mortalidad!$B$5:$B$75,MIN(71,Cartera_Polizas!$B$132+35-49))*(1+(Cartera_Polizas!$P$132-1)*MAX(0,1-35/Supuestos!$C$20))*(1-Supuestos!$C$18)^35))</f>
        <v>0.00104121633464801</v>
      </c>
      <c r="AM130" s="29" t="n">
        <f aca="false">AL130*(1-MIN(1,INDEX(Tabla_Mortalidad!$B$5:$B$75,MIN(71,Cartera_Polizas!$B$132+36-49))*(1+(Cartera_Polizas!$P$132-1)*MAX(0,1-36/Supuestos!$C$20))*(1-Supuestos!$C$18)^36))</f>
        <v>0.000532937527140186</v>
      </c>
      <c r="AN130" s="29" t="n">
        <f aca="false">AM130*(1-MIN(1,INDEX(Tabla_Mortalidad!$B$5:$B$75,MIN(71,Cartera_Polizas!$B$132+37-49))*(1+(Cartera_Polizas!$P$132-1)*MAX(0,1-37/Supuestos!$C$20))*(1-Supuestos!$C$18)^37))</f>
        <v>0.000256220857604926</v>
      </c>
      <c r="AO130" s="29" t="n">
        <f aca="false">AN130*(1-MIN(1,INDEX(Tabla_Mortalidad!$B$5:$B$75,MIN(71,Cartera_Polizas!$B$132+38-49))*(1+(Cartera_Polizas!$P$132-1)*MAX(0,1-38/Supuestos!$C$20))*(1-Supuestos!$C$18)^38))</f>
        <v>0.000115288654386439</v>
      </c>
      <c r="AP130" s="29" t="n">
        <f aca="false">AO130*(1-MIN(1,INDEX(Tabla_Mortalidad!$B$5:$B$75,MIN(71,Cartera_Polizas!$B$132+39-49))*(1+(Cartera_Polizas!$P$132-1)*MAX(0,1-39/Supuestos!$C$20))*(1-Supuestos!$C$18)^39))</f>
        <v>4.83999233144681E-005</v>
      </c>
      <c r="AQ130" s="29" t="n">
        <f aca="false">AP130*(1-MIN(1,INDEX(Tabla_Mortalidad!$B$5:$B$75,MIN(71,Cartera_Polizas!$B$132+40-49))*(1+(Cartera_Polizas!$P$132-1)*MAX(0,1-40/Supuestos!$C$20))*(1-Supuestos!$C$18)^40))</f>
        <v>1.89137766231809E-005</v>
      </c>
      <c r="AR130" s="29" t="n">
        <f aca="false">AQ130*(1-MIN(1,INDEX(Tabla_Mortalidad!$B$5:$B$75,MIN(71,Cartera_Polizas!$B$132+41-49))*(1+(Cartera_Polizas!$P$132-1)*MAX(0,1-41/Supuestos!$C$20))*(1-Supuestos!$C$18)^41))</f>
        <v>6.87145519843896E-006</v>
      </c>
      <c r="AS130" s="29" t="n">
        <f aca="false">AR130*(1-MIN(1,INDEX(Tabla_Mortalidad!$B$5:$B$75,MIN(71,Cartera_Polizas!$B$132+42-49))*(1+(Cartera_Polizas!$P$132-1)*MAX(0,1-42/Supuestos!$C$20))*(1-Supuestos!$C$18)^42))</f>
        <v>2.32129477302907E-006</v>
      </c>
      <c r="AT130" s="29" t="n">
        <f aca="false">AS130*(1-MIN(1,INDEX(Tabla_Mortalidad!$B$5:$B$75,MIN(71,Cartera_Polizas!$B$132+43-49))*(1+(Cartera_Polizas!$P$132-1)*MAX(0,1-43/Supuestos!$C$20))*(1-Supuestos!$C$18)^43))</f>
        <v>7.30550220143762E-007</v>
      </c>
      <c r="AU130" s="29" t="n">
        <f aca="false">AT130*(1-MIN(1,INDEX(Tabla_Mortalidad!$B$5:$B$75,MIN(71,Cartera_Polizas!$B$132+44-49))*(1+(Cartera_Polizas!$P$132-1)*MAX(0,1-44/Supuestos!$C$20))*(1-Supuestos!$C$18)^44))</f>
        <v>2.15027735502754E-007</v>
      </c>
    </row>
    <row r="131" customFormat="false" ht="15" hidden="false" customHeight="false" outlineLevel="0" collapsed="false">
      <c r="A131" s="14" t="n">
        <f aca="false">Cartera_Polizas!A133</f>
        <v>128</v>
      </c>
      <c r="B131" s="26" t="n">
        <f aca="false">SUM(C131:AU131)+0.5</f>
        <v>5.47844796945948</v>
      </c>
      <c r="C131" s="29" t="n">
        <f aca="false">1-MIN(1,INDEX(Tabla_Mortalidad!$B$5:$B$75,MIN(71,Cartera_Polizas!$B$133+0-49))*(1+(Cartera_Polizas!$P$133-1)*MAX(0,1-0/Supuestos!$C$20))*(1-Supuestos!$C$18)^0)</f>
        <v>0.880135885</v>
      </c>
      <c r="D131" s="29" t="n">
        <f aca="false">C131*(1-MIN(1,INDEX(Tabla_Mortalidad!$B$5:$B$75,MIN(71,Cartera_Polizas!$B$133+1-49))*(1+(Cartera_Polizas!$P$133-1)*MAX(0,1-1/Supuestos!$C$20))*(1-Supuestos!$C$18)^1))</f>
        <v>0.765899845970611</v>
      </c>
      <c r="E131" s="29" t="n">
        <f aca="false">D131*(1-MIN(1,INDEX(Tabla_Mortalidad!$B$5:$B$75,MIN(71,Cartera_Polizas!$B$133+2-49))*(1+(Cartera_Polizas!$P$133-1)*MAX(0,1-2/Supuestos!$C$20))*(1-Supuestos!$C$18)^2))</f>
        <v>0.658364469734883</v>
      </c>
      <c r="F131" s="29" t="n">
        <f aca="false">E131*(1-MIN(1,INDEX(Tabla_Mortalidad!$B$5:$B$75,MIN(71,Cartera_Polizas!$B$133+3-49))*(1+(Cartera_Polizas!$P$133-1)*MAX(0,1-3/Supuestos!$C$20))*(1-Supuestos!$C$18)^3))</f>
        <v>0.558478489662258</v>
      </c>
      <c r="G131" s="29" t="n">
        <f aca="false">F131*(1-MIN(1,INDEX(Tabla_Mortalidad!$B$5:$B$75,MIN(71,Cartera_Polizas!$B$133+4-49))*(1+(Cartera_Polizas!$P$133-1)*MAX(0,1-4/Supuestos!$C$20))*(1-Supuestos!$C$18)^4))</f>
        <v>0.467025739983941</v>
      </c>
      <c r="H131" s="29" t="n">
        <f aca="false">G131*(1-MIN(1,INDEX(Tabla_Mortalidad!$B$5:$B$75,MIN(71,Cartera_Polizas!$B$133+5-49))*(1+(Cartera_Polizas!$P$133-1)*MAX(0,1-5/Supuestos!$C$20))*(1-Supuestos!$C$18)^5))</f>
        <v>0.384586390552844</v>
      </c>
      <c r="I131" s="29" t="n">
        <f aca="false">H131*(1-MIN(1,INDEX(Tabla_Mortalidad!$B$5:$B$75,MIN(71,Cartera_Polizas!$B$133+6-49))*(1+(Cartera_Polizas!$P$133-1)*MAX(0,1-6/Supuestos!$C$20))*(1-Supuestos!$C$18)^6))</f>
        <v>0.311507193096543</v>
      </c>
      <c r="J131" s="29" t="n">
        <f aca="false">I131*(1-MIN(1,INDEX(Tabla_Mortalidad!$B$5:$B$75,MIN(71,Cartera_Polizas!$B$133+7-49))*(1+(Cartera_Polizas!$P$133-1)*MAX(0,1-7/Supuestos!$C$20))*(1-Supuestos!$C$18)^7))</f>
        <v>0.247882852483803</v>
      </c>
      <c r="K131" s="29" t="n">
        <f aca="false">J131*(1-MIN(1,INDEX(Tabla_Mortalidad!$B$5:$B$75,MIN(71,Cartera_Polizas!$B$133+8-49))*(1+(Cartera_Polizas!$P$133-1)*MAX(0,1-8/Supuestos!$C$20))*(1-Supuestos!$C$18)^8))</f>
        <v>0.193551040970424</v>
      </c>
      <c r="L131" s="29" t="n">
        <f aca="false">K131*(1-MIN(1,INDEX(Tabla_Mortalidad!$B$5:$B$75,MIN(71,Cartera_Polizas!$B$133+9-49))*(1+(Cartera_Polizas!$P$133-1)*MAX(0,1-9/Supuestos!$C$20))*(1-Supuestos!$C$18)^9))</f>
        <v>0.148105731729187</v>
      </c>
      <c r="M131" s="29" t="n">
        <f aca="false">L131*(1-MIN(1,INDEX(Tabla_Mortalidad!$B$5:$B$75,MIN(71,Cartera_Polizas!$B$133+10-49))*(1+(Cartera_Polizas!$P$133-1)*MAX(0,1-10/Supuestos!$C$20))*(1-Supuestos!$C$18)^10))</f>
        <v>0.110925260718403</v>
      </c>
      <c r="N131" s="29" t="n">
        <f aca="false">M131*(1-MIN(1,INDEX(Tabla_Mortalidad!$B$5:$B$75,MIN(71,Cartera_Polizas!$B$133+11-49))*(1+(Cartera_Polizas!$P$133-1)*MAX(0,1-11/Supuestos!$C$20))*(1-Supuestos!$C$18)^11))</f>
        <v>0.0812143046315074</v>
      </c>
      <c r="O131" s="29" t="n">
        <f aca="false">N131*(1-MIN(1,INDEX(Tabla_Mortalidad!$B$5:$B$75,MIN(71,Cartera_Polizas!$B$133+12-49))*(1+(Cartera_Polizas!$P$133-1)*MAX(0,1-12/Supuestos!$C$20))*(1-Supuestos!$C$18)^12))</f>
        <v>0.0580576964968898</v>
      </c>
      <c r="P131" s="29" t="n">
        <f aca="false">O131*(1-MIN(1,INDEX(Tabla_Mortalidad!$B$5:$B$75,MIN(71,Cartera_Polizas!$B$133+13-49))*(1+(Cartera_Polizas!$P$133-1)*MAX(0,1-13/Supuestos!$C$20))*(1-Supuestos!$C$18)^13))</f>
        <v>0.0404791564002452</v>
      </c>
      <c r="Q131" s="29" t="n">
        <f aca="false">P131*(1-MIN(1,INDEX(Tabla_Mortalidad!$B$5:$B$75,MIN(71,Cartera_Polizas!$B$133+14-49))*(1+(Cartera_Polizas!$P$133-1)*MAX(0,1-14/Supuestos!$C$20))*(1-Supuestos!$C$18)^14))</f>
        <v>0.0274993755584799</v>
      </c>
      <c r="R131" s="29" t="n">
        <f aca="false">Q131*(1-MIN(1,INDEX(Tabla_Mortalidad!$B$5:$B$75,MIN(71,Cartera_Polizas!$B$133+15-49))*(1+(Cartera_Polizas!$P$133-1)*MAX(0,1-15/Supuestos!$C$20))*(1-Supuestos!$C$18)^15))</f>
        <v>0.0181882972043987</v>
      </c>
      <c r="S131" s="29" t="n">
        <f aca="false">R131*(1-MIN(1,INDEX(Tabla_Mortalidad!$B$5:$B$75,MIN(71,Cartera_Polizas!$B$133+16-49))*(1+(Cartera_Polizas!$P$133-1)*MAX(0,1-16/Supuestos!$C$20))*(1-Supuestos!$C$18)^16))</f>
        <v>0.011512371959152</v>
      </c>
      <c r="T131" s="29" t="n">
        <f aca="false">S131*(1-MIN(1,INDEX(Tabla_Mortalidad!$B$5:$B$75,MIN(71,Cartera_Polizas!$B$133+17-49))*(1+(Cartera_Polizas!$P$133-1)*MAX(0,1-17/Supuestos!$C$20))*(1-Supuestos!$C$18)^17))</f>
        <v>0.00694340695873703</v>
      </c>
      <c r="U131" s="29" t="n">
        <f aca="false">T131*(1-MIN(1,INDEX(Tabla_Mortalidad!$B$5:$B$75,MIN(71,Cartera_Polizas!$B$133+18-49))*(1+(Cartera_Polizas!$P$133-1)*MAX(0,1-18/Supuestos!$C$20))*(1-Supuestos!$C$18)^18))</f>
        <v>0.00397208764853382</v>
      </c>
      <c r="V131" s="29" t="n">
        <f aca="false">U131*(1-MIN(1,INDEX(Tabla_Mortalidad!$B$5:$B$75,MIN(71,Cartera_Polizas!$B$133+19-49))*(1+(Cartera_Polizas!$P$133-1)*MAX(0,1-19/Supuestos!$C$20))*(1-Supuestos!$C$18)^19))</f>
        <v>0.00214481403602271</v>
      </c>
      <c r="W131" s="29" t="n">
        <f aca="false">V131*(1-MIN(1,INDEX(Tabla_Mortalidad!$B$5:$B$75,MIN(71,Cartera_Polizas!$B$133+20-49))*(1+(Cartera_Polizas!$P$133-1)*MAX(0,1-20/Supuestos!$C$20))*(1-Supuestos!$C$18)^20))</f>
        <v>0.00108761269692625</v>
      </c>
      <c r="X131" s="29" t="n">
        <f aca="false">W131*(1-MIN(1,INDEX(Tabla_Mortalidad!$B$5:$B$75,MIN(71,Cartera_Polizas!$B$133+21-49))*(1+(Cartera_Polizas!$P$133-1)*MAX(0,1-21/Supuestos!$C$20))*(1-Supuestos!$C$18)^21))</f>
        <v>0.00051522658545108</v>
      </c>
      <c r="Y131" s="29" t="n">
        <f aca="false">X131*(1-MIN(1,INDEX(Tabla_Mortalidad!$B$5:$B$75,MIN(71,Cartera_Polizas!$B$133+22-49))*(1+(Cartera_Polizas!$P$133-1)*MAX(0,1-22/Supuestos!$C$20))*(1-Supuestos!$C$18)^22))</f>
        <v>0.00022681608195651</v>
      </c>
      <c r="Z131" s="29" t="n">
        <f aca="false">Y131*(1-MIN(1,INDEX(Tabla_Mortalidad!$B$5:$B$75,MIN(71,Cartera_Polizas!$B$133+23-49))*(1+(Cartera_Polizas!$P$133-1)*MAX(0,1-23/Supuestos!$C$20))*(1-Supuestos!$C$18)^23))</f>
        <v>9.2315738350463E-005</v>
      </c>
      <c r="AA131" s="29" t="n">
        <f aca="false">Z131*(1-MIN(1,INDEX(Tabla_Mortalidad!$B$5:$B$75,MIN(71,Cartera_Polizas!$B$133+24-49))*(1+(Cartera_Polizas!$P$133-1)*MAX(0,1-24/Supuestos!$C$20))*(1-Supuestos!$C$18)^24))</f>
        <v>3.45731931119101E-005</v>
      </c>
      <c r="AB131" s="29" t="n">
        <f aca="false">AA131*(1-MIN(1,INDEX(Tabla_Mortalidad!$B$5:$B$75,MIN(71,Cartera_Polizas!$B$133+25-49))*(1+(Cartera_Polizas!$P$133-1)*MAX(0,1-25/Supuestos!$C$20))*(1-Supuestos!$C$18)^25))</f>
        <v>1.18658339606988E-005</v>
      </c>
      <c r="AC131" s="29" t="n">
        <f aca="false">AB131*(1-MIN(1,INDEX(Tabla_Mortalidad!$B$5:$B$75,MIN(71,Cartera_Polizas!$B$133+26-49))*(1+(Cartera_Polizas!$P$133-1)*MAX(0,1-26/Supuestos!$C$20))*(1-Supuestos!$C$18)^26))</f>
        <v>3.72096662177487E-006</v>
      </c>
      <c r="AD131" s="29" t="n">
        <f aca="false">AC131*(1-MIN(1,INDEX(Tabla_Mortalidad!$B$5:$B$75,MIN(71,Cartera_Polizas!$B$133+27-49))*(1+(Cartera_Polizas!$P$133-1)*MAX(0,1-27/Supuestos!$C$20))*(1-Supuestos!$C$18)^27))</f>
        <v>1.06460282466145E-006</v>
      </c>
      <c r="AE131" s="29" t="n">
        <f aca="false">AD131*(1-MIN(1,INDEX(Tabla_Mortalidad!$B$5:$B$75,MIN(71,Cartera_Polizas!$B$133+28-49))*(1+(Cartera_Polizas!$P$133-1)*MAX(0,1-28/Supuestos!$C$20))*(1-Supuestos!$C$18)^28))</f>
        <v>2.78079594327678E-007</v>
      </c>
      <c r="AF131" s="29" t="n">
        <f aca="false">AE131*(1-MIN(1,INDEX(Tabla_Mortalidad!$B$5:$B$75,MIN(71,Cartera_Polizas!$B$133+29-49))*(1+(Cartera_Polizas!$P$133-1)*MAX(0,1-29/Supuestos!$C$20))*(1-Supuestos!$C$18)^29))</f>
        <v>6.65259817361237E-008</v>
      </c>
      <c r="AG131" s="29" t="n">
        <f aca="false">AF131*(1-MIN(1,INDEX(Tabla_Mortalidad!$B$5:$B$75,MIN(71,Cartera_Polizas!$B$133+30-49))*(1+(Cartera_Polizas!$P$133-1)*MAX(0,1-30/Supuestos!$C$20))*(1-Supuestos!$C$18)^30))</f>
        <v>1.4666037592342E-008</v>
      </c>
      <c r="AH131" s="29" t="n">
        <f aca="false">AG131*(1-MIN(1,INDEX(Tabla_Mortalidad!$B$5:$B$75,MIN(71,Cartera_Polizas!$B$133+31-49))*(1+(Cartera_Polizas!$P$133-1)*MAX(0,1-31/Supuestos!$C$20))*(1-Supuestos!$C$18)^31))</f>
        <v>3.00676451143158E-009</v>
      </c>
      <c r="AI131" s="29" t="n">
        <f aca="false">AH131*(1-MIN(1,INDEX(Tabla_Mortalidad!$B$5:$B$75,MIN(71,Cartera_Polizas!$B$133+32-49))*(1+(Cartera_Polizas!$P$133-1)*MAX(0,1-32/Supuestos!$C$20))*(1-Supuestos!$C$18)^32))</f>
        <v>5.80068453000671E-010</v>
      </c>
      <c r="AJ131" s="29" t="n">
        <f aca="false">AI131*(1-MIN(1,INDEX(Tabla_Mortalidad!$B$5:$B$75,MIN(71,Cartera_Polizas!$B$133+33-49))*(1+(Cartera_Polizas!$P$133-1)*MAX(0,1-33/Supuestos!$C$20))*(1-Supuestos!$C$18)^33))</f>
        <v>8.84355829740104E-011</v>
      </c>
      <c r="AK131" s="29" t="n">
        <f aca="false">AJ131*(1-MIN(1,INDEX(Tabla_Mortalidad!$B$5:$B$75,MIN(71,Cartera_Polizas!$B$133+34-49))*(1+(Cartera_Polizas!$P$133-1)*MAX(0,1-34/Supuestos!$C$20))*(1-Supuestos!$C$18)^34))</f>
        <v>1.38574016423778E-011</v>
      </c>
      <c r="AL131" s="29" t="n">
        <f aca="false">AK131*(1-MIN(1,INDEX(Tabla_Mortalidad!$B$5:$B$75,MIN(71,Cartera_Polizas!$B$133+35-49))*(1+(Cartera_Polizas!$P$133-1)*MAX(0,1-35/Supuestos!$C$20))*(1-Supuestos!$C$18)^35))</f>
        <v>2.22981375492803E-012</v>
      </c>
      <c r="AM131" s="29" t="n">
        <f aca="false">AL131*(1-MIN(1,INDEX(Tabla_Mortalidad!$B$5:$B$75,MIN(71,Cartera_Polizas!$B$133+36-49))*(1+(Cartera_Polizas!$P$133-1)*MAX(0,1-36/Supuestos!$C$20))*(1-Supuestos!$C$18)^36))</f>
        <v>3.68157486545304E-013</v>
      </c>
      <c r="AN131" s="29" t="n">
        <f aca="false">AM131*(1-MIN(1,INDEX(Tabla_Mortalidad!$B$5:$B$75,MIN(71,Cartera_Polizas!$B$133+37-49))*(1+(Cartera_Polizas!$P$133-1)*MAX(0,1-37/Supuestos!$C$20))*(1-Supuestos!$C$18)^37))</f>
        <v>6.23221773814633E-014</v>
      </c>
      <c r="AO131" s="29" t="n">
        <f aca="false">AN131*(1-MIN(1,INDEX(Tabla_Mortalidad!$B$5:$B$75,MIN(71,Cartera_Polizas!$B$133+38-49))*(1+(Cartera_Polizas!$P$133-1)*MAX(0,1-38/Supuestos!$C$20))*(1-Supuestos!$C$18)^38))</f>
        <v>1.08088401049343E-014</v>
      </c>
      <c r="AP131" s="29" t="n">
        <f aca="false">AO131*(1-MIN(1,INDEX(Tabla_Mortalidad!$B$5:$B$75,MIN(71,Cartera_Polizas!$B$133+39-49))*(1+(Cartera_Polizas!$P$133-1)*MAX(0,1-39/Supuestos!$C$20))*(1-Supuestos!$C$18)^39))</f>
        <v>1.91930106695986E-015</v>
      </c>
      <c r="AQ131" s="29" t="n">
        <f aca="false">AP131*(1-MIN(1,INDEX(Tabla_Mortalidad!$B$5:$B$75,MIN(71,Cartera_Polizas!$B$133+40-49))*(1+(Cartera_Polizas!$P$133-1)*MAX(0,1-40/Supuestos!$C$20))*(1-Supuestos!$C$18)^40))</f>
        <v>3.48698385566319E-016</v>
      </c>
      <c r="AR131" s="29" t="n">
        <f aca="false">AQ131*(1-MIN(1,INDEX(Tabla_Mortalidad!$B$5:$B$75,MIN(71,Cartera_Polizas!$B$133+41-49))*(1+(Cartera_Polizas!$P$133-1)*MAX(0,1-41/Supuestos!$C$20))*(1-Supuestos!$C$18)^41))</f>
        <v>6.4778215014663E-017</v>
      </c>
      <c r="AS131" s="29" t="n">
        <f aca="false">AR131*(1-MIN(1,INDEX(Tabla_Mortalidad!$B$5:$B$75,MIN(71,Cartera_Polizas!$B$133+42-49))*(1+(Cartera_Polizas!$P$133-1)*MAX(0,1-42/Supuestos!$C$20))*(1-Supuestos!$C$18)^42))</f>
        <v>1.22976661988167E-017</v>
      </c>
      <c r="AT131" s="29" t="n">
        <f aca="false">AS131*(1-MIN(1,INDEX(Tabla_Mortalidad!$B$5:$B$75,MIN(71,Cartera_Polizas!$B$133+43-49))*(1+(Cartera_Polizas!$P$133-1)*MAX(0,1-43/Supuestos!$C$20))*(1-Supuestos!$C$18)^43))</f>
        <v>2.38443642293781E-018</v>
      </c>
      <c r="AU131" s="29" t="n">
        <f aca="false">AT131*(1-MIN(1,INDEX(Tabla_Mortalidad!$B$5:$B$75,MIN(71,Cartera_Polizas!$B$133+44-49))*(1+(Cartera_Polizas!$P$133-1)*MAX(0,1-44/Supuestos!$C$20))*(1-Supuestos!$C$18)^44))</f>
        <v>4.71937056343557E-019</v>
      </c>
    </row>
    <row r="132" customFormat="false" ht="15" hidden="false" customHeight="false" outlineLevel="0" collapsed="false">
      <c r="A132" s="14" t="n">
        <f aca="false">Cartera_Polizas!A134</f>
        <v>129</v>
      </c>
      <c r="B132" s="26" t="n">
        <f aca="false">SUM(C132:AU132)+0.5</f>
        <v>14.7477692909392</v>
      </c>
      <c r="C132" s="29" t="n">
        <f aca="false">1-MIN(1,INDEX(Tabla_Mortalidad!$B$5:$B$75,MIN(71,Cartera_Polizas!$B$134+0-49))*(1+(Cartera_Polizas!$P$134-1)*MAX(0,1-0/Supuestos!$C$20))*(1-Supuestos!$C$18)^0)</f>
        <v>0.980130548125</v>
      </c>
      <c r="D132" s="29" t="n">
        <f aca="false">C132*(1-MIN(1,INDEX(Tabla_Mortalidad!$B$5:$B$75,MIN(71,Cartera_Polizas!$B$134+1-49))*(1+(Cartera_Polizas!$P$134-1)*MAX(0,1-1/Supuestos!$C$20))*(1-Supuestos!$C$18)^1))</f>
        <v>0.958468308036495</v>
      </c>
      <c r="E132" s="29" t="n">
        <f aca="false">D132*(1-MIN(1,INDEX(Tabla_Mortalidad!$B$5:$B$75,MIN(71,Cartera_Polizas!$B$134+2-49))*(1+(Cartera_Polizas!$P$134-1)*MAX(0,1-2/Supuestos!$C$20))*(1-Supuestos!$C$18)^2))</f>
        <v>0.934910106557821</v>
      </c>
      <c r="F132" s="29" t="n">
        <f aca="false">E132*(1-MIN(1,INDEX(Tabla_Mortalidad!$B$5:$B$75,MIN(71,Cartera_Polizas!$B$134+3-49))*(1+(Cartera_Polizas!$P$134-1)*MAX(0,1-3/Supuestos!$C$20))*(1-Supuestos!$C$18)^3))</f>
        <v>0.909358923479148</v>
      </c>
      <c r="G132" s="29" t="n">
        <f aca="false">F132*(1-MIN(1,INDEX(Tabla_Mortalidad!$B$5:$B$75,MIN(71,Cartera_Polizas!$B$134+4-49))*(1+(Cartera_Polizas!$P$134-1)*MAX(0,1-4/Supuestos!$C$20))*(1-Supuestos!$C$18)^4))</f>
        <v>0.881728936847454</v>
      </c>
      <c r="H132" s="29" t="n">
        <f aca="false">G132*(1-MIN(1,INDEX(Tabla_Mortalidad!$B$5:$B$75,MIN(71,Cartera_Polizas!$B$134+5-49))*(1+(Cartera_Polizas!$P$134-1)*MAX(0,1-5/Supuestos!$C$20))*(1-Supuestos!$C$18)^5))</f>
        <v>0.851950537241698</v>
      </c>
      <c r="I132" s="29" t="n">
        <f aca="false">H132*(1-MIN(1,INDEX(Tabla_Mortalidad!$B$5:$B$75,MIN(71,Cartera_Polizas!$B$134+6-49))*(1+(Cartera_Polizas!$P$134-1)*MAX(0,1-6/Supuestos!$C$20))*(1-Supuestos!$C$18)^6))</f>
        <v>0.819976260830886</v>
      </c>
      <c r="J132" s="29" t="n">
        <f aca="false">I132*(1-MIN(1,INDEX(Tabla_Mortalidad!$B$5:$B$75,MIN(71,Cartera_Polizas!$B$134+7-49))*(1+(Cartera_Polizas!$P$134-1)*MAX(0,1-7/Supuestos!$C$20))*(1-Supuestos!$C$18)^7))</f>
        <v>0.785786771502032</v>
      </c>
      <c r="K132" s="29" t="n">
        <f aca="false">J132*(1-MIN(1,INDEX(Tabla_Mortalidad!$B$5:$B$75,MIN(71,Cartera_Polizas!$B$134+8-49))*(1+(Cartera_Polizas!$P$134-1)*MAX(0,1-8/Supuestos!$C$20))*(1-Supuestos!$C$18)^8))</f>
        <v>0.749396216512697</v>
      </c>
      <c r="L132" s="29" t="n">
        <f aca="false">K132*(1-MIN(1,INDEX(Tabla_Mortalidad!$B$5:$B$75,MIN(71,Cartera_Polizas!$B$134+9-49))*(1+(Cartera_Polizas!$P$134-1)*MAX(0,1-9/Supuestos!$C$20))*(1-Supuestos!$C$18)^9))</f>
        <v>0.710860759572778</v>
      </c>
      <c r="M132" s="29" t="n">
        <f aca="false">L132*(1-MIN(1,INDEX(Tabla_Mortalidad!$B$5:$B$75,MIN(71,Cartera_Polizas!$B$134+10-49))*(1+(Cartera_Polizas!$P$134-1)*MAX(0,1-10/Supuestos!$C$20))*(1-Supuestos!$C$18)^10))</f>
        <v>0.670287214881053</v>
      </c>
      <c r="N132" s="29" t="n">
        <f aca="false">M132*(1-MIN(1,INDEX(Tabla_Mortalidad!$B$5:$B$75,MIN(71,Cartera_Polizas!$B$134+11-49))*(1+(Cartera_Polizas!$P$134-1)*MAX(0,1-11/Supuestos!$C$20))*(1-Supuestos!$C$18)^11))</f>
        <v>0.627838735244332</v>
      </c>
      <c r="O132" s="29" t="n">
        <f aca="false">N132*(1-MIN(1,INDEX(Tabla_Mortalidad!$B$5:$B$75,MIN(71,Cartera_Polizas!$B$134+12-49))*(1+(Cartera_Polizas!$P$134-1)*MAX(0,1-12/Supuestos!$C$20))*(1-Supuestos!$C$18)^12))</f>
        <v>0.583740972940407</v>
      </c>
      <c r="P132" s="29" t="n">
        <f aca="false">O132*(1-MIN(1,INDEX(Tabla_Mortalidad!$B$5:$B$75,MIN(71,Cartera_Polizas!$B$134+13-49))*(1+(Cartera_Polizas!$P$134-1)*MAX(0,1-13/Supuestos!$C$20))*(1-Supuestos!$C$18)^13))</f>
        <v>0.538289892073701</v>
      </c>
      <c r="Q132" s="29" t="n">
        <f aca="false">P132*(1-MIN(1,INDEX(Tabla_Mortalidad!$B$5:$B$75,MIN(71,Cartera_Polizas!$B$134+14-49))*(1+(Cartera_Polizas!$P$134-1)*MAX(0,1-14/Supuestos!$C$20))*(1-Supuestos!$C$18)^14))</f>
        <v>0.491851291424996</v>
      </c>
      <c r="R132" s="29" t="n">
        <f aca="false">Q132*(1-MIN(1,INDEX(Tabla_Mortalidad!$B$5:$B$75,MIN(71,Cartera_Polizas!$B$134+15-49))*(1+(Cartera_Polizas!$P$134-1)*MAX(0,1-15/Supuestos!$C$20))*(1-Supuestos!$C$18)^15))</f>
        <v>0.444864119953451</v>
      </c>
      <c r="S132" s="29" t="n">
        <f aca="false">R132*(1-MIN(1,INDEX(Tabla_Mortalidad!$B$5:$B$75,MIN(71,Cartera_Polizas!$B$134+16-49))*(1+(Cartera_Polizas!$P$134-1)*MAX(0,1-16/Supuestos!$C$20))*(1-Supuestos!$C$18)^16))</f>
        <v>0.397953012328369</v>
      </c>
      <c r="T132" s="29" t="n">
        <f aca="false">S132*(1-MIN(1,INDEX(Tabla_Mortalidad!$B$5:$B$75,MIN(71,Cartera_Polizas!$B$134+17-49))*(1+(Cartera_Polizas!$P$134-1)*MAX(0,1-17/Supuestos!$C$20))*(1-Supuestos!$C$18)^17))</f>
        <v>0.351664058238549</v>
      </c>
      <c r="U132" s="29" t="n">
        <f aca="false">T132*(1-MIN(1,INDEX(Tabla_Mortalidad!$B$5:$B$75,MIN(71,Cartera_Polizas!$B$134+18-49))*(1+(Cartera_Polizas!$P$134-1)*MAX(0,1-18/Supuestos!$C$20))*(1-Supuestos!$C$18)^18))</f>
        <v>0.306579059522051</v>
      </c>
      <c r="V132" s="29" t="n">
        <f aca="false">U132*(1-MIN(1,INDEX(Tabla_Mortalidad!$B$5:$B$75,MIN(71,Cartera_Polizas!$B$134+19-49))*(1+(Cartera_Polizas!$P$134-1)*MAX(0,1-19/Supuestos!$C$20))*(1-Supuestos!$C$18)^19))</f>
        <v>0.263295067491649</v>
      </c>
      <c r="W132" s="29" t="n">
        <f aca="false">V132*(1-MIN(1,INDEX(Tabla_Mortalidad!$B$5:$B$75,MIN(71,Cartera_Polizas!$B$134+20-49))*(1+(Cartera_Polizas!$P$134-1)*MAX(0,1-20/Supuestos!$C$20))*(1-Supuestos!$C$18)^20))</f>
        <v>0.222398460314799</v>
      </c>
      <c r="X132" s="29" t="n">
        <f aca="false">W132*(1-MIN(1,INDEX(Tabla_Mortalidad!$B$5:$B$75,MIN(71,Cartera_Polizas!$B$134+21-49))*(1+(Cartera_Polizas!$P$134-1)*MAX(0,1-21/Supuestos!$C$20))*(1-Supuestos!$C$18)^21))</f>
        <v>0.184434291238554</v>
      </c>
      <c r="Y132" s="29" t="n">
        <f aca="false">X132*(1-MIN(1,INDEX(Tabla_Mortalidad!$B$5:$B$75,MIN(71,Cartera_Polizas!$B$134+22-49))*(1+(Cartera_Polizas!$P$134-1)*MAX(0,1-22/Supuestos!$C$20))*(1-Supuestos!$C$18)^22))</f>
        <v>0.149874813127877</v>
      </c>
      <c r="Z132" s="29" t="n">
        <f aca="false">Y132*(1-MIN(1,INDEX(Tabla_Mortalidad!$B$5:$B$75,MIN(71,Cartera_Polizas!$B$134+23-49))*(1+(Cartera_Polizas!$P$134-1)*MAX(0,1-23/Supuestos!$C$20))*(1-Supuestos!$C$18)^23))</f>
        <v>0.119087893446338</v>
      </c>
      <c r="AA132" s="29" t="n">
        <f aca="false">Z132*(1-MIN(1,INDEX(Tabla_Mortalidad!$B$5:$B$75,MIN(71,Cartera_Polizas!$B$134+24-49))*(1+(Cartera_Polizas!$P$134-1)*MAX(0,1-24/Supuestos!$C$20))*(1-Supuestos!$C$18)^24))</f>
        <v>0.0923091843484345</v>
      </c>
      <c r="AB132" s="29" t="n">
        <f aca="false">AA132*(1-MIN(1,INDEX(Tabla_Mortalidad!$B$5:$B$75,MIN(71,Cartera_Polizas!$B$134+25-49))*(1+(Cartera_Polizas!$P$134-1)*MAX(0,1-25/Supuestos!$C$20))*(1-Supuestos!$C$18)^25))</f>
        <v>0.0696231891739551</v>
      </c>
      <c r="AC132" s="29" t="n">
        <f aca="false">AB132*(1-MIN(1,INDEX(Tabla_Mortalidad!$B$5:$B$75,MIN(71,Cartera_Polizas!$B$134+26-49))*(1+(Cartera_Polizas!$P$134-1)*MAX(0,1-26/Supuestos!$C$20))*(1-Supuestos!$C$18)^26))</f>
        <v>0.0509554683235877</v>
      </c>
      <c r="AD132" s="29" t="n">
        <f aca="false">AC132*(1-MIN(1,INDEX(Tabla_Mortalidad!$B$5:$B$75,MIN(71,Cartera_Polizas!$B$134+27-49))*(1+(Cartera_Polizas!$P$134-1)*MAX(0,1-27/Supuestos!$C$20))*(1-Supuestos!$C$18)^27))</f>
        <v>0.036078604798385</v>
      </c>
      <c r="AE132" s="29" t="n">
        <f aca="false">AD132*(1-MIN(1,INDEX(Tabla_Mortalidad!$B$5:$B$75,MIN(71,Cartera_Polizas!$B$134+28-49))*(1+(Cartera_Polizas!$P$134-1)*MAX(0,1-28/Supuestos!$C$20))*(1-Supuestos!$C$18)^28))</f>
        <v>0.0246333113184361</v>
      </c>
      <c r="AF132" s="29" t="n">
        <f aca="false">AE132*(1-MIN(1,INDEX(Tabla_Mortalidad!$B$5:$B$75,MIN(71,Cartera_Polizas!$B$134+29-49))*(1+(Cartera_Polizas!$P$134-1)*MAX(0,1-29/Supuestos!$C$20))*(1-Supuestos!$C$18)^29))</f>
        <v>0.0161621633447694</v>
      </c>
      <c r="AG132" s="29" t="n">
        <f aca="false">AF132*(1-MIN(1,INDEX(Tabla_Mortalidad!$B$5:$B$75,MIN(71,Cartera_Polizas!$B$134+30-49))*(1+(Cartera_Polizas!$P$134-1)*MAX(0,1-30/Supuestos!$C$20))*(1-Supuestos!$C$18)^30))</f>
        <v>0.0101524665721154</v>
      </c>
      <c r="AH132" s="29" t="n">
        <f aca="false">AG132*(1-MIN(1,INDEX(Tabla_Mortalidad!$B$5:$B$75,MIN(71,Cartera_Polizas!$B$134+31-49))*(1+(Cartera_Polizas!$P$134-1)*MAX(0,1-31/Supuestos!$C$20))*(1-Supuestos!$C$18)^31))</f>
        <v>0.00608196128727522</v>
      </c>
      <c r="AI132" s="29" t="n">
        <f aca="false">AH132*(1-MIN(1,INDEX(Tabla_Mortalidad!$B$5:$B$75,MIN(71,Cartera_Polizas!$B$134+32-49))*(1+(Cartera_Polizas!$P$134-1)*MAX(0,1-32/Supuestos!$C$20))*(1-Supuestos!$C$18)^32))</f>
        <v>0.00346059046753861</v>
      </c>
      <c r="AJ132" s="29" t="n">
        <f aca="false">AI132*(1-MIN(1,INDEX(Tabla_Mortalidad!$B$5:$B$75,MIN(71,Cartera_Polizas!$B$134+33-49))*(1+(Cartera_Polizas!$P$134-1)*MAX(0,1-33/Supuestos!$C$20))*(1-Supuestos!$C$18)^33))</f>
        <v>0.00186243760021287</v>
      </c>
      <c r="AK132" s="29" t="n">
        <f aca="false">AJ132*(1-MIN(1,INDEX(Tabla_Mortalidad!$B$5:$B$75,MIN(71,Cartera_Polizas!$B$134+34-49))*(1+(Cartera_Polizas!$P$134-1)*MAX(0,1-34/Supuestos!$C$20))*(1-Supuestos!$C$18)^34))</f>
        <v>0.000944112195191081</v>
      </c>
      <c r="AL132" s="29" t="n">
        <f aca="false">AK132*(1-MIN(1,INDEX(Tabla_Mortalidad!$B$5:$B$75,MIN(71,Cartera_Polizas!$B$134+35-49))*(1+(Cartera_Polizas!$P$134-1)*MAX(0,1-35/Supuestos!$C$20))*(1-Supuestos!$C$18)^35))</f>
        <v>0.000448962557529144</v>
      </c>
      <c r="AM132" s="29" t="n">
        <f aca="false">AL132*(1-MIN(1,INDEX(Tabla_Mortalidad!$B$5:$B$75,MIN(71,Cartera_Polizas!$B$134+36-49))*(1+(Cartera_Polizas!$P$134-1)*MAX(0,1-36/Supuestos!$C$20))*(1-Supuestos!$C$18)^36))</f>
        <v>0.000199526219097127</v>
      </c>
      <c r="AN132" s="29" t="n">
        <f aca="false">AM132*(1-MIN(1,INDEX(Tabla_Mortalidad!$B$5:$B$75,MIN(71,Cartera_Polizas!$B$134+37-49))*(1+(Cartera_Polizas!$P$134-1)*MAX(0,1-37/Supuestos!$C$20))*(1-Supuestos!$C$18)^37))</f>
        <v>8.25977675681856E-005</v>
      </c>
      <c r="AO132" s="29" t="n">
        <f aca="false">AN132*(1-MIN(1,INDEX(Tabla_Mortalidad!$B$5:$B$75,MIN(71,Cartera_Polizas!$B$134+38-49))*(1+(Cartera_Polizas!$P$134-1)*MAX(0,1-38/Supuestos!$C$20))*(1-Supuestos!$C$18)^38))</f>
        <v>3.17706482573276E-005</v>
      </c>
      <c r="AP132" s="29" t="n">
        <f aca="false">AO132*(1-MIN(1,INDEX(Tabla_Mortalidad!$B$5:$B$75,MIN(71,Cartera_Polizas!$B$134+39-49))*(1+(Cartera_Polizas!$P$134-1)*MAX(0,1-39/Supuestos!$C$20))*(1-Supuestos!$C$18)^39))</f>
        <v>1.13386014803103E-005</v>
      </c>
      <c r="AQ132" s="29" t="n">
        <f aca="false">AP132*(1-MIN(1,INDEX(Tabla_Mortalidad!$B$5:$B$75,MIN(71,Cartera_Polizas!$B$134+40-49))*(1+(Cartera_Polizas!$P$134-1)*MAX(0,1-40/Supuestos!$C$20))*(1-Supuestos!$C$18)^40))</f>
        <v>3.75472380371568E-006</v>
      </c>
      <c r="AR132" s="29" t="n">
        <f aca="false">AQ132*(1-MIN(1,INDEX(Tabla_Mortalidad!$B$5:$B$75,MIN(71,Cartera_Polizas!$B$134+41-49))*(1+(Cartera_Polizas!$P$134-1)*MAX(0,1-41/Supuestos!$C$20))*(1-Supuestos!$C$18)^41))</f>
        <v>1.15574949916223E-006</v>
      </c>
      <c r="AS132" s="29" t="n">
        <f aca="false">AR132*(1-MIN(1,INDEX(Tabla_Mortalidad!$B$5:$B$75,MIN(71,Cartera_Polizas!$B$134+42-49))*(1+(Cartera_Polizas!$P$134-1)*MAX(0,1-42/Supuestos!$C$20))*(1-Supuestos!$C$18)^42))</f>
        <v>3.31962206700415E-007</v>
      </c>
      <c r="AT132" s="29" t="n">
        <f aca="false">AS132*(1-MIN(1,INDEX(Tabla_Mortalidad!$B$5:$B$75,MIN(71,Cartera_Polizas!$B$134+43-49))*(1+(Cartera_Polizas!$P$134-1)*MAX(0,1-43/Supuestos!$C$20))*(1-Supuestos!$C$18)^43))</f>
        <v>8.95081556093934E-008</v>
      </c>
      <c r="AU132" s="29" t="n">
        <f aca="false">AT132*(1-MIN(1,INDEX(Tabla_Mortalidad!$B$5:$B$75,MIN(71,Cartera_Polizas!$B$134+44-49))*(1+(Cartera_Polizas!$P$134-1)*MAX(0,1-44/Supuestos!$C$20))*(1-Supuestos!$C$18)^44))</f>
        <v>2.2839555129657E-008</v>
      </c>
    </row>
    <row r="133" customFormat="false" ht="15" hidden="false" customHeight="false" outlineLevel="0" collapsed="false">
      <c r="A133" s="14" t="n">
        <f aca="false">Cartera_Polizas!A135</f>
        <v>130</v>
      </c>
      <c r="B133" s="26" t="n">
        <f aca="false">SUM(C133:AU133)+0.5</f>
        <v>6.45744584748888</v>
      </c>
      <c r="C133" s="29" t="n">
        <f aca="false">1-MIN(1,INDEX(Tabla_Mortalidad!$B$5:$B$75,MIN(71,Cartera_Polizas!$B$135+0-49))*(1+(Cartera_Polizas!$P$135-1)*MAX(0,1-0/Supuestos!$C$20))*(1-Supuestos!$C$18)^0)</f>
        <v>0.91072838125</v>
      </c>
      <c r="D133" s="29" t="n">
        <f aca="false">C133*(1-MIN(1,INDEX(Tabla_Mortalidad!$B$5:$B$75,MIN(71,Cartera_Polizas!$B$135+1-49))*(1+(Cartera_Polizas!$P$135-1)*MAX(0,1-1/Supuestos!$C$20))*(1-Supuestos!$C$18)^1))</f>
        <v>0.821260611985294</v>
      </c>
      <c r="E133" s="29" t="n">
        <f aca="false">D133*(1-MIN(1,INDEX(Tabla_Mortalidad!$B$5:$B$75,MIN(71,Cartera_Polizas!$B$135+2-49))*(1+(Cartera_Polizas!$P$135-1)*MAX(0,1-2/Supuestos!$C$20))*(1-Supuestos!$C$18)^2))</f>
        <v>0.7325324368903</v>
      </c>
      <c r="F133" s="29" t="n">
        <f aca="false">E133*(1-MIN(1,INDEX(Tabla_Mortalidad!$B$5:$B$75,MIN(71,Cartera_Polizas!$B$135+3-49))*(1+(Cartera_Polizas!$P$135-1)*MAX(0,1-3/Supuestos!$C$20))*(1-Supuestos!$C$18)^3))</f>
        <v>0.645550799696678</v>
      </c>
      <c r="G133" s="29" t="n">
        <f aca="false">F133*(1-MIN(1,INDEX(Tabla_Mortalidad!$B$5:$B$75,MIN(71,Cartera_Polizas!$B$135+4-49))*(1+(Cartera_Polizas!$P$135-1)*MAX(0,1-4/Supuestos!$C$20))*(1-Supuestos!$C$18)^4))</f>
        <v>0.561365250550375</v>
      </c>
      <c r="H133" s="29" t="n">
        <f aca="false">G133*(1-MIN(1,INDEX(Tabla_Mortalidad!$B$5:$B$75,MIN(71,Cartera_Polizas!$B$135+5-49))*(1+(Cartera_Polizas!$P$135-1)*MAX(0,1-5/Supuestos!$C$20))*(1-Supuestos!$C$18)^5))</f>
        <v>0.481028912096382</v>
      </c>
      <c r="I133" s="29" t="n">
        <f aca="false">H133*(1-MIN(1,INDEX(Tabla_Mortalidad!$B$5:$B$75,MIN(71,Cartera_Polizas!$B$135+6-49))*(1+(Cartera_Polizas!$P$135-1)*MAX(0,1-6/Supuestos!$C$20))*(1-Supuestos!$C$18)^6))</f>
        <v>0.405552548876096</v>
      </c>
      <c r="J133" s="29" t="n">
        <f aca="false">I133*(1-MIN(1,INDEX(Tabla_Mortalidad!$B$5:$B$75,MIN(71,Cartera_Polizas!$B$135+7-49))*(1+(Cartera_Polizas!$P$135-1)*MAX(0,1-7/Supuestos!$C$20))*(1-Supuestos!$C$18)^7))</f>
        <v>0.335852870085658</v>
      </c>
      <c r="K133" s="29" t="n">
        <f aca="false">J133*(1-MIN(1,INDEX(Tabla_Mortalidad!$B$5:$B$75,MIN(71,Cartera_Polizas!$B$135+8-49))*(1+(Cartera_Polizas!$P$135-1)*MAX(0,1-8/Supuestos!$C$20))*(1-Supuestos!$C$18)^8))</f>
        <v>0.272698137319704</v>
      </c>
      <c r="L133" s="29" t="n">
        <f aca="false">K133*(1-MIN(1,INDEX(Tabla_Mortalidad!$B$5:$B$75,MIN(71,Cartera_Polizas!$B$135+9-49))*(1+(Cartera_Polizas!$P$135-1)*MAX(0,1-9/Supuestos!$C$20))*(1-Supuestos!$C$18)^9))</f>
        <v>0.216659256046087</v>
      </c>
      <c r="M133" s="29" t="n">
        <f aca="false">L133*(1-MIN(1,INDEX(Tabla_Mortalidad!$B$5:$B$75,MIN(71,Cartera_Polizas!$B$135+10-49))*(1+(Cartera_Polizas!$P$135-1)*MAX(0,1-10/Supuestos!$C$20))*(1-Supuestos!$C$18)^10))</f>
        <v>0.168068345579017</v>
      </c>
      <c r="N133" s="29" t="n">
        <f aca="false">M133*(1-MIN(1,INDEX(Tabla_Mortalidad!$B$5:$B$75,MIN(71,Cartera_Polizas!$B$135+11-49))*(1+(Cartera_Polizas!$P$135-1)*MAX(0,1-11/Supuestos!$C$20))*(1-Supuestos!$C$18)^11))</f>
        <v>0.126991426772863</v>
      </c>
      <c r="O133" s="29" t="n">
        <f aca="false">N133*(1-MIN(1,INDEX(Tabla_Mortalidad!$B$5:$B$75,MIN(71,Cartera_Polizas!$B$135+12-49))*(1+(Cartera_Polizas!$P$135-1)*MAX(0,1-12/Supuestos!$C$20))*(1-Supuestos!$C$18)^12))</f>
        <v>0.0932224312911626</v>
      </c>
      <c r="P133" s="29" t="n">
        <f aca="false">O133*(1-MIN(1,INDEX(Tabla_Mortalidad!$B$5:$B$75,MIN(71,Cartera_Polizas!$B$135+13-49))*(1+(Cartera_Polizas!$P$135-1)*MAX(0,1-13/Supuestos!$C$20))*(1-Supuestos!$C$18)^13))</f>
        <v>0.0662996044487243</v>
      </c>
      <c r="Q133" s="29" t="n">
        <f aca="false">P133*(1-MIN(1,INDEX(Tabla_Mortalidad!$B$5:$B$75,MIN(71,Cartera_Polizas!$B$135+14-49))*(1+(Cartera_Polizas!$P$135-1)*MAX(0,1-14/Supuestos!$C$20))*(1-Supuestos!$C$18)^14))</f>
        <v>0.0455448577294869</v>
      </c>
      <c r="R133" s="29" t="n">
        <f aca="false">Q133*(1-MIN(1,INDEX(Tabla_Mortalidad!$B$5:$B$75,MIN(71,Cartera_Polizas!$B$135+15-49))*(1+(Cartera_Polizas!$P$135-1)*MAX(0,1-15/Supuestos!$C$20))*(1-Supuestos!$C$18)^15))</f>
        <v>0.030123717055114</v>
      </c>
      <c r="S133" s="29" t="n">
        <f aca="false">R133*(1-MIN(1,INDEX(Tabla_Mortalidad!$B$5:$B$75,MIN(71,Cartera_Polizas!$B$135+16-49))*(1+(Cartera_Polizas!$P$135-1)*MAX(0,1-16/Supuestos!$C$20))*(1-Supuestos!$C$18)^16))</f>
        <v>0.0190669545166028</v>
      </c>
      <c r="T133" s="29" t="n">
        <f aca="false">S133*(1-MIN(1,INDEX(Tabla_Mortalidad!$B$5:$B$75,MIN(71,Cartera_Polizas!$B$135+17-49))*(1+(Cartera_Polizas!$P$135-1)*MAX(0,1-17/Supuestos!$C$20))*(1-Supuestos!$C$18)^17))</f>
        <v>0.0114997695646253</v>
      </c>
      <c r="U133" s="29" t="n">
        <f aca="false">T133*(1-MIN(1,INDEX(Tabla_Mortalidad!$B$5:$B$75,MIN(71,Cartera_Polizas!$B$135+18-49))*(1+(Cartera_Polizas!$P$135-1)*MAX(0,1-18/Supuestos!$C$20))*(1-Supuestos!$C$18)^18))</f>
        <v>0.00657862817491283</v>
      </c>
      <c r="V133" s="29" t="n">
        <f aca="false">U133*(1-MIN(1,INDEX(Tabla_Mortalidad!$B$5:$B$75,MIN(71,Cartera_Polizas!$B$135+19-49))*(1+(Cartera_Polizas!$P$135-1)*MAX(0,1-19/Supuestos!$C$20))*(1-Supuestos!$C$18)^19))</f>
        <v>0.00355227157500812</v>
      </c>
      <c r="W133" s="29" t="n">
        <f aca="false">V133*(1-MIN(1,INDEX(Tabla_Mortalidad!$B$5:$B$75,MIN(71,Cartera_Polizas!$B$135+20-49))*(1+(Cartera_Polizas!$P$135-1)*MAX(0,1-20/Supuestos!$C$20))*(1-Supuestos!$C$18)^20))</f>
        <v>0.0018013196496389</v>
      </c>
      <c r="X133" s="29" t="n">
        <f aca="false">W133*(1-MIN(1,INDEX(Tabla_Mortalidad!$B$5:$B$75,MIN(71,Cartera_Polizas!$B$135+21-49))*(1+(Cartera_Polizas!$P$135-1)*MAX(0,1-21/Supuestos!$C$20))*(1-Supuestos!$C$18)^21))</f>
        <v>0.000853325613991358</v>
      </c>
      <c r="Y133" s="29" t="n">
        <f aca="false">X133*(1-MIN(1,INDEX(Tabla_Mortalidad!$B$5:$B$75,MIN(71,Cartera_Polizas!$B$135+22-49))*(1+(Cartera_Polizas!$P$135-1)*MAX(0,1-22/Supuestos!$C$20))*(1-Supuestos!$C$18)^22))</f>
        <v>0.000375656027588721</v>
      </c>
      <c r="Z133" s="29" t="n">
        <f aca="false">Y133*(1-MIN(1,INDEX(Tabla_Mortalidad!$B$5:$B$75,MIN(71,Cartera_Polizas!$B$135+23-49))*(1+(Cartera_Polizas!$P$135-1)*MAX(0,1-23/Supuestos!$C$20))*(1-Supuestos!$C$18)^23))</f>
        <v>0.000152894641568246</v>
      </c>
      <c r="AA133" s="29" t="n">
        <f aca="false">Z133*(1-MIN(1,INDEX(Tabla_Mortalidad!$B$5:$B$75,MIN(71,Cartera_Polizas!$B$135+24-49))*(1+(Cartera_Polizas!$P$135-1)*MAX(0,1-24/Supuestos!$C$20))*(1-Supuestos!$C$18)^24))</f>
        <v>5.72606151796949E-005</v>
      </c>
      <c r="AB133" s="29" t="n">
        <f aca="false">AA133*(1-MIN(1,INDEX(Tabla_Mortalidad!$B$5:$B$75,MIN(71,Cartera_Polizas!$B$135+25-49))*(1+(Cartera_Polizas!$P$135-1)*MAX(0,1-25/Supuestos!$C$20))*(1-Supuestos!$C$18)^25))</f>
        <v>1.96523633212133E-005</v>
      </c>
      <c r="AC133" s="29" t="n">
        <f aca="false">AB133*(1-MIN(1,INDEX(Tabla_Mortalidad!$B$5:$B$75,MIN(71,Cartera_Polizas!$B$135+26-49))*(1+(Cartera_Polizas!$P$135-1)*MAX(0,1-26/Supuestos!$C$20))*(1-Supuestos!$C$18)^26))</f>
        <v>6.16271795134079E-006</v>
      </c>
      <c r="AD133" s="29" t="n">
        <f aca="false">AC133*(1-MIN(1,INDEX(Tabla_Mortalidad!$B$5:$B$75,MIN(71,Cartera_Polizas!$B$135+27-49))*(1+(Cartera_Polizas!$P$135-1)*MAX(0,1-27/Supuestos!$C$20))*(1-Supuestos!$C$18)^27))</f>
        <v>1.7632103712502E-006</v>
      </c>
      <c r="AE133" s="29" t="n">
        <f aca="false">AD133*(1-MIN(1,INDEX(Tabla_Mortalidad!$B$5:$B$75,MIN(71,Cartera_Polizas!$B$135+28-49))*(1+(Cartera_Polizas!$P$135-1)*MAX(0,1-28/Supuestos!$C$20))*(1-Supuestos!$C$18)^28))</f>
        <v>4.60559387401146E-007</v>
      </c>
      <c r="AF133" s="29" t="n">
        <f aca="false">AE133*(1-MIN(1,INDEX(Tabla_Mortalidad!$B$5:$B$75,MIN(71,Cartera_Polizas!$B$135+29-49))*(1+(Cartera_Polizas!$P$135-1)*MAX(0,1-29/Supuestos!$C$20))*(1-Supuestos!$C$18)^29))</f>
        <v>1.10181279100059E-007</v>
      </c>
      <c r="AG133" s="29" t="n">
        <f aca="false">AF133*(1-MIN(1,INDEX(Tabla_Mortalidad!$B$5:$B$75,MIN(71,Cartera_Polizas!$B$135+30-49))*(1+(Cartera_Polizas!$P$135-1)*MAX(0,1-30/Supuestos!$C$20))*(1-Supuestos!$C$18)^30))</f>
        <v>2.42901004853016E-008</v>
      </c>
      <c r="AH133" s="29" t="n">
        <f aca="false">AG133*(1-MIN(1,INDEX(Tabla_Mortalidad!$B$5:$B$75,MIN(71,Cartera_Polizas!$B$135+31-49))*(1+(Cartera_Polizas!$P$135-1)*MAX(0,1-31/Supuestos!$C$20))*(1-Supuestos!$C$18)^31))</f>
        <v>4.97984623716275E-009</v>
      </c>
      <c r="AI133" s="29" t="n">
        <f aca="false">AH133*(1-MIN(1,INDEX(Tabla_Mortalidad!$B$5:$B$75,MIN(71,Cartera_Polizas!$B$135+32-49))*(1+(Cartera_Polizas!$P$135-1)*MAX(0,1-32/Supuestos!$C$20))*(1-Supuestos!$C$18)^32))</f>
        <v>9.6071763917317E-010</v>
      </c>
      <c r="AJ133" s="29" t="n">
        <f aca="false">AI133*(1-MIN(1,INDEX(Tabla_Mortalidad!$B$5:$B$75,MIN(71,Cartera_Polizas!$B$135+33-49))*(1+(Cartera_Polizas!$P$135-1)*MAX(0,1-33/Supuestos!$C$20))*(1-Supuestos!$C$18)^33))</f>
        <v>1.46468272932601E-010</v>
      </c>
      <c r="AK133" s="29" t="n">
        <f aca="false">AJ133*(1-MIN(1,INDEX(Tabla_Mortalidad!$B$5:$B$75,MIN(71,Cartera_Polizas!$B$135+34-49))*(1+(Cartera_Polizas!$P$135-1)*MAX(0,1-34/Supuestos!$C$20))*(1-Supuestos!$C$18)^34))</f>
        <v>2.29508261000434E-011</v>
      </c>
      <c r="AL133" s="29" t="n">
        <f aca="false">AK133*(1-MIN(1,INDEX(Tabla_Mortalidad!$B$5:$B$75,MIN(71,Cartera_Polizas!$B$135+35-49))*(1+(Cartera_Polizas!$P$135-1)*MAX(0,1-35/Supuestos!$C$20))*(1-Supuestos!$C$18)^35))</f>
        <v>3.69304932090116E-012</v>
      </c>
      <c r="AM133" s="29" t="n">
        <f aca="false">AL133*(1-MIN(1,INDEX(Tabla_Mortalidad!$B$5:$B$75,MIN(71,Cartera_Polizas!$B$135+36-49))*(1+(Cartera_Polizas!$P$135-1)*MAX(0,1-36/Supuestos!$C$20))*(1-Supuestos!$C$18)^36))</f>
        <v>6.09747676309719E-013</v>
      </c>
      <c r="AN133" s="29" t="n">
        <f aca="false">AM133*(1-MIN(1,INDEX(Tabla_Mortalidad!$B$5:$B$75,MIN(71,Cartera_Polizas!$B$135+37-49))*(1+(Cartera_Polizas!$P$135-1)*MAX(0,1-37/Supuestos!$C$20))*(1-Supuestos!$C$18)^37))</f>
        <v>1.03218878413961E-013</v>
      </c>
      <c r="AO133" s="29" t="n">
        <f aca="false">AN133*(1-MIN(1,INDEX(Tabla_Mortalidad!$B$5:$B$75,MIN(71,Cartera_Polizas!$B$135+38-49))*(1+(Cartera_Polizas!$P$135-1)*MAX(0,1-38/Supuestos!$C$20))*(1-Supuestos!$C$18)^38))</f>
        <v>1.79017550326957E-014</v>
      </c>
      <c r="AP133" s="29" t="n">
        <f aca="false">AO133*(1-MIN(1,INDEX(Tabla_Mortalidad!$B$5:$B$75,MIN(71,Cartera_Polizas!$B$135+39-49))*(1+(Cartera_Polizas!$P$135-1)*MAX(0,1-39/Supuestos!$C$20))*(1-Supuestos!$C$18)^39))</f>
        <v>3.17877378156624E-015</v>
      </c>
      <c r="AQ133" s="29" t="n">
        <f aca="false">AP133*(1-MIN(1,INDEX(Tabla_Mortalidad!$B$5:$B$75,MIN(71,Cartera_Polizas!$B$135+40-49))*(1+(Cartera_Polizas!$P$135-1)*MAX(0,1-40/Supuestos!$C$20))*(1-Supuestos!$C$18)^40))</f>
        <v>5.7751923593125E-016</v>
      </c>
      <c r="AR133" s="29" t="n">
        <f aca="false">AQ133*(1-MIN(1,INDEX(Tabla_Mortalidad!$B$5:$B$75,MIN(71,Cartera_Polizas!$B$135+41-49))*(1+(Cartera_Polizas!$P$135-1)*MAX(0,1-41/Supuestos!$C$20))*(1-Supuestos!$C$18)^41))</f>
        <v>1.07286602946268E-016</v>
      </c>
      <c r="AS133" s="29" t="n">
        <f aca="false">AR133*(1-MIN(1,INDEX(Tabla_Mortalidad!$B$5:$B$75,MIN(71,Cartera_Polizas!$B$135+42-49))*(1+(Cartera_Polizas!$P$135-1)*MAX(0,1-42/Supuestos!$C$20))*(1-Supuestos!$C$18)^42))</f>
        <v>2.03675700285897E-017</v>
      </c>
      <c r="AT133" s="29" t="n">
        <f aca="false">AS133*(1-MIN(1,INDEX(Tabla_Mortalidad!$B$5:$B$75,MIN(71,Cartera_Polizas!$B$135+43-49))*(1+(Cartera_Polizas!$P$135-1)*MAX(0,1-43/Supuestos!$C$20))*(1-Supuestos!$C$18)^43))</f>
        <v>3.94913758738863E-018</v>
      </c>
      <c r="AU133" s="29" t="n">
        <f aca="false">AT133*(1-MIN(1,INDEX(Tabla_Mortalidad!$B$5:$B$75,MIN(71,Cartera_Polizas!$B$135+44-49))*(1+(Cartera_Polizas!$P$135-1)*MAX(0,1-44/Supuestos!$C$20))*(1-Supuestos!$C$18)^44))</f>
        <v>7.81628878907836E-019</v>
      </c>
    </row>
    <row r="134" customFormat="false" ht="15" hidden="false" customHeight="false" outlineLevel="0" collapsed="false">
      <c r="A134" s="14" t="n">
        <f aca="false">Cartera_Polizas!A136</f>
        <v>131</v>
      </c>
      <c r="B134" s="26" t="n">
        <f aca="false">SUM(C134:AU134)+0.5</f>
        <v>10.7791643973571</v>
      </c>
      <c r="C134" s="29" t="n">
        <f aca="false">1-MIN(1,INDEX(Tabla_Mortalidad!$B$5:$B$75,MIN(71,Cartera_Polizas!$B$136+0-49))*(1+(Cartera_Polizas!$P$136-1)*MAX(0,1-0/Supuestos!$C$20))*(1-Supuestos!$C$18)^0)</f>
        <v>0.959914334375</v>
      </c>
      <c r="D134" s="29" t="n">
        <f aca="false">C134*(1-MIN(1,INDEX(Tabla_Mortalidad!$B$5:$B$75,MIN(71,Cartera_Polizas!$B$136+1-49))*(1+(Cartera_Polizas!$P$136-1)*MAX(0,1-1/Supuestos!$C$20))*(1-Supuestos!$C$18)^1))</f>
        <v>0.917588091763431</v>
      </c>
      <c r="E134" s="29" t="n">
        <f aca="false">D134*(1-MIN(1,INDEX(Tabla_Mortalidad!$B$5:$B$75,MIN(71,Cartera_Polizas!$B$136+2-49))*(1+(Cartera_Polizas!$P$136-1)*MAX(0,1-2/Supuestos!$C$20))*(1-Supuestos!$C$18)^2))</f>
        <v>0.873096728345994</v>
      </c>
      <c r="F134" s="29" t="n">
        <f aca="false">E134*(1-MIN(1,INDEX(Tabla_Mortalidad!$B$5:$B$75,MIN(71,Cartera_Polizas!$B$136+3-49))*(1+(Cartera_Polizas!$P$136-1)*MAX(0,1-3/Supuestos!$C$20))*(1-Supuestos!$C$18)^3))</f>
        <v>0.826558922171789</v>
      </c>
      <c r="G134" s="29" t="n">
        <f aca="false">F134*(1-MIN(1,INDEX(Tabla_Mortalidad!$B$5:$B$75,MIN(71,Cartera_Polizas!$B$136+4-49))*(1+(Cartera_Polizas!$P$136-1)*MAX(0,1-4/Supuestos!$C$20))*(1-Supuestos!$C$18)^4))</f>
        <v>0.778143667259744</v>
      </c>
      <c r="H134" s="29" t="n">
        <f aca="false">G134*(1-MIN(1,INDEX(Tabla_Mortalidad!$B$5:$B$75,MIN(71,Cartera_Polizas!$B$136+5-49))*(1+(Cartera_Polizas!$P$136-1)*MAX(0,1-5/Supuestos!$C$20))*(1-Supuestos!$C$18)^5))</f>
        <v>0.728076409146054</v>
      </c>
      <c r="I134" s="29" t="n">
        <f aca="false">H134*(1-MIN(1,INDEX(Tabla_Mortalidad!$B$5:$B$75,MIN(71,Cartera_Polizas!$B$136+6-49))*(1+(Cartera_Polizas!$P$136-1)*MAX(0,1-6/Supuestos!$C$20))*(1-Supuestos!$C$18)^6))</f>
        <v>0.676640552200566</v>
      </c>
      <c r="J134" s="29" t="n">
        <f aca="false">I134*(1-MIN(1,INDEX(Tabla_Mortalidad!$B$5:$B$75,MIN(71,Cartera_Polizas!$B$136+7-49))*(1+(Cartera_Polizas!$P$136-1)*MAX(0,1-7/Supuestos!$C$20))*(1-Supuestos!$C$18)^7))</f>
        <v>0.624178892213233</v>
      </c>
      <c r="K134" s="29" t="n">
        <f aca="false">J134*(1-MIN(1,INDEX(Tabla_Mortalidad!$B$5:$B$75,MIN(71,Cartera_Polizas!$B$136+8-49))*(1+(Cartera_Polizas!$P$136-1)*MAX(0,1-8/Supuestos!$C$20))*(1-Supuestos!$C$18)^8))</f>
        <v>0.57109637534606</v>
      </c>
      <c r="L134" s="29" t="n">
        <f aca="false">K134*(1-MIN(1,INDEX(Tabla_Mortalidad!$B$5:$B$75,MIN(71,Cartera_Polizas!$B$136+9-49))*(1+(Cartera_Polizas!$P$136-1)*MAX(0,1-9/Supuestos!$C$20))*(1-Supuestos!$C$18)^9))</f>
        <v>0.517852685422003</v>
      </c>
      <c r="M134" s="29" t="n">
        <f aca="false">L134*(1-MIN(1,INDEX(Tabla_Mortalidad!$B$5:$B$75,MIN(71,Cartera_Polizas!$B$136+10-49))*(1+(Cartera_Polizas!$P$136-1)*MAX(0,1-10/Supuestos!$C$20))*(1-Supuestos!$C$18)^10))</f>
        <v>0.464959568571949</v>
      </c>
      <c r="N134" s="29" t="n">
        <f aca="false">M134*(1-MIN(1,INDEX(Tabla_Mortalidad!$B$5:$B$75,MIN(71,Cartera_Polizas!$B$136+11-49))*(1+(Cartera_Polizas!$P$136-1)*MAX(0,1-11/Supuestos!$C$20))*(1-Supuestos!$C$18)^11))</f>
        <v>0.412967316560837</v>
      </c>
      <c r="O134" s="29" t="n">
        <f aca="false">N134*(1-MIN(1,INDEX(Tabla_Mortalidad!$B$5:$B$75,MIN(71,Cartera_Polizas!$B$136+12-49))*(1+(Cartera_Polizas!$P$136-1)*MAX(0,1-12/Supuestos!$C$20))*(1-Supuestos!$C$18)^12))</f>
        <v>0.362450677600838</v>
      </c>
      <c r="P134" s="29" t="n">
        <f aca="false">O134*(1-MIN(1,INDEX(Tabla_Mortalidad!$B$5:$B$75,MIN(71,Cartera_Polizas!$B$136+13-49))*(1+(Cartera_Polizas!$P$136-1)*MAX(0,1-13/Supuestos!$C$20))*(1-Supuestos!$C$18)^13))</f>
        <v>0.313989481611068</v>
      </c>
      <c r="Q134" s="29" t="n">
        <f aca="false">P134*(1-MIN(1,INDEX(Tabla_Mortalidad!$B$5:$B$75,MIN(71,Cartera_Polizas!$B$136+14-49))*(1+(Cartera_Polizas!$P$136-1)*MAX(0,1-14/Supuestos!$C$20))*(1-Supuestos!$C$18)^14))</f>
        <v>0.268145918808733</v>
      </c>
      <c r="R134" s="29" t="n">
        <f aca="false">Q134*(1-MIN(1,INDEX(Tabla_Mortalidad!$B$5:$B$75,MIN(71,Cartera_Polizas!$B$136+15-49))*(1+(Cartera_Polizas!$P$136-1)*MAX(0,1-15/Supuestos!$C$20))*(1-Supuestos!$C$18)^15))</f>
        <v>0.225438792994398</v>
      </c>
      <c r="S134" s="29" t="n">
        <f aca="false">R134*(1-MIN(1,INDEX(Tabla_Mortalidad!$B$5:$B$75,MIN(71,Cartera_Polizas!$B$136+16-49))*(1+(Cartera_Polizas!$P$136-1)*MAX(0,1-16/Supuestos!$C$20))*(1-Supuestos!$C$18)^16))</f>
        <v>0.185978948497867</v>
      </c>
      <c r="T134" s="29" t="n">
        <f aca="false">S134*(1-MIN(1,INDEX(Tabla_Mortalidad!$B$5:$B$75,MIN(71,Cartera_Polizas!$B$136+17-49))*(1+(Cartera_Polizas!$P$136-1)*MAX(0,1-17/Supuestos!$C$20))*(1-Supuestos!$C$18)^17))</f>
        <v>0.150245585713172</v>
      </c>
      <c r="U134" s="29" t="n">
        <f aca="false">T134*(1-MIN(1,INDEX(Tabla_Mortalidad!$B$5:$B$75,MIN(71,Cartera_Polizas!$B$136+18-49))*(1+(Cartera_Polizas!$P$136-1)*MAX(0,1-18/Supuestos!$C$20))*(1-Supuestos!$C$18)^18))</f>
        <v>0.118599215712026</v>
      </c>
      <c r="V134" s="29" t="n">
        <f aca="false">U134*(1-MIN(1,INDEX(Tabla_Mortalidad!$B$5:$B$75,MIN(71,Cartera_Polizas!$B$136+19-49))*(1+(Cartera_Polizas!$P$136-1)*MAX(0,1-19/Supuestos!$C$20))*(1-Supuestos!$C$18)^19))</f>
        <v>0.0912535539482693</v>
      </c>
      <c r="W134" s="29" t="n">
        <f aca="false">V134*(1-MIN(1,INDEX(Tabla_Mortalidad!$B$5:$B$75,MIN(71,Cartera_Polizas!$B$136+20-49))*(1+(Cartera_Polizas!$P$136-1)*MAX(0,1-20/Supuestos!$C$20))*(1-Supuestos!$C$18)^20))</f>
        <v>0.0682578184028608</v>
      </c>
      <c r="X134" s="29" t="n">
        <f aca="false">W134*(1-MIN(1,INDEX(Tabla_Mortalidad!$B$5:$B$75,MIN(71,Cartera_Polizas!$B$136+21-49))*(1+(Cartera_Polizas!$P$136-1)*MAX(0,1-21/Supuestos!$C$20))*(1-Supuestos!$C$18)^21))</f>
        <v>0.0494917028964465</v>
      </c>
      <c r="Y134" s="29" t="n">
        <f aca="false">X134*(1-MIN(1,INDEX(Tabla_Mortalidad!$B$5:$B$75,MIN(71,Cartera_Polizas!$B$136+22-49))*(1+(Cartera_Polizas!$P$136-1)*MAX(0,1-22/Supuestos!$C$20))*(1-Supuestos!$C$18)^22))</f>
        <v>0.0346754775446753</v>
      </c>
      <c r="Z134" s="29" t="n">
        <f aca="false">Y134*(1-MIN(1,INDEX(Tabla_Mortalidad!$B$5:$B$75,MIN(71,Cartera_Polizas!$B$136+23-49))*(1+(Cartera_Polizas!$P$136-1)*MAX(0,1-23/Supuestos!$C$20))*(1-Supuestos!$C$18)^23))</f>
        <v>0.0233961230568989</v>
      </c>
      <c r="AA134" s="29" t="n">
        <f aca="false">Z134*(1-MIN(1,INDEX(Tabla_Mortalidad!$B$5:$B$75,MIN(71,Cartera_Polizas!$B$136+24-49))*(1+(Cartera_Polizas!$P$136-1)*MAX(0,1-24/Supuestos!$C$20))*(1-Supuestos!$C$18)^24))</f>
        <v>0.0151462367076373</v>
      </c>
      <c r="AB134" s="29" t="n">
        <f aca="false">AA134*(1-MIN(1,INDEX(Tabla_Mortalidad!$B$5:$B$75,MIN(71,Cartera_Polizas!$B$136+25-49))*(1+(Cartera_Polizas!$P$136-1)*MAX(0,1-25/Supuestos!$C$20))*(1-Supuestos!$C$18)^25))</f>
        <v>0.00937136415662696</v>
      </c>
      <c r="AC134" s="29" t="n">
        <f aca="false">AB134*(1-MIN(1,INDEX(Tabla_Mortalidad!$B$5:$B$75,MIN(71,Cartera_Polizas!$B$136+26-49))*(1+(Cartera_Polizas!$P$136-1)*MAX(0,1-26/Supuestos!$C$20))*(1-Supuestos!$C$18)^26))</f>
        <v>0.00551867327359129</v>
      </c>
      <c r="AD134" s="29" t="n">
        <f aca="false">AC134*(1-MIN(1,INDEX(Tabla_Mortalidad!$B$5:$B$75,MIN(71,Cartera_Polizas!$B$136+27-49))*(1+(Cartera_Polizas!$P$136-1)*MAX(0,1-27/Supuestos!$C$20))*(1-Supuestos!$C$18)^27))</f>
        <v>0.00307971658307226</v>
      </c>
      <c r="AE134" s="29" t="n">
        <f aca="false">AD134*(1-MIN(1,INDEX(Tabla_Mortalidad!$B$5:$B$75,MIN(71,Cartera_Polizas!$B$136+28-49))*(1+(Cartera_Polizas!$P$136-1)*MAX(0,1-28/Supuestos!$C$20))*(1-Supuestos!$C$18)^28))</f>
        <v>0.00162136089798204</v>
      </c>
      <c r="AF134" s="29" t="n">
        <f aca="false">AE134*(1-MIN(1,INDEX(Tabla_Mortalidad!$B$5:$B$75,MIN(71,Cartera_Polizas!$B$136+29-49))*(1+(Cartera_Polizas!$P$136-1)*MAX(0,1-29/Supuestos!$C$20))*(1-Supuestos!$C$18)^29))</f>
        <v>0.000801615175008888</v>
      </c>
      <c r="AG134" s="29" t="n">
        <f aca="false">AF134*(1-MIN(1,INDEX(Tabla_Mortalidad!$B$5:$B$75,MIN(71,Cartera_Polizas!$B$136+30-49))*(1+(Cartera_Polizas!$P$136-1)*MAX(0,1-30/Supuestos!$C$20))*(1-Supuestos!$C$18)^30))</f>
        <v>0.000370529705555641</v>
      </c>
      <c r="AH134" s="29" t="n">
        <f aca="false">AG134*(1-MIN(1,INDEX(Tabla_Mortalidad!$B$5:$B$75,MIN(71,Cartera_Polizas!$B$136+31-49))*(1+(Cartera_Polizas!$P$136-1)*MAX(0,1-31/Supuestos!$C$20))*(1-Supuestos!$C$18)^31))</f>
        <v>0.000159444776436487</v>
      </c>
      <c r="AI134" s="29" t="n">
        <f aca="false">AH134*(1-MIN(1,INDEX(Tabla_Mortalidad!$B$5:$B$75,MIN(71,Cartera_Polizas!$B$136+32-49))*(1+(Cartera_Polizas!$P$136-1)*MAX(0,1-32/Supuestos!$C$20))*(1-Supuestos!$C$18)^32))</f>
        <v>6.3633832789931E-005</v>
      </c>
      <c r="AJ134" s="29" t="n">
        <f aca="false">AI134*(1-MIN(1,INDEX(Tabla_Mortalidad!$B$5:$B$75,MIN(71,Cartera_Polizas!$B$136+33-49))*(1+(Cartera_Polizas!$P$136-1)*MAX(0,1-33/Supuestos!$C$20))*(1-Supuestos!$C$18)^33))</f>
        <v>2.34825092862022E-005</v>
      </c>
      <c r="AK134" s="29" t="n">
        <f aca="false">AJ134*(1-MIN(1,INDEX(Tabla_Mortalidad!$B$5:$B$75,MIN(71,Cartera_Polizas!$B$136+34-49))*(1+(Cartera_Polizas!$P$136-1)*MAX(0,1-34/Supuestos!$C$20))*(1-Supuestos!$C$18)^34))</f>
        <v>7.99737781884726E-006</v>
      </c>
      <c r="AL134" s="29" t="n">
        <f aca="false">AK134*(1-MIN(1,INDEX(Tabla_Mortalidad!$B$5:$B$75,MIN(71,Cartera_Polizas!$B$136+35-49))*(1+(Cartera_Polizas!$P$136-1)*MAX(0,1-35/Supuestos!$C$20))*(1-Supuestos!$C$18)^35))</f>
        <v>2.51253687092374E-006</v>
      </c>
      <c r="AM134" s="29" t="n">
        <f aca="false">AL134*(1-MIN(1,INDEX(Tabla_Mortalidad!$B$5:$B$75,MIN(71,Cartera_Polizas!$B$136+36-49))*(1+(Cartera_Polizas!$P$136-1)*MAX(0,1-36/Supuestos!$C$20))*(1-Supuestos!$C$18)^36))</f>
        <v>7.29250749194118E-007</v>
      </c>
      <c r="AN134" s="29" t="n">
        <f aca="false">AM134*(1-MIN(1,INDEX(Tabla_Mortalidad!$B$5:$B$75,MIN(71,Cartera_Polizas!$B$136+37-49))*(1+(Cartera_Polizas!$P$136-1)*MAX(0,1-37/Supuestos!$C$20))*(1-Supuestos!$C$18)^37))</f>
        <v>1.96268365675784E-007</v>
      </c>
      <c r="AO134" s="29" t="n">
        <f aca="false">AN134*(1-MIN(1,INDEX(Tabla_Mortalidad!$B$5:$B$75,MIN(71,Cartera_Polizas!$B$136+38-49))*(1+(Cartera_Polizas!$P$136-1)*MAX(0,1-38/Supuestos!$C$20))*(1-Supuestos!$C$18)^38))</f>
        <v>4.92824559979586E-008</v>
      </c>
      <c r="AP134" s="29" t="n">
        <f aca="false">AO134*(1-MIN(1,INDEX(Tabla_Mortalidad!$B$5:$B$75,MIN(71,Cartera_Polizas!$B$136+39-49))*(1+(Cartera_Polizas!$P$136-1)*MAX(0,1-39/Supuestos!$C$20))*(1-Supuestos!$C$18)^39))</f>
        <v>1.16436646214029E-008</v>
      </c>
      <c r="AQ134" s="29" t="n">
        <f aca="false">AP134*(1-MIN(1,INDEX(Tabla_Mortalidad!$B$5:$B$75,MIN(71,Cartera_Polizas!$B$136+40-49))*(1+(Cartera_Polizas!$P$136-1)*MAX(0,1-40/Supuestos!$C$20))*(1-Supuestos!$C$18)^40))</f>
        <v>2.61569055696125E-009</v>
      </c>
      <c r="AR134" s="29" t="n">
        <f aca="false">AQ134*(1-MIN(1,INDEX(Tabla_Mortalidad!$B$5:$B$75,MIN(71,Cartera_Polizas!$B$136+41-49))*(1+(Cartera_Polizas!$P$136-1)*MAX(0,1-41/Supuestos!$C$20))*(1-Supuestos!$C$18)^41))</f>
        <v>4.85920704896505E-010</v>
      </c>
      <c r="AS134" s="29" t="n">
        <f aca="false">AR134*(1-MIN(1,INDEX(Tabla_Mortalidad!$B$5:$B$75,MIN(71,Cartera_Polizas!$B$136+42-49))*(1+(Cartera_Polizas!$P$136-1)*MAX(0,1-42/Supuestos!$C$20))*(1-Supuestos!$C$18)^42))</f>
        <v>9.22484607913063E-011</v>
      </c>
      <c r="AT134" s="29" t="n">
        <f aca="false">AS134*(1-MIN(1,INDEX(Tabla_Mortalidad!$B$5:$B$75,MIN(71,Cartera_Polizas!$B$136+43-49))*(1+(Cartera_Polizas!$P$136-1)*MAX(0,1-43/Supuestos!$C$20))*(1-Supuestos!$C$18)^43))</f>
        <v>1.78863685446191E-011</v>
      </c>
      <c r="AU134" s="29" t="n">
        <f aca="false">AT134*(1-MIN(1,INDEX(Tabla_Mortalidad!$B$5:$B$75,MIN(71,Cartera_Polizas!$B$136+44-49))*(1+(Cartera_Polizas!$P$136-1)*MAX(0,1-44/Supuestos!$C$20))*(1-Supuestos!$C$18)^44))</f>
        <v>3.54014057092086E-012</v>
      </c>
    </row>
    <row r="135" customFormat="false" ht="15" hidden="false" customHeight="false" outlineLevel="0" collapsed="false">
      <c r="A135" s="14" t="n">
        <f aca="false">Cartera_Polizas!A137</f>
        <v>132</v>
      </c>
      <c r="B135" s="26" t="n">
        <f aca="false">SUM(C135:AU135)+0.5</f>
        <v>5.76150586061426</v>
      </c>
      <c r="C135" s="29" t="n">
        <f aca="false">1-MIN(1,INDEX(Tabla_Mortalidad!$B$5:$B$75,MIN(71,Cartera_Polizas!$B$137+0-49))*(1+(Cartera_Polizas!$P$137-1)*MAX(0,1-0/Supuestos!$C$20))*(1-Supuestos!$C$18)^0)</f>
        <v>0.88974172</v>
      </c>
      <c r="D135" s="29" t="n">
        <f aca="false">C135*(1-MIN(1,INDEX(Tabla_Mortalidad!$B$5:$B$75,MIN(71,Cartera_Polizas!$B$137+1-49))*(1+(Cartera_Polizas!$P$137-1)*MAX(0,1-1/Supuestos!$C$20))*(1-Supuestos!$C$18)^1))</f>
        <v>0.783074804771512</v>
      </c>
      <c r="E135" s="29" t="n">
        <f aca="false">D135*(1-MIN(1,INDEX(Tabla_Mortalidad!$B$5:$B$75,MIN(71,Cartera_Polizas!$B$137+2-49))*(1+(Cartera_Polizas!$P$137-1)*MAX(0,1-2/Supuestos!$C$20))*(1-Supuestos!$C$18)^2))</f>
        <v>0.681085898827249</v>
      </c>
      <c r="F135" s="29" t="n">
        <f aca="false">E135*(1-MIN(1,INDEX(Tabla_Mortalidad!$B$5:$B$75,MIN(71,Cartera_Polizas!$B$137+3-49))*(1+(Cartera_Polizas!$P$137-1)*MAX(0,1-3/Supuestos!$C$20))*(1-Supuestos!$C$18)^3))</f>
        <v>0.584805077556278</v>
      </c>
      <c r="G135" s="29" t="n">
        <f aca="false">F135*(1-MIN(1,INDEX(Tabla_Mortalidad!$B$5:$B$75,MIN(71,Cartera_Polizas!$B$137+4-49))*(1+(Cartera_Polizas!$P$137-1)*MAX(0,1-4/Supuestos!$C$20))*(1-Supuestos!$C$18)^4))</f>
        <v>0.495164142153017</v>
      </c>
      <c r="H135" s="29" t="n">
        <f aca="false">G135*(1-MIN(1,INDEX(Tabla_Mortalidad!$B$5:$B$75,MIN(71,Cartera_Polizas!$B$137+5-49))*(1+(Cartera_Polizas!$P$137-1)*MAX(0,1-5/Supuestos!$C$20))*(1-Supuestos!$C$18)^5))</f>
        <v>0.412952495960772</v>
      </c>
      <c r="I135" s="29" t="n">
        <f aca="false">H135*(1-MIN(1,INDEX(Tabla_Mortalidad!$B$5:$B$75,MIN(71,Cartera_Polizas!$B$137+6-49))*(1+(Cartera_Polizas!$P$137-1)*MAX(0,1-6/Supuestos!$C$20))*(1-Supuestos!$C$18)^6))</f>
        <v>0.338776886749599</v>
      </c>
      <c r="J135" s="29" t="n">
        <f aca="false">I135*(1-MIN(1,INDEX(Tabla_Mortalidad!$B$5:$B$75,MIN(71,Cartera_Polizas!$B$137+7-49))*(1+(Cartera_Polizas!$P$137-1)*MAX(0,1-7/Supuestos!$C$20))*(1-Supuestos!$C$18)^7))</f>
        <v>0.273027526371611</v>
      </c>
      <c r="K135" s="29" t="n">
        <f aca="false">J135*(1-MIN(1,INDEX(Tabla_Mortalidad!$B$5:$B$75,MIN(71,Cartera_Polizas!$B$137+8-49))*(1+(Cartera_Polizas!$P$137-1)*MAX(0,1-8/Supuestos!$C$20))*(1-Supuestos!$C$18)^8))</f>
        <v>0.215854061855511</v>
      </c>
      <c r="L135" s="29" t="n">
        <f aca="false">K135*(1-MIN(1,INDEX(Tabla_Mortalidad!$B$5:$B$75,MIN(71,Cartera_Polizas!$B$137+9-49))*(1+(Cartera_Polizas!$P$137-1)*MAX(0,1-9/Supuestos!$C$20))*(1-Supuestos!$C$18)^9))</f>
        <v>0.167157894670673</v>
      </c>
      <c r="M135" s="29" t="n">
        <f aca="false">L135*(1-MIN(1,INDEX(Tabla_Mortalidad!$B$5:$B$75,MIN(71,Cartera_Polizas!$B$137+10-49))*(1+(Cartera_Polizas!$P$137-1)*MAX(0,1-10/Supuestos!$C$20))*(1-Supuestos!$C$18)^10))</f>
        <v>0.126599453397815</v>
      </c>
      <c r="N135" s="29" t="n">
        <f aca="false">M135*(1-MIN(1,INDEX(Tabla_Mortalidad!$B$5:$B$75,MIN(71,Cartera_Polizas!$B$137+11-49))*(1+(Cartera_Polizas!$P$137-1)*MAX(0,1-11/Supuestos!$C$20))*(1-Supuestos!$C$18)^11))</f>
        <v>0.0936220127950282</v>
      </c>
      <c r="O135" s="29" t="n">
        <f aca="false">N135*(1-MIN(1,INDEX(Tabla_Mortalidad!$B$5:$B$75,MIN(71,Cartera_Polizas!$B$137+12-49))*(1+(Cartera_Polizas!$P$137-1)*MAX(0,1-12/Supuestos!$C$20))*(1-Supuestos!$C$18)^12))</f>
        <v>0.0674924300922569</v>
      </c>
      <c r="P135" s="29" t="n">
        <f aca="false">O135*(1-MIN(1,INDEX(Tabla_Mortalidad!$B$5:$B$75,MIN(71,Cartera_Polizas!$B$137+13-49))*(1+(Cartera_Polizas!$P$137-1)*MAX(0,1-13/Supuestos!$C$20))*(1-Supuestos!$C$18)^13))</f>
        <v>0.0473534306185281</v>
      </c>
      <c r="Q135" s="29" t="n">
        <f aca="false">P135*(1-MIN(1,INDEX(Tabla_Mortalidad!$B$5:$B$75,MIN(71,Cartera_Polizas!$B$137+14-49))*(1+(Cartera_Polizas!$P$137-1)*MAX(0,1-14/Supuestos!$C$20))*(1-Supuestos!$C$18)^14))</f>
        <v>0.0322825202868259</v>
      </c>
      <c r="R135" s="29" t="n">
        <f aca="false">Q135*(1-MIN(1,INDEX(Tabla_Mortalidad!$B$5:$B$75,MIN(71,Cartera_Polizas!$B$137+15-49))*(1+(Cartera_Polizas!$P$137-1)*MAX(0,1-15/Supuestos!$C$20))*(1-Supuestos!$C$18)^15))</f>
        <v>0.0213519056909188</v>
      </c>
      <c r="S135" s="29" t="n">
        <f aca="false">R135*(1-MIN(1,INDEX(Tabla_Mortalidad!$B$5:$B$75,MIN(71,Cartera_Polizas!$B$137+16-49))*(1+(Cartera_Polizas!$P$137-1)*MAX(0,1-16/Supuestos!$C$20))*(1-Supuestos!$C$18)^16))</f>
        <v>0.0135147934734179</v>
      </c>
      <c r="T135" s="29" t="n">
        <f aca="false">S135*(1-MIN(1,INDEX(Tabla_Mortalidad!$B$5:$B$75,MIN(71,Cartera_Polizas!$B$137+17-49))*(1+(Cartera_Polizas!$P$137-1)*MAX(0,1-17/Supuestos!$C$20))*(1-Supuestos!$C$18)^17))</f>
        <v>0.00815111876007658</v>
      </c>
      <c r="U135" s="29" t="n">
        <f aca="false">T135*(1-MIN(1,INDEX(Tabla_Mortalidad!$B$5:$B$75,MIN(71,Cartera_Polizas!$B$137+18-49))*(1+(Cartera_Polizas!$P$137-1)*MAX(0,1-18/Supuestos!$C$20))*(1-Supuestos!$C$18)^18))</f>
        <v>0.0046629786128108</v>
      </c>
      <c r="V135" s="29" t="n">
        <f aca="false">U135*(1-MIN(1,INDEX(Tabla_Mortalidad!$B$5:$B$75,MIN(71,Cartera_Polizas!$B$137+19-49))*(1+(Cartera_Polizas!$P$137-1)*MAX(0,1-19/Supuestos!$C$20))*(1-Supuestos!$C$18)^19))</f>
        <v>0.00251787545073986</v>
      </c>
      <c r="W135" s="29" t="n">
        <f aca="false">V135*(1-MIN(1,INDEX(Tabla_Mortalidad!$B$5:$B$75,MIN(71,Cartera_Polizas!$B$137+20-49))*(1+(Cartera_Polizas!$P$137-1)*MAX(0,1-20/Supuestos!$C$20))*(1-Supuestos!$C$18)^20))</f>
        <v>0.00127678822662953</v>
      </c>
      <c r="X135" s="29" t="n">
        <f aca="false">W135*(1-MIN(1,INDEX(Tabla_Mortalidad!$B$5:$B$75,MIN(71,Cartera_Polizas!$B$137+21-49))*(1+(Cartera_Polizas!$P$137-1)*MAX(0,1-21/Supuestos!$C$20))*(1-Supuestos!$C$18)^21))</f>
        <v>0.000604843286778108</v>
      </c>
      <c r="Y135" s="29" t="n">
        <f aca="false">X135*(1-MIN(1,INDEX(Tabla_Mortalidad!$B$5:$B$75,MIN(71,Cartera_Polizas!$B$137+22-49))*(1+(Cartera_Polizas!$P$137-1)*MAX(0,1-22/Supuestos!$C$20))*(1-Supuestos!$C$18)^22))</f>
        <v>0.000266267674026565</v>
      </c>
      <c r="Z135" s="29" t="n">
        <f aca="false">Y135*(1-MIN(1,INDEX(Tabla_Mortalidad!$B$5:$B$75,MIN(71,Cartera_Polizas!$B$137+23-49))*(1+(Cartera_Polizas!$P$137-1)*MAX(0,1-23/Supuestos!$C$20))*(1-Supuestos!$C$18)^23))</f>
        <v>0.000108372813402781</v>
      </c>
      <c r="AA135" s="29" t="n">
        <f aca="false">Z135*(1-MIN(1,INDEX(Tabla_Mortalidad!$B$5:$B$75,MIN(71,Cartera_Polizas!$B$137+24-49))*(1+(Cartera_Polizas!$P$137-1)*MAX(0,1-24/Supuestos!$C$20))*(1-Supuestos!$C$18)^24))</f>
        <v>4.05867328020624E-005</v>
      </c>
      <c r="AB135" s="29" t="n">
        <f aca="false">AA135*(1-MIN(1,INDEX(Tabla_Mortalidad!$B$5:$B$75,MIN(71,Cartera_Polizas!$B$137+25-49))*(1+(Cartera_Polizas!$P$137-1)*MAX(0,1-25/Supuestos!$C$20))*(1-Supuestos!$C$18)^25))</f>
        <v>1.39297354131463E-005</v>
      </c>
      <c r="AC135" s="29" t="n">
        <f aca="false">AB135*(1-MIN(1,INDEX(Tabla_Mortalidad!$B$5:$B$75,MIN(71,Cartera_Polizas!$B$137+26-49))*(1+(Cartera_Polizas!$P$137-1)*MAX(0,1-26/Supuestos!$C$20))*(1-Supuestos!$C$18)^26))</f>
        <v>4.36817847731119E-006</v>
      </c>
      <c r="AD135" s="29" t="n">
        <f aca="false">AC135*(1-MIN(1,INDEX(Tabla_Mortalidad!$B$5:$B$75,MIN(71,Cartera_Polizas!$B$137+27-49))*(1+(Cartera_Polizas!$P$137-1)*MAX(0,1-27/Supuestos!$C$20))*(1-Supuestos!$C$18)^27))</f>
        <v>1.24977609805935E-006</v>
      </c>
      <c r="AE135" s="29" t="n">
        <f aca="false">AD135*(1-MIN(1,INDEX(Tabla_Mortalidad!$B$5:$B$75,MIN(71,Cartera_Polizas!$B$137+28-49))*(1+(Cartera_Polizas!$P$137-1)*MAX(0,1-28/Supuestos!$C$20))*(1-Supuestos!$C$18)^28))</f>
        <v>3.26447781555802E-007</v>
      </c>
      <c r="AF135" s="29" t="n">
        <f aca="false">AE135*(1-MIN(1,INDEX(Tabla_Mortalidad!$B$5:$B$75,MIN(71,Cartera_Polizas!$B$137+29-49))*(1+(Cartera_Polizas!$P$137-1)*MAX(0,1-29/Supuestos!$C$20))*(1-Supuestos!$C$18)^29))</f>
        <v>7.80972771701781E-008</v>
      </c>
      <c r="AG135" s="29" t="n">
        <f aca="false">AF135*(1-MIN(1,INDEX(Tabla_Mortalidad!$B$5:$B$75,MIN(71,Cartera_Polizas!$B$137+30-49))*(1+(Cartera_Polizas!$P$137-1)*MAX(0,1-30/Supuestos!$C$20))*(1-Supuestos!$C$18)^30))</f>
        <v>1.721699662217E-008</v>
      </c>
      <c r="AH135" s="29" t="n">
        <f aca="false">AG135*(1-MIN(1,INDEX(Tabla_Mortalidad!$B$5:$B$75,MIN(71,Cartera_Polizas!$B$137+31-49))*(1+(Cartera_Polizas!$P$137-1)*MAX(0,1-31/Supuestos!$C$20))*(1-Supuestos!$C$18)^31))</f>
        <v>3.52975056221108E-009</v>
      </c>
      <c r="AI135" s="29" t="n">
        <f aca="false">AH135*(1-MIN(1,INDEX(Tabla_Mortalidad!$B$5:$B$75,MIN(71,Cartera_Polizas!$B$137+32-49))*(1+(Cartera_Polizas!$P$137-1)*MAX(0,1-32/Supuestos!$C$20))*(1-Supuestos!$C$18)^32))</f>
        <v>6.80963520859564E-010</v>
      </c>
      <c r="AJ135" s="29" t="n">
        <f aca="false">AI135*(1-MIN(1,INDEX(Tabla_Mortalidad!$B$5:$B$75,MIN(71,Cartera_Polizas!$B$137+33-49))*(1+(Cartera_Polizas!$P$137-1)*MAX(0,1-33/Supuestos!$C$20))*(1-Supuestos!$C$18)^33))</f>
        <v>1.03817757438329E-010</v>
      </c>
      <c r="AK135" s="29" t="n">
        <f aca="false">AJ135*(1-MIN(1,INDEX(Tabla_Mortalidad!$B$5:$B$75,MIN(71,Cartera_Polizas!$B$137+34-49))*(1+(Cartera_Polizas!$P$137-1)*MAX(0,1-34/Supuestos!$C$20))*(1-Supuestos!$C$18)^34))</f>
        <v>1.62677093773065E-011</v>
      </c>
      <c r="AL135" s="29" t="n">
        <f aca="false">AK135*(1-MIN(1,INDEX(Tabla_Mortalidad!$B$5:$B$75,MIN(71,Cartera_Polizas!$B$137+35-49))*(1+(Cartera_Polizas!$P$137-1)*MAX(0,1-35/Supuestos!$C$20))*(1-Supuestos!$C$18)^35))</f>
        <v>2.61765972198995E-012</v>
      </c>
      <c r="AM135" s="29" t="n">
        <f aca="false">AL135*(1-MIN(1,INDEX(Tabla_Mortalidad!$B$5:$B$75,MIN(71,Cartera_Polizas!$B$137+36-49))*(1+(Cartera_Polizas!$P$137-1)*MAX(0,1-36/Supuestos!$C$20))*(1-Supuestos!$C$18)^36))</f>
        <v>4.32193505735103E-013</v>
      </c>
      <c r="AN135" s="29" t="n">
        <f aca="false">AM135*(1-MIN(1,INDEX(Tabla_Mortalidad!$B$5:$B$75,MIN(71,Cartera_Polizas!$B$137+37-49))*(1+(Cartera_Polizas!$P$137-1)*MAX(0,1-37/Supuestos!$C$20))*(1-Supuestos!$C$18)^37))</f>
        <v>7.31622778618275E-014</v>
      </c>
      <c r="AO135" s="29" t="n">
        <f aca="false">AN135*(1-MIN(1,INDEX(Tabla_Mortalidad!$B$5:$B$75,MIN(71,Cartera_Polizas!$B$137+38-49))*(1+(Cartera_Polizas!$P$137-1)*MAX(0,1-38/Supuestos!$C$20))*(1-Supuestos!$C$18)^38))</f>
        <v>1.26888917612894E-014</v>
      </c>
      <c r="AP135" s="29" t="n">
        <f aca="false">AO135*(1-MIN(1,INDEX(Tabla_Mortalidad!$B$5:$B$75,MIN(71,Cartera_Polizas!$B$137+39-49))*(1+(Cartera_Polizas!$P$137-1)*MAX(0,1-39/Supuestos!$C$20))*(1-Supuestos!$C$18)^39))</f>
        <v>2.25313754848342E-015</v>
      </c>
      <c r="AQ135" s="29" t="n">
        <f aca="false">AP135*(1-MIN(1,INDEX(Tabla_Mortalidad!$B$5:$B$75,MIN(71,Cartera_Polizas!$B$137+40-49))*(1+(Cartera_Polizas!$P$137-1)*MAX(0,1-40/Supuestos!$C$20))*(1-Supuestos!$C$18)^40))</f>
        <v>4.09349757127736E-016</v>
      </c>
      <c r="AR135" s="29" t="n">
        <f aca="false">AQ135*(1-MIN(1,INDEX(Tabla_Mortalidad!$B$5:$B$75,MIN(71,Cartera_Polizas!$B$137+41-49))*(1+(Cartera_Polizas!$P$137-1)*MAX(0,1-41/Supuestos!$C$20))*(1-Supuestos!$C$18)^41))</f>
        <v>7.60455100483317E-017</v>
      </c>
      <c r="AS135" s="29" t="n">
        <f aca="false">AR135*(1-MIN(1,INDEX(Tabla_Mortalidad!$B$5:$B$75,MIN(71,Cartera_Polizas!$B$137+42-49))*(1+(Cartera_Polizas!$P$137-1)*MAX(0,1-42/Supuestos!$C$20))*(1-Supuestos!$C$18)^42))</f>
        <v>1.44366790329351E-017</v>
      </c>
      <c r="AT135" s="29" t="n">
        <f aca="false">AS135*(1-MIN(1,INDEX(Tabla_Mortalidad!$B$5:$B$75,MIN(71,Cartera_Polizas!$B$137+43-49))*(1+(Cartera_Polizas!$P$137-1)*MAX(0,1-43/Supuestos!$C$20))*(1-Supuestos!$C$18)^43))</f>
        <v>2.79917691339721E-018</v>
      </c>
      <c r="AU135" s="29" t="n">
        <f aca="false">AT135*(1-MIN(1,INDEX(Tabla_Mortalidad!$B$5:$B$75,MIN(71,Cartera_Polizas!$B$137+44-49))*(1+(Cartera_Polizas!$P$137-1)*MAX(0,1-44/Supuestos!$C$20))*(1-Supuestos!$C$18)^44))</f>
        <v>5.54024129134006E-019</v>
      </c>
    </row>
    <row r="136" customFormat="false" ht="15" hidden="false" customHeight="false" outlineLevel="0" collapsed="false">
      <c r="A136" s="14" t="n">
        <f aca="false">Cartera_Polizas!A138</f>
        <v>133</v>
      </c>
      <c r="B136" s="26" t="n">
        <f aca="false">SUM(C136:AU136)+0.5</f>
        <v>6.64437028036368</v>
      </c>
      <c r="C136" s="29" t="n">
        <f aca="false">1-MIN(1,INDEX(Tabla_Mortalidad!$B$5:$B$75,MIN(71,Cartera_Polizas!$B$138+0-49))*(1+(Cartera_Polizas!$P$138-1)*MAX(0,1-0/Supuestos!$C$20))*(1-Supuestos!$C$18)^0)</f>
        <v>0.905300086</v>
      </c>
      <c r="D136" s="29" t="n">
        <f aca="false">C136*(1-MIN(1,INDEX(Tabla_Mortalidad!$B$5:$B$75,MIN(71,Cartera_Polizas!$B$138+1-49))*(1+(Cartera_Polizas!$P$138-1)*MAX(0,1-1/Supuestos!$C$20))*(1-Supuestos!$C$18)^1))</f>
        <v>0.81268686532119</v>
      </c>
      <c r="E136" s="29" t="n">
        <f aca="false">D136*(1-MIN(1,INDEX(Tabla_Mortalidad!$B$5:$B$75,MIN(71,Cartera_Polizas!$B$138+2-49))*(1+(Cartera_Polizas!$P$138-1)*MAX(0,1-2/Supuestos!$C$20))*(1-Supuestos!$C$18)^2))</f>
        <v>0.722964257366911</v>
      </c>
      <c r="F136" s="29" t="n">
        <f aca="false">E136*(1-MIN(1,INDEX(Tabla_Mortalidad!$B$5:$B$75,MIN(71,Cartera_Polizas!$B$138+3-49))*(1+(Cartera_Polizas!$P$138-1)*MAX(0,1-3/Supuestos!$C$20))*(1-Supuestos!$C$18)^3))</f>
        <v>0.636922006261809</v>
      </c>
      <c r="G136" s="29" t="n">
        <f aca="false">F136*(1-MIN(1,INDEX(Tabla_Mortalidad!$B$5:$B$75,MIN(71,Cartera_Polizas!$B$138+4-49))*(1+(Cartera_Polizas!$P$138-1)*MAX(0,1-4/Supuestos!$C$20))*(1-Supuestos!$C$18)^4))</f>
        <v>0.555302076220015</v>
      </c>
      <c r="H136" s="29" t="n">
        <f aca="false">G136*(1-MIN(1,INDEX(Tabla_Mortalidad!$B$5:$B$75,MIN(71,Cartera_Polizas!$B$138+5-49))*(1+(Cartera_Polizas!$P$138-1)*MAX(0,1-5/Supuestos!$C$20))*(1-Supuestos!$C$18)^5))</f>
        <v>0.47877800145524</v>
      </c>
      <c r="I136" s="29" t="n">
        <f aca="false">H136*(1-MIN(1,INDEX(Tabla_Mortalidad!$B$5:$B$75,MIN(71,Cartera_Polizas!$B$138+6-49))*(1+(Cartera_Polizas!$P$138-1)*MAX(0,1-6/Supuestos!$C$20))*(1-Supuestos!$C$18)^6))</f>
        <v>0.40792342835778</v>
      </c>
      <c r="J136" s="29" t="n">
        <f aca="false">I136*(1-MIN(1,INDEX(Tabla_Mortalidad!$B$5:$B$75,MIN(71,Cartera_Polizas!$B$138+7-49))*(1+(Cartera_Polizas!$P$138-1)*MAX(0,1-7/Supuestos!$C$20))*(1-Supuestos!$C$18)^7))</f>
        <v>0.34318915911355</v>
      </c>
      <c r="K136" s="29" t="n">
        <f aca="false">J136*(1-MIN(1,INDEX(Tabla_Mortalidad!$B$5:$B$75,MIN(71,Cartera_Polizas!$B$138+8-49))*(1+(Cartera_Polizas!$P$138-1)*MAX(0,1-8/Supuestos!$C$20))*(1-Supuestos!$C$18)^8))</f>
        <v>0.284882893635589</v>
      </c>
      <c r="L136" s="29" t="n">
        <f aca="false">K136*(1-MIN(1,INDEX(Tabla_Mortalidad!$B$5:$B$75,MIN(71,Cartera_Polizas!$B$138+9-49))*(1+(Cartera_Polizas!$P$138-1)*MAX(0,1-9/Supuestos!$C$20))*(1-Supuestos!$C$18)^9))</f>
        <v>0.23315582619598</v>
      </c>
      <c r="M136" s="29" t="n">
        <f aca="false">L136*(1-MIN(1,INDEX(Tabla_Mortalidad!$B$5:$B$75,MIN(71,Cartera_Polizas!$B$138+10-49))*(1+(Cartera_Polizas!$P$138-1)*MAX(0,1-10/Supuestos!$C$20))*(1-Supuestos!$C$18)^10))</f>
        <v>0.187996785198917</v>
      </c>
      <c r="N136" s="29" t="n">
        <f aca="false">M136*(1-MIN(1,INDEX(Tabla_Mortalidad!$B$5:$B$75,MIN(71,Cartera_Polizas!$B$138+11-49))*(1+(Cartera_Polizas!$P$138-1)*MAX(0,1-11/Supuestos!$C$20))*(1-Supuestos!$C$18)^11))</f>
        <v>0.14923478630396</v>
      </c>
      <c r="O136" s="29" t="n">
        <f aca="false">N136*(1-MIN(1,INDEX(Tabla_Mortalidad!$B$5:$B$75,MIN(71,Cartera_Polizas!$B$138+12-49))*(1+(Cartera_Polizas!$P$138-1)*MAX(0,1-12/Supuestos!$C$20))*(1-Supuestos!$C$18)^12))</f>
        <v>0.116552434313083</v>
      </c>
      <c r="P136" s="29" t="n">
        <f aca="false">O136*(1-MIN(1,INDEX(Tabla_Mortalidad!$B$5:$B$75,MIN(71,Cartera_Polizas!$B$138+13-49))*(1+(Cartera_Polizas!$P$138-1)*MAX(0,1-13/Supuestos!$C$20))*(1-Supuestos!$C$18)^13))</f>
        <v>0.0895069897316372</v>
      </c>
      <c r="Q136" s="29" t="n">
        <f aca="false">P136*(1-MIN(1,INDEX(Tabla_Mortalidad!$B$5:$B$75,MIN(71,Cartera_Polizas!$B$138+14-49))*(1+(Cartera_Polizas!$P$138-1)*MAX(0,1-14/Supuestos!$C$20))*(1-Supuestos!$C$18)^14))</f>
        <v>0.0675581950288477</v>
      </c>
      <c r="R136" s="29" t="n">
        <f aca="false">Q136*(1-MIN(1,INDEX(Tabla_Mortalidad!$B$5:$B$75,MIN(71,Cartera_Polizas!$B$138+15-49))*(1+(Cartera_Polizas!$P$138-1)*MAX(0,1-15/Supuestos!$C$20))*(1-Supuestos!$C$18)^15))</f>
        <v>0.0501015752664607</v>
      </c>
      <c r="S136" s="29" t="n">
        <f aca="false">R136*(1-MIN(1,INDEX(Tabla_Mortalidad!$B$5:$B$75,MIN(71,Cartera_Polizas!$B$138+16-49))*(1+(Cartera_Polizas!$P$138-1)*MAX(0,1-16/Supuestos!$C$20))*(1-Supuestos!$C$18)^16))</f>
        <v>0.0359775671427049</v>
      </c>
      <c r="T136" s="29" t="n">
        <f aca="false">S136*(1-MIN(1,INDEX(Tabla_Mortalidad!$B$5:$B$75,MIN(71,Cartera_Polizas!$B$138+17-49))*(1+(Cartera_Polizas!$P$138-1)*MAX(0,1-17/Supuestos!$C$20))*(1-Supuestos!$C$18)^17))</f>
        <v>0.0249336900076681</v>
      </c>
      <c r="U136" s="29" t="n">
        <f aca="false">T136*(1-MIN(1,INDEX(Tabla_Mortalidad!$B$5:$B$75,MIN(71,Cartera_Polizas!$B$138+18-49))*(1+(Cartera_Polizas!$P$138-1)*MAX(0,1-18/Supuestos!$C$20))*(1-Supuestos!$C$18)^18))</f>
        <v>0.0166173363996627</v>
      </c>
      <c r="V136" s="29" t="n">
        <f aca="false">U136*(1-MIN(1,INDEX(Tabla_Mortalidad!$B$5:$B$75,MIN(71,Cartera_Polizas!$B$138+19-49))*(1+(Cartera_Polizas!$P$138-1)*MAX(0,1-19/Supuestos!$C$20))*(1-Supuestos!$C$18)^19))</f>
        <v>0.010609057600518</v>
      </c>
      <c r="W136" s="29" t="n">
        <f aca="false">V136*(1-MIN(1,INDEX(Tabla_Mortalidad!$B$5:$B$75,MIN(71,Cartera_Polizas!$B$138+20-49))*(1+(Cartera_Polizas!$P$138-1)*MAX(0,1-20/Supuestos!$C$20))*(1-Supuestos!$C$18)^20))</f>
        <v>0.00646143657050556</v>
      </c>
      <c r="X136" s="29" t="n">
        <f aca="false">W136*(1-MIN(1,INDEX(Tabla_Mortalidad!$B$5:$B$75,MIN(71,Cartera_Polizas!$B$138+21-49))*(1+(Cartera_Polizas!$P$138-1)*MAX(0,1-21/Supuestos!$C$20))*(1-Supuestos!$C$18)^21))</f>
        <v>0.00373763771762907</v>
      </c>
      <c r="Y136" s="29" t="n">
        <f aca="false">X136*(1-MIN(1,INDEX(Tabla_Mortalidad!$B$5:$B$75,MIN(71,Cartera_Polizas!$B$138+22-49))*(1+(Cartera_Polizas!$P$138-1)*MAX(0,1-22/Supuestos!$C$20))*(1-Supuestos!$C$18)^22))</f>
        <v>0.00204388031823931</v>
      </c>
      <c r="Z136" s="29" t="n">
        <f aca="false">Y136*(1-MIN(1,INDEX(Tabla_Mortalidad!$B$5:$B$75,MIN(71,Cartera_Polizas!$B$138+23-49))*(1+(Cartera_Polizas!$P$138-1)*MAX(0,1-23/Supuestos!$C$20))*(1-Supuestos!$C$18)^23))</f>
        <v>0.00105146658544863</v>
      </c>
      <c r="AA136" s="29" t="n">
        <f aca="false">Z136*(1-MIN(1,INDEX(Tabla_Mortalidad!$B$5:$B$75,MIN(71,Cartera_Polizas!$B$138+24-49))*(1+(Cartera_Polizas!$P$138-1)*MAX(0,1-24/Supuestos!$C$20))*(1-Supuestos!$C$18)^24))</f>
        <v>0.000506362375146266</v>
      </c>
      <c r="AB136" s="29" t="n">
        <f aca="false">AA136*(1-MIN(1,INDEX(Tabla_Mortalidad!$B$5:$B$75,MIN(71,Cartera_Polizas!$B$138+25-49))*(1+(Cartera_Polizas!$P$138-1)*MAX(0,1-25/Supuestos!$C$20))*(1-Supuestos!$C$18)^25))</f>
        <v>0.000227144332099767</v>
      </c>
      <c r="AC136" s="29" t="n">
        <f aca="false">AB136*(1-MIN(1,INDEX(Tabla_Mortalidad!$B$5:$B$75,MIN(71,Cartera_Polizas!$B$138+26-49))*(1+(Cartera_Polizas!$P$138-1)*MAX(0,1-26/Supuestos!$C$20))*(1-Supuestos!$C$18)^26))</f>
        <v>9.44596780810488E-005</v>
      </c>
      <c r="AD136" s="29" t="n">
        <f aca="false">AC136*(1-MIN(1,INDEX(Tabla_Mortalidad!$B$5:$B$75,MIN(71,Cartera_Polizas!$B$138+27-49))*(1+(Cartera_Polizas!$P$138-1)*MAX(0,1-27/Supuestos!$C$20))*(1-Supuestos!$C$18)^27))</f>
        <v>3.62579500639996E-005</v>
      </c>
      <c r="AE136" s="29" t="n">
        <f aca="false">AD136*(1-MIN(1,INDEX(Tabla_Mortalidad!$B$5:$B$75,MIN(71,Cartera_Polizas!$B$138+28-49))*(1+(Cartera_Polizas!$P$138-1)*MAX(0,1-28/Supuestos!$C$20))*(1-Supuestos!$C$18)^28))</f>
        <v>1.27994831700505E-005</v>
      </c>
      <c r="AF136" s="29" t="n">
        <f aca="false">AE136*(1-MIN(1,INDEX(Tabla_Mortalidad!$B$5:$B$75,MIN(71,Cartera_Polizas!$B$138+29-49))*(1+(Cartera_Polizas!$P$138-1)*MAX(0,1-29/Supuestos!$C$20))*(1-Supuestos!$C$18)^29))</f>
        <v>4.14487472817823E-006</v>
      </c>
      <c r="AG136" s="29" t="n">
        <f aca="false">AF136*(1-MIN(1,INDEX(Tabla_Mortalidad!$B$5:$B$75,MIN(71,Cartera_Polizas!$B$138+30-49))*(1+(Cartera_Polizas!$P$138-1)*MAX(0,1-30/Supuestos!$C$20))*(1-Supuestos!$C$18)^30))</f>
        <v>1.23005010268671E-006</v>
      </c>
      <c r="AH136" s="29" t="n">
        <f aca="false">AG136*(1-MIN(1,INDEX(Tabla_Mortalidad!$B$5:$B$75,MIN(71,Cartera_Polizas!$B$138+31-49))*(1+(Cartera_Polizas!$P$138-1)*MAX(0,1-31/Supuestos!$C$20))*(1-Supuestos!$C$18)^31))</f>
        <v>3.34858532414773E-007</v>
      </c>
      <c r="AI136" s="29" t="n">
        <f aca="false">AH136*(1-MIN(1,INDEX(Tabla_Mortalidad!$B$5:$B$75,MIN(71,Cartera_Polizas!$B$138+32-49))*(1+(Cartera_Polizas!$P$138-1)*MAX(0,1-32/Supuestos!$C$20))*(1-Supuestos!$C$18)^32))</f>
        <v>8.39115738311052E-008</v>
      </c>
      <c r="AJ136" s="29" t="n">
        <f aca="false">AI136*(1-MIN(1,INDEX(Tabla_Mortalidad!$B$5:$B$75,MIN(71,Cartera_Polizas!$B$138+33-49))*(1+(Cartera_Polizas!$P$138-1)*MAX(0,1-33/Supuestos!$C$20))*(1-Supuestos!$C$18)^33))</f>
        <v>1.94750859085154E-008</v>
      </c>
      <c r="AK136" s="29" t="n">
        <f aca="false">AJ136*(1-MIN(1,INDEX(Tabla_Mortalidad!$B$5:$B$75,MIN(71,Cartera_Polizas!$B$138+34-49))*(1+(Cartera_Polizas!$P$138-1)*MAX(0,1-34/Supuestos!$C$20))*(1-Supuestos!$C$18)^34))</f>
        <v>4.22377042417215E-009</v>
      </c>
      <c r="AL136" s="29" t="n">
        <f aca="false">AK136*(1-MIN(1,INDEX(Tabla_Mortalidad!$B$5:$B$75,MIN(71,Cartera_Polizas!$B$138+35-49))*(1+(Cartera_Polizas!$P$138-1)*MAX(0,1-35/Supuestos!$C$20))*(1-Supuestos!$C$18)^35))</f>
        <v>8.65733121826316E-010</v>
      </c>
      <c r="AM136" s="29" t="n">
        <f aca="false">AL136*(1-MIN(1,INDEX(Tabla_Mortalidad!$B$5:$B$75,MIN(71,Cartera_Polizas!$B$138+36-49))*(1+(Cartera_Polizas!$P$138-1)*MAX(0,1-36/Supuestos!$C$20))*(1-Supuestos!$C$18)^36))</f>
        <v>1.42938453692014E-010</v>
      </c>
      <c r="AN136" s="29" t="n">
        <f aca="false">AM136*(1-MIN(1,INDEX(Tabla_Mortalidad!$B$5:$B$75,MIN(71,Cartera_Polizas!$B$138+37-49))*(1+(Cartera_Polizas!$P$138-1)*MAX(0,1-37/Supuestos!$C$20))*(1-Supuestos!$C$18)^37))</f>
        <v>2.41968070491202E-011</v>
      </c>
      <c r="AO136" s="29" t="n">
        <f aca="false">AN136*(1-MIN(1,INDEX(Tabla_Mortalidad!$B$5:$B$75,MIN(71,Cartera_Polizas!$B$138+38-49))*(1+(Cartera_Polizas!$P$138-1)*MAX(0,1-38/Supuestos!$C$20))*(1-Supuestos!$C$18)^38))</f>
        <v>4.19657061792065E-012</v>
      </c>
      <c r="AP136" s="29" t="n">
        <f aca="false">AO136*(1-MIN(1,INDEX(Tabla_Mortalidad!$B$5:$B$75,MIN(71,Cartera_Polizas!$B$138+39-49))*(1+(Cartera_Polizas!$P$138-1)*MAX(0,1-39/Supuestos!$C$20))*(1-Supuestos!$C$18)^39))</f>
        <v>7.45175466225147E-013</v>
      </c>
      <c r="AQ136" s="29" t="n">
        <f aca="false">AP136*(1-MIN(1,INDEX(Tabla_Mortalidad!$B$5:$B$75,MIN(71,Cartera_Polizas!$B$138+40-49))*(1+(Cartera_Polizas!$P$138-1)*MAX(0,1-40/Supuestos!$C$20))*(1-Supuestos!$C$18)^40))</f>
        <v>1.35383388520657E-013</v>
      </c>
      <c r="AR136" s="29" t="n">
        <f aca="false">AQ136*(1-MIN(1,INDEX(Tabla_Mortalidad!$B$5:$B$75,MIN(71,Cartera_Polizas!$B$138+41-49))*(1+(Cartera_Polizas!$P$138-1)*MAX(0,1-41/Supuestos!$C$20))*(1-Supuestos!$C$18)^41))</f>
        <v>2.51503723963666E-014</v>
      </c>
      <c r="AS136" s="29" t="n">
        <f aca="false">AR136*(1-MIN(1,INDEX(Tabla_Mortalidad!$B$5:$B$75,MIN(71,Cartera_Polizas!$B$138+42-49))*(1+(Cartera_Polizas!$P$138-1)*MAX(0,1-42/Supuestos!$C$20))*(1-Supuestos!$C$18)^42))</f>
        <v>4.77461264464359E-015</v>
      </c>
      <c r="AT136" s="29" t="n">
        <f aca="false">AS136*(1-MIN(1,INDEX(Tabla_Mortalidad!$B$5:$B$75,MIN(71,Cartera_Polizas!$B$138+43-49))*(1+(Cartera_Polizas!$P$138-1)*MAX(0,1-43/Supuestos!$C$20))*(1-Supuestos!$C$18)^43))</f>
        <v>9.25765922675883E-016</v>
      </c>
      <c r="AU136" s="29" t="n">
        <f aca="false">AT136*(1-MIN(1,INDEX(Tabla_Mortalidad!$B$5:$B$75,MIN(71,Cartera_Polizas!$B$138+44-49))*(1+(Cartera_Polizas!$P$138-1)*MAX(0,1-44/Supuestos!$C$20))*(1-Supuestos!$C$18)^44))</f>
        <v>1.83231240811418E-016</v>
      </c>
    </row>
    <row r="137" customFormat="false" ht="15" hidden="false" customHeight="false" outlineLevel="0" collapsed="false">
      <c r="A137" s="14" t="n">
        <f aca="false">Cartera_Polizas!A139</f>
        <v>134</v>
      </c>
      <c r="B137" s="26" t="n">
        <f aca="false">SUM(C137:AU137)+0.5</f>
        <v>14.1787323842541</v>
      </c>
      <c r="C137" s="29" t="n">
        <f aca="false">1-MIN(1,INDEX(Tabla_Mortalidad!$B$5:$B$75,MIN(71,Cartera_Polizas!$B$139+0-49))*(1+(Cartera_Polizas!$P$139-1)*MAX(0,1-0/Supuestos!$C$20))*(1-Supuestos!$C$18)^0)</f>
        <v>0.97921362</v>
      </c>
      <c r="D137" s="29" t="n">
        <f aca="false">C137*(1-MIN(1,INDEX(Tabla_Mortalidad!$B$5:$B$75,MIN(71,Cartera_Polizas!$B$139+1-49))*(1+(Cartera_Polizas!$P$139-1)*MAX(0,1-1/Supuestos!$C$20))*(1-Supuestos!$C$18)^1))</f>
        <v>0.956474436741166</v>
      </c>
      <c r="E137" s="29" t="n">
        <f aca="false">D137*(1-MIN(1,INDEX(Tabla_Mortalidad!$B$5:$B$75,MIN(71,Cartera_Polizas!$B$139+2-49))*(1+(Cartera_Polizas!$P$139-1)*MAX(0,1-2/Supuestos!$C$20))*(1-Supuestos!$C$18)^2))</f>
        <v>0.931665852500258</v>
      </c>
      <c r="F137" s="29" t="n">
        <f aca="false">E137*(1-MIN(1,INDEX(Tabla_Mortalidad!$B$5:$B$75,MIN(71,Cartera_Polizas!$B$139+3-49))*(1+(Cartera_Polizas!$P$139-1)*MAX(0,1-3/Supuestos!$C$20))*(1-Supuestos!$C$18)^3))</f>
        <v>0.904680476180668</v>
      </c>
      <c r="G137" s="29" t="n">
        <f aca="false">F137*(1-MIN(1,INDEX(Tabla_Mortalidad!$B$5:$B$75,MIN(71,Cartera_Polizas!$B$139+4-49))*(1+(Cartera_Polizas!$P$139-1)*MAX(0,1-4/Supuestos!$C$20))*(1-Supuestos!$C$18)^4))</f>
        <v>0.875425393833146</v>
      </c>
      <c r="H137" s="29" t="n">
        <f aca="false">G137*(1-MIN(1,INDEX(Tabla_Mortalidad!$B$5:$B$75,MIN(71,Cartera_Polizas!$B$139+5-49))*(1+(Cartera_Polizas!$P$139-1)*MAX(0,1-5/Supuestos!$C$20))*(1-Supuestos!$C$18)^5))</f>
        <v>0.843828536496534</v>
      </c>
      <c r="I137" s="29" t="n">
        <f aca="false">H137*(1-MIN(1,INDEX(Tabla_Mortalidad!$B$5:$B$75,MIN(71,Cartera_Polizas!$B$139+6-49))*(1+(Cartera_Polizas!$P$139-1)*MAX(0,1-6/Supuestos!$C$20))*(1-Supuestos!$C$18)^6))</f>
        <v>0.809845322118277</v>
      </c>
      <c r="J137" s="29" t="n">
        <f aca="false">I137*(1-MIN(1,INDEX(Tabla_Mortalidad!$B$5:$B$75,MIN(71,Cartera_Polizas!$B$139+7-49))*(1+(Cartera_Polizas!$P$139-1)*MAX(0,1-7/Supuestos!$C$20))*(1-Supuestos!$C$18)^7))</f>
        <v>0.773464904027586</v>
      </c>
      <c r="K137" s="29" t="n">
        <f aca="false">J137*(1-MIN(1,INDEX(Tabla_Mortalidad!$B$5:$B$75,MIN(71,Cartera_Polizas!$B$139+8-49))*(1+(Cartera_Polizas!$P$139-1)*MAX(0,1-8/Supuestos!$C$20))*(1-Supuestos!$C$18)^8))</f>
        <v>0.734719830285983</v>
      </c>
      <c r="L137" s="29" t="n">
        <f aca="false">K137*(1-MIN(1,INDEX(Tabla_Mortalidad!$B$5:$B$75,MIN(71,Cartera_Polizas!$B$139+9-49))*(1+(Cartera_Polizas!$P$139-1)*MAX(0,1-9/Supuestos!$C$20))*(1-Supuestos!$C$18)^9))</f>
        <v>0.693696113302704</v>
      </c>
      <c r="M137" s="29" t="n">
        <f aca="false">L137*(1-MIN(1,INDEX(Tabla_Mortalidad!$B$5:$B$75,MIN(71,Cartera_Polizas!$B$139+10-49))*(1+(Cartera_Polizas!$P$139-1)*MAX(0,1-10/Supuestos!$C$20))*(1-Supuestos!$C$18)^10))</f>
        <v>0.650540600313388</v>
      </c>
      <c r="N137" s="29" t="n">
        <f aca="false">M137*(1-MIN(1,INDEX(Tabla_Mortalidad!$B$5:$B$75,MIN(71,Cartera_Polizas!$B$139+11-49))*(1+(Cartera_Polizas!$P$139-1)*MAX(0,1-11/Supuestos!$C$20))*(1-Supuestos!$C$18)^11))</f>
        <v>0.605469006789792</v>
      </c>
      <c r="O137" s="29" t="n">
        <f aca="false">N137*(1-MIN(1,INDEX(Tabla_Mortalidad!$B$5:$B$75,MIN(71,Cartera_Polizas!$B$139+12-49))*(1+(Cartera_Polizas!$P$139-1)*MAX(0,1-12/Supuestos!$C$20))*(1-Supuestos!$C$18)^12))</f>
        <v>0.558775793039396</v>
      </c>
      <c r="P137" s="29" t="n">
        <f aca="false">O137*(1-MIN(1,INDEX(Tabla_Mortalidad!$B$5:$B$75,MIN(71,Cartera_Polizas!$B$139+13-49))*(1+(Cartera_Polizas!$P$139-1)*MAX(0,1-13/Supuestos!$C$20))*(1-Supuestos!$C$18)^13))</f>
        <v>0.510835598480275</v>
      </c>
      <c r="Q137" s="29" t="n">
        <f aca="false">P137*(1-MIN(1,INDEX(Tabla_Mortalidad!$B$5:$B$75,MIN(71,Cartera_Polizas!$B$139+14-49))*(1+(Cartera_Polizas!$P$139-1)*MAX(0,1-14/Supuestos!$C$20))*(1-Supuestos!$C$18)^14))</f>
        <v>0.462108401311975</v>
      </c>
      <c r="R137" s="29" t="n">
        <f aca="false">Q137*(1-MIN(1,INDEX(Tabla_Mortalidad!$B$5:$B$75,MIN(71,Cartera_Polizas!$B$139+15-49))*(1+(Cartera_Polizas!$P$139-1)*MAX(0,1-15/Supuestos!$C$20))*(1-Supuestos!$C$18)^15))</f>
        <v>0.413134005019429</v>
      </c>
      <c r="S137" s="29" t="n">
        <f aca="false">R137*(1-MIN(1,INDEX(Tabla_Mortalidad!$B$5:$B$75,MIN(71,Cartera_Polizas!$B$139+16-49))*(1+(Cartera_Polizas!$P$139-1)*MAX(0,1-16/Supuestos!$C$20))*(1-Supuestos!$C$18)^16))</f>
        <v>0.364837752467469</v>
      </c>
      <c r="T137" s="29" t="n">
        <f aca="false">S137*(1-MIN(1,INDEX(Tabla_Mortalidad!$B$5:$B$75,MIN(71,Cartera_Polizas!$B$139+17-49))*(1+(Cartera_Polizas!$P$139-1)*MAX(0,1-17/Supuestos!$C$20))*(1-Supuestos!$C$18)^17))</f>
        <v>0.317828778855837</v>
      </c>
      <c r="U137" s="29" t="n">
        <f aca="false">T137*(1-MIN(1,INDEX(Tabla_Mortalidad!$B$5:$B$75,MIN(71,Cartera_Polizas!$B$139+18-49))*(1+(Cartera_Polizas!$P$139-1)*MAX(0,1-18/Supuestos!$C$20))*(1-Supuestos!$C$18)^18))</f>
        <v>0.272731020075607</v>
      </c>
      <c r="V137" s="29" t="n">
        <f aca="false">U137*(1-MIN(1,INDEX(Tabla_Mortalidad!$B$5:$B$75,MIN(71,Cartera_Polizas!$B$139+19-49))*(1+(Cartera_Polizas!$P$139-1)*MAX(0,1-19/Supuestos!$C$20))*(1-Supuestos!$C$18)^19))</f>
        <v>0.230155887118143</v>
      </c>
      <c r="W137" s="29" t="n">
        <f aca="false">V137*(1-MIN(1,INDEX(Tabla_Mortalidad!$B$5:$B$75,MIN(71,Cartera_Polizas!$B$139+20-49))*(1+(Cartera_Polizas!$P$139-1)*MAX(0,1-20/Supuestos!$C$20))*(1-Supuestos!$C$18)^20))</f>
        <v>0.190670069973988</v>
      </c>
      <c r="X137" s="29" t="n">
        <f aca="false">W137*(1-MIN(1,INDEX(Tabla_Mortalidad!$B$5:$B$75,MIN(71,Cartera_Polizas!$B$139+21-49))*(1+(Cartera_Polizas!$P$139-1)*MAX(0,1-21/Supuestos!$C$20))*(1-Supuestos!$C$18)^21))</f>
        <v>0.154762588127872</v>
      </c>
      <c r="Y137" s="29" t="n">
        <f aca="false">X137*(1-MIN(1,INDEX(Tabla_Mortalidad!$B$5:$B$75,MIN(71,Cartera_Polizas!$B$139+22-49))*(1+(Cartera_Polizas!$P$139-1)*MAX(0,1-22/Supuestos!$C$20))*(1-Supuestos!$C$18)^22))</f>
        <v>0.122811880050417</v>
      </c>
      <c r="Z137" s="29" t="n">
        <f aca="false">Y137*(1-MIN(1,INDEX(Tabla_Mortalidad!$B$5:$B$75,MIN(71,Cartera_Polizas!$B$139+23-49))*(1+(Cartera_Polizas!$P$139-1)*MAX(0,1-23/Supuestos!$C$20))*(1-Supuestos!$C$18)^23))</f>
        <v>0.0950570020037808</v>
      </c>
      <c r="AA137" s="29" t="n">
        <f aca="false">Z137*(1-MIN(1,INDEX(Tabla_Mortalidad!$B$5:$B$75,MIN(71,Cartera_Polizas!$B$139+24-49))*(1+(Cartera_Polizas!$P$139-1)*MAX(0,1-24/Supuestos!$C$20))*(1-Supuestos!$C$18)^24))</f>
        <v>0.0715783070073991</v>
      </c>
      <c r="AB137" s="29" t="n">
        <f aca="false">AA137*(1-MIN(1,INDEX(Tabla_Mortalidad!$B$5:$B$75,MIN(71,Cartera_Polizas!$B$139+25-49))*(1+(Cartera_Polizas!$P$139-1)*MAX(0,1-25/Supuestos!$C$20))*(1-Supuestos!$C$18)^25))</f>
        <v>0.0522899282025638</v>
      </c>
      <c r="AC137" s="29" t="n">
        <f aca="false">AB137*(1-MIN(1,INDEX(Tabla_Mortalidad!$B$5:$B$75,MIN(71,Cartera_Polizas!$B$139+26-49))*(1+(Cartera_Polizas!$P$139-1)*MAX(0,1-26/Supuestos!$C$20))*(1-Supuestos!$C$18)^26))</f>
        <v>0.0369467423298341</v>
      </c>
      <c r="AD137" s="29" t="n">
        <f aca="false">AC137*(1-MIN(1,INDEX(Tabla_Mortalidad!$B$5:$B$75,MIN(71,Cartera_Polizas!$B$139+27-49))*(1+(Cartera_Polizas!$P$139-1)*MAX(0,1-27/Supuestos!$C$20))*(1-Supuestos!$C$18)^27))</f>
        <v>0.0251671497487172</v>
      </c>
      <c r="AE137" s="29" t="n">
        <f aca="false">AD137*(1-MIN(1,INDEX(Tabla_Mortalidad!$B$5:$B$75,MIN(71,Cartera_Polizas!$B$139+28-49))*(1+(Cartera_Polizas!$P$139-1)*MAX(0,1-28/Supuestos!$C$20))*(1-Supuestos!$C$18)^28))</f>
        <v>0.0164689290050885</v>
      </c>
      <c r="AF137" s="29" t="n">
        <f aca="false">AE137*(1-MIN(1,INDEX(Tabla_Mortalidad!$B$5:$B$75,MIN(71,Cartera_Polizas!$B$139+29-49))*(1+(Cartera_Polizas!$P$139-1)*MAX(0,1-29/Supuestos!$C$20))*(1-Supuestos!$C$18)^29))</f>
        <v>0.010314392605346</v>
      </c>
      <c r="AG137" s="29" t="n">
        <f aca="false">AF137*(1-MIN(1,INDEX(Tabla_Mortalidad!$B$5:$B$75,MIN(71,Cartera_Polizas!$B$139+30-49))*(1+(Cartera_Polizas!$P$139-1)*MAX(0,1-30/Supuestos!$C$20))*(1-Supuestos!$C$18)^30))</f>
        <v>0.00615818404730625</v>
      </c>
      <c r="AH137" s="29" t="n">
        <f aca="false">AG137*(1-MIN(1,INDEX(Tabla_Mortalidad!$B$5:$B$75,MIN(71,Cartera_Polizas!$B$139+31-49))*(1+(Cartera_Polizas!$P$139-1)*MAX(0,1-31/Supuestos!$C$20))*(1-Supuestos!$C$18)^31))</f>
        <v>0.00349062284167333</v>
      </c>
      <c r="AI137" s="29" t="n">
        <f aca="false">AH137*(1-MIN(1,INDEX(Tabla_Mortalidad!$B$5:$B$75,MIN(71,Cartera_Polizas!$B$139+32-49))*(1+(Cartera_Polizas!$P$139-1)*MAX(0,1-32/Supuestos!$C$20))*(1-Supuestos!$C$18)^32))</f>
        <v>0.00187049995662653</v>
      </c>
      <c r="AJ137" s="29" t="n">
        <f aca="false">AI137*(1-MIN(1,INDEX(Tabla_Mortalidad!$B$5:$B$75,MIN(71,Cartera_Polizas!$B$139+33-49))*(1+(Cartera_Polizas!$P$139-1)*MAX(0,1-33/Supuestos!$C$20))*(1-Supuestos!$C$18)^33))</f>
        <v>0.000943564510734556</v>
      </c>
      <c r="AK137" s="29" t="n">
        <f aca="false">AJ137*(1-MIN(1,INDEX(Tabla_Mortalidad!$B$5:$B$75,MIN(71,Cartera_Polizas!$B$139+34-49))*(1+(Cartera_Polizas!$P$139-1)*MAX(0,1-34/Supuestos!$C$20))*(1-Supuestos!$C$18)^34))</f>
        <v>0.000446215366262735</v>
      </c>
      <c r="AL137" s="29" t="n">
        <f aca="false">AK137*(1-MIN(1,INDEX(Tabla_Mortalidad!$B$5:$B$75,MIN(71,Cartera_Polizas!$B$139+35-49))*(1+(Cartera_Polizas!$P$139-1)*MAX(0,1-35/Supuestos!$C$20))*(1-Supuestos!$C$18)^35))</f>
        <v>0.000197059543771096</v>
      </c>
      <c r="AM137" s="29" t="n">
        <f aca="false">AL137*(1-MIN(1,INDEX(Tabla_Mortalidad!$B$5:$B$75,MIN(71,Cartera_Polizas!$B$139+36-49))*(1+(Cartera_Polizas!$P$139-1)*MAX(0,1-36/Supuestos!$C$20))*(1-Supuestos!$C$18)^36))</f>
        <v>8.09963231332532E-005</v>
      </c>
      <c r="AN137" s="29" t="n">
        <f aca="false">AM137*(1-MIN(1,INDEX(Tabla_Mortalidad!$B$5:$B$75,MIN(71,Cartera_Polizas!$B$139+37-49))*(1+(Cartera_Polizas!$P$139-1)*MAX(0,1-37/Supuestos!$C$20))*(1-Supuestos!$C$18)^37))</f>
        <v>3.09042033607796E-005</v>
      </c>
      <c r="AO137" s="29" t="n">
        <f aca="false">AN137*(1-MIN(1,INDEX(Tabla_Mortalidad!$B$5:$B$75,MIN(71,Cartera_Polizas!$B$139+38-49))*(1+(Cartera_Polizas!$P$139-1)*MAX(0,1-38/Supuestos!$C$20))*(1-Supuestos!$C$18)^38))</f>
        <v>1.09295031467143E-005</v>
      </c>
      <c r="AP137" s="29" t="n">
        <f aca="false">AO137*(1-MIN(1,INDEX(Tabla_Mortalidad!$B$5:$B$75,MIN(71,Cartera_Polizas!$B$139+39-49))*(1+(Cartera_Polizas!$P$139-1)*MAX(0,1-39/Supuestos!$C$20))*(1-Supuestos!$C$18)^39))</f>
        <v>3.58251791547647E-006</v>
      </c>
      <c r="AQ137" s="29" t="n">
        <f aca="false">AP137*(1-MIN(1,INDEX(Tabla_Mortalidad!$B$5:$B$75,MIN(71,Cartera_Polizas!$B$139+40-49))*(1+(Cartera_Polizas!$P$139-1)*MAX(0,1-40/Supuestos!$C$20))*(1-Supuestos!$C$18)^40))</f>
        <v>1.09028125609483E-006</v>
      </c>
      <c r="AR137" s="29" t="n">
        <f aca="false">AQ137*(1-MIN(1,INDEX(Tabla_Mortalidad!$B$5:$B$75,MIN(71,Cartera_Polizas!$B$139+41-49))*(1+(Cartera_Polizas!$P$139-1)*MAX(0,1-41/Supuestos!$C$20))*(1-Supuestos!$C$18)^41))</f>
        <v>3.09252831955601E-007</v>
      </c>
      <c r="AS137" s="29" t="n">
        <f aca="false">AR137*(1-MIN(1,INDEX(Tabla_Mortalidad!$B$5:$B$75,MIN(71,Cartera_Polizas!$B$139+42-49))*(1+(Cartera_Polizas!$P$139-1)*MAX(0,1-42/Supuestos!$C$20))*(1-Supuestos!$C$18)^42))</f>
        <v>8.22499312723795E-008</v>
      </c>
      <c r="AT137" s="29" t="n">
        <f aca="false">AS137*(1-MIN(1,INDEX(Tabla_Mortalidad!$B$5:$B$75,MIN(71,Cartera_Polizas!$B$139+43-49))*(1+(Cartera_Polizas!$P$139-1)*MAX(0,1-43/Supuestos!$C$20))*(1-Supuestos!$C$18)^43))</f>
        <v>2.06796421174248E-008</v>
      </c>
      <c r="AU137" s="29" t="n">
        <f aca="false">AT137*(1-MIN(1,INDEX(Tabla_Mortalidad!$B$5:$B$75,MIN(71,Cartera_Polizas!$B$139+44-49))*(1+(Cartera_Polizas!$P$139-1)*MAX(0,1-44/Supuestos!$C$20))*(1-Supuestos!$C$18)^44))</f>
        <v>4.96386154026225E-009</v>
      </c>
    </row>
    <row r="138" customFormat="false" ht="15" hidden="false" customHeight="false" outlineLevel="0" collapsed="false">
      <c r="A138" s="14" t="n">
        <f aca="false">Cartera_Polizas!A140</f>
        <v>135</v>
      </c>
      <c r="B138" s="26" t="n">
        <f aca="false">SUM(C138:AU138)+0.5</f>
        <v>3.23755148222176</v>
      </c>
      <c r="C138" s="29" t="n">
        <f aca="false">1-MIN(1,INDEX(Tabla_Mortalidad!$B$5:$B$75,MIN(71,Cartera_Polizas!$B$140+0-49))*(1+(Cartera_Polizas!$P$140-1)*MAX(0,1-0/Supuestos!$C$20))*(1-Supuestos!$C$18)^0)</f>
        <v>0.767755295</v>
      </c>
      <c r="D138" s="29" t="n">
        <f aca="false">C138*(1-MIN(1,INDEX(Tabla_Mortalidad!$B$5:$B$75,MIN(71,Cartera_Polizas!$B$140+1-49))*(1+(Cartera_Polizas!$P$140-1)*MAX(0,1-1/Supuestos!$C$20))*(1-Supuestos!$C$18)^1))</f>
        <v>0.578236879681927</v>
      </c>
      <c r="E138" s="29" t="n">
        <f aca="false">D138*(1-MIN(1,INDEX(Tabla_Mortalidad!$B$5:$B$75,MIN(71,Cartera_Polizas!$B$140+2-49))*(1+(Cartera_Polizas!$P$140-1)*MAX(0,1-2/Supuestos!$C$20))*(1-Supuestos!$C$18)^2))</f>
        <v>0.426857645251063</v>
      </c>
      <c r="F138" s="29" t="n">
        <f aca="false">E138*(1-MIN(1,INDEX(Tabla_Mortalidad!$B$5:$B$75,MIN(71,Cartera_Polizas!$B$140+3-49))*(1+(Cartera_Polizas!$P$140-1)*MAX(0,1-3/Supuestos!$C$20))*(1-Supuestos!$C$18)^3))</f>
        <v>0.308624661861712</v>
      </c>
      <c r="G138" s="29" t="n">
        <f aca="false">F138*(1-MIN(1,INDEX(Tabla_Mortalidad!$B$5:$B$75,MIN(71,Cartera_Polizas!$B$140+4-49))*(1+(Cartera_Polizas!$P$140-1)*MAX(0,1-4/Supuestos!$C$20))*(1-Supuestos!$C$18)^4))</f>
        <v>0.218416495063755</v>
      </c>
      <c r="H138" s="29" t="n">
        <f aca="false">G138*(1-MIN(1,INDEX(Tabla_Mortalidad!$B$5:$B$75,MIN(71,Cartera_Polizas!$B$140+5-49))*(1+(Cartera_Polizas!$P$140-1)*MAX(0,1-5/Supuestos!$C$20))*(1-Supuestos!$C$18)^5))</f>
        <v>0.151240497655299</v>
      </c>
      <c r="I138" s="29" t="n">
        <f aca="false">H138*(1-MIN(1,INDEX(Tabla_Mortalidad!$B$5:$B$75,MIN(71,Cartera_Polizas!$B$140+6-49))*(1+(Cartera_Polizas!$P$140-1)*MAX(0,1-6/Supuestos!$C$20))*(1-Supuestos!$C$18)^6))</f>
        <v>0.102448800439905</v>
      </c>
      <c r="J138" s="29" t="n">
        <f aca="false">I138*(1-MIN(1,INDEX(Tabla_Mortalidad!$B$5:$B$75,MIN(71,Cartera_Polizas!$B$140+7-49))*(1+(Cartera_Polizas!$P$140-1)*MAX(0,1-7/Supuestos!$C$20))*(1-Supuestos!$C$18)^7))</f>
        <v>0.0679002972513741</v>
      </c>
      <c r="K138" s="29" t="n">
        <f aca="false">J138*(1-MIN(1,INDEX(Tabla_Mortalidad!$B$5:$B$75,MIN(71,Cartera_Polizas!$B$140+8-49))*(1+(Cartera_Polizas!$P$140-1)*MAX(0,1-8/Supuestos!$C$20))*(1-Supuestos!$C$18)^8))</f>
        <v>0.0440565260875522</v>
      </c>
      <c r="L138" s="29" t="n">
        <f aca="false">K138*(1-MIN(1,INDEX(Tabla_Mortalidad!$B$5:$B$75,MIN(71,Cartera_Polizas!$B$140+9-49))*(1+(Cartera_Polizas!$P$140-1)*MAX(0,1-9/Supuestos!$C$20))*(1-Supuestos!$C$18)^9))</f>
        <v>0.0280146190467269</v>
      </c>
      <c r="M138" s="29" t="n">
        <f aca="false">L138*(1-MIN(1,INDEX(Tabla_Mortalidad!$B$5:$B$75,MIN(71,Cartera_Polizas!$B$140+10-49))*(1+(Cartera_Polizas!$P$140-1)*MAX(0,1-10/Supuestos!$C$20))*(1-Supuestos!$C$18)^10))</f>
        <v>0.0174870101722227</v>
      </c>
      <c r="N138" s="29" t="n">
        <f aca="false">M138*(1-MIN(1,INDEX(Tabla_Mortalidad!$B$5:$B$75,MIN(71,Cartera_Polizas!$B$140+11-49))*(1+(Cartera_Polizas!$P$140-1)*MAX(0,1-11/Supuestos!$C$20))*(1-Supuestos!$C$18)^11))</f>
        <v>0.010740494232611</v>
      </c>
      <c r="O138" s="29" t="n">
        <f aca="false">N138*(1-MIN(1,INDEX(Tabla_Mortalidad!$B$5:$B$75,MIN(71,Cartera_Polizas!$B$140+12-49))*(1+(Cartera_Polizas!$P$140-1)*MAX(0,1-12/Supuestos!$C$20))*(1-Supuestos!$C$18)^12))</f>
        <v>0.00651131640902169</v>
      </c>
      <c r="P138" s="29" t="n">
        <f aca="false">O138*(1-MIN(1,INDEX(Tabla_Mortalidad!$B$5:$B$75,MIN(71,Cartera_Polizas!$B$140+13-49))*(1+(Cartera_Polizas!$P$140-1)*MAX(0,1-13/Supuestos!$C$20))*(1-Supuestos!$C$18)^13))</f>
        <v>0.00391178736260876</v>
      </c>
      <c r="Q138" s="29" t="n">
        <f aca="false">P138*(1-MIN(1,INDEX(Tabla_Mortalidad!$B$5:$B$75,MIN(71,Cartera_Polizas!$B$140+14-49))*(1+(Cartera_Polizas!$P$140-1)*MAX(0,1-14/Supuestos!$C$20))*(1-Supuestos!$C$18)^14))</f>
        <v>0.00234017941843735</v>
      </c>
      <c r="R138" s="29" t="n">
        <f aca="false">Q138*(1-MIN(1,INDEX(Tabla_Mortalidad!$B$5:$B$75,MIN(71,Cartera_Polizas!$B$140+15-49))*(1+(Cartera_Polizas!$P$140-1)*MAX(0,1-15/Supuestos!$C$20))*(1-Supuestos!$C$18)^15))</f>
        <v>0.00140206456521855</v>
      </c>
      <c r="S138" s="29" t="n">
        <f aca="false">R138*(1-MIN(1,INDEX(Tabla_Mortalidad!$B$5:$B$75,MIN(71,Cartera_Polizas!$B$140+16-49))*(1+(Cartera_Polizas!$P$140-1)*MAX(0,1-16/Supuestos!$C$20))*(1-Supuestos!$C$18)^16))</f>
        <v>0.0007960283784212</v>
      </c>
      <c r="T138" s="29" t="n">
        <f aca="false">S138*(1-MIN(1,INDEX(Tabla_Mortalidad!$B$5:$B$75,MIN(71,Cartera_Polizas!$B$140+17-49))*(1+(Cartera_Polizas!$P$140-1)*MAX(0,1-17/Supuestos!$C$20))*(1-Supuestos!$C$18)^17))</f>
        <v>0.000426143013045152</v>
      </c>
      <c r="U138" s="29" t="n">
        <f aca="false">T138*(1-MIN(1,INDEX(Tabla_Mortalidad!$B$5:$B$75,MIN(71,Cartera_Polizas!$B$140+18-49))*(1+(Cartera_Polizas!$P$140-1)*MAX(0,1-18/Supuestos!$C$20))*(1-Supuestos!$C$18)^18))</f>
        <v>0.000213976288269181</v>
      </c>
      <c r="V138" s="29" t="n">
        <f aca="false">U138*(1-MIN(1,INDEX(Tabla_Mortalidad!$B$5:$B$75,MIN(71,Cartera_Polizas!$B$140+19-49))*(1+(Cartera_Polizas!$P$140-1)*MAX(0,1-19/Supuestos!$C$20))*(1-Supuestos!$C$18)^19))</f>
        <v>0.000100230766633987</v>
      </c>
      <c r="W138" s="29" t="n">
        <f aca="false">V138*(1-MIN(1,INDEX(Tabla_Mortalidad!$B$5:$B$75,MIN(71,Cartera_Polizas!$B$140+20-49))*(1+(Cartera_Polizas!$P$140-1)*MAX(0,1-20/Supuestos!$C$20))*(1-Supuestos!$C$18)^20))</f>
        <v>4.35588763067018E-005</v>
      </c>
      <c r="X138" s="29" t="n">
        <f aca="false">W138*(1-MIN(1,INDEX(Tabla_Mortalidad!$B$5:$B$75,MIN(71,Cartera_Polizas!$B$140+21-49))*(1+(Cartera_Polizas!$P$140-1)*MAX(0,1-21/Supuestos!$C$20))*(1-Supuestos!$C$18)^21))</f>
        <v>1.74685172516905E-005</v>
      </c>
      <c r="Y138" s="29" t="n">
        <f aca="false">X138*(1-MIN(1,INDEX(Tabla_Mortalidad!$B$5:$B$75,MIN(71,Cartera_Polizas!$B$140+22-49))*(1+(Cartera_Polizas!$P$140-1)*MAX(0,1-22/Supuestos!$C$20))*(1-Supuestos!$C$18)^22))</f>
        <v>6.43205054952423E-006</v>
      </c>
      <c r="Z138" s="29" t="n">
        <f aca="false">Y138*(1-MIN(1,INDEX(Tabla_Mortalidad!$B$5:$B$75,MIN(71,Cartera_Polizas!$B$140+23-49))*(1+(Cartera_Polizas!$P$140-1)*MAX(0,1-23/Supuestos!$C$20))*(1-Supuestos!$C$18)^23))</f>
        <v>2.16497409375424E-006</v>
      </c>
      <c r="AA138" s="29" t="n">
        <f aca="false">Z138*(1-MIN(1,INDEX(Tabla_Mortalidad!$B$5:$B$75,MIN(71,Cartera_Polizas!$B$140+24-49))*(1+(Cartera_Polizas!$P$140-1)*MAX(0,1-24/Supuestos!$C$20))*(1-Supuestos!$C$18)^24))</f>
        <v>6.63934007415115E-007</v>
      </c>
      <c r="AB138" s="29" t="n">
        <f aca="false">AA138*(1-MIN(1,INDEX(Tabla_Mortalidad!$B$5:$B$75,MIN(71,Cartera_Polizas!$B$140+25-49))*(1+(Cartera_Polizas!$P$140-1)*MAX(0,1-25/Supuestos!$C$20))*(1-Supuestos!$C$18)^25))</f>
        <v>1.8518208465014E-007</v>
      </c>
      <c r="AC138" s="29" t="n">
        <f aca="false">AB138*(1-MIN(1,INDEX(Tabla_Mortalidad!$B$5:$B$75,MIN(71,Cartera_Polizas!$B$140+26-49))*(1+(Cartera_Polizas!$P$140-1)*MAX(0,1-26/Supuestos!$C$20))*(1-Supuestos!$C$18)^26))</f>
        <v>4.69920431069855E-008</v>
      </c>
      <c r="AD138" s="29" t="n">
        <f aca="false">AC138*(1-MIN(1,INDEX(Tabla_Mortalidad!$B$5:$B$75,MIN(71,Cartera_Polizas!$B$140+27-49))*(1+(Cartera_Polizas!$P$140-1)*MAX(0,1-27/Supuestos!$C$20))*(1-Supuestos!$C$18)^27))</f>
        <v>1.08818766145448E-008</v>
      </c>
      <c r="AE138" s="29" t="n">
        <f aca="false">AD138*(1-MIN(1,INDEX(Tabla_Mortalidad!$B$5:$B$75,MIN(71,Cartera_Polizas!$B$140+28-49))*(1+(Cartera_Polizas!$P$140-1)*MAX(0,1-28/Supuestos!$C$20))*(1-Supuestos!$C$18)^28))</f>
        <v>2.31350313665529E-009</v>
      </c>
      <c r="AF138" s="29" t="n">
        <f aca="false">AE138*(1-MIN(1,INDEX(Tabla_Mortalidad!$B$5:$B$75,MIN(71,Cartera_Polizas!$B$140+29-49))*(1+(Cartera_Polizas!$P$140-1)*MAX(0,1-29/Supuestos!$C$20))*(1-Supuestos!$C$18)^29))</f>
        <v>4.55773063024573E-010</v>
      </c>
      <c r="AG138" s="29" t="n">
        <f aca="false">AF138*(1-MIN(1,INDEX(Tabla_Mortalidad!$B$5:$B$75,MIN(71,Cartera_Polizas!$B$140+30-49))*(1+(Cartera_Polizas!$P$140-1)*MAX(0,1-30/Supuestos!$C$20))*(1-Supuestos!$C$18)^30))</f>
        <v>8.42220398301054E-011</v>
      </c>
      <c r="AH138" s="29" t="n">
        <f aca="false">AG138*(1-MIN(1,INDEX(Tabla_Mortalidad!$B$5:$B$75,MIN(71,Cartera_Polizas!$B$140+31-49))*(1+(Cartera_Polizas!$P$140-1)*MAX(0,1-31/Supuestos!$C$20))*(1-Supuestos!$C$18)^31))</f>
        <v>1.2121044707876E-011</v>
      </c>
      <c r="AI138" s="29" t="n">
        <f aca="false">AH138*(1-MIN(1,INDEX(Tabla_Mortalidad!$B$5:$B$75,MIN(71,Cartera_Polizas!$B$140+32-49))*(1+(Cartera_Polizas!$P$140-1)*MAX(0,1-32/Supuestos!$C$20))*(1-Supuestos!$C$18)^32))</f>
        <v>1.79631628540828E-012</v>
      </c>
      <c r="AJ138" s="29" t="n">
        <f aca="false">AI138*(1-MIN(1,INDEX(Tabla_Mortalidad!$B$5:$B$75,MIN(71,Cartera_Polizas!$B$140+33-49))*(1+(Cartera_Polizas!$P$140-1)*MAX(0,1-33/Supuestos!$C$20))*(1-Supuestos!$C$18)^33))</f>
        <v>2.73861260828825E-013</v>
      </c>
      <c r="AK138" s="29" t="n">
        <f aca="false">AJ138*(1-MIN(1,INDEX(Tabla_Mortalidad!$B$5:$B$75,MIN(71,Cartera_Polizas!$B$140+34-49))*(1+(Cartera_Polizas!$P$140-1)*MAX(0,1-34/Supuestos!$C$20))*(1-Supuestos!$C$18)^34))</f>
        <v>4.29126530065199E-014</v>
      </c>
      <c r="AL138" s="29" t="n">
        <f aca="false">AK138*(1-MIN(1,INDEX(Tabla_Mortalidad!$B$5:$B$75,MIN(71,Cartera_Polizas!$B$140+35-49))*(1+(Cartera_Polizas!$P$140-1)*MAX(0,1-35/Supuestos!$C$20))*(1-Supuestos!$C$18)^35))</f>
        <v>6.90513462796426E-015</v>
      </c>
      <c r="AM138" s="29" t="n">
        <f aca="false">AL138*(1-MIN(1,INDEX(Tabla_Mortalidad!$B$5:$B$75,MIN(71,Cartera_Polizas!$B$140+36-49))*(1+(Cartera_Polizas!$P$140-1)*MAX(0,1-36/Supuestos!$C$20))*(1-Supuestos!$C$18)^36))</f>
        <v>1.14008490766096E-015</v>
      </c>
      <c r="AN138" s="29" t="n">
        <f aca="false">AM138*(1-MIN(1,INDEX(Tabla_Mortalidad!$B$5:$B$75,MIN(71,Cartera_Polizas!$B$140+37-49))*(1+(Cartera_Polizas!$P$140-1)*MAX(0,1-37/Supuestos!$C$20))*(1-Supuestos!$C$18)^37))</f>
        <v>1.92995053589471E-016</v>
      </c>
      <c r="AO138" s="29" t="n">
        <f aca="false">AN138*(1-MIN(1,INDEX(Tabla_Mortalidad!$B$5:$B$75,MIN(71,Cartera_Polizas!$B$140+38-49))*(1+(Cartera_Polizas!$P$140-1)*MAX(0,1-38/Supuestos!$C$20))*(1-Supuestos!$C$18)^38))</f>
        <v>3.34720762807026E-017</v>
      </c>
      <c r="AP138" s="29" t="n">
        <f aca="false">AO138*(1-MIN(1,INDEX(Tabla_Mortalidad!$B$5:$B$75,MIN(71,Cartera_Polizas!$B$140+39-49))*(1+(Cartera_Polizas!$P$140-1)*MAX(0,1-39/Supuestos!$C$20))*(1-Supuestos!$C$18)^39))</f>
        <v>5.943560187331E-018</v>
      </c>
      <c r="AQ138" s="29" t="n">
        <f aca="false">AP138*(1-MIN(1,INDEX(Tabla_Mortalidad!$B$5:$B$75,MIN(71,Cartera_Polizas!$B$140+40-49))*(1+(Cartera_Polizas!$P$140-1)*MAX(0,1-40/Supuestos!$C$20))*(1-Supuestos!$C$18)^40))</f>
        <v>1.07982529552875E-018</v>
      </c>
      <c r="AR138" s="29" t="n">
        <f aca="false">AQ138*(1-MIN(1,INDEX(Tabla_Mortalidad!$B$5:$B$75,MIN(71,Cartera_Polizas!$B$140+41-49))*(1+(Cartera_Polizas!$P$140-1)*MAX(0,1-41/Supuestos!$C$20))*(1-Supuestos!$C$18)^41))</f>
        <v>2.0060074284092E-019</v>
      </c>
      <c r="AS138" s="29" t="n">
        <f aca="false">AR138*(1-MIN(1,INDEX(Tabla_Mortalidad!$B$5:$B$75,MIN(71,Cartera_Polizas!$B$140+42-49))*(1+(Cartera_Polizas!$P$140-1)*MAX(0,1-42/Supuestos!$C$20))*(1-Supuestos!$C$18)^42))</f>
        <v>3.80825710330842E-020</v>
      </c>
      <c r="AT138" s="29" t="n">
        <f aca="false">AS138*(1-MIN(1,INDEX(Tabla_Mortalidad!$B$5:$B$75,MIN(71,Cartera_Polizas!$B$140+43-49))*(1+(Cartera_Polizas!$P$140-1)*MAX(0,1-43/Supuestos!$C$20))*(1-Supuestos!$C$18)^43))</f>
        <v>7.3839595238924E-021</v>
      </c>
      <c r="AU138" s="29" t="n">
        <f aca="false">AT138*(1-MIN(1,INDEX(Tabla_Mortalidad!$B$5:$B$75,MIN(71,Cartera_Polizas!$B$140+44-49))*(1+(Cartera_Polizas!$P$140-1)*MAX(0,1-44/Supuestos!$C$20))*(1-Supuestos!$C$18)^44))</f>
        <v>1.46146237674572E-021</v>
      </c>
    </row>
    <row r="139" customFormat="false" ht="15" hidden="false" customHeight="false" outlineLevel="0" collapsed="false">
      <c r="A139" s="14" t="n">
        <f aca="false">Cartera_Polizas!A141</f>
        <v>136</v>
      </c>
      <c r="B139" s="26" t="n">
        <f aca="false">SUM(C139:AU139)+0.5</f>
        <v>5.66770783891579</v>
      </c>
      <c r="C139" s="29" t="n">
        <f aca="false">1-MIN(1,INDEX(Tabla_Mortalidad!$B$5:$B$75,MIN(71,Cartera_Polizas!$B$141+0-49))*(1+(Cartera_Polizas!$P$141-1)*MAX(0,1-0/Supuestos!$C$20))*(1-Supuestos!$C$18)^0)</f>
        <v>0.8971696</v>
      </c>
      <c r="D139" s="29" t="n">
        <f aca="false">C139*(1-MIN(1,INDEX(Tabla_Mortalidad!$B$5:$B$75,MIN(71,Cartera_Polizas!$B$141+1-49))*(1+(Cartera_Polizas!$P$141-1)*MAX(0,1-1/Supuestos!$C$20))*(1-Supuestos!$C$18)^1))</f>
        <v>0.794651988747916</v>
      </c>
      <c r="E139" s="29" t="n">
        <f aca="false">D139*(1-MIN(1,INDEX(Tabla_Mortalidad!$B$5:$B$75,MIN(71,Cartera_Polizas!$B$141+2-49))*(1+(Cartera_Polizas!$P$141-1)*MAX(0,1-2/Supuestos!$C$20))*(1-Supuestos!$C$18)^2))</f>
        <v>0.693833294392209</v>
      </c>
      <c r="F139" s="29" t="n">
        <f aca="false">E139*(1-MIN(1,INDEX(Tabla_Mortalidad!$B$5:$B$75,MIN(71,Cartera_Polizas!$B$141+3-49))*(1+(Cartera_Polizas!$P$141-1)*MAX(0,1-3/Supuestos!$C$20))*(1-Supuestos!$C$18)^3))</f>
        <v>0.596186387186989</v>
      </c>
      <c r="G139" s="29" t="n">
        <f aca="false">F139*(1-MIN(1,INDEX(Tabla_Mortalidad!$B$5:$B$75,MIN(71,Cartera_Polizas!$B$141+4-49))*(1+(Cartera_Polizas!$P$141-1)*MAX(0,1-4/Supuestos!$C$20))*(1-Supuestos!$C$18)^4))</f>
        <v>0.503208245569979</v>
      </c>
      <c r="H139" s="29" t="n">
        <f aca="false">G139*(1-MIN(1,INDEX(Tabla_Mortalidad!$B$5:$B$75,MIN(71,Cartera_Polizas!$B$141+5-49))*(1+(Cartera_Polizas!$P$141-1)*MAX(0,1-5/Supuestos!$C$20))*(1-Supuestos!$C$18)^5))</f>
        <v>0.416340738921879</v>
      </c>
      <c r="I139" s="29" t="n">
        <f aca="false">H139*(1-MIN(1,INDEX(Tabla_Mortalidad!$B$5:$B$75,MIN(71,Cartera_Polizas!$B$141+6-49))*(1+(Cartera_Polizas!$P$141-1)*MAX(0,1-6/Supuestos!$C$20))*(1-Supuestos!$C$18)^6))</f>
        <v>0.336883590541177</v>
      </c>
      <c r="J139" s="29" t="n">
        <f aca="false">I139*(1-MIN(1,INDEX(Tabla_Mortalidad!$B$5:$B$75,MIN(71,Cartera_Polizas!$B$141+7-49))*(1+(Cartera_Polizas!$P$141-1)*MAX(0,1-7/Supuestos!$C$20))*(1-Supuestos!$C$18)^7))</f>
        <v>0.265902080418706</v>
      </c>
      <c r="K139" s="29" t="n">
        <f aca="false">J139*(1-MIN(1,INDEX(Tabla_Mortalidad!$B$5:$B$75,MIN(71,Cartera_Polizas!$B$141+8-49))*(1+(Cartera_Polizas!$P$141-1)*MAX(0,1-8/Supuestos!$C$20))*(1-Supuestos!$C$18)^8))</f>
        <v>0.204140379761058</v>
      </c>
      <c r="L139" s="29" t="n">
        <f aca="false">K139*(1-MIN(1,INDEX(Tabla_Mortalidad!$B$5:$B$75,MIN(71,Cartera_Polizas!$B$141+9-49))*(1+(Cartera_Polizas!$P$141-1)*MAX(0,1-9/Supuestos!$C$20))*(1-Supuestos!$C$18)^9))</f>
        <v>0.151955608846223</v>
      </c>
      <c r="M139" s="29" t="n">
        <f aca="false">L139*(1-MIN(1,INDEX(Tabla_Mortalidad!$B$5:$B$75,MIN(71,Cartera_Polizas!$B$141+10-49))*(1+(Cartera_Polizas!$P$141-1)*MAX(0,1-10/Supuestos!$C$20))*(1-Supuestos!$C$18)^10))</f>
        <v>0.109281783889926</v>
      </c>
      <c r="N139" s="29" t="n">
        <f aca="false">M139*(1-MIN(1,INDEX(Tabla_Mortalidad!$B$5:$B$75,MIN(71,Cartera_Polizas!$B$141+11-49))*(1+(Cartera_Polizas!$P$141-1)*MAX(0,1-11/Supuestos!$C$20))*(1-Supuestos!$C$18)^11))</f>
        <v>0.0756336749047632</v>
      </c>
      <c r="O139" s="29" t="n">
        <f aca="false">N139*(1-MIN(1,INDEX(Tabla_Mortalidad!$B$5:$B$75,MIN(71,Cartera_Polizas!$B$141+12-49))*(1+(Cartera_Polizas!$P$141-1)*MAX(0,1-12/Supuestos!$C$20))*(1-Supuestos!$C$18)^12))</f>
        <v>0.0501566222264649</v>
      </c>
      <c r="P139" s="29" t="n">
        <f aca="false">O139*(1-MIN(1,INDEX(Tabla_Mortalidad!$B$5:$B$75,MIN(71,Cartera_Polizas!$B$141+13-49))*(1+(Cartera_Polizas!$P$141-1)*MAX(0,1-13/Supuestos!$C$20))*(1-Supuestos!$C$18)^13))</f>
        <v>0.0317171316655561</v>
      </c>
      <c r="Q139" s="29" t="n">
        <f aca="false">P139*(1-MIN(1,INDEX(Tabla_Mortalidad!$B$5:$B$75,MIN(71,Cartera_Polizas!$B$141+14-49))*(1+(Cartera_Polizas!$P$141-1)*MAX(0,1-14/Supuestos!$C$20))*(1-Supuestos!$C$18)^14))</f>
        <v>0.0190238858555123</v>
      </c>
      <c r="R139" s="29" t="n">
        <f aca="false">Q139*(1-MIN(1,INDEX(Tabla_Mortalidad!$B$5:$B$75,MIN(71,Cartera_Polizas!$B$141+15-49))*(1+(Cartera_Polizas!$P$141-1)*MAX(0,1-15/Supuestos!$C$20))*(1-Supuestos!$C$18)^15))</f>
        <v>0.0107595740520008</v>
      </c>
      <c r="S139" s="29" t="n">
        <f aca="false">R139*(1-MIN(1,INDEX(Tabla_Mortalidad!$B$5:$B$75,MIN(71,Cartera_Polizas!$B$141+16-49))*(1+(Cartera_Polizas!$P$141-1)*MAX(0,1-16/Supuestos!$C$20))*(1-Supuestos!$C$18)^16))</f>
        <v>0.00573486874244133</v>
      </c>
      <c r="T139" s="29" t="n">
        <f aca="false">S139*(1-MIN(1,INDEX(Tabla_Mortalidad!$B$5:$B$75,MIN(71,Cartera_Polizas!$B$141+17-49))*(1+(Cartera_Polizas!$P$141-1)*MAX(0,1-17/Supuestos!$C$20))*(1-Supuestos!$C$18)^17))</f>
        <v>0.00286526254493083</v>
      </c>
      <c r="U139" s="29" t="n">
        <f aca="false">T139*(1-MIN(1,INDEX(Tabla_Mortalidad!$B$5:$B$75,MIN(71,Cartera_Polizas!$B$141+18-49))*(1+(Cartera_Polizas!$P$141-1)*MAX(0,1-18/Supuestos!$C$20))*(1-Supuestos!$C$18)^18))</f>
        <v>0.00133449234571138</v>
      </c>
      <c r="V139" s="29" t="n">
        <f aca="false">U139*(1-MIN(1,INDEX(Tabla_Mortalidad!$B$5:$B$75,MIN(71,Cartera_Polizas!$B$141+19-49))*(1+(Cartera_Polizas!$P$141-1)*MAX(0,1-19/Supuestos!$C$20))*(1-Supuestos!$C$18)^19))</f>
        <v>0.00057615987319087</v>
      </c>
      <c r="W139" s="29" t="n">
        <f aca="false">V139*(1-MIN(1,INDEX(Tabla_Mortalidad!$B$5:$B$75,MIN(71,Cartera_Polizas!$B$141+20-49))*(1+(Cartera_Polizas!$P$141-1)*MAX(0,1-20/Supuestos!$C$20))*(1-Supuestos!$C$18)^20))</f>
        <v>0.000229324554437318</v>
      </c>
      <c r="X139" s="29" t="n">
        <f aca="false">W139*(1-MIN(1,INDEX(Tabla_Mortalidad!$B$5:$B$75,MIN(71,Cartera_Polizas!$B$141+21-49))*(1+(Cartera_Polizas!$P$141-1)*MAX(0,1-21/Supuestos!$C$20))*(1-Supuestos!$C$18)^21))</f>
        <v>8.37111043826369E-005</v>
      </c>
      <c r="Y139" s="29" t="n">
        <f aca="false">X139*(1-MIN(1,INDEX(Tabla_Mortalidad!$B$5:$B$75,MIN(71,Cartera_Polizas!$B$141+22-49))*(1+(Cartera_Polizas!$P$141-1)*MAX(0,1-22/Supuestos!$C$20))*(1-Supuestos!$C$18)^22))</f>
        <v>2.78973847666048E-005</v>
      </c>
      <c r="Z139" s="29" t="n">
        <f aca="false">Y139*(1-MIN(1,INDEX(Tabla_Mortalidad!$B$5:$B$75,MIN(71,Cartera_Polizas!$B$141+23-49))*(1+(Cartera_Polizas!$P$141-1)*MAX(0,1-23/Supuestos!$C$20))*(1-Supuestos!$C$18)^23))</f>
        <v>8.45811269294914E-006</v>
      </c>
      <c r="AA139" s="29" t="n">
        <f aca="false">Z139*(1-MIN(1,INDEX(Tabla_Mortalidad!$B$5:$B$75,MIN(71,Cartera_Polizas!$B$141+24-49))*(1+(Cartera_Polizas!$P$141-1)*MAX(0,1-24/Supuestos!$C$20))*(1-Supuestos!$C$18)^24))</f>
        <v>2.32845808874549E-006</v>
      </c>
      <c r="AB139" s="29" t="n">
        <f aca="false">AA139*(1-MIN(1,INDEX(Tabla_Mortalidad!$B$5:$B$75,MIN(71,Cartera_Polizas!$B$141+25-49))*(1+(Cartera_Polizas!$P$141-1)*MAX(0,1-25/Supuestos!$C$20))*(1-Supuestos!$C$18)^25))</f>
        <v>5.82140922629728E-007</v>
      </c>
      <c r="AC139" s="29" t="n">
        <f aca="false">AB139*(1-MIN(1,INDEX(Tabla_Mortalidad!$B$5:$B$75,MIN(71,Cartera_Polizas!$B$141+26-49))*(1+(Cartera_Polizas!$P$141-1)*MAX(0,1-26/Supuestos!$C$20))*(1-Supuestos!$C$18)^26))</f>
        <v>1.32557579566506E-007</v>
      </c>
      <c r="AD139" s="29" t="n">
        <f aca="false">AC139*(1-MIN(1,INDEX(Tabla_Mortalidad!$B$5:$B$75,MIN(71,Cartera_Polizas!$B$141+27-49))*(1+(Cartera_Polizas!$P$141-1)*MAX(0,1-27/Supuestos!$C$20))*(1-Supuestos!$C$18)^27))</f>
        <v>2.76574376617166E-008</v>
      </c>
      <c r="AE139" s="29" t="n">
        <f aca="false">AD139*(1-MIN(1,INDEX(Tabla_Mortalidad!$B$5:$B$75,MIN(71,Cartera_Polizas!$B$141+28-49))*(1+(Cartera_Polizas!$P$141-1)*MAX(0,1-28/Supuestos!$C$20))*(1-Supuestos!$C$18)^28))</f>
        <v>5.33706812764509E-009</v>
      </c>
      <c r="AF139" s="29" t="n">
        <f aca="false">AE139*(1-MIN(1,INDEX(Tabla_Mortalidad!$B$5:$B$75,MIN(71,Cartera_Polizas!$B$141+29-49))*(1+(Cartera_Polizas!$P$141-1)*MAX(0,1-29/Supuestos!$C$20))*(1-Supuestos!$C$18)^29))</f>
        <v>9.64370232719428E-010</v>
      </c>
      <c r="AG139" s="29" t="n">
        <f aca="false">AF139*(1-MIN(1,INDEX(Tabla_Mortalidad!$B$5:$B$75,MIN(71,Cartera_Polizas!$B$141+30-49))*(1+(Cartera_Polizas!$P$141-1)*MAX(0,1-30/Supuestos!$C$20))*(1-Supuestos!$C$18)^30))</f>
        <v>1.34641329334536E-010</v>
      </c>
      <c r="AH139" s="29" t="n">
        <f aca="false">AG139*(1-MIN(1,INDEX(Tabla_Mortalidad!$B$5:$B$75,MIN(71,Cartera_Polizas!$B$141+31-49))*(1+(Cartera_Polizas!$P$141-1)*MAX(0,1-31/Supuestos!$C$20))*(1-Supuestos!$C$18)^31))</f>
        <v>1.93772743534098E-011</v>
      </c>
      <c r="AI139" s="29" t="n">
        <f aca="false">AH139*(1-MIN(1,INDEX(Tabla_Mortalidad!$B$5:$B$75,MIN(71,Cartera_Polizas!$B$141+32-49))*(1+(Cartera_Polizas!$P$141-1)*MAX(0,1-32/Supuestos!$C$20))*(1-Supuestos!$C$18)^32))</f>
        <v>2.87167602518922E-012</v>
      </c>
      <c r="AJ139" s="29" t="n">
        <f aca="false">AI139*(1-MIN(1,INDEX(Tabla_Mortalidad!$B$5:$B$75,MIN(71,Cartera_Polizas!$B$141+33-49))*(1+(Cartera_Polizas!$P$141-1)*MAX(0,1-33/Supuestos!$C$20))*(1-Supuestos!$C$18)^33))</f>
        <v>4.37807541655439E-013</v>
      </c>
      <c r="AK139" s="29" t="n">
        <f aca="false">AJ139*(1-MIN(1,INDEX(Tabla_Mortalidad!$B$5:$B$75,MIN(71,Cartera_Polizas!$B$141+34-49))*(1+(Cartera_Polizas!$P$141-1)*MAX(0,1-34/Supuestos!$C$20))*(1-Supuestos!$C$18)^34))</f>
        <v>6.86021931756181E-014</v>
      </c>
      <c r="AL139" s="29" t="n">
        <f aca="false">AK139*(1-MIN(1,INDEX(Tabla_Mortalidad!$B$5:$B$75,MIN(71,Cartera_Polizas!$B$141+35-49))*(1+(Cartera_Polizas!$P$141-1)*MAX(0,1-35/Supuestos!$C$20))*(1-Supuestos!$C$18)^35))</f>
        <v>1.10388742355147E-014</v>
      </c>
      <c r="AM139" s="29" t="n">
        <f aca="false">AL139*(1-MIN(1,INDEX(Tabla_Mortalidad!$B$5:$B$75,MIN(71,Cartera_Polizas!$B$141+36-49))*(1+(Cartera_Polizas!$P$141-1)*MAX(0,1-36/Supuestos!$C$20))*(1-Supuestos!$C$18)^36))</f>
        <v>1.82259356139274E-015</v>
      </c>
      <c r="AN139" s="29" t="n">
        <f aca="false">AM139*(1-MIN(1,INDEX(Tabla_Mortalidad!$B$5:$B$75,MIN(71,Cartera_Polizas!$B$141+37-49))*(1+(Cartera_Polizas!$P$141-1)*MAX(0,1-37/Supuestos!$C$20))*(1-Supuestos!$C$18)^37))</f>
        <v>3.08531004742868E-016</v>
      </c>
      <c r="AO139" s="29" t="n">
        <f aca="false">AN139*(1-MIN(1,INDEX(Tabla_Mortalidad!$B$5:$B$75,MIN(71,Cartera_Polizas!$B$141+38-49))*(1+(Cartera_Polizas!$P$141-1)*MAX(0,1-38/Supuestos!$C$20))*(1-Supuestos!$C$18)^38))</f>
        <v>5.35100414940298E-017</v>
      </c>
      <c r="AP139" s="29" t="n">
        <f aca="false">AO139*(1-MIN(1,INDEX(Tabla_Mortalidad!$B$5:$B$75,MIN(71,Cartera_Polizas!$B$141+39-49))*(1+(Cartera_Polizas!$P$141-1)*MAX(0,1-39/Supuestos!$C$20))*(1-Supuestos!$C$18)^39))</f>
        <v>9.50165593491142E-018</v>
      </c>
      <c r="AQ139" s="29" t="n">
        <f aca="false">AP139*(1-MIN(1,INDEX(Tabla_Mortalidad!$B$5:$B$75,MIN(71,Cartera_Polizas!$B$141+40-49))*(1+(Cartera_Polizas!$P$141-1)*MAX(0,1-40/Supuestos!$C$20))*(1-Supuestos!$C$18)^40))</f>
        <v>1.7262597003389E-018</v>
      </c>
      <c r="AR139" s="29" t="n">
        <f aca="false">AQ139*(1-MIN(1,INDEX(Tabla_Mortalidad!$B$5:$B$75,MIN(71,Cartera_Polizas!$B$141+41-49))*(1+(Cartera_Polizas!$P$141-1)*MAX(0,1-41/Supuestos!$C$20))*(1-Supuestos!$C$18)^41))</f>
        <v>3.20689818675495E-019</v>
      </c>
      <c r="AS139" s="29" t="n">
        <f aca="false">AR139*(1-MIN(1,INDEX(Tabla_Mortalidad!$B$5:$B$75,MIN(71,Cartera_Polizas!$B$141+42-49))*(1+(Cartera_Polizas!$P$141-1)*MAX(0,1-42/Supuestos!$C$20))*(1-Supuestos!$C$18)^42))</f>
        <v>6.08805960852364E-020</v>
      </c>
      <c r="AT139" s="29" t="n">
        <f aca="false">AS139*(1-MIN(1,INDEX(Tabla_Mortalidad!$B$5:$B$75,MIN(71,Cartera_Polizas!$B$141+43-49))*(1+(Cartera_Polizas!$P$141-1)*MAX(0,1-43/Supuestos!$C$20))*(1-Supuestos!$C$18)^43))</f>
        <v>1.18043463213996E-020</v>
      </c>
      <c r="AU139" s="29" t="n">
        <f aca="false">AT139*(1-MIN(1,INDEX(Tabla_Mortalidad!$B$5:$B$75,MIN(71,Cartera_Polizas!$B$141+44-49))*(1+(Cartera_Polizas!$P$141-1)*MAX(0,1-44/Supuestos!$C$20))*(1-Supuestos!$C$18)^44))</f>
        <v>2.33636275699792E-021</v>
      </c>
    </row>
    <row r="140" customFormat="false" ht="15" hidden="false" customHeight="false" outlineLevel="0" collapsed="false">
      <c r="A140" s="14" t="n">
        <f aca="false">Cartera_Polizas!A142</f>
        <v>137</v>
      </c>
      <c r="B140" s="26" t="n">
        <f aca="false">SUM(C140:AU140)+0.5</f>
        <v>6.45610243987062</v>
      </c>
      <c r="C140" s="29" t="n">
        <f aca="false">1-MIN(1,INDEX(Tabla_Mortalidad!$B$5:$B$75,MIN(71,Cartera_Polizas!$B$142+0-49))*(1+(Cartera_Polizas!$P$142-1)*MAX(0,1-0/Supuestos!$C$20))*(1-Supuestos!$C$18)^0)</f>
        <v>0.897244732</v>
      </c>
      <c r="D140" s="29" t="n">
        <f aca="false">C140*(1-MIN(1,INDEX(Tabla_Mortalidad!$B$5:$B$75,MIN(71,Cartera_Polizas!$B$142+1-49))*(1+(Cartera_Polizas!$P$142-1)*MAX(0,1-1/Supuestos!$C$20))*(1-Supuestos!$C$18)^1))</f>
        <v>0.798360268824442</v>
      </c>
      <c r="E140" s="29" t="n">
        <f aca="false">D140*(1-MIN(1,INDEX(Tabla_Mortalidad!$B$5:$B$75,MIN(71,Cartera_Polizas!$B$142+2-49))*(1+(Cartera_Polizas!$P$142-1)*MAX(0,1-2/Supuestos!$C$20))*(1-Supuestos!$C$18)^2))</f>
        <v>0.704124887738097</v>
      </c>
      <c r="F140" s="29" t="n">
        <f aca="false">E140*(1-MIN(1,INDEX(Tabla_Mortalidad!$B$5:$B$75,MIN(71,Cartera_Polizas!$B$142+3-49))*(1+(Cartera_Polizas!$P$142-1)*MAX(0,1-3/Supuestos!$C$20))*(1-Supuestos!$C$18)^3))</f>
        <v>0.615244071204615</v>
      </c>
      <c r="G140" s="29" t="n">
        <f aca="false">F140*(1-MIN(1,INDEX(Tabla_Mortalidad!$B$5:$B$75,MIN(71,Cartera_Polizas!$B$142+4-49))*(1+(Cartera_Polizas!$P$142-1)*MAX(0,1-4/Supuestos!$C$20))*(1-Supuestos!$C$18)^4))</f>
        <v>0.532330721155765</v>
      </c>
      <c r="H140" s="29" t="n">
        <f aca="false">G140*(1-MIN(1,INDEX(Tabla_Mortalidad!$B$5:$B$75,MIN(71,Cartera_Polizas!$B$142+5-49))*(1+(Cartera_Polizas!$P$142-1)*MAX(0,1-5/Supuestos!$C$20))*(1-Supuestos!$C$18)^5))</f>
        <v>0.455874984580223</v>
      </c>
      <c r="I140" s="29" t="n">
        <f aca="false">H140*(1-MIN(1,INDEX(Tabla_Mortalidad!$B$5:$B$75,MIN(71,Cartera_Polizas!$B$142+6-49))*(1+(Cartera_Polizas!$P$142-1)*MAX(0,1-6/Supuestos!$C$20))*(1-Supuestos!$C$18)^6))</f>
        <v>0.386231999740381</v>
      </c>
      <c r="J140" s="29" t="n">
        <f aca="false">I140*(1-MIN(1,INDEX(Tabla_Mortalidad!$B$5:$B$75,MIN(71,Cartera_Polizas!$B$142+7-49))*(1+(Cartera_Polizas!$P$142-1)*MAX(0,1-7/Supuestos!$C$20))*(1-Supuestos!$C$18)^7))</f>
        <v>0.323604254707739</v>
      </c>
      <c r="K140" s="29" t="n">
        <f aca="false">J140*(1-MIN(1,INDEX(Tabla_Mortalidad!$B$5:$B$75,MIN(71,Cartera_Polizas!$B$142+8-49))*(1+(Cartera_Polizas!$P$142-1)*MAX(0,1-8/Supuestos!$C$20))*(1-Supuestos!$C$18)^8))</f>
        <v>0.26803684934846</v>
      </c>
      <c r="L140" s="29" t="n">
        <f aca="false">K140*(1-MIN(1,INDEX(Tabla_Mortalidad!$B$5:$B$75,MIN(71,Cartera_Polizas!$B$142+9-49))*(1+(Cartera_Polizas!$P$142-1)*MAX(0,1-9/Supuestos!$C$20))*(1-Supuestos!$C$18)^9))</f>
        <v>0.219418969299389</v>
      </c>
      <c r="M140" s="29" t="n">
        <f aca="false">L140*(1-MIN(1,INDEX(Tabla_Mortalidad!$B$5:$B$75,MIN(71,Cartera_Polizas!$B$142+10-49))*(1+(Cartera_Polizas!$P$142-1)*MAX(0,1-10/Supuestos!$C$20))*(1-Supuestos!$C$18)^10))</f>
        <v>0.177493913165618</v>
      </c>
      <c r="N140" s="29" t="n">
        <f aca="false">M140*(1-MIN(1,INDEX(Tabla_Mortalidad!$B$5:$B$75,MIN(71,Cartera_Polizas!$B$142+11-49))*(1+(Cartera_Polizas!$P$142-1)*MAX(0,1-11/Supuestos!$C$20))*(1-Supuestos!$C$18)^11))</f>
        <v>0.141876382438128</v>
      </c>
      <c r="O140" s="29" t="n">
        <f aca="false">N140*(1-MIN(1,INDEX(Tabla_Mortalidad!$B$5:$B$75,MIN(71,Cartera_Polizas!$B$142+12-49))*(1+(Cartera_Polizas!$P$142-1)*MAX(0,1-12/Supuestos!$C$20))*(1-Supuestos!$C$18)^12))</f>
        <v>0.112075736524036</v>
      </c>
      <c r="P140" s="29" t="n">
        <f aca="false">O140*(1-MIN(1,INDEX(Tabla_Mortalidad!$B$5:$B$75,MIN(71,Cartera_Polizas!$B$142+13-49))*(1+(Cartera_Polizas!$P$142-1)*MAX(0,1-13/Supuestos!$C$20))*(1-Supuestos!$C$18)^13))</f>
        <v>0.0875250321662619</v>
      </c>
      <c r="Q140" s="29" t="n">
        <f aca="false">P140*(1-MIN(1,INDEX(Tabla_Mortalidad!$B$5:$B$75,MIN(71,Cartera_Polizas!$B$142+14-49))*(1+(Cartera_Polizas!$P$142-1)*MAX(0,1-14/Supuestos!$C$20))*(1-Supuestos!$C$18)^14))</f>
        <v>0.0676114805958288</v>
      </c>
      <c r="R140" s="29" t="n">
        <f aca="false">Q140*(1-MIN(1,INDEX(Tabla_Mortalidad!$B$5:$B$75,MIN(71,Cartera_Polizas!$B$142+15-49))*(1+(Cartera_Polizas!$P$142-1)*MAX(0,1-15/Supuestos!$C$20))*(1-Supuestos!$C$18)^15))</f>
        <v>0.0517064413834542</v>
      </c>
      <c r="S140" s="29" t="n">
        <f aca="false">R140*(1-MIN(1,INDEX(Tabla_Mortalidad!$B$5:$B$75,MIN(71,Cartera_Polizas!$B$142+16-49))*(1+(Cartera_Polizas!$P$142-1)*MAX(0,1-16/Supuestos!$C$20))*(1-Supuestos!$C$18)^16))</f>
        <v>0.0384126198466128</v>
      </c>
      <c r="T140" s="29" t="n">
        <f aca="false">S140*(1-MIN(1,INDEX(Tabla_Mortalidad!$B$5:$B$75,MIN(71,Cartera_Polizas!$B$142+17-49))*(1+(Cartera_Polizas!$P$142-1)*MAX(0,1-17/Supuestos!$C$20))*(1-Supuestos!$C$18)^17))</f>
        <v>0.0276379595465436</v>
      </c>
      <c r="U140" s="29" t="n">
        <f aca="false">T140*(1-MIN(1,INDEX(Tabla_Mortalidad!$B$5:$B$75,MIN(71,Cartera_Polizas!$B$142+18-49))*(1+(Cartera_Polizas!$P$142-1)*MAX(0,1-18/Supuestos!$C$20))*(1-Supuestos!$C$18)^18))</f>
        <v>0.0191964749641362</v>
      </c>
      <c r="V140" s="29" t="n">
        <f aca="false">U140*(1-MIN(1,INDEX(Tabla_Mortalidad!$B$5:$B$75,MIN(71,Cartera_Polizas!$B$142+19-49))*(1+(Cartera_Polizas!$P$142-1)*MAX(0,1-19/Supuestos!$C$20))*(1-Supuestos!$C$18)^19))</f>
        <v>0.0128257191549888</v>
      </c>
      <c r="W140" s="29" t="n">
        <f aca="false">V140*(1-MIN(1,INDEX(Tabla_Mortalidad!$B$5:$B$75,MIN(71,Cartera_Polizas!$B$142+20-49))*(1+(Cartera_Polizas!$P$142-1)*MAX(0,1-20/Supuestos!$C$20))*(1-Supuestos!$C$18)^20))</f>
        <v>0.00821155042444262</v>
      </c>
      <c r="X140" s="29" t="n">
        <f aca="false">W140*(1-MIN(1,INDEX(Tabla_Mortalidad!$B$5:$B$75,MIN(71,Cartera_Polizas!$B$142+21-49))*(1+(Cartera_Polizas!$P$142-1)*MAX(0,1-21/Supuestos!$C$20))*(1-Supuestos!$C$18)^21))</f>
        <v>0.00501728864273413</v>
      </c>
      <c r="Y140" s="29" t="n">
        <f aca="false">X140*(1-MIN(1,INDEX(Tabla_Mortalidad!$B$5:$B$75,MIN(71,Cartera_Polizas!$B$142+22-49))*(1+(Cartera_Polizas!$P$142-1)*MAX(0,1-22/Supuestos!$C$20))*(1-Supuestos!$C$18)^22))</f>
        <v>0.00291284105186079</v>
      </c>
      <c r="Z140" s="29" t="n">
        <f aca="false">Y140*(1-MIN(1,INDEX(Tabla_Mortalidad!$B$5:$B$75,MIN(71,Cartera_Polizas!$B$142+23-49))*(1+(Cartera_Polizas!$P$142-1)*MAX(0,1-23/Supuestos!$C$20))*(1-Supuestos!$C$18)^23))</f>
        <v>0.00159945055623907</v>
      </c>
      <c r="AA140" s="29" t="n">
        <f aca="false">Z140*(1-MIN(1,INDEX(Tabla_Mortalidad!$B$5:$B$75,MIN(71,Cartera_Polizas!$B$142+24-49))*(1+(Cartera_Polizas!$P$142-1)*MAX(0,1-24/Supuestos!$C$20))*(1-Supuestos!$C$18)^24))</f>
        <v>0.000826714452587344</v>
      </c>
      <c r="AB140" s="29" t="n">
        <f aca="false">AA140*(1-MIN(1,INDEX(Tabla_Mortalidad!$B$5:$B$75,MIN(71,Cartera_Polizas!$B$142+25-49))*(1+(Cartera_Polizas!$P$142-1)*MAX(0,1-25/Supuestos!$C$20))*(1-Supuestos!$C$18)^25))</f>
        <v>0.000400269801483436</v>
      </c>
      <c r="AC140" s="29" t="n">
        <f aca="false">AB140*(1-MIN(1,INDEX(Tabla_Mortalidad!$B$5:$B$75,MIN(71,Cartera_Polizas!$B$142+26-49))*(1+(Cartera_Polizas!$P$142-1)*MAX(0,1-26/Supuestos!$C$20))*(1-Supuestos!$C$18)^26))</f>
        <v>0.000180656845691866</v>
      </c>
      <c r="AD140" s="29" t="n">
        <f aca="false">AC140*(1-MIN(1,INDEX(Tabla_Mortalidad!$B$5:$B$75,MIN(71,Cartera_Polizas!$B$142+27-49))*(1+(Cartera_Polizas!$P$142-1)*MAX(0,1-27/Supuestos!$C$20))*(1-Supuestos!$C$18)^27))</f>
        <v>7.5655154076119E-005</v>
      </c>
      <c r="AE140" s="29" t="n">
        <f aca="false">AD140*(1-MIN(1,INDEX(Tabla_Mortalidad!$B$5:$B$75,MIN(71,Cartera_Polizas!$B$142+28-49))*(1+(Cartera_Polizas!$P$142-1)*MAX(0,1-28/Supuestos!$C$20))*(1-Supuestos!$C$18)^28))</f>
        <v>2.92729888376998E-005</v>
      </c>
      <c r="AF140" s="29" t="n">
        <f aca="false">AE140*(1-MIN(1,INDEX(Tabla_Mortalidad!$B$5:$B$75,MIN(71,Cartera_Polizas!$B$142+29-49))*(1+(Cartera_Polizas!$P$142-1)*MAX(0,1-29/Supuestos!$C$20))*(1-Supuestos!$C$18)^29))</f>
        <v>1.04284060322076E-005</v>
      </c>
      <c r="AG140" s="29" t="n">
        <f aca="false">AF140*(1-MIN(1,INDEX(Tabla_Mortalidad!$B$5:$B$75,MIN(71,Cartera_Polizas!$B$142+30-49))*(1+(Cartera_Polizas!$P$142-1)*MAX(0,1-30/Supuestos!$C$20))*(1-Supuestos!$C$18)^30))</f>
        <v>3.41230226972628E-006</v>
      </c>
      <c r="AH140" s="29" t="n">
        <f aca="false">AG140*(1-MIN(1,INDEX(Tabla_Mortalidad!$B$5:$B$75,MIN(71,Cartera_Polizas!$B$142+31-49))*(1+(Cartera_Polizas!$P$142-1)*MAX(0,1-31/Supuestos!$C$20))*(1-Supuestos!$C$18)^31))</f>
        <v>1.02464714839975E-006</v>
      </c>
      <c r="AI140" s="29" t="n">
        <f aca="false">AH140*(1-MIN(1,INDEX(Tabla_Mortalidad!$B$5:$B$75,MIN(71,Cartera_Polizas!$B$142+32-49))*(1+(Cartera_Polizas!$P$142-1)*MAX(0,1-32/Supuestos!$C$20))*(1-Supuestos!$C$18)^32))</f>
        <v>2.82669882344973E-007</v>
      </c>
      <c r="AJ140" s="29" t="n">
        <f aca="false">AI140*(1-MIN(1,INDEX(Tabla_Mortalidad!$B$5:$B$75,MIN(71,Cartera_Polizas!$B$142+33-49))*(1+(Cartera_Polizas!$P$142-1)*MAX(0,1-33/Supuestos!$C$20))*(1-Supuestos!$C$18)^33))</f>
        <v>7.18928983678671E-008</v>
      </c>
      <c r="AK140" s="29" t="n">
        <f aca="false">AJ140*(1-MIN(1,INDEX(Tabla_Mortalidad!$B$5:$B$75,MIN(71,Cartera_Polizas!$B$142+34-49))*(1+(Cartera_Polizas!$P$142-1)*MAX(0,1-34/Supuestos!$C$20))*(1-Supuestos!$C$18)^34))</f>
        <v>1.69617007086308E-008</v>
      </c>
      <c r="AL140" s="29" t="n">
        <f aca="false">AK140*(1-MIN(1,INDEX(Tabla_Mortalidad!$B$5:$B$75,MIN(71,Cartera_Polizas!$B$142+35-49))*(1+(Cartera_Polizas!$P$142-1)*MAX(0,1-35/Supuestos!$C$20))*(1-Supuestos!$C$18)^35))</f>
        <v>3.74508083726477E-009</v>
      </c>
      <c r="AM140" s="29" t="n">
        <f aca="false">AL140*(1-MIN(1,INDEX(Tabla_Mortalidad!$B$5:$B$75,MIN(71,Cartera_Polizas!$B$142+36-49))*(1+(Cartera_Polizas!$P$142-1)*MAX(0,1-36/Supuestos!$C$20))*(1-Supuestos!$C$18)^36))</f>
        <v>7.82504918255382E-010</v>
      </c>
      <c r="AN140" s="29" t="n">
        <f aca="false">AM140*(1-MIN(1,INDEX(Tabla_Mortalidad!$B$5:$B$75,MIN(71,Cartera_Polizas!$B$142+37-49))*(1+(Cartera_Polizas!$P$142-1)*MAX(0,1-37/Supuestos!$C$20))*(1-Supuestos!$C$18)^37))</f>
        <v>1.32463448658889E-010</v>
      </c>
      <c r="AO140" s="29" t="n">
        <f aca="false">AN140*(1-MIN(1,INDEX(Tabla_Mortalidad!$B$5:$B$75,MIN(71,Cartera_Polizas!$B$142+38-49))*(1+(Cartera_Polizas!$P$142-1)*MAX(0,1-38/Supuestos!$C$20))*(1-Supuestos!$C$18)^38))</f>
        <v>2.29737839154503E-011</v>
      </c>
      <c r="AP140" s="29" t="n">
        <f aca="false">AO140*(1-MIN(1,INDEX(Tabla_Mortalidad!$B$5:$B$75,MIN(71,Cartera_Polizas!$B$142+39-49))*(1+(Cartera_Polizas!$P$142-1)*MAX(0,1-39/Supuestos!$C$20))*(1-Supuestos!$C$18)^39))</f>
        <v>4.0794023737015E-012</v>
      </c>
      <c r="AQ140" s="29" t="n">
        <f aca="false">AP140*(1-MIN(1,INDEX(Tabla_Mortalidad!$B$5:$B$75,MIN(71,Cartera_Polizas!$B$142+40-49))*(1+(Cartera_Polizas!$P$142-1)*MAX(0,1-40/Supuestos!$C$20))*(1-Supuestos!$C$18)^40))</f>
        <v>7.41145329553904E-013</v>
      </c>
      <c r="AR140" s="29" t="n">
        <f aca="false">AQ140*(1-MIN(1,INDEX(Tabla_Mortalidad!$B$5:$B$75,MIN(71,Cartera_Polizas!$B$142+41-49))*(1+(Cartera_Polizas!$P$142-1)*MAX(0,1-41/Supuestos!$C$20))*(1-Supuestos!$C$18)^41))</f>
        <v>1.37683664456843E-013</v>
      </c>
      <c r="AS140" s="29" t="n">
        <f aca="false">AR140*(1-MIN(1,INDEX(Tabla_Mortalidad!$B$5:$B$75,MIN(71,Cartera_Polizas!$B$142+42-49))*(1+(Cartera_Polizas!$P$142-1)*MAX(0,1-42/Supuestos!$C$20))*(1-Supuestos!$C$18)^42))</f>
        <v>2.61382278924616E-014</v>
      </c>
      <c r="AT140" s="29" t="n">
        <f aca="false">AS140*(1-MIN(1,INDEX(Tabla_Mortalidad!$B$5:$B$75,MIN(71,Cartera_Polizas!$B$142+43-49))*(1+(Cartera_Polizas!$P$142-1)*MAX(0,1-43/Supuestos!$C$20))*(1-Supuestos!$C$18)^43))</f>
        <v>5.06803011321216E-015</v>
      </c>
      <c r="AU140" s="29" t="n">
        <f aca="false">AT140*(1-MIN(1,INDEX(Tabla_Mortalidad!$B$5:$B$75,MIN(71,Cartera_Polizas!$B$142+44-49))*(1+(Cartera_Polizas!$P$142-1)*MAX(0,1-44/Supuestos!$C$20))*(1-Supuestos!$C$18)^44))</f>
        <v>1.00308449832476E-015</v>
      </c>
    </row>
    <row r="141" customFormat="false" ht="15" hidden="false" customHeight="false" outlineLevel="0" collapsed="false">
      <c r="A141" s="14" t="n">
        <f aca="false">Cartera_Polizas!A143</f>
        <v>138</v>
      </c>
      <c r="B141" s="26" t="n">
        <f aca="false">SUM(C141:AU141)+0.5</f>
        <v>7.72877194048031</v>
      </c>
      <c r="C141" s="29" t="n">
        <f aca="false">1-MIN(1,INDEX(Tabla_Mortalidad!$B$5:$B$75,MIN(71,Cartera_Polizas!$B$143+0-49))*(1+(Cartera_Polizas!$P$143-1)*MAX(0,1-0/Supuestos!$C$20))*(1-Supuestos!$C$18)^0)</f>
        <v>0.9230686675</v>
      </c>
      <c r="D141" s="29" t="n">
        <f aca="false">C141*(1-MIN(1,INDEX(Tabla_Mortalidad!$B$5:$B$75,MIN(71,Cartera_Polizas!$B$143+1-49))*(1+(Cartera_Polizas!$P$143-1)*MAX(0,1-1/Supuestos!$C$20))*(1-Supuestos!$C$18)^1))</f>
        <v>0.846320291588437</v>
      </c>
      <c r="E141" s="29" t="n">
        <f aca="false">D141*(1-MIN(1,INDEX(Tabla_Mortalidad!$B$5:$B$75,MIN(71,Cartera_Polizas!$B$143+2-49))*(1+(Cartera_Polizas!$P$143-1)*MAX(0,1-2/Supuestos!$C$20))*(1-Supuestos!$C$18)^2))</f>
        <v>0.770343079539847</v>
      </c>
      <c r="F141" s="29" t="n">
        <f aca="false">E141*(1-MIN(1,INDEX(Tabla_Mortalidad!$B$5:$B$75,MIN(71,Cartera_Polizas!$B$143+3-49))*(1+(Cartera_Polizas!$P$143-1)*MAX(0,1-3/Supuestos!$C$20))*(1-Supuestos!$C$18)^3))</f>
        <v>0.695749220551855</v>
      </c>
      <c r="G141" s="29" t="n">
        <f aca="false">F141*(1-MIN(1,INDEX(Tabla_Mortalidad!$B$5:$B$75,MIN(71,Cartera_Polizas!$B$143+4-49))*(1+(Cartera_Polizas!$P$143-1)*MAX(0,1-4/Supuestos!$C$20))*(1-Supuestos!$C$18)^4))</f>
        <v>0.623159507252296</v>
      </c>
      <c r="H141" s="29" t="n">
        <f aca="false">G141*(1-MIN(1,INDEX(Tabla_Mortalidad!$B$5:$B$75,MIN(71,Cartera_Polizas!$B$143+5-49))*(1+(Cartera_Polizas!$P$143-1)*MAX(0,1-5/Supuestos!$C$20))*(1-Supuestos!$C$18)^5))</f>
        <v>0.553190426174933</v>
      </c>
      <c r="I141" s="29" t="n">
        <f aca="false">H141*(1-MIN(1,INDEX(Tabla_Mortalidad!$B$5:$B$75,MIN(71,Cartera_Polizas!$B$143+6-49))*(1+(Cartera_Polizas!$P$143-1)*MAX(0,1-6/Supuestos!$C$20))*(1-Supuestos!$C$18)^6))</f>
        <v>0.486429098567342</v>
      </c>
      <c r="J141" s="29" t="n">
        <f aca="false">I141*(1-MIN(1,INDEX(Tabla_Mortalidad!$B$5:$B$75,MIN(71,Cartera_Polizas!$B$143+7-49))*(1+(Cartera_Polizas!$P$143-1)*MAX(0,1-7/Supuestos!$C$20))*(1-Supuestos!$C$18)^7))</f>
        <v>0.423418488072946</v>
      </c>
      <c r="K141" s="29" t="n">
        <f aca="false">J141*(1-MIN(1,INDEX(Tabla_Mortalidad!$B$5:$B$75,MIN(71,Cartera_Polizas!$B$143+8-49))*(1+(Cartera_Polizas!$P$143-1)*MAX(0,1-8/Supuestos!$C$20))*(1-Supuestos!$C$18)^8))</f>
        <v>0.364633453060913</v>
      </c>
      <c r="L141" s="29" t="n">
        <f aca="false">K141*(1-MIN(1,INDEX(Tabla_Mortalidad!$B$5:$B$75,MIN(71,Cartera_Polizas!$B$143+9-49))*(1+(Cartera_Polizas!$P$143-1)*MAX(0,1-9/Supuestos!$C$20))*(1-Supuestos!$C$18)^9))</f>
        <v>0.31046305855712</v>
      </c>
      <c r="M141" s="29" t="n">
        <f aca="false">L141*(1-MIN(1,INDEX(Tabla_Mortalidad!$B$5:$B$75,MIN(71,Cartera_Polizas!$B$143+10-49))*(1+(Cartera_Polizas!$P$143-1)*MAX(0,1-10/Supuestos!$C$20))*(1-Supuestos!$C$18)^10))</f>
        <v>0.26119424651258</v>
      </c>
      <c r="N141" s="29" t="n">
        <f aca="false">M141*(1-MIN(1,INDEX(Tabla_Mortalidad!$B$5:$B$75,MIN(71,Cartera_Polizas!$B$143+11-49))*(1+(Cartera_Polizas!$P$143-1)*MAX(0,1-11/Supuestos!$C$20))*(1-Supuestos!$C$18)^11))</f>
        <v>0.217000088964976</v>
      </c>
      <c r="O141" s="29" t="n">
        <f aca="false">N141*(1-MIN(1,INDEX(Tabla_Mortalidad!$B$5:$B$75,MIN(71,Cartera_Polizas!$B$143+12-49))*(1+(Cartera_Polizas!$P$143-1)*MAX(0,1-12/Supuestos!$C$20))*(1-Supuestos!$C$18)^12))</f>
        <v>0.177933090623574</v>
      </c>
      <c r="P141" s="29" t="n">
        <f aca="false">O141*(1-MIN(1,INDEX(Tabla_Mortalidad!$B$5:$B$75,MIN(71,Cartera_Polizas!$B$143+13-49))*(1+(Cartera_Polizas!$P$143-1)*MAX(0,1-13/Supuestos!$C$20))*(1-Supuestos!$C$18)^13))</f>
        <v>0.1439242435169</v>
      </c>
      <c r="Q141" s="29" t="n">
        <f aca="false">P141*(1-MIN(1,INDEX(Tabla_Mortalidad!$B$5:$B$75,MIN(71,Cartera_Polizas!$B$143+14-49))*(1+(Cartera_Polizas!$P$143-1)*MAX(0,1-14/Supuestos!$C$20))*(1-Supuestos!$C$18)^14))</f>
        <v>0.114790088333077</v>
      </c>
      <c r="R141" s="29" t="n">
        <f aca="false">Q141*(1-MIN(1,INDEX(Tabla_Mortalidad!$B$5:$B$75,MIN(71,Cartera_Polizas!$B$143+15-49))*(1+(Cartera_Polizas!$P$143-1)*MAX(0,1-15/Supuestos!$C$20))*(1-Supuestos!$C$18)^15))</f>
        <v>0.0902454109432854</v>
      </c>
      <c r="S141" s="29" t="n">
        <f aca="false">R141*(1-MIN(1,INDEX(Tabla_Mortalidad!$B$5:$B$75,MIN(71,Cartera_Polizas!$B$143+16-49))*(1+(Cartera_Polizas!$P$143-1)*MAX(0,1-16/Supuestos!$C$20))*(1-Supuestos!$C$18)^16))</f>
        <v>0.069122075036351</v>
      </c>
      <c r="T141" s="29" t="n">
        <f aca="false">S141*(1-MIN(1,INDEX(Tabla_Mortalidad!$B$5:$B$75,MIN(71,Cartera_Polizas!$B$143+17-49))*(1+(Cartera_Polizas!$P$143-1)*MAX(0,1-17/Supuestos!$C$20))*(1-Supuestos!$C$18)^17))</f>
        <v>0.0514395190012139</v>
      </c>
      <c r="U141" s="29" t="n">
        <f aca="false">T141*(1-MIN(1,INDEX(Tabla_Mortalidad!$B$5:$B$75,MIN(71,Cartera_Polizas!$B$143+18-49))*(1+(Cartera_Polizas!$P$143-1)*MAX(0,1-18/Supuestos!$C$20))*(1-Supuestos!$C$18)^18))</f>
        <v>0.0370829838645074</v>
      </c>
      <c r="V141" s="29" t="n">
        <f aca="false">U141*(1-MIN(1,INDEX(Tabla_Mortalidad!$B$5:$B$75,MIN(71,Cartera_Polizas!$B$143+19-49))*(1+(Cartera_Polizas!$P$143-1)*MAX(0,1-19/Supuestos!$C$20))*(1-Supuestos!$C$18)^19))</f>
        <v>0.0258133292123772</v>
      </c>
      <c r="W141" s="29" t="n">
        <f aca="false">V141*(1-MIN(1,INDEX(Tabla_Mortalidad!$B$5:$B$75,MIN(71,Cartera_Polizas!$B$143+20-49))*(1+(Cartera_Polizas!$P$143-1)*MAX(0,1-20/Supuestos!$C$20))*(1-Supuestos!$C$18)^20))</f>
        <v>0.017289464010369</v>
      </c>
      <c r="X141" s="29" t="n">
        <f aca="false">W141*(1-MIN(1,INDEX(Tabla_Mortalidad!$B$5:$B$75,MIN(71,Cartera_Polizas!$B$143+21-49))*(1+(Cartera_Polizas!$P$143-1)*MAX(0,1-21/Supuestos!$C$20))*(1-Supuestos!$C$18)^21))</f>
        <v>0.0111005228114928</v>
      </c>
      <c r="Y141" s="29" t="n">
        <f aca="false">X141*(1-MIN(1,INDEX(Tabla_Mortalidad!$B$5:$B$75,MIN(71,Cartera_Polizas!$B$143+22-49))*(1+(Cartera_Polizas!$P$143-1)*MAX(0,1-22/Supuestos!$C$20))*(1-Supuestos!$C$18)^22))</f>
        <v>0.00680405209996325</v>
      </c>
      <c r="Z141" s="29" t="n">
        <f aca="false">Y141*(1-MIN(1,INDEX(Tabla_Mortalidad!$B$5:$B$75,MIN(71,Cartera_Polizas!$B$143+23-49))*(1+(Cartera_Polizas!$P$143-1)*MAX(0,1-23/Supuestos!$C$20))*(1-Supuestos!$C$18)^23))</f>
        <v>0.00396443528514696</v>
      </c>
      <c r="AA141" s="29" t="n">
        <f aca="false">Z141*(1-MIN(1,INDEX(Tabla_Mortalidad!$B$5:$B$75,MIN(71,Cartera_Polizas!$B$143+24-49))*(1+(Cartera_Polizas!$P$143-1)*MAX(0,1-24/Supuestos!$C$20))*(1-Supuestos!$C$18)^24))</f>
        <v>0.00218582214640749</v>
      </c>
      <c r="AB141" s="29" t="n">
        <f aca="false">AA141*(1-MIN(1,INDEX(Tabla_Mortalidad!$B$5:$B$75,MIN(71,Cartera_Polizas!$B$143+25-49))*(1+(Cartera_Polizas!$P$143-1)*MAX(0,1-25/Supuestos!$C$20))*(1-Supuestos!$C$18)^25))</f>
        <v>0.00113507483590674</v>
      </c>
      <c r="AC141" s="29" t="n">
        <f aca="false">AB141*(1-MIN(1,INDEX(Tabla_Mortalidad!$B$5:$B$75,MIN(71,Cartera_Polizas!$B$143+26-49))*(1+(Cartera_Polizas!$P$143-1)*MAX(0,1-26/Supuestos!$C$20))*(1-Supuestos!$C$18)^26))</f>
        <v>0.000552495980649201</v>
      </c>
      <c r="AD141" s="29" t="n">
        <f aca="false">AC141*(1-MIN(1,INDEX(Tabla_Mortalidad!$B$5:$B$75,MIN(71,Cartera_Polizas!$B$143+27-49))*(1+(Cartera_Polizas!$P$143-1)*MAX(0,1-27/Supuestos!$C$20))*(1-Supuestos!$C$18)^27))</f>
        <v>0.000250877925654706</v>
      </c>
      <c r="AE141" s="29" t="n">
        <f aca="false">AD141*(1-MIN(1,INDEX(Tabla_Mortalidad!$B$5:$B$75,MIN(71,Cartera_Polizas!$B$143+28-49))*(1+(Cartera_Polizas!$P$143-1)*MAX(0,1-28/Supuestos!$C$20))*(1-Supuestos!$C$18)^28))</f>
        <v>0.000105791292211621</v>
      </c>
      <c r="AF141" s="29" t="n">
        <f aca="false">AE141*(1-MIN(1,INDEX(Tabla_Mortalidad!$B$5:$B$75,MIN(71,Cartera_Polizas!$B$143+29-49))*(1+(Cartera_Polizas!$P$143-1)*MAX(0,1-29/Supuestos!$C$20))*(1-Supuestos!$C$18)^29))</f>
        <v>4.12577503824371E-005</v>
      </c>
      <c r="AG141" s="29" t="n">
        <f aca="false">AF141*(1-MIN(1,INDEX(Tabla_Mortalidad!$B$5:$B$75,MIN(71,Cartera_Polizas!$B$143+30-49))*(1+(Cartera_Polizas!$P$143-1)*MAX(0,1-30/Supuestos!$C$20))*(1-Supuestos!$C$18)^30))</f>
        <v>1.48307369923107E-005</v>
      </c>
      <c r="AH141" s="29" t="n">
        <f aca="false">AG141*(1-MIN(1,INDEX(Tabla_Mortalidad!$B$5:$B$75,MIN(71,Cartera_Polizas!$B$143+31-49))*(1+(Cartera_Polizas!$P$143-1)*MAX(0,1-31/Supuestos!$C$20))*(1-Supuestos!$C$18)^31))</f>
        <v>4.90268860751415E-006</v>
      </c>
      <c r="AI141" s="29" t="n">
        <f aca="false">AH141*(1-MIN(1,INDEX(Tabla_Mortalidad!$B$5:$B$75,MIN(71,Cartera_Polizas!$B$143+32-49))*(1+(Cartera_Polizas!$P$143-1)*MAX(0,1-32/Supuestos!$C$20))*(1-Supuestos!$C$18)^32))</f>
        <v>1.48933334367209E-006</v>
      </c>
      <c r="AJ141" s="29" t="n">
        <f aca="false">AI141*(1-MIN(1,INDEX(Tabla_Mortalidad!$B$5:$B$75,MIN(71,Cartera_Polizas!$B$143+33-49))*(1+(Cartera_Polizas!$P$143-1)*MAX(0,1-33/Supuestos!$C$20))*(1-Supuestos!$C$18)^33))</f>
        <v>4.16255429107727E-007</v>
      </c>
      <c r="AK141" s="29" t="n">
        <f aca="false">AJ141*(1-MIN(1,INDEX(Tabla_Mortalidad!$B$5:$B$75,MIN(71,Cartera_Polizas!$B$143+34-49))*(1+(Cartera_Polizas!$P$143-1)*MAX(0,1-34/Supuestos!$C$20))*(1-Supuestos!$C$18)^34))</f>
        <v>1.07420338974828E-007</v>
      </c>
      <c r="AL141" s="29" t="n">
        <f aca="false">AK141*(1-MIN(1,INDEX(Tabla_Mortalidad!$B$5:$B$75,MIN(71,Cartera_Polizas!$B$143+35-49))*(1+(Cartera_Polizas!$P$143-1)*MAX(0,1-35/Supuestos!$C$20))*(1-Supuestos!$C$18)^35))</f>
        <v>2.57540775390759E-008</v>
      </c>
      <c r="AM141" s="29" t="n">
        <f aca="false">AL141*(1-MIN(1,INDEX(Tabla_Mortalidad!$B$5:$B$75,MIN(71,Cartera_Polizas!$B$143+36-49))*(1+(Cartera_Polizas!$P$143-1)*MAX(0,1-36/Supuestos!$C$20))*(1-Supuestos!$C$18)^36))</f>
        <v>5.78674351257348E-009</v>
      </c>
      <c r="AN141" s="29" t="n">
        <f aca="false">AM141*(1-MIN(1,INDEX(Tabla_Mortalidad!$B$5:$B$75,MIN(71,Cartera_Polizas!$B$143+37-49))*(1+(Cartera_Polizas!$P$143-1)*MAX(0,1-37/Supuestos!$C$20))*(1-Supuestos!$C$18)^37))</f>
        <v>1.23198237759271E-009</v>
      </c>
      <c r="AO141" s="29" t="n">
        <f aca="false">AN141*(1-MIN(1,INDEX(Tabla_Mortalidad!$B$5:$B$75,MIN(71,Cartera_Polizas!$B$143+38-49))*(1+(Cartera_Polizas!$P$143-1)*MAX(0,1-38/Supuestos!$C$20))*(1-Supuestos!$C$18)^38))</f>
        <v>2.13668730634836E-010</v>
      </c>
      <c r="AP141" s="29" t="n">
        <f aca="false">AO141*(1-MIN(1,INDEX(Tabla_Mortalidad!$B$5:$B$75,MIN(71,Cartera_Polizas!$B$143+39-49))*(1+(Cartera_Polizas!$P$143-1)*MAX(0,1-39/Supuestos!$C$20))*(1-Supuestos!$C$18)^39))</f>
        <v>3.79406688138711E-011</v>
      </c>
      <c r="AQ141" s="29" t="n">
        <f aca="false">AP141*(1-MIN(1,INDEX(Tabla_Mortalidad!$B$5:$B$75,MIN(71,Cartera_Polizas!$B$143+40-49))*(1+(Cartera_Polizas!$P$143-1)*MAX(0,1-40/Supuestos!$C$20))*(1-Supuestos!$C$18)^40))</f>
        <v>6.89305611842289E-012</v>
      </c>
      <c r="AR141" s="29" t="n">
        <f aca="false">AQ141*(1-MIN(1,INDEX(Tabla_Mortalidad!$B$5:$B$75,MIN(71,Cartera_Polizas!$B$143+41-49))*(1+(Cartera_Polizas!$P$143-1)*MAX(0,1-41/Supuestos!$C$20))*(1-Supuestos!$C$18)^41))</f>
        <v>1.2805332339642E-012</v>
      </c>
      <c r="AS141" s="29" t="n">
        <f aca="false">AR141*(1-MIN(1,INDEX(Tabla_Mortalidad!$B$5:$B$75,MIN(71,Cartera_Polizas!$B$143+42-49))*(1+(Cartera_Polizas!$P$143-1)*MAX(0,1-42/Supuestos!$C$20))*(1-Supuestos!$C$18)^42))</f>
        <v>2.43099786930197E-013</v>
      </c>
      <c r="AT141" s="29" t="n">
        <f aca="false">AS141*(1-MIN(1,INDEX(Tabla_Mortalidad!$B$5:$B$75,MIN(71,Cartera_Polizas!$B$143+43-49))*(1+(Cartera_Polizas!$P$143-1)*MAX(0,1-43/Supuestos!$C$20))*(1-Supuestos!$C$18)^43))</f>
        <v>4.71354464329627E-014</v>
      </c>
      <c r="AU141" s="29" t="n">
        <f aca="false">AT141*(1-MIN(1,INDEX(Tabla_Mortalidad!$B$5:$B$75,MIN(71,Cartera_Polizas!$B$143+44-49))*(1+(Cartera_Polizas!$P$143-1)*MAX(0,1-44/Supuestos!$C$20))*(1-Supuestos!$C$18)^44))</f>
        <v>9.32923336727275E-015</v>
      </c>
    </row>
    <row r="142" customFormat="false" ht="15" hidden="false" customHeight="false" outlineLevel="0" collapsed="false">
      <c r="A142" s="14" t="n">
        <f aca="false">Cartera_Polizas!A144</f>
        <v>139</v>
      </c>
      <c r="B142" s="26" t="n">
        <f aca="false">SUM(C142:AU142)+0.5</f>
        <v>7.72877194048031</v>
      </c>
      <c r="C142" s="29" t="n">
        <f aca="false">1-MIN(1,INDEX(Tabla_Mortalidad!$B$5:$B$75,MIN(71,Cartera_Polizas!$B$144+0-49))*(1+(Cartera_Polizas!$P$144-1)*MAX(0,1-0/Supuestos!$C$20))*(1-Supuestos!$C$18)^0)</f>
        <v>0.9230686675</v>
      </c>
      <c r="D142" s="29" t="n">
        <f aca="false">C142*(1-MIN(1,INDEX(Tabla_Mortalidad!$B$5:$B$75,MIN(71,Cartera_Polizas!$B$144+1-49))*(1+(Cartera_Polizas!$P$144-1)*MAX(0,1-1/Supuestos!$C$20))*(1-Supuestos!$C$18)^1))</f>
        <v>0.846320291588437</v>
      </c>
      <c r="E142" s="29" t="n">
        <f aca="false">D142*(1-MIN(1,INDEX(Tabla_Mortalidad!$B$5:$B$75,MIN(71,Cartera_Polizas!$B$144+2-49))*(1+(Cartera_Polizas!$P$144-1)*MAX(0,1-2/Supuestos!$C$20))*(1-Supuestos!$C$18)^2))</f>
        <v>0.770343079539847</v>
      </c>
      <c r="F142" s="29" t="n">
        <f aca="false">E142*(1-MIN(1,INDEX(Tabla_Mortalidad!$B$5:$B$75,MIN(71,Cartera_Polizas!$B$144+3-49))*(1+(Cartera_Polizas!$P$144-1)*MAX(0,1-3/Supuestos!$C$20))*(1-Supuestos!$C$18)^3))</f>
        <v>0.695749220551855</v>
      </c>
      <c r="G142" s="29" t="n">
        <f aca="false">F142*(1-MIN(1,INDEX(Tabla_Mortalidad!$B$5:$B$75,MIN(71,Cartera_Polizas!$B$144+4-49))*(1+(Cartera_Polizas!$P$144-1)*MAX(0,1-4/Supuestos!$C$20))*(1-Supuestos!$C$18)^4))</f>
        <v>0.623159507252296</v>
      </c>
      <c r="H142" s="29" t="n">
        <f aca="false">G142*(1-MIN(1,INDEX(Tabla_Mortalidad!$B$5:$B$75,MIN(71,Cartera_Polizas!$B$144+5-49))*(1+(Cartera_Polizas!$P$144-1)*MAX(0,1-5/Supuestos!$C$20))*(1-Supuestos!$C$18)^5))</f>
        <v>0.553190426174933</v>
      </c>
      <c r="I142" s="29" t="n">
        <f aca="false">H142*(1-MIN(1,INDEX(Tabla_Mortalidad!$B$5:$B$75,MIN(71,Cartera_Polizas!$B$144+6-49))*(1+(Cartera_Polizas!$P$144-1)*MAX(0,1-6/Supuestos!$C$20))*(1-Supuestos!$C$18)^6))</f>
        <v>0.486429098567342</v>
      </c>
      <c r="J142" s="29" t="n">
        <f aca="false">I142*(1-MIN(1,INDEX(Tabla_Mortalidad!$B$5:$B$75,MIN(71,Cartera_Polizas!$B$144+7-49))*(1+(Cartera_Polizas!$P$144-1)*MAX(0,1-7/Supuestos!$C$20))*(1-Supuestos!$C$18)^7))</f>
        <v>0.423418488072946</v>
      </c>
      <c r="K142" s="29" t="n">
        <f aca="false">J142*(1-MIN(1,INDEX(Tabla_Mortalidad!$B$5:$B$75,MIN(71,Cartera_Polizas!$B$144+8-49))*(1+(Cartera_Polizas!$P$144-1)*MAX(0,1-8/Supuestos!$C$20))*(1-Supuestos!$C$18)^8))</f>
        <v>0.364633453060913</v>
      </c>
      <c r="L142" s="29" t="n">
        <f aca="false">K142*(1-MIN(1,INDEX(Tabla_Mortalidad!$B$5:$B$75,MIN(71,Cartera_Polizas!$B$144+9-49))*(1+(Cartera_Polizas!$P$144-1)*MAX(0,1-9/Supuestos!$C$20))*(1-Supuestos!$C$18)^9))</f>
        <v>0.31046305855712</v>
      </c>
      <c r="M142" s="29" t="n">
        <f aca="false">L142*(1-MIN(1,INDEX(Tabla_Mortalidad!$B$5:$B$75,MIN(71,Cartera_Polizas!$B$144+10-49))*(1+(Cartera_Polizas!$P$144-1)*MAX(0,1-10/Supuestos!$C$20))*(1-Supuestos!$C$18)^10))</f>
        <v>0.26119424651258</v>
      </c>
      <c r="N142" s="29" t="n">
        <f aca="false">M142*(1-MIN(1,INDEX(Tabla_Mortalidad!$B$5:$B$75,MIN(71,Cartera_Polizas!$B$144+11-49))*(1+(Cartera_Polizas!$P$144-1)*MAX(0,1-11/Supuestos!$C$20))*(1-Supuestos!$C$18)^11))</f>
        <v>0.217000088964976</v>
      </c>
      <c r="O142" s="29" t="n">
        <f aca="false">N142*(1-MIN(1,INDEX(Tabla_Mortalidad!$B$5:$B$75,MIN(71,Cartera_Polizas!$B$144+12-49))*(1+(Cartera_Polizas!$P$144-1)*MAX(0,1-12/Supuestos!$C$20))*(1-Supuestos!$C$18)^12))</f>
        <v>0.177933090623574</v>
      </c>
      <c r="P142" s="29" t="n">
        <f aca="false">O142*(1-MIN(1,INDEX(Tabla_Mortalidad!$B$5:$B$75,MIN(71,Cartera_Polizas!$B$144+13-49))*(1+(Cartera_Polizas!$P$144-1)*MAX(0,1-13/Supuestos!$C$20))*(1-Supuestos!$C$18)^13))</f>
        <v>0.1439242435169</v>
      </c>
      <c r="Q142" s="29" t="n">
        <f aca="false">P142*(1-MIN(1,INDEX(Tabla_Mortalidad!$B$5:$B$75,MIN(71,Cartera_Polizas!$B$144+14-49))*(1+(Cartera_Polizas!$P$144-1)*MAX(0,1-14/Supuestos!$C$20))*(1-Supuestos!$C$18)^14))</f>
        <v>0.114790088333077</v>
      </c>
      <c r="R142" s="29" t="n">
        <f aca="false">Q142*(1-MIN(1,INDEX(Tabla_Mortalidad!$B$5:$B$75,MIN(71,Cartera_Polizas!$B$144+15-49))*(1+(Cartera_Polizas!$P$144-1)*MAX(0,1-15/Supuestos!$C$20))*(1-Supuestos!$C$18)^15))</f>
        <v>0.0902454109432854</v>
      </c>
      <c r="S142" s="29" t="n">
        <f aca="false">R142*(1-MIN(1,INDEX(Tabla_Mortalidad!$B$5:$B$75,MIN(71,Cartera_Polizas!$B$144+16-49))*(1+(Cartera_Polizas!$P$144-1)*MAX(0,1-16/Supuestos!$C$20))*(1-Supuestos!$C$18)^16))</f>
        <v>0.069122075036351</v>
      </c>
      <c r="T142" s="29" t="n">
        <f aca="false">S142*(1-MIN(1,INDEX(Tabla_Mortalidad!$B$5:$B$75,MIN(71,Cartera_Polizas!$B$144+17-49))*(1+(Cartera_Polizas!$P$144-1)*MAX(0,1-17/Supuestos!$C$20))*(1-Supuestos!$C$18)^17))</f>
        <v>0.0514395190012139</v>
      </c>
      <c r="U142" s="29" t="n">
        <f aca="false">T142*(1-MIN(1,INDEX(Tabla_Mortalidad!$B$5:$B$75,MIN(71,Cartera_Polizas!$B$144+18-49))*(1+(Cartera_Polizas!$P$144-1)*MAX(0,1-18/Supuestos!$C$20))*(1-Supuestos!$C$18)^18))</f>
        <v>0.0370829838645074</v>
      </c>
      <c r="V142" s="29" t="n">
        <f aca="false">U142*(1-MIN(1,INDEX(Tabla_Mortalidad!$B$5:$B$75,MIN(71,Cartera_Polizas!$B$144+19-49))*(1+(Cartera_Polizas!$P$144-1)*MAX(0,1-19/Supuestos!$C$20))*(1-Supuestos!$C$18)^19))</f>
        <v>0.0258133292123772</v>
      </c>
      <c r="W142" s="29" t="n">
        <f aca="false">V142*(1-MIN(1,INDEX(Tabla_Mortalidad!$B$5:$B$75,MIN(71,Cartera_Polizas!$B$144+20-49))*(1+(Cartera_Polizas!$P$144-1)*MAX(0,1-20/Supuestos!$C$20))*(1-Supuestos!$C$18)^20))</f>
        <v>0.017289464010369</v>
      </c>
      <c r="X142" s="29" t="n">
        <f aca="false">W142*(1-MIN(1,INDEX(Tabla_Mortalidad!$B$5:$B$75,MIN(71,Cartera_Polizas!$B$144+21-49))*(1+(Cartera_Polizas!$P$144-1)*MAX(0,1-21/Supuestos!$C$20))*(1-Supuestos!$C$18)^21))</f>
        <v>0.0111005228114928</v>
      </c>
      <c r="Y142" s="29" t="n">
        <f aca="false">X142*(1-MIN(1,INDEX(Tabla_Mortalidad!$B$5:$B$75,MIN(71,Cartera_Polizas!$B$144+22-49))*(1+(Cartera_Polizas!$P$144-1)*MAX(0,1-22/Supuestos!$C$20))*(1-Supuestos!$C$18)^22))</f>
        <v>0.00680405209996325</v>
      </c>
      <c r="Z142" s="29" t="n">
        <f aca="false">Y142*(1-MIN(1,INDEX(Tabla_Mortalidad!$B$5:$B$75,MIN(71,Cartera_Polizas!$B$144+23-49))*(1+(Cartera_Polizas!$P$144-1)*MAX(0,1-23/Supuestos!$C$20))*(1-Supuestos!$C$18)^23))</f>
        <v>0.00396443528514696</v>
      </c>
      <c r="AA142" s="29" t="n">
        <f aca="false">Z142*(1-MIN(1,INDEX(Tabla_Mortalidad!$B$5:$B$75,MIN(71,Cartera_Polizas!$B$144+24-49))*(1+(Cartera_Polizas!$P$144-1)*MAX(0,1-24/Supuestos!$C$20))*(1-Supuestos!$C$18)^24))</f>
        <v>0.00218582214640749</v>
      </c>
      <c r="AB142" s="29" t="n">
        <f aca="false">AA142*(1-MIN(1,INDEX(Tabla_Mortalidad!$B$5:$B$75,MIN(71,Cartera_Polizas!$B$144+25-49))*(1+(Cartera_Polizas!$P$144-1)*MAX(0,1-25/Supuestos!$C$20))*(1-Supuestos!$C$18)^25))</f>
        <v>0.00113507483590674</v>
      </c>
      <c r="AC142" s="29" t="n">
        <f aca="false">AB142*(1-MIN(1,INDEX(Tabla_Mortalidad!$B$5:$B$75,MIN(71,Cartera_Polizas!$B$144+26-49))*(1+(Cartera_Polizas!$P$144-1)*MAX(0,1-26/Supuestos!$C$20))*(1-Supuestos!$C$18)^26))</f>
        <v>0.000552495980649201</v>
      </c>
      <c r="AD142" s="29" t="n">
        <f aca="false">AC142*(1-MIN(1,INDEX(Tabla_Mortalidad!$B$5:$B$75,MIN(71,Cartera_Polizas!$B$144+27-49))*(1+(Cartera_Polizas!$P$144-1)*MAX(0,1-27/Supuestos!$C$20))*(1-Supuestos!$C$18)^27))</f>
        <v>0.000250877925654706</v>
      </c>
      <c r="AE142" s="29" t="n">
        <f aca="false">AD142*(1-MIN(1,INDEX(Tabla_Mortalidad!$B$5:$B$75,MIN(71,Cartera_Polizas!$B$144+28-49))*(1+(Cartera_Polizas!$P$144-1)*MAX(0,1-28/Supuestos!$C$20))*(1-Supuestos!$C$18)^28))</f>
        <v>0.000105791292211621</v>
      </c>
      <c r="AF142" s="29" t="n">
        <f aca="false">AE142*(1-MIN(1,INDEX(Tabla_Mortalidad!$B$5:$B$75,MIN(71,Cartera_Polizas!$B$144+29-49))*(1+(Cartera_Polizas!$P$144-1)*MAX(0,1-29/Supuestos!$C$20))*(1-Supuestos!$C$18)^29))</f>
        <v>4.12577503824371E-005</v>
      </c>
      <c r="AG142" s="29" t="n">
        <f aca="false">AF142*(1-MIN(1,INDEX(Tabla_Mortalidad!$B$5:$B$75,MIN(71,Cartera_Polizas!$B$144+30-49))*(1+(Cartera_Polizas!$P$144-1)*MAX(0,1-30/Supuestos!$C$20))*(1-Supuestos!$C$18)^30))</f>
        <v>1.48307369923107E-005</v>
      </c>
      <c r="AH142" s="29" t="n">
        <f aca="false">AG142*(1-MIN(1,INDEX(Tabla_Mortalidad!$B$5:$B$75,MIN(71,Cartera_Polizas!$B$144+31-49))*(1+(Cartera_Polizas!$P$144-1)*MAX(0,1-31/Supuestos!$C$20))*(1-Supuestos!$C$18)^31))</f>
        <v>4.90268860751415E-006</v>
      </c>
      <c r="AI142" s="29" t="n">
        <f aca="false">AH142*(1-MIN(1,INDEX(Tabla_Mortalidad!$B$5:$B$75,MIN(71,Cartera_Polizas!$B$144+32-49))*(1+(Cartera_Polizas!$P$144-1)*MAX(0,1-32/Supuestos!$C$20))*(1-Supuestos!$C$18)^32))</f>
        <v>1.48933334367209E-006</v>
      </c>
      <c r="AJ142" s="29" t="n">
        <f aca="false">AI142*(1-MIN(1,INDEX(Tabla_Mortalidad!$B$5:$B$75,MIN(71,Cartera_Polizas!$B$144+33-49))*(1+(Cartera_Polizas!$P$144-1)*MAX(0,1-33/Supuestos!$C$20))*(1-Supuestos!$C$18)^33))</f>
        <v>4.16255429107727E-007</v>
      </c>
      <c r="AK142" s="29" t="n">
        <f aca="false">AJ142*(1-MIN(1,INDEX(Tabla_Mortalidad!$B$5:$B$75,MIN(71,Cartera_Polizas!$B$144+34-49))*(1+(Cartera_Polizas!$P$144-1)*MAX(0,1-34/Supuestos!$C$20))*(1-Supuestos!$C$18)^34))</f>
        <v>1.07420338974828E-007</v>
      </c>
      <c r="AL142" s="29" t="n">
        <f aca="false">AK142*(1-MIN(1,INDEX(Tabla_Mortalidad!$B$5:$B$75,MIN(71,Cartera_Polizas!$B$144+35-49))*(1+(Cartera_Polizas!$P$144-1)*MAX(0,1-35/Supuestos!$C$20))*(1-Supuestos!$C$18)^35))</f>
        <v>2.57540775390759E-008</v>
      </c>
      <c r="AM142" s="29" t="n">
        <f aca="false">AL142*(1-MIN(1,INDEX(Tabla_Mortalidad!$B$5:$B$75,MIN(71,Cartera_Polizas!$B$144+36-49))*(1+(Cartera_Polizas!$P$144-1)*MAX(0,1-36/Supuestos!$C$20))*(1-Supuestos!$C$18)^36))</f>
        <v>5.78674351257348E-009</v>
      </c>
      <c r="AN142" s="29" t="n">
        <f aca="false">AM142*(1-MIN(1,INDEX(Tabla_Mortalidad!$B$5:$B$75,MIN(71,Cartera_Polizas!$B$144+37-49))*(1+(Cartera_Polizas!$P$144-1)*MAX(0,1-37/Supuestos!$C$20))*(1-Supuestos!$C$18)^37))</f>
        <v>1.23198237759271E-009</v>
      </c>
      <c r="AO142" s="29" t="n">
        <f aca="false">AN142*(1-MIN(1,INDEX(Tabla_Mortalidad!$B$5:$B$75,MIN(71,Cartera_Polizas!$B$144+38-49))*(1+(Cartera_Polizas!$P$144-1)*MAX(0,1-38/Supuestos!$C$20))*(1-Supuestos!$C$18)^38))</f>
        <v>2.13668730634836E-010</v>
      </c>
      <c r="AP142" s="29" t="n">
        <f aca="false">AO142*(1-MIN(1,INDEX(Tabla_Mortalidad!$B$5:$B$75,MIN(71,Cartera_Polizas!$B$144+39-49))*(1+(Cartera_Polizas!$P$144-1)*MAX(0,1-39/Supuestos!$C$20))*(1-Supuestos!$C$18)^39))</f>
        <v>3.79406688138711E-011</v>
      </c>
      <c r="AQ142" s="29" t="n">
        <f aca="false">AP142*(1-MIN(1,INDEX(Tabla_Mortalidad!$B$5:$B$75,MIN(71,Cartera_Polizas!$B$144+40-49))*(1+(Cartera_Polizas!$P$144-1)*MAX(0,1-40/Supuestos!$C$20))*(1-Supuestos!$C$18)^40))</f>
        <v>6.89305611842289E-012</v>
      </c>
      <c r="AR142" s="29" t="n">
        <f aca="false">AQ142*(1-MIN(1,INDEX(Tabla_Mortalidad!$B$5:$B$75,MIN(71,Cartera_Polizas!$B$144+41-49))*(1+(Cartera_Polizas!$P$144-1)*MAX(0,1-41/Supuestos!$C$20))*(1-Supuestos!$C$18)^41))</f>
        <v>1.2805332339642E-012</v>
      </c>
      <c r="AS142" s="29" t="n">
        <f aca="false">AR142*(1-MIN(1,INDEX(Tabla_Mortalidad!$B$5:$B$75,MIN(71,Cartera_Polizas!$B$144+42-49))*(1+(Cartera_Polizas!$P$144-1)*MAX(0,1-42/Supuestos!$C$20))*(1-Supuestos!$C$18)^42))</f>
        <v>2.43099786930197E-013</v>
      </c>
      <c r="AT142" s="29" t="n">
        <f aca="false">AS142*(1-MIN(1,INDEX(Tabla_Mortalidad!$B$5:$B$75,MIN(71,Cartera_Polizas!$B$144+43-49))*(1+(Cartera_Polizas!$P$144-1)*MAX(0,1-43/Supuestos!$C$20))*(1-Supuestos!$C$18)^43))</f>
        <v>4.71354464329627E-014</v>
      </c>
      <c r="AU142" s="29" t="n">
        <f aca="false">AT142*(1-MIN(1,INDEX(Tabla_Mortalidad!$B$5:$B$75,MIN(71,Cartera_Polizas!$B$144+44-49))*(1+(Cartera_Polizas!$P$144-1)*MAX(0,1-44/Supuestos!$C$20))*(1-Supuestos!$C$18)^44))</f>
        <v>9.32923336727275E-015</v>
      </c>
    </row>
    <row r="143" customFormat="false" ht="15" hidden="false" customHeight="false" outlineLevel="0" collapsed="false">
      <c r="A143" s="14" t="n">
        <f aca="false">Cartera_Polizas!A145</f>
        <v>140</v>
      </c>
      <c r="B143" s="26" t="n">
        <f aca="false">SUM(C143:AU143)+0.5</f>
        <v>10.0269146479425</v>
      </c>
      <c r="C143" s="29" t="n">
        <f aca="false">1-MIN(1,INDEX(Tabla_Mortalidad!$B$5:$B$75,MIN(71,Cartera_Polizas!$B$145+0-49))*(1+(Cartera_Polizas!$P$145-1)*MAX(0,1-0/Supuestos!$C$20))*(1-Supuestos!$C$18)^0)</f>
        <v>0.946678248</v>
      </c>
      <c r="D143" s="29" t="n">
        <f aca="false">C143*(1-MIN(1,INDEX(Tabla_Mortalidad!$B$5:$B$75,MIN(71,Cartera_Polizas!$B$145+1-49))*(1+(Cartera_Polizas!$P$145-1)*MAX(0,1-1/Supuestos!$C$20))*(1-Supuestos!$C$18)^1))</f>
        <v>0.892215658004204</v>
      </c>
      <c r="E143" s="29" t="n">
        <f aca="false">D143*(1-MIN(1,INDEX(Tabla_Mortalidad!$B$5:$B$75,MIN(71,Cartera_Polizas!$B$145+2-49))*(1+(Cartera_Polizas!$P$145-1)*MAX(0,1-2/Supuestos!$C$20))*(1-Supuestos!$C$18)^2))</f>
        <v>0.836889563929874</v>
      </c>
      <c r="F143" s="29" t="n">
        <f aca="false">E143*(1-MIN(1,INDEX(Tabla_Mortalidad!$B$5:$B$75,MIN(71,Cartera_Polizas!$B$145+3-49))*(1+(Cartera_Polizas!$P$145-1)*MAX(0,1-3/Supuestos!$C$20))*(1-Supuestos!$C$18)^3))</f>
        <v>0.781012676914985</v>
      </c>
      <c r="G143" s="29" t="n">
        <f aca="false">F143*(1-MIN(1,INDEX(Tabla_Mortalidad!$B$5:$B$75,MIN(71,Cartera_Polizas!$B$145+4-49))*(1+(Cartera_Polizas!$P$145-1)*MAX(0,1-4/Supuestos!$C$20))*(1-Supuestos!$C$18)^4))</f>
        <v>0.724927546022105</v>
      </c>
      <c r="H143" s="29" t="n">
        <f aca="false">G143*(1-MIN(1,INDEX(Tabla_Mortalidad!$B$5:$B$75,MIN(71,Cartera_Polizas!$B$145+5-49))*(1+(Cartera_Polizas!$P$145-1)*MAX(0,1-5/Supuestos!$C$20))*(1-Supuestos!$C$18)^5))</f>
        <v>0.669004107222573</v>
      </c>
      <c r="I143" s="29" t="n">
        <f aca="false">H143*(1-MIN(1,INDEX(Tabla_Mortalidad!$B$5:$B$75,MIN(71,Cartera_Polizas!$B$145+6-49))*(1+(Cartera_Polizas!$P$145-1)*MAX(0,1-6/Supuestos!$C$20))*(1-Supuestos!$C$18)^6))</f>
        <v>0.613634814517472</v>
      </c>
      <c r="J143" s="29" t="n">
        <f aca="false">I143*(1-MIN(1,INDEX(Tabla_Mortalidad!$B$5:$B$75,MIN(71,Cartera_Polizas!$B$145+7-49))*(1+(Cartera_Polizas!$P$145-1)*MAX(0,1-7/Supuestos!$C$20))*(1-Supuestos!$C$18)^7))</f>
        <v>0.559224094809236</v>
      </c>
      <c r="K143" s="29" t="n">
        <f aca="false">J143*(1-MIN(1,INDEX(Tabla_Mortalidad!$B$5:$B$75,MIN(71,Cartera_Polizas!$B$145+8-49))*(1+(Cartera_Polizas!$P$145-1)*MAX(0,1-8/Supuestos!$C$20))*(1-Supuestos!$C$18)^8))</f>
        <v>0.50617850010224</v>
      </c>
      <c r="L143" s="29" t="n">
        <f aca="false">K143*(1-MIN(1,INDEX(Tabla_Mortalidad!$B$5:$B$75,MIN(71,Cartera_Polizas!$B$145+9-49))*(1+(Cartera_Polizas!$P$145-1)*MAX(0,1-9/Supuestos!$C$20))*(1-Supuestos!$C$18)^9))</f>
        <v>0.454899225456722</v>
      </c>
      <c r="M143" s="29" t="n">
        <f aca="false">L143*(1-MIN(1,INDEX(Tabla_Mortalidad!$B$5:$B$75,MIN(71,Cartera_Polizas!$B$145+10-49))*(1+(Cartera_Polizas!$P$145-1)*MAX(0,1-10/Supuestos!$C$20))*(1-Supuestos!$C$18)^10))</f>
        <v>0.405766322017826</v>
      </c>
      <c r="N143" s="29" t="n">
        <f aca="false">M143*(1-MIN(1,INDEX(Tabla_Mortalidad!$B$5:$B$75,MIN(71,Cartera_Polizas!$B$145+11-49))*(1+(Cartera_Polizas!$P$145-1)*MAX(0,1-11/Supuestos!$C$20))*(1-Supuestos!$C$18)^11))</f>
        <v>0.359130822583482</v>
      </c>
      <c r="O143" s="29" t="n">
        <f aca="false">N143*(1-MIN(1,INDEX(Tabla_Mortalidad!$B$5:$B$75,MIN(71,Cartera_Polizas!$B$145+12-49))*(1+(Cartera_Polizas!$P$145-1)*MAX(0,1-12/Supuestos!$C$20))*(1-Supuestos!$C$18)^12))</f>
        <v>0.315300478221858</v>
      </c>
      <c r="P143" s="29" t="n">
        <f aca="false">O143*(1-MIN(1,INDEX(Tabla_Mortalidad!$B$5:$B$75,MIN(71,Cartera_Polizas!$B$145+13-49))*(1+(Cartera_Polizas!$P$145-1)*MAX(0,1-13/Supuestos!$C$20))*(1-Supuestos!$C$18)^13))</f>
        <v>0.274530078210632</v>
      </c>
      <c r="Q143" s="29" t="n">
        <f aca="false">P143*(1-MIN(1,INDEX(Tabla_Mortalidad!$B$5:$B$75,MIN(71,Cartera_Polizas!$B$145+14-49))*(1+(Cartera_Polizas!$P$145-1)*MAX(0,1-14/Supuestos!$C$20))*(1-Supuestos!$C$18)^14))</f>
        <v>0.237012495141891</v>
      </c>
      <c r="R143" s="29" t="n">
        <f aca="false">Q143*(1-MIN(1,INDEX(Tabla_Mortalidad!$B$5:$B$75,MIN(71,Cartera_Polizas!$B$145+15-49))*(1+(Cartera_Polizas!$P$145-1)*MAX(0,1-15/Supuestos!$C$20))*(1-Supuestos!$C$18)^15))</f>
        <v>0.202872477584145</v>
      </c>
      <c r="S143" s="29" t="n">
        <f aca="false">R143*(1-MIN(1,INDEX(Tabla_Mortalidad!$B$5:$B$75,MIN(71,Cartera_Polizas!$B$145+16-49))*(1+(Cartera_Polizas!$P$145-1)*MAX(0,1-16/Supuestos!$C$20))*(1-Supuestos!$C$18)^16))</f>
        <v>0.170722892907904</v>
      </c>
      <c r="T143" s="29" t="n">
        <f aca="false">S143*(1-MIN(1,INDEX(Tabla_Mortalidad!$B$5:$B$75,MIN(71,Cartera_Polizas!$B$145+17-49))*(1+(Cartera_Polizas!$P$145-1)*MAX(0,1-17/Supuestos!$C$20))*(1-Supuestos!$C$18)^17))</f>
        <v>0.140989699152384</v>
      </c>
      <c r="U143" s="29" t="n">
        <f aca="false">T143*(1-MIN(1,INDEX(Tabla_Mortalidad!$B$5:$B$75,MIN(71,Cartera_Polizas!$B$145+18-49))*(1+(Cartera_Polizas!$P$145-1)*MAX(0,1-18/Supuestos!$C$20))*(1-Supuestos!$C$18)^18))</f>
        <v>0.114035864168038</v>
      </c>
      <c r="V143" s="29" t="n">
        <f aca="false">U143*(1-MIN(1,INDEX(Tabla_Mortalidad!$B$5:$B$75,MIN(71,Cartera_Polizas!$B$145+19-49))*(1+(Cartera_Polizas!$P$145-1)*MAX(0,1-19/Supuestos!$C$20))*(1-Supuestos!$C$18)^19))</f>
        <v>0.0901364795168126</v>
      </c>
      <c r="W143" s="29" t="n">
        <f aca="false">V143*(1-MIN(1,INDEX(Tabla_Mortalidad!$B$5:$B$75,MIN(71,Cartera_Polizas!$B$145+20-49))*(1+(Cartera_Polizas!$P$145-1)*MAX(0,1-20/Supuestos!$C$20))*(1-Supuestos!$C$18)^20))</f>
        <v>0.0694574433333831</v>
      </c>
      <c r="X143" s="29" t="n">
        <f aca="false">W143*(1-MIN(1,INDEX(Tabla_Mortalidad!$B$5:$B$75,MIN(71,Cartera_Polizas!$B$145+21-49))*(1+(Cartera_Polizas!$P$145-1)*MAX(0,1-21/Supuestos!$C$20))*(1-Supuestos!$C$18)^21))</f>
        <v>0.0520418052042333</v>
      </c>
      <c r="Y143" s="29" t="n">
        <f aca="false">X143*(1-MIN(1,INDEX(Tabla_Mortalidad!$B$5:$B$75,MIN(71,Cartera_Polizas!$B$145+22-49))*(1+(Cartera_Polizas!$P$145-1)*MAX(0,1-22/Supuestos!$C$20))*(1-Supuestos!$C$18)^22))</f>
        <v>0.0378054959033474</v>
      </c>
      <c r="Z143" s="29" t="n">
        <f aca="false">Y143*(1-MIN(1,INDEX(Tabla_Mortalidad!$B$5:$B$75,MIN(71,Cartera_Polizas!$B$145+23-49))*(1+(Cartera_Polizas!$P$145-1)*MAX(0,1-23/Supuestos!$C$20))*(1-Supuestos!$C$18)^23))</f>
        <v>0.0265443341229295</v>
      </c>
      <c r="AA143" s="29" t="n">
        <f aca="false">Z143*(1-MIN(1,INDEX(Tabla_Mortalidad!$B$5:$B$75,MIN(71,Cartera_Polizas!$B$145+24-49))*(1+(Cartera_Polizas!$P$145-1)*MAX(0,1-24/Supuestos!$C$20))*(1-Supuestos!$C$18)^24))</f>
        <v>0.0179530771154489</v>
      </c>
      <c r="AB143" s="29" t="n">
        <f aca="false">AA143*(1-MIN(1,INDEX(Tabla_Mortalidad!$B$5:$B$75,MIN(71,Cartera_Polizas!$B$145+25-49))*(1+(Cartera_Polizas!$P$145-1)*MAX(0,1-25/Supuestos!$C$20))*(1-Supuestos!$C$18)^25))</f>
        <v>0.0116541577930265</v>
      </c>
      <c r="AC143" s="29" t="n">
        <f aca="false">AB143*(1-MIN(1,INDEX(Tabla_Mortalidad!$B$5:$B$75,MIN(71,Cartera_Polizas!$B$145+26-49))*(1+(Cartera_Polizas!$P$145-1)*MAX(0,1-26/Supuestos!$C$20))*(1-Supuestos!$C$18)^26))</f>
        <v>0.00723294275083681</v>
      </c>
      <c r="AD143" s="29" t="n">
        <f aca="false">AC143*(1-MIN(1,INDEX(Tabla_Mortalidad!$B$5:$B$75,MIN(71,Cartera_Polizas!$B$145+27-49))*(1+(Cartera_Polizas!$P$145-1)*MAX(0,1-27/Supuestos!$C$20))*(1-Supuestos!$C$18)^27))</f>
        <v>0.00427425278134155</v>
      </c>
      <c r="AE143" s="29" t="n">
        <f aca="false">AD143*(1-MIN(1,INDEX(Tabla_Mortalidad!$B$5:$B$75,MIN(71,Cartera_Polizas!$B$145+28-49))*(1+(Cartera_Polizas!$P$145-1)*MAX(0,1-28/Supuestos!$C$20))*(1-Supuestos!$C$18)^28))</f>
        <v>0.00239470794933115</v>
      </c>
      <c r="AF143" s="29" t="n">
        <f aca="false">AE143*(1-MIN(1,INDEX(Tabla_Mortalidad!$B$5:$B$75,MIN(71,Cartera_Polizas!$B$145+29-49))*(1+(Cartera_Polizas!$P$145-1)*MAX(0,1-29/Supuestos!$C$20))*(1-Supuestos!$C$18)^29))</f>
        <v>0.00126639819142116</v>
      </c>
      <c r="AG143" s="29" t="n">
        <f aca="false">AF143*(1-MIN(1,INDEX(Tabla_Mortalidad!$B$5:$B$75,MIN(71,Cartera_Polizas!$B$145+30-49))*(1+(Cartera_Polizas!$P$145-1)*MAX(0,1-30/Supuestos!$C$20))*(1-Supuestos!$C$18)^30))</f>
        <v>0.000629319870500114</v>
      </c>
      <c r="AH143" s="29" t="n">
        <f aca="false">AG143*(1-MIN(1,INDEX(Tabla_Mortalidad!$B$5:$B$75,MIN(71,Cartera_Polizas!$B$145+31-49))*(1+(Cartera_Polizas!$P$145-1)*MAX(0,1-31/Supuestos!$C$20))*(1-Supuestos!$C$18)^31))</f>
        <v>0.000292581985580768</v>
      </c>
      <c r="AI143" s="29" t="n">
        <f aca="false">AH143*(1-MIN(1,INDEX(Tabla_Mortalidad!$B$5:$B$75,MIN(71,Cartera_Polizas!$B$145+32-49))*(1+(Cartera_Polizas!$P$145-1)*MAX(0,1-32/Supuestos!$C$20))*(1-Supuestos!$C$18)^32))</f>
        <v>0.000126736039822472</v>
      </c>
      <c r="AJ143" s="29" t="n">
        <f aca="false">AI143*(1-MIN(1,INDEX(Tabla_Mortalidad!$B$5:$B$75,MIN(71,Cartera_Polizas!$B$145+33-49))*(1+(Cartera_Polizas!$P$145-1)*MAX(0,1-33/Supuestos!$C$20))*(1-Supuestos!$C$18)^33))</f>
        <v>5.09606752003251E-005</v>
      </c>
      <c r="AK143" s="29" t="n">
        <f aca="false">AJ143*(1-MIN(1,INDEX(Tabla_Mortalidad!$B$5:$B$75,MIN(71,Cartera_Polizas!$B$145+34-49))*(1+(Cartera_Polizas!$P$145-1)*MAX(0,1-34/Supuestos!$C$20))*(1-Supuestos!$C$18)^34))</f>
        <v>1.89665649307459E-005</v>
      </c>
      <c r="AL143" s="29" t="n">
        <f aca="false">AK143*(1-MIN(1,INDEX(Tabla_Mortalidad!$B$5:$B$75,MIN(71,Cartera_Polizas!$B$145+35-49))*(1+(Cartera_Polizas!$P$145-1)*MAX(0,1-35/Supuestos!$C$20))*(1-Supuestos!$C$18)^35))</f>
        <v>6.52193011264113E-006</v>
      </c>
      <c r="AM143" s="29" t="n">
        <f aca="false">AL143*(1-MIN(1,INDEX(Tabla_Mortalidad!$B$5:$B$75,MIN(71,Cartera_Polizas!$B$145+36-49))*(1+(Cartera_Polizas!$P$145-1)*MAX(0,1-36/Supuestos!$C$20))*(1-Supuestos!$C$18)^36))</f>
        <v>2.07136001318654E-006</v>
      </c>
      <c r="AN143" s="29" t="n">
        <f aca="false">AM143*(1-MIN(1,INDEX(Tabla_Mortalidad!$B$5:$B$75,MIN(71,Cartera_Polizas!$B$145+37-49))*(1+(Cartera_Polizas!$P$145-1)*MAX(0,1-37/Supuestos!$C$20))*(1-Supuestos!$C$18)^37))</f>
        <v>6.08552255286103E-007</v>
      </c>
      <c r="AO143" s="29" t="n">
        <f aca="false">AN143*(1-MIN(1,INDEX(Tabla_Mortalidad!$B$5:$B$75,MIN(71,Cartera_Polizas!$B$145+38-49))*(1+(Cartera_Polizas!$P$145-1)*MAX(0,1-38/Supuestos!$C$20))*(1-Supuestos!$C$18)^38))</f>
        <v>1.66007775603505E-007</v>
      </c>
      <c r="AP143" s="29" t="n">
        <f aca="false">AO143*(1-MIN(1,INDEX(Tabla_Mortalidad!$B$5:$B$75,MIN(71,Cartera_Polizas!$B$145+39-49))*(1+(Cartera_Polizas!$P$145-1)*MAX(0,1-39/Supuestos!$C$20))*(1-Supuestos!$C$18)^39))</f>
        <v>4.23057220019261E-008</v>
      </c>
      <c r="AQ143" s="29" t="n">
        <f aca="false">AP143*(1-MIN(1,INDEX(Tabla_Mortalidad!$B$5:$B$75,MIN(71,Cartera_Polizas!$B$145+40-49))*(1+(Cartera_Polizas!$P$145-1)*MAX(0,1-40/Supuestos!$C$20))*(1-Supuestos!$C$18)^40))</f>
        <v>1.01568663663961E-008</v>
      </c>
      <c r="AR143" s="29" t="n">
        <f aca="false">AQ143*(1-MIN(1,INDEX(Tabla_Mortalidad!$B$5:$B$75,MIN(71,Cartera_Polizas!$B$145+41-49))*(1+(Cartera_Polizas!$P$145-1)*MAX(0,1-41/Supuestos!$C$20))*(1-Supuestos!$C$18)^41))</f>
        <v>2.32106471221106E-009</v>
      </c>
      <c r="AS143" s="29" t="n">
        <f aca="false">AR143*(1-MIN(1,INDEX(Tabla_Mortalidad!$B$5:$B$75,MIN(71,Cartera_Polizas!$B$145+42-49))*(1+(Cartera_Polizas!$P$145-1)*MAX(0,1-42/Supuestos!$C$20))*(1-Supuestos!$C$18)^42))</f>
        <v>4.40637011226121E-010</v>
      </c>
      <c r="AT143" s="29" t="n">
        <f aca="false">AS143*(1-MIN(1,INDEX(Tabla_Mortalidad!$B$5:$B$75,MIN(71,Cartera_Polizas!$B$145+43-49))*(1+(Cartera_Polizas!$P$145-1)*MAX(0,1-43/Supuestos!$C$20))*(1-Supuestos!$C$18)^43))</f>
        <v>8.54366122706367E-011</v>
      </c>
      <c r="AU143" s="29" t="n">
        <f aca="false">AT143*(1-MIN(1,INDEX(Tabla_Mortalidad!$B$5:$B$75,MIN(71,Cartera_Polizas!$B$145+44-49))*(1+(Cartera_Polizas!$P$145-1)*MAX(0,1-44/Supuestos!$C$20))*(1-Supuestos!$C$18)^44))</f>
        <v>1.69099510941424E-011</v>
      </c>
    </row>
    <row r="144" customFormat="false" ht="15" hidden="false" customHeight="false" outlineLevel="0" collapsed="false">
      <c r="A144" s="14" t="n">
        <f aca="false">Cartera_Polizas!A146</f>
        <v>141</v>
      </c>
      <c r="B144" s="26" t="n">
        <f aca="false">SUM(C144:AU144)+0.5</f>
        <v>5.28724856695317</v>
      </c>
      <c r="C144" s="29" t="n">
        <f aca="false">1-MIN(1,INDEX(Tabla_Mortalidad!$B$5:$B$75,MIN(71,Cartera_Polizas!$B$146+0-49))*(1+(Cartera_Polizas!$P$146-1)*MAX(0,1-0/Supuestos!$C$20))*(1-Supuestos!$C$18)^0)</f>
        <v>0.876373315</v>
      </c>
      <c r="D144" s="29" t="n">
        <f aca="false">C144*(1-MIN(1,INDEX(Tabla_Mortalidad!$B$5:$B$75,MIN(71,Cartera_Polizas!$B$146+1-49))*(1+(Cartera_Polizas!$P$146-1)*MAX(0,1-1/Supuestos!$C$20))*(1-Supuestos!$C$18)^1))</f>
        <v>0.758695853886103</v>
      </c>
      <c r="E144" s="29" t="n">
        <f aca="false">D144*(1-MIN(1,INDEX(Tabla_Mortalidad!$B$5:$B$75,MIN(71,Cartera_Polizas!$B$146+2-49))*(1+(Cartera_Polizas!$P$146-1)*MAX(0,1-2/Supuestos!$C$20))*(1-Supuestos!$C$18)^2))</f>
        <v>0.648144276178296</v>
      </c>
      <c r="F144" s="29" t="n">
        <f aca="false">E144*(1-MIN(1,INDEX(Tabla_Mortalidad!$B$5:$B$75,MIN(71,Cartera_Polizas!$B$146+3-49))*(1+(Cartera_Polizas!$P$146-1)*MAX(0,1-3/Supuestos!$C$20))*(1-Supuestos!$C$18)^3))</f>
        <v>0.545761279529993</v>
      </c>
      <c r="G144" s="29" t="n">
        <f aca="false">F144*(1-MIN(1,INDEX(Tabla_Mortalidad!$B$5:$B$75,MIN(71,Cartera_Polizas!$B$146+4-49))*(1+(Cartera_Polizas!$P$146-1)*MAX(0,1-4/Supuestos!$C$20))*(1-Supuestos!$C$18)^4))</f>
        <v>0.452404500559474</v>
      </c>
      <c r="H144" s="29" t="n">
        <f aca="false">G144*(1-MIN(1,INDEX(Tabla_Mortalidad!$B$5:$B$75,MIN(71,Cartera_Polizas!$B$146+5-49))*(1+(Cartera_Polizas!$P$146-1)*MAX(0,1-5/Supuestos!$C$20))*(1-Supuestos!$C$18)^5))</f>
        <v>0.368701441303802</v>
      </c>
      <c r="I144" s="29" t="n">
        <f aca="false">H144*(1-MIN(1,INDEX(Tabla_Mortalidad!$B$5:$B$75,MIN(71,Cartera_Polizas!$B$146+6-49))*(1+(Cartera_Polizas!$P$146-1)*MAX(0,1-6/Supuestos!$C$20))*(1-Supuestos!$C$18)^6))</f>
        <v>0.295013484624241</v>
      </c>
      <c r="J144" s="29" t="n">
        <f aca="false">I144*(1-MIN(1,INDEX(Tabla_Mortalidad!$B$5:$B$75,MIN(71,Cartera_Polizas!$B$146+7-49))*(1+(Cartera_Polizas!$P$146-1)*MAX(0,1-7/Supuestos!$C$20))*(1-Supuestos!$C$18)^7))</f>
        <v>0.231413018327187</v>
      </c>
      <c r="K144" s="29" t="n">
        <f aca="false">J144*(1-MIN(1,INDEX(Tabla_Mortalidad!$B$5:$B$75,MIN(71,Cartera_Polizas!$B$146+8-49))*(1+(Cartera_Polizas!$P$146-1)*MAX(0,1-8/Supuestos!$C$20))*(1-Supuestos!$C$18)^8))</f>
        <v>0.177680795228741</v>
      </c>
      <c r="L144" s="29" t="n">
        <f aca="false">K144*(1-MIN(1,INDEX(Tabla_Mortalidad!$B$5:$B$75,MIN(71,Cartera_Polizas!$B$146+9-49))*(1+(Cartera_Polizas!$P$146-1)*MAX(0,1-9/Supuestos!$C$20))*(1-Supuestos!$C$18)^9))</f>
        <v>0.13332147801661</v>
      </c>
      <c r="M144" s="29" t="n">
        <f aca="false">L144*(1-MIN(1,INDEX(Tabla_Mortalidad!$B$5:$B$75,MIN(71,Cartera_Polizas!$B$146+10-49))*(1+(Cartera_Polizas!$P$146-1)*MAX(0,1-10/Supuestos!$C$20))*(1-Supuestos!$C$18)^10))</f>
        <v>0.0975984785606979</v>
      </c>
      <c r="N144" s="29" t="n">
        <f aca="false">M144*(1-MIN(1,INDEX(Tabla_Mortalidad!$B$5:$B$75,MIN(71,Cartera_Polizas!$B$146+11-49))*(1+(Cartera_Polizas!$P$146-1)*MAX(0,1-11/Supuestos!$C$20))*(1-Supuestos!$C$18)^11))</f>
        <v>0.0695875333084519</v>
      </c>
      <c r="O144" s="29" t="n">
        <f aca="false">N144*(1-MIN(1,INDEX(Tabla_Mortalidad!$B$5:$B$75,MIN(71,Cartera_Polizas!$B$146+12-49))*(1+(Cartera_Polizas!$P$146-1)*MAX(0,1-12/Supuestos!$C$20))*(1-Supuestos!$C$18)^12))</f>
        <v>0.0482420222736271</v>
      </c>
      <c r="P144" s="29" t="n">
        <f aca="false">O144*(1-MIN(1,INDEX(Tabla_Mortalidad!$B$5:$B$75,MIN(71,Cartera_Polizas!$B$146+13-49))*(1+(Cartera_Polizas!$P$146-1)*MAX(0,1-13/Supuestos!$C$20))*(1-Supuestos!$C$18)^13))</f>
        <v>0.0324636537233169</v>
      </c>
      <c r="Q144" s="29" t="n">
        <f aca="false">P144*(1-MIN(1,INDEX(Tabla_Mortalidad!$B$5:$B$75,MIN(71,Cartera_Polizas!$B$146+14-49))*(1+(Cartera_Polizas!$P$146-1)*MAX(0,1-14/Supuestos!$C$20))*(1-Supuestos!$C$18)^14))</f>
        <v>0.0211715936493842</v>
      </c>
      <c r="R144" s="29" t="n">
        <f aca="false">Q144*(1-MIN(1,INDEX(Tabla_Mortalidad!$B$5:$B$75,MIN(71,Cartera_Polizas!$B$146+15-49))*(1+(Cartera_Polizas!$P$146-1)*MAX(0,1-15/Supuestos!$C$20))*(1-Supuestos!$C$18)^15))</f>
        <v>0.0133616141846768</v>
      </c>
      <c r="S144" s="29" t="n">
        <f aca="false">R144*(1-MIN(1,INDEX(Tabla_Mortalidad!$B$5:$B$75,MIN(71,Cartera_Polizas!$B$146+16-49))*(1+(Cartera_Polizas!$P$146-1)*MAX(0,1-16/Supuestos!$C$20))*(1-Supuestos!$C$18)^16))</f>
        <v>0.00803208475299569</v>
      </c>
      <c r="T144" s="29" t="n">
        <f aca="false">S144*(1-MIN(1,INDEX(Tabla_Mortalidad!$B$5:$B$75,MIN(71,Cartera_Polizas!$B$146+17-49))*(1+(Cartera_Polizas!$P$146-1)*MAX(0,1-17/Supuestos!$C$20))*(1-Supuestos!$C$18)^17))</f>
        <v>0.004577610925034</v>
      </c>
      <c r="U144" s="29" t="n">
        <f aca="false">T144*(1-MIN(1,INDEX(Tabla_Mortalidad!$B$5:$B$75,MIN(71,Cartera_Polizas!$B$146+18-49))*(1+(Cartera_Polizas!$P$146-1)*MAX(0,1-18/Supuestos!$C$20))*(1-Supuestos!$C$18)^18))</f>
        <v>0.00246119726595164</v>
      </c>
      <c r="V144" s="29" t="n">
        <f aca="false">U144*(1-MIN(1,INDEX(Tabla_Mortalidad!$B$5:$B$75,MIN(71,Cartera_Polizas!$B$146+19-49))*(1+(Cartera_Polizas!$P$146-1)*MAX(0,1-19/Supuestos!$C$20))*(1-Supuestos!$C$18)^19))</f>
        <v>0.00124195108280523</v>
      </c>
      <c r="W144" s="29" t="n">
        <f aca="false">V144*(1-MIN(1,INDEX(Tabla_Mortalidad!$B$5:$B$75,MIN(71,Cartera_Polizas!$B$146+20-49))*(1+(Cartera_Polizas!$P$146-1)*MAX(0,1-20/Supuestos!$C$20))*(1-Supuestos!$C$18)^20))</f>
        <v>0.00058505567150874</v>
      </c>
      <c r="X144" s="29" t="n">
        <f aca="false">W144*(1-MIN(1,INDEX(Tabla_Mortalidad!$B$5:$B$75,MIN(71,Cartera_Polizas!$B$146+21-49))*(1+(Cartera_Polizas!$P$146-1)*MAX(0,1-21/Supuestos!$C$20))*(1-Supuestos!$C$18)^21))</f>
        <v>0.00025591092978173</v>
      </c>
      <c r="Y144" s="29" t="n">
        <f aca="false">X144*(1-MIN(1,INDEX(Tabla_Mortalidad!$B$5:$B$75,MIN(71,Cartera_Polizas!$B$146+22-49))*(1+(Cartera_Polizas!$P$146-1)*MAX(0,1-22/Supuestos!$C$20))*(1-Supuestos!$C$18)^22))</f>
        <v>0.000103394965937537</v>
      </c>
      <c r="Z144" s="29" t="n">
        <f aca="false">Y144*(1-MIN(1,INDEX(Tabla_Mortalidad!$B$5:$B$75,MIN(71,Cartera_Polizas!$B$146+23-49))*(1+(Cartera_Polizas!$P$146-1)*MAX(0,1-23/Supuestos!$C$20))*(1-Supuestos!$C$18)^23))</f>
        <v>3.83974903711631E-005</v>
      </c>
      <c r="AA144" s="29" t="n">
        <f aca="false">Z144*(1-MIN(1,INDEX(Tabla_Mortalidad!$B$5:$B$75,MIN(71,Cartera_Polizas!$B$146+24-49))*(1+(Cartera_Polizas!$P$146-1)*MAX(0,1-24/Supuestos!$C$20))*(1-Supuestos!$C$18)^24))</f>
        <v>1.30516382618561E-005</v>
      </c>
      <c r="AB144" s="29" t="n">
        <f aca="false">AA144*(1-MIN(1,INDEX(Tabla_Mortalidad!$B$5:$B$75,MIN(71,Cartera_Polizas!$B$146+25-49))*(1+(Cartera_Polizas!$P$146-1)*MAX(0,1-25/Supuestos!$C$20))*(1-Supuestos!$C$18)^25))</f>
        <v>4.04779977780122E-006</v>
      </c>
      <c r="AC144" s="29" t="n">
        <f aca="false">AB144*(1-MIN(1,INDEX(Tabla_Mortalidad!$B$5:$B$75,MIN(71,Cartera_Polizas!$B$146+26-49))*(1+(Cartera_Polizas!$P$146-1)*MAX(0,1-26/Supuestos!$C$20))*(1-Supuestos!$C$18)^26))</f>
        <v>1.1435917610074E-006</v>
      </c>
      <c r="AD144" s="29" t="n">
        <f aca="false">AC144*(1-MIN(1,INDEX(Tabla_Mortalidad!$B$5:$B$75,MIN(71,Cartera_Polizas!$B$146+27-49))*(1+(Cartera_Polizas!$P$146-1)*MAX(0,1-27/Supuestos!$C$20))*(1-Supuestos!$C$18)^27))</f>
        <v>2.94466273008458E-007</v>
      </c>
      <c r="AE144" s="29" t="n">
        <f aca="false">AD144*(1-MIN(1,INDEX(Tabla_Mortalidad!$B$5:$B$75,MIN(71,Cartera_Polizas!$B$146+28-49))*(1+(Cartera_Polizas!$P$146-1)*MAX(0,1-28/Supuestos!$C$20))*(1-Supuestos!$C$18)^28))</f>
        <v>6.93204969473305E-008</v>
      </c>
      <c r="AF144" s="29" t="n">
        <f aca="false">AE144*(1-MIN(1,INDEX(Tabla_Mortalidad!$B$5:$B$75,MIN(71,Cartera_Polizas!$B$146+29-49))*(1+(Cartera_Polizas!$P$146-1)*MAX(0,1-29/Supuestos!$C$20))*(1-Supuestos!$C$18)^29))</f>
        <v>1.50105549295988E-008</v>
      </c>
      <c r="AG144" s="29" t="n">
        <f aca="false">AF144*(1-MIN(1,INDEX(Tabla_Mortalidad!$B$5:$B$75,MIN(71,Cartera_Polizas!$B$146+30-49))*(1+(Cartera_Polizas!$P$146-1)*MAX(0,1-30/Supuestos!$C$20))*(1-Supuestos!$C$18)^30))</f>
        <v>3.01743027010859E-009</v>
      </c>
      <c r="AH144" s="29" t="n">
        <f aca="false">AG144*(1-MIN(1,INDEX(Tabla_Mortalidad!$B$5:$B$75,MIN(71,Cartera_Polizas!$B$146+31-49))*(1+(Cartera_Polizas!$P$146-1)*MAX(0,1-31/Supuestos!$C$20))*(1-Supuestos!$C$18)^31))</f>
        <v>5.69888393998905E-010</v>
      </c>
      <c r="AI144" s="29" t="n">
        <f aca="false">AH144*(1-MIN(1,INDEX(Tabla_Mortalidad!$B$5:$B$75,MIN(71,Cartera_Polizas!$B$146+32-49))*(1+(Cartera_Polizas!$P$146-1)*MAX(0,1-32/Supuestos!$C$20))*(1-Supuestos!$C$18)^32))</f>
        <v>8.44564002259825E-011</v>
      </c>
      <c r="AJ144" s="29" t="n">
        <f aca="false">AI144*(1-MIN(1,INDEX(Tabla_Mortalidad!$B$5:$B$75,MIN(71,Cartera_Polizas!$B$146+33-49))*(1+(Cartera_Polizas!$P$146-1)*MAX(0,1-33/Supuestos!$C$20))*(1-Supuestos!$C$18)^33))</f>
        <v>1.28759820521777E-011</v>
      </c>
      <c r="AK144" s="29" t="n">
        <f aca="false">AJ144*(1-MIN(1,INDEX(Tabla_Mortalidad!$B$5:$B$75,MIN(71,Cartera_Polizas!$B$146+34-49))*(1+(Cartera_Polizas!$P$146-1)*MAX(0,1-34/Supuestos!$C$20))*(1-Supuestos!$C$18)^34))</f>
        <v>2.01760025587789E-012</v>
      </c>
      <c r="AL144" s="29" t="n">
        <f aca="false">AK144*(1-MIN(1,INDEX(Tabla_Mortalidad!$B$5:$B$75,MIN(71,Cartera_Polizas!$B$146+35-49))*(1+(Cartera_Polizas!$P$146-1)*MAX(0,1-35/Supuestos!$C$20))*(1-Supuestos!$C$18)^35))</f>
        <v>3.24654860889986E-013</v>
      </c>
      <c r="AM144" s="29" t="n">
        <f aca="false">AL144*(1-MIN(1,INDEX(Tabla_Mortalidad!$B$5:$B$75,MIN(71,Cartera_Polizas!$B$146+36-49))*(1+(Cartera_Polizas!$P$146-1)*MAX(0,1-36/Supuestos!$C$20))*(1-Supuestos!$C$18)^36))</f>
        <v>5.3602735796125E-014</v>
      </c>
      <c r="AN144" s="29" t="n">
        <f aca="false">AM144*(1-MIN(1,INDEX(Tabla_Mortalidad!$B$5:$B$75,MIN(71,Cartera_Polizas!$B$146+37-49))*(1+(Cartera_Polizas!$P$146-1)*MAX(0,1-37/Supuestos!$C$20))*(1-Supuestos!$C$18)^37))</f>
        <v>9.07394071967821E-015</v>
      </c>
      <c r="AO144" s="29" t="n">
        <f aca="false">AN144*(1-MIN(1,INDEX(Tabla_Mortalidad!$B$5:$B$75,MIN(71,Cartera_Polizas!$B$146+38-49))*(1+(Cartera_Polizas!$P$146-1)*MAX(0,1-38/Supuestos!$C$20))*(1-Supuestos!$C$18)^38))</f>
        <v>1.57373792896116E-015</v>
      </c>
      <c r="AP144" s="29" t="n">
        <f aca="false">AO144*(1-MIN(1,INDEX(Tabla_Mortalidad!$B$5:$B$75,MIN(71,Cartera_Polizas!$B$146+39-49))*(1+(Cartera_Polizas!$P$146-1)*MAX(0,1-39/Supuestos!$C$20))*(1-Supuestos!$C$18)^39))</f>
        <v>2.79445052091342E-016</v>
      </c>
      <c r="AQ144" s="29" t="n">
        <f aca="false">AP144*(1-MIN(1,INDEX(Tabla_Mortalidad!$B$5:$B$75,MIN(71,Cartera_Polizas!$B$146+40-49))*(1+(Cartera_Polizas!$P$146-1)*MAX(0,1-40/Supuestos!$C$20))*(1-Supuestos!$C$18)^40))</f>
        <v>5.07695432447676E-017</v>
      </c>
      <c r="AR144" s="29" t="n">
        <f aca="false">AQ144*(1-MIN(1,INDEX(Tabla_Mortalidad!$B$5:$B$75,MIN(71,Cartera_Polizas!$B$146+41-49))*(1+(Cartera_Polizas!$P$146-1)*MAX(0,1-41/Supuestos!$C$20))*(1-Supuestos!$C$18)^41))</f>
        <v>9.4315331663051E-018</v>
      </c>
      <c r="AS144" s="29" t="n">
        <f aca="false">AR144*(1-MIN(1,INDEX(Tabla_Mortalidad!$B$5:$B$75,MIN(71,Cartera_Polizas!$B$146+42-49))*(1+(Cartera_Polizas!$P$146-1)*MAX(0,1-42/Supuestos!$C$20))*(1-Supuestos!$C$18)^42))</f>
        <v>1.79050698751169E-018</v>
      </c>
      <c r="AT144" s="29" t="n">
        <f aca="false">AS144*(1-MIN(1,INDEX(Tabla_Mortalidad!$B$5:$B$75,MIN(71,Cartera_Polizas!$B$146+43-49))*(1+(Cartera_Polizas!$P$146-1)*MAX(0,1-43/Supuestos!$C$20))*(1-Supuestos!$C$18)^43))</f>
        <v>3.47167503778752E-019</v>
      </c>
      <c r="AU144" s="29" t="n">
        <f aca="false">AT144*(1-MIN(1,INDEX(Tabla_Mortalidad!$B$5:$B$75,MIN(71,Cartera_Polizas!$B$146+44-49))*(1+(Cartera_Polizas!$P$146-1)*MAX(0,1-44/Supuestos!$C$20))*(1-Supuestos!$C$18)^44))</f>
        <v>6.87127608919932E-020</v>
      </c>
    </row>
    <row r="145" customFormat="false" ht="15" hidden="false" customHeight="false" outlineLevel="0" collapsed="false">
      <c r="A145" s="14" t="n">
        <f aca="false">Cartera_Polizas!A147</f>
        <v>142</v>
      </c>
      <c r="B145" s="26" t="n">
        <f aca="false">SUM(C145:AU145)+0.5</f>
        <v>9.77570802783928</v>
      </c>
      <c r="C145" s="29" t="n">
        <f aca="false">1-MIN(1,INDEX(Tabla_Mortalidad!$B$5:$B$75,MIN(71,Cartera_Polizas!$B$147+0-49))*(1+(Cartera_Polizas!$P$147-1)*MAX(0,1-0/Supuestos!$C$20))*(1-Supuestos!$C$18)^0)</f>
        <v>0.950364172</v>
      </c>
      <c r="D145" s="29" t="n">
        <f aca="false">C145*(1-MIN(1,INDEX(Tabla_Mortalidad!$B$5:$B$75,MIN(71,Cartera_Polizas!$B$147+1-49))*(1+(Cartera_Polizas!$P$147-1)*MAX(0,1-1/Supuestos!$C$20))*(1-Supuestos!$C$18)^1))</f>
        <v>0.898798856528868</v>
      </c>
      <c r="E145" s="29" t="n">
        <f aca="false">D145*(1-MIN(1,INDEX(Tabla_Mortalidad!$B$5:$B$75,MIN(71,Cartera_Polizas!$B$147+2-49))*(1+(Cartera_Polizas!$P$147-1)*MAX(0,1-2/Supuestos!$C$20))*(1-Supuestos!$C$18)^2))</f>
        <v>0.845513034499285</v>
      </c>
      <c r="F145" s="29" t="n">
        <f aca="false">E145*(1-MIN(1,INDEX(Tabla_Mortalidad!$B$5:$B$75,MIN(71,Cartera_Polizas!$B$147+3-49))*(1+(Cartera_Polizas!$P$147-1)*MAX(0,1-3/Supuestos!$C$20))*(1-Supuestos!$C$18)^3))</f>
        <v>0.790768259731132</v>
      </c>
      <c r="G145" s="29" t="n">
        <f aca="false">F145*(1-MIN(1,INDEX(Tabla_Mortalidad!$B$5:$B$75,MIN(71,Cartera_Polizas!$B$147+4-49))*(1+(Cartera_Polizas!$P$147-1)*MAX(0,1-4/Supuestos!$C$20))*(1-Supuestos!$C$18)^4))</f>
        <v>0.734881875733203</v>
      </c>
      <c r="H145" s="29" t="n">
        <f aca="false">G145*(1-MIN(1,INDEX(Tabla_Mortalidad!$B$5:$B$75,MIN(71,Cartera_Polizas!$B$147+5-49))*(1+(Cartera_Polizas!$P$147-1)*MAX(0,1-5/Supuestos!$C$20))*(1-Supuestos!$C$18)^5))</f>
        <v>0.678224492636395</v>
      </c>
      <c r="I145" s="29" t="n">
        <f aca="false">H145*(1-MIN(1,INDEX(Tabla_Mortalidad!$B$5:$B$75,MIN(71,Cartera_Polizas!$B$147+6-49))*(1+(Cartera_Polizas!$P$147-1)*MAX(0,1-6/Supuestos!$C$20))*(1-Supuestos!$C$18)^6))</f>
        <v>0.621217141056528</v>
      </c>
      <c r="J145" s="29" t="n">
        <f aca="false">I145*(1-MIN(1,INDEX(Tabla_Mortalidad!$B$5:$B$75,MIN(71,Cartera_Polizas!$B$147+7-49))*(1+(Cartera_Polizas!$P$147-1)*MAX(0,1-7/Supuestos!$C$20))*(1-Supuestos!$C$18)^7))</f>
        <v>0.564329664795606</v>
      </c>
      <c r="K145" s="29" t="n">
        <f aca="false">J145*(1-MIN(1,INDEX(Tabla_Mortalidad!$B$5:$B$75,MIN(71,Cartera_Polizas!$B$147+8-49))*(1+(Cartera_Polizas!$P$147-1)*MAX(0,1-8/Supuestos!$C$20))*(1-Supuestos!$C$18)^8))</f>
        <v>0.508068144506238</v>
      </c>
      <c r="L145" s="29" t="n">
        <f aca="false">K145*(1-MIN(1,INDEX(Tabla_Mortalidad!$B$5:$B$75,MIN(71,Cartera_Polizas!$B$147+9-49))*(1+(Cartera_Polizas!$P$147-1)*MAX(0,1-9/Supuestos!$C$20))*(1-Supuestos!$C$18)^9))</f>
        <v>0.452967980089715</v>
      </c>
      <c r="M145" s="29" t="n">
        <f aca="false">L145*(1-MIN(1,INDEX(Tabla_Mortalidad!$B$5:$B$75,MIN(71,Cartera_Polizas!$B$147+10-49))*(1+(Cartera_Polizas!$P$147-1)*MAX(0,1-10/Supuestos!$C$20))*(1-Supuestos!$C$18)^10))</f>
        <v>0.399576295925685</v>
      </c>
      <c r="N145" s="29" t="n">
        <f aca="false">M145*(1-MIN(1,INDEX(Tabla_Mortalidad!$B$5:$B$75,MIN(71,Cartera_Polizas!$B$147+11-49))*(1+(Cartera_Polizas!$P$147-1)*MAX(0,1-11/Supuestos!$C$20))*(1-Supuestos!$C$18)^11))</f>
        <v>0.348435250139056</v>
      </c>
      <c r="O145" s="29" t="n">
        <f aca="false">N145*(1-MIN(1,INDEX(Tabla_Mortalidad!$B$5:$B$75,MIN(71,Cartera_Polizas!$B$147+12-49))*(1+(Cartera_Polizas!$P$147-1)*MAX(0,1-12/Supuestos!$C$20))*(1-Supuestos!$C$18)^12))</f>
        <v>0.300061724388824</v>
      </c>
      <c r="P145" s="29" t="n">
        <f aca="false">O145*(1-MIN(1,INDEX(Tabla_Mortalidad!$B$5:$B$75,MIN(71,Cartera_Polizas!$B$147+13-49))*(1+(Cartera_Polizas!$P$147-1)*MAX(0,1-13/Supuestos!$C$20))*(1-Supuestos!$C$18)^13))</f>
        <v>0.254925890518815</v>
      </c>
      <c r="Q145" s="29" t="n">
        <f aca="false">P145*(1-MIN(1,INDEX(Tabla_Mortalidad!$B$5:$B$75,MIN(71,Cartera_Polizas!$B$147+14-49))*(1+(Cartera_Polizas!$P$147-1)*MAX(0,1-14/Supuestos!$C$20))*(1-Supuestos!$C$18)^14))</f>
        <v>0.213429291867481</v>
      </c>
      <c r="R145" s="29" t="n">
        <f aca="false">Q145*(1-MIN(1,INDEX(Tabla_Mortalidad!$B$5:$B$75,MIN(71,Cartera_Polizas!$B$147+15-49))*(1+(Cartera_Polizas!$P$147-1)*MAX(0,1-15/Supuestos!$C$20))*(1-Supuestos!$C$18)^15))</f>
        <v>0.175883811809668</v>
      </c>
      <c r="S145" s="29" t="n">
        <f aca="false">R145*(1-MIN(1,INDEX(Tabla_Mortalidad!$B$5:$B$75,MIN(71,Cartera_Polizas!$B$147+16-49))*(1+(Cartera_Polizas!$P$147-1)*MAX(0,1-16/Supuestos!$C$20))*(1-Supuestos!$C$18)^16))</f>
        <v>0.141920276585877</v>
      </c>
      <c r="T145" s="29" t="n">
        <f aca="false">S145*(1-MIN(1,INDEX(Tabla_Mortalidad!$B$5:$B$75,MIN(71,Cartera_Polizas!$B$147+17-49))*(1+(Cartera_Polizas!$P$147-1)*MAX(0,1-17/Supuestos!$C$20))*(1-Supuestos!$C$18)^17))</f>
        <v>0.111877259243559</v>
      </c>
      <c r="U145" s="29" t="n">
        <f aca="false">T145*(1-MIN(1,INDEX(Tabla_Mortalidad!$B$5:$B$75,MIN(71,Cartera_Polizas!$B$147+18-49))*(1+(Cartera_Polizas!$P$147-1)*MAX(0,1-18/Supuestos!$C$20))*(1-Supuestos!$C$18)^18))</f>
        <v>0.0859518656513143</v>
      </c>
      <c r="V145" s="29" t="n">
        <f aca="false">U145*(1-MIN(1,INDEX(Tabla_Mortalidad!$B$5:$B$75,MIN(71,Cartera_Polizas!$B$147+19-49))*(1+(Cartera_Polizas!$P$147-1)*MAX(0,1-19/Supuestos!$C$20))*(1-Supuestos!$C$18)^19))</f>
        <v>0.0641833034470893</v>
      </c>
      <c r="W145" s="29" t="n">
        <f aca="false">V145*(1-MIN(1,INDEX(Tabla_Mortalidad!$B$5:$B$75,MIN(71,Cartera_Polizas!$B$147+20-49))*(1+(Cartera_Polizas!$P$147-1)*MAX(0,1-20/Supuestos!$C$20))*(1-Supuestos!$C$18)^20))</f>
        <v>0.0464487210369873</v>
      </c>
      <c r="X145" s="29" t="n">
        <f aca="false">W145*(1-MIN(1,INDEX(Tabla_Mortalidad!$B$5:$B$75,MIN(71,Cartera_Polizas!$B$147+21-49))*(1+(Cartera_Polizas!$P$147-1)*MAX(0,1-21/Supuestos!$C$20))*(1-Supuestos!$C$18)^21))</f>
        <v>0.0324735910127034</v>
      </c>
      <c r="Y145" s="29" t="n">
        <f aca="false">X145*(1-MIN(1,INDEX(Tabla_Mortalidad!$B$5:$B$75,MIN(71,Cartera_Polizas!$B$147+22-49))*(1+(Cartera_Polizas!$P$147-1)*MAX(0,1-22/Supuestos!$C$20))*(1-Supuestos!$C$18)^22))</f>
        <v>0.0218573924955953</v>
      </c>
      <c r="Z145" s="29" t="n">
        <f aca="false">Y145*(1-MIN(1,INDEX(Tabla_Mortalidad!$B$5:$B$75,MIN(71,Cartera_Polizas!$B$147+23-49))*(1+(Cartera_Polizas!$P$147-1)*MAX(0,1-23/Supuestos!$C$20))*(1-Supuestos!$C$18)^23))</f>
        <v>0.014111359563664</v>
      </c>
      <c r="AA145" s="29" t="n">
        <f aca="false">Z145*(1-MIN(1,INDEX(Tabla_Mortalidad!$B$5:$B$75,MIN(71,Cartera_Polizas!$B$147+24-49))*(1+(Cartera_Polizas!$P$147-1)*MAX(0,1-24/Supuestos!$C$20))*(1-Supuestos!$C$18)^24))</f>
        <v>0.0087040225057711</v>
      </c>
      <c r="AB145" s="29" t="n">
        <f aca="false">AA145*(1-MIN(1,INDEX(Tabla_Mortalidad!$B$5:$B$75,MIN(71,Cartera_Polizas!$B$147+25-49))*(1+(Cartera_Polizas!$P$147-1)*MAX(0,1-25/Supuestos!$C$20))*(1-Supuestos!$C$18)^25))</f>
        <v>0.00510770294207515</v>
      </c>
      <c r="AC145" s="29" t="n">
        <f aca="false">AB145*(1-MIN(1,INDEX(Tabla_Mortalidad!$B$5:$B$75,MIN(71,Cartera_Polizas!$B$147+26-49))*(1+(Cartera_Polizas!$P$147-1)*MAX(0,1-26/Supuestos!$C$20))*(1-Supuestos!$C$18)^26))</f>
        <v>0.00283902966209418</v>
      </c>
      <c r="AD145" s="29" t="n">
        <f aca="false">AC145*(1-MIN(1,INDEX(Tabla_Mortalidad!$B$5:$B$75,MIN(71,Cartera_Polizas!$B$147+27-49))*(1+(Cartera_Polizas!$P$147-1)*MAX(0,1-27/Supuestos!$C$20))*(1-Supuestos!$C$18)^27))</f>
        <v>0.00148789213405602</v>
      </c>
      <c r="AE145" s="29" t="n">
        <f aca="false">AD145*(1-MIN(1,INDEX(Tabla_Mortalidad!$B$5:$B$75,MIN(71,Cartera_Polizas!$B$147+28-49))*(1+(Cartera_Polizas!$P$147-1)*MAX(0,1-28/Supuestos!$C$20))*(1-Supuestos!$C$18)^28))</f>
        <v>0.000731846810471808</v>
      </c>
      <c r="AF145" s="29" t="n">
        <f aca="false">AE145*(1-MIN(1,INDEX(Tabla_Mortalidad!$B$5:$B$75,MIN(71,Cartera_Polizas!$B$147+29-49))*(1+(Cartera_Polizas!$P$147-1)*MAX(0,1-29/Supuestos!$C$20))*(1-Supuestos!$C$18)^29))</f>
        <v>0.000336303031833549</v>
      </c>
      <c r="AG145" s="29" t="n">
        <f aca="false">AF145*(1-MIN(1,INDEX(Tabla_Mortalidad!$B$5:$B$75,MIN(71,Cartera_Polizas!$B$147+30-49))*(1+(Cartera_Polizas!$P$147-1)*MAX(0,1-30/Supuestos!$C$20))*(1-Supuestos!$C$18)^30))</f>
        <v>0.000143753752501051</v>
      </c>
      <c r="AH145" s="29" t="n">
        <f aca="false">AG145*(1-MIN(1,INDEX(Tabla_Mortalidad!$B$5:$B$75,MIN(71,Cartera_Polizas!$B$147+31-49))*(1+(Cartera_Polizas!$P$147-1)*MAX(0,1-31/Supuestos!$C$20))*(1-Supuestos!$C$18)^31))</f>
        <v>5.69375208094549E-005</v>
      </c>
      <c r="AI145" s="29" t="n">
        <f aca="false">AH145*(1-MIN(1,INDEX(Tabla_Mortalidad!$B$5:$B$75,MIN(71,Cartera_Polizas!$B$147+32-49))*(1+(Cartera_Polizas!$P$147-1)*MAX(0,1-32/Supuestos!$C$20))*(1-Supuestos!$C$18)^32))</f>
        <v>2.08308658902981E-005</v>
      </c>
      <c r="AJ145" s="29" t="n">
        <f aca="false">AI145*(1-MIN(1,INDEX(Tabla_Mortalidad!$B$5:$B$75,MIN(71,Cartera_Polizas!$B$147+33-49))*(1+(Cartera_Polizas!$P$147-1)*MAX(0,1-33/Supuestos!$C$20))*(1-Supuestos!$C$18)^33))</f>
        <v>7.02528654762664E-006</v>
      </c>
      <c r="AK145" s="29" t="n">
        <f aca="false">AJ145*(1-MIN(1,INDEX(Tabla_Mortalidad!$B$5:$B$75,MIN(71,Cartera_Polizas!$B$147+34-49))*(1+(Cartera_Polizas!$P$147-1)*MAX(0,1-34/Supuestos!$C$20))*(1-Supuestos!$C$18)^34))</f>
        <v>2.18292305593945E-006</v>
      </c>
      <c r="AL145" s="29" t="n">
        <f aca="false">AK145*(1-MIN(1,INDEX(Tabla_Mortalidad!$B$5:$B$75,MIN(71,Cartera_Polizas!$B$147+35-49))*(1+(Cartera_Polizas!$P$147-1)*MAX(0,1-35/Supuestos!$C$20))*(1-Supuestos!$C$18)^35))</f>
        <v>6.25796421842979E-007</v>
      </c>
      <c r="AM145" s="29" t="n">
        <f aca="false">AL145*(1-MIN(1,INDEX(Tabla_Mortalidad!$B$5:$B$75,MIN(71,Cartera_Polizas!$B$147+36-49))*(1+(Cartera_Polizas!$P$147-1)*MAX(0,1-36/Supuestos!$C$20))*(1-Supuestos!$C$18)^36))</f>
        <v>1.66126628445247E-007</v>
      </c>
      <c r="AN145" s="29" t="n">
        <f aca="false">AM145*(1-MIN(1,INDEX(Tabla_Mortalidad!$B$5:$B$75,MIN(71,Cartera_Polizas!$B$147+37-49))*(1+(Cartera_Polizas!$P$147-1)*MAX(0,1-37/Supuestos!$C$20))*(1-Supuestos!$C$18)^37))</f>
        <v>4.10887579167121E-008</v>
      </c>
      <c r="AO145" s="29" t="n">
        <f aca="false">AN145*(1-MIN(1,INDEX(Tabla_Mortalidad!$B$5:$B$75,MIN(71,Cartera_Polizas!$B$147+38-49))*(1+(Cartera_Polizas!$P$147-1)*MAX(0,1-38/Supuestos!$C$20))*(1-Supuestos!$C$18)^38))</f>
        <v>9.55009635494717E-009</v>
      </c>
      <c r="AP145" s="29" t="n">
        <f aca="false">AO145*(1-MIN(1,INDEX(Tabla_Mortalidad!$B$5:$B$75,MIN(71,Cartera_Polizas!$B$147+39-49))*(1+(Cartera_Polizas!$P$147-1)*MAX(0,1-39/Supuestos!$C$20))*(1-Supuestos!$C$18)^39))</f>
        <v>2.10817137549569E-009</v>
      </c>
      <c r="AQ145" s="29" t="n">
        <f aca="false">AP145*(1-MIN(1,INDEX(Tabla_Mortalidad!$B$5:$B$75,MIN(71,Cartera_Polizas!$B$147+40-49))*(1+(Cartera_Polizas!$P$147-1)*MAX(0,1-40/Supuestos!$C$20))*(1-Supuestos!$C$18)^40))</f>
        <v>3.83012320363519E-010</v>
      </c>
      <c r="AR145" s="29" t="n">
        <f aca="false">AQ145*(1-MIN(1,INDEX(Tabla_Mortalidad!$B$5:$B$75,MIN(71,Cartera_Polizas!$B$147+41-49))*(1+(Cartera_Polizas!$P$147-1)*MAX(0,1-41/Supuestos!$C$20))*(1-Supuestos!$C$18)^41))</f>
        <v>7.11527654522341E-011</v>
      </c>
      <c r="AS145" s="29" t="n">
        <f aca="false">AR145*(1-MIN(1,INDEX(Tabla_Mortalidad!$B$5:$B$75,MIN(71,Cartera_Polizas!$B$147+42-49))*(1+(Cartera_Polizas!$P$147-1)*MAX(0,1-42/Supuestos!$C$20))*(1-Supuestos!$C$18)^42))</f>
        <v>1.35078275691327E-011</v>
      </c>
      <c r="AT145" s="29" t="n">
        <f aca="false">AS145*(1-MIN(1,INDEX(Tabla_Mortalidad!$B$5:$B$75,MIN(71,Cartera_Polizas!$B$147+43-49))*(1+(Cartera_Polizas!$P$147-1)*MAX(0,1-43/Supuestos!$C$20))*(1-Supuestos!$C$18)^43))</f>
        <v>2.61907873655757E-012</v>
      </c>
      <c r="AU145" s="29" t="n">
        <f aca="false">AT145*(1-MIN(1,INDEX(Tabla_Mortalidad!$B$5:$B$75,MIN(71,Cartera_Polizas!$B$147+44-49))*(1+(Cartera_Polizas!$P$147-1)*MAX(0,1-44/Supuestos!$C$20))*(1-Supuestos!$C$18)^44))</f>
        <v>5.18378388021806E-013</v>
      </c>
    </row>
    <row r="146" customFormat="false" ht="15" hidden="false" customHeight="false" outlineLevel="0" collapsed="false">
      <c r="A146" s="14" t="n">
        <f aca="false">Cartera_Polizas!A148</f>
        <v>143</v>
      </c>
      <c r="B146" s="26" t="n">
        <f aca="false">SUM(C146:AU146)+0.5</f>
        <v>8.34161140696718</v>
      </c>
      <c r="C146" s="29" t="n">
        <f aca="false">1-MIN(1,INDEX(Tabla_Mortalidad!$B$5:$B$75,MIN(71,Cartera_Polizas!$B$148+0-49))*(1+(Cartera_Polizas!$P$148-1)*MAX(0,1-0/Supuestos!$C$20))*(1-Supuestos!$C$18)^0)</f>
        <v>0.9383727875</v>
      </c>
      <c r="D146" s="29" t="n">
        <f aca="false">C146*(1-MIN(1,INDEX(Tabla_Mortalidad!$B$5:$B$75,MIN(71,Cartera_Polizas!$B$148+1-49))*(1+(Cartera_Polizas!$P$148-1)*MAX(0,1-1/Supuestos!$C$20))*(1-Supuestos!$C$18)^1))</f>
        <v>0.874834275250363</v>
      </c>
      <c r="E146" s="29" t="n">
        <f aca="false">D146*(1-MIN(1,INDEX(Tabla_Mortalidad!$B$5:$B$75,MIN(71,Cartera_Polizas!$B$148+2-49))*(1+(Cartera_Polizas!$P$148-1)*MAX(0,1-2/Supuestos!$C$20))*(1-Supuestos!$C$18)^2))</f>
        <v>0.809778248002206</v>
      </c>
      <c r="F146" s="29" t="n">
        <f aca="false">E146*(1-MIN(1,INDEX(Tabla_Mortalidad!$B$5:$B$75,MIN(71,Cartera_Polizas!$B$148+3-49))*(1+(Cartera_Polizas!$P$148-1)*MAX(0,1-3/Supuestos!$C$20))*(1-Supuestos!$C$18)^3))</f>
        <v>0.743673963499649</v>
      </c>
      <c r="G146" s="29" t="n">
        <f aca="false">F146*(1-MIN(1,INDEX(Tabla_Mortalidad!$B$5:$B$75,MIN(71,Cartera_Polizas!$B$148+4-49))*(1+(Cartera_Polizas!$P$148-1)*MAX(0,1-4/Supuestos!$C$20))*(1-Supuestos!$C$18)^4))</f>
        <v>0.67706802334378</v>
      </c>
      <c r="H146" s="29" t="n">
        <f aca="false">G146*(1-MIN(1,INDEX(Tabla_Mortalidad!$B$5:$B$75,MIN(71,Cartera_Polizas!$B$148+5-49))*(1+(Cartera_Polizas!$P$148-1)*MAX(0,1-5/Supuestos!$C$20))*(1-Supuestos!$C$18)^5))</f>
        <v>0.610572991354011</v>
      </c>
      <c r="I146" s="29" t="n">
        <f aca="false">H146*(1-MIN(1,INDEX(Tabla_Mortalidad!$B$5:$B$75,MIN(71,Cartera_Polizas!$B$148+6-49))*(1+(Cartera_Polizas!$P$148-1)*MAX(0,1-6/Supuestos!$C$20))*(1-Supuestos!$C$18)^6))</f>
        <v>0.544861602913362</v>
      </c>
      <c r="J146" s="29" t="n">
        <f aca="false">I146*(1-MIN(1,INDEX(Tabla_Mortalidad!$B$5:$B$75,MIN(71,Cartera_Polizas!$B$148+7-49))*(1+(Cartera_Polizas!$P$148-1)*MAX(0,1-7/Supuestos!$C$20))*(1-Supuestos!$C$18)^7))</f>
        <v>0.480647035123427</v>
      </c>
      <c r="K146" s="29" t="n">
        <f aca="false">J146*(1-MIN(1,INDEX(Tabla_Mortalidad!$B$5:$B$75,MIN(71,Cartera_Polizas!$B$148+8-49))*(1+(Cartera_Polizas!$P$148-1)*MAX(0,1-8/Supuestos!$C$20))*(1-Supuestos!$C$18)^8))</f>
        <v>0.41866231955427</v>
      </c>
      <c r="L146" s="29" t="n">
        <f aca="false">K146*(1-MIN(1,INDEX(Tabla_Mortalidad!$B$5:$B$75,MIN(71,Cartera_Polizas!$B$148+9-49))*(1+(Cartera_Polizas!$P$148-1)*MAX(0,1-9/Supuestos!$C$20))*(1-Supuestos!$C$18)^9))</f>
        <v>0.359633209534597</v>
      </c>
      <c r="M146" s="29" t="n">
        <f aca="false">L146*(1-MIN(1,INDEX(Tabla_Mortalidad!$B$5:$B$75,MIN(71,Cartera_Polizas!$B$148+10-49))*(1+(Cartera_Polizas!$P$148-1)*MAX(0,1-10/Supuestos!$C$20))*(1-Supuestos!$C$18)^10))</f>
        <v>0.3042472444733</v>
      </c>
      <c r="N146" s="29" t="n">
        <f aca="false">M146*(1-MIN(1,INDEX(Tabla_Mortalidad!$B$5:$B$75,MIN(71,Cartera_Polizas!$B$148+11-49))*(1+(Cartera_Polizas!$P$148-1)*MAX(0,1-11/Supuestos!$C$20))*(1-Supuestos!$C$18)^11))</f>
        <v>0.253119807843491</v>
      </c>
      <c r="O146" s="29" t="n">
        <f aca="false">N146*(1-MIN(1,INDEX(Tabla_Mortalidad!$B$5:$B$75,MIN(71,Cartera_Polizas!$B$148+12-49))*(1+(Cartera_Polizas!$P$148-1)*MAX(0,1-12/Supuestos!$C$20))*(1-Supuestos!$C$18)^12))</f>
        <v>0.206759199467667</v>
      </c>
      <c r="P146" s="29" t="n">
        <f aca="false">O146*(1-MIN(1,INDEX(Tabla_Mortalidad!$B$5:$B$75,MIN(71,Cartera_Polizas!$B$148+13-49))*(1+(Cartera_Polizas!$P$148-1)*MAX(0,1-13/Supuestos!$C$20))*(1-Supuestos!$C$18)^13))</f>
        <v>0.165536240944717</v>
      </c>
      <c r="Q146" s="29" t="n">
        <f aca="false">P146*(1-MIN(1,INDEX(Tabla_Mortalidad!$B$5:$B$75,MIN(71,Cartera_Polizas!$B$148+14-49))*(1+(Cartera_Polizas!$P$148-1)*MAX(0,1-14/Supuestos!$C$20))*(1-Supuestos!$C$18)^14))</f>
        <v>0.129659185522581</v>
      </c>
      <c r="R146" s="29" t="n">
        <f aca="false">Q146*(1-MIN(1,INDEX(Tabla_Mortalidad!$B$5:$B$75,MIN(71,Cartera_Polizas!$B$148+15-49))*(1+(Cartera_Polizas!$P$148-1)*MAX(0,1-15/Supuestos!$C$20))*(1-Supuestos!$C$18)^15))</f>
        <v>0.099157939109876</v>
      </c>
      <c r="S146" s="29" t="n">
        <f aca="false">R146*(1-MIN(1,INDEX(Tabla_Mortalidad!$B$5:$B$75,MIN(71,Cartera_Polizas!$B$148+16-49))*(1+(Cartera_Polizas!$P$148-1)*MAX(0,1-16/Supuestos!$C$20))*(1-Supuestos!$C$18)^16))</f>
        <v>0.0736642499056237</v>
      </c>
      <c r="T146" s="29" t="n">
        <f aca="false">S146*(1-MIN(1,INDEX(Tabla_Mortalidad!$B$5:$B$75,MIN(71,Cartera_Polizas!$B$148+17-49))*(1+(Cartera_Polizas!$P$148-1)*MAX(0,1-17/Supuestos!$C$20))*(1-Supuestos!$C$18)^17))</f>
        <v>0.0530015803933153</v>
      </c>
      <c r="U146" s="29" t="n">
        <f aca="false">T146*(1-MIN(1,INDEX(Tabla_Mortalidad!$B$5:$B$75,MIN(71,Cartera_Polizas!$B$148+18-49))*(1+(Cartera_Polizas!$P$148-1)*MAX(0,1-18/Supuestos!$C$20))*(1-Supuestos!$C$18)^18))</f>
        <v>0.036813264357179</v>
      </c>
      <c r="V146" s="29" t="n">
        <f aca="false">U146*(1-MIN(1,INDEX(Tabla_Mortalidad!$B$5:$B$75,MIN(71,Cartera_Polizas!$B$148+19-49))*(1+(Cartera_Polizas!$P$148-1)*MAX(0,1-19/Supuestos!$C$20))*(1-Supuestos!$C$18)^19))</f>
        <v>0.0245960047720033</v>
      </c>
      <c r="W146" s="29" t="n">
        <f aca="false">V146*(1-MIN(1,INDEX(Tabla_Mortalidad!$B$5:$B$75,MIN(71,Cartera_Polizas!$B$148+20-49))*(1+(Cartera_Polizas!$P$148-1)*MAX(0,1-20/Supuestos!$C$20))*(1-Supuestos!$C$18)^20))</f>
        <v>0.0157473690936524</v>
      </c>
      <c r="X146" s="29" t="n">
        <f aca="false">W146*(1-MIN(1,INDEX(Tabla_Mortalidad!$B$5:$B$75,MIN(71,Cartera_Polizas!$B$148+21-49))*(1+(Cartera_Polizas!$P$148-1)*MAX(0,1-21/Supuestos!$C$20))*(1-Supuestos!$C$18)^21))</f>
        <v>0.00962170260458308</v>
      </c>
      <c r="Y146" s="29" t="n">
        <f aca="false">X146*(1-MIN(1,INDEX(Tabla_Mortalidad!$B$5:$B$75,MIN(71,Cartera_Polizas!$B$148+22-49))*(1+(Cartera_Polizas!$P$148-1)*MAX(0,1-22/Supuestos!$C$20))*(1-Supuestos!$C$18)^22))</f>
        <v>0.00558598325332797</v>
      </c>
      <c r="Z146" s="29" t="n">
        <f aca="false">Y146*(1-MIN(1,INDEX(Tabla_Mortalidad!$B$5:$B$75,MIN(71,Cartera_Polizas!$B$148+23-49))*(1+(Cartera_Polizas!$P$148-1)*MAX(0,1-23/Supuestos!$C$20))*(1-Supuestos!$C$18)^23))</f>
        <v>0.00306728168911585</v>
      </c>
      <c r="AA146" s="29" t="n">
        <f aca="false">Z146*(1-MIN(1,INDEX(Tabla_Mortalidad!$B$5:$B$75,MIN(71,Cartera_Polizas!$B$148+24-49))*(1+(Cartera_Polizas!$P$148-1)*MAX(0,1-24/Supuestos!$C$20))*(1-Supuestos!$C$18)^24))</f>
        <v>0.00158539824357632</v>
      </c>
      <c r="AB146" s="29" t="n">
        <f aca="false">AA146*(1-MIN(1,INDEX(Tabla_Mortalidad!$B$5:$B$75,MIN(71,Cartera_Polizas!$B$148+25-49))*(1+(Cartera_Polizas!$P$148-1)*MAX(0,1-25/Supuestos!$C$20))*(1-Supuestos!$C$18)^25))</f>
        <v>0.000767601241568276</v>
      </c>
      <c r="AC146" s="29" t="n">
        <f aca="false">AB146*(1-MIN(1,INDEX(Tabla_Mortalidad!$B$5:$B$75,MIN(71,Cartera_Polizas!$B$148+26-49))*(1+(Cartera_Polizas!$P$148-1)*MAX(0,1-26/Supuestos!$C$20))*(1-Supuestos!$C$18)^26))</f>
        <v>0.000346447367592939</v>
      </c>
      <c r="AD146" s="29" t="n">
        <f aca="false">AC146*(1-MIN(1,INDEX(Tabla_Mortalidad!$B$5:$B$75,MIN(71,Cartera_Polizas!$B$148+27-49))*(1+(Cartera_Polizas!$P$148-1)*MAX(0,1-27/Supuestos!$C$20))*(1-Supuestos!$C$18)^27))</f>
        <v>0.000145084615388532</v>
      </c>
      <c r="AE146" s="29" t="n">
        <f aca="false">AD146*(1-MIN(1,INDEX(Tabla_Mortalidad!$B$5:$B$75,MIN(71,Cartera_Polizas!$B$148+28-49))*(1+(Cartera_Polizas!$P$148-1)*MAX(0,1-28/Supuestos!$C$20))*(1-Supuestos!$C$18)^28))</f>
        <v>5.61370917639973E-005</v>
      </c>
      <c r="AF146" s="29" t="n">
        <f aca="false">AE146*(1-MIN(1,INDEX(Tabla_Mortalidad!$B$5:$B$75,MIN(71,Cartera_Polizas!$B$148+29-49))*(1+(Cartera_Polizas!$P$148-1)*MAX(0,1-29/Supuestos!$C$20))*(1-Supuestos!$C$18)^29))</f>
        <v>1.99986543782067E-005</v>
      </c>
      <c r="AG146" s="29" t="n">
        <f aca="false">AF146*(1-MIN(1,INDEX(Tabla_Mortalidad!$B$5:$B$75,MIN(71,Cartera_Polizas!$B$148+30-49))*(1+(Cartera_Polizas!$P$148-1)*MAX(0,1-30/Supuestos!$C$20))*(1-Supuestos!$C$18)^30))</f>
        <v>6.54380482649658E-006</v>
      </c>
      <c r="AH146" s="29" t="n">
        <f aca="false">AG146*(1-MIN(1,INDEX(Tabla_Mortalidad!$B$5:$B$75,MIN(71,Cartera_Polizas!$B$148+31-49))*(1+(Cartera_Polizas!$P$148-1)*MAX(0,1-31/Supuestos!$C$20))*(1-Supuestos!$C$18)^31))</f>
        <v>1.96497567482264E-006</v>
      </c>
      <c r="AI146" s="29" t="n">
        <f aca="false">AH146*(1-MIN(1,INDEX(Tabla_Mortalidad!$B$5:$B$75,MIN(71,Cartera_Polizas!$B$148+32-49))*(1+(Cartera_Polizas!$P$148-1)*MAX(0,1-32/Supuestos!$C$20))*(1-Supuestos!$C$18)^32))</f>
        <v>5.42078747479378E-007</v>
      </c>
      <c r="AJ146" s="29" t="n">
        <f aca="false">AI146*(1-MIN(1,INDEX(Tabla_Mortalidad!$B$5:$B$75,MIN(71,Cartera_Polizas!$B$148+33-49))*(1+(Cartera_Polizas!$P$148-1)*MAX(0,1-33/Supuestos!$C$20))*(1-Supuestos!$C$18)^33))</f>
        <v>1.37869701492833E-007</v>
      </c>
      <c r="AK146" s="29" t="n">
        <f aca="false">AJ146*(1-MIN(1,INDEX(Tabla_Mortalidad!$B$5:$B$75,MIN(71,Cartera_Polizas!$B$148+34-49))*(1+(Cartera_Polizas!$P$148-1)*MAX(0,1-34/Supuestos!$C$20))*(1-Supuestos!$C$18)^34))</f>
        <v>3.25276163098038E-008</v>
      </c>
      <c r="AL146" s="29" t="n">
        <f aca="false">AK146*(1-MIN(1,INDEX(Tabla_Mortalidad!$B$5:$B$75,MIN(71,Cartera_Polizas!$B$148+35-49))*(1+(Cartera_Polizas!$P$148-1)*MAX(0,1-35/Supuestos!$C$20))*(1-Supuestos!$C$18)^35))</f>
        <v>7.18197748069926E-009</v>
      </c>
      <c r="AM146" s="29" t="n">
        <f aca="false">AL146*(1-MIN(1,INDEX(Tabla_Mortalidad!$B$5:$B$75,MIN(71,Cartera_Polizas!$B$148+36-49))*(1+(Cartera_Polizas!$P$148-1)*MAX(0,1-36/Supuestos!$C$20))*(1-Supuestos!$C$18)^36))</f>
        <v>1.50061719510201E-009</v>
      </c>
      <c r="AN146" s="29" t="n">
        <f aca="false">AM146*(1-MIN(1,INDEX(Tabla_Mortalidad!$B$5:$B$75,MIN(71,Cartera_Polizas!$B$148+37-49))*(1+(Cartera_Polizas!$P$148-1)*MAX(0,1-37/Supuestos!$C$20))*(1-Supuestos!$C$18)^37))</f>
        <v>2.54026427365109E-010</v>
      </c>
      <c r="AO146" s="29" t="n">
        <f aca="false">AN146*(1-MIN(1,INDEX(Tabla_Mortalidad!$B$5:$B$75,MIN(71,Cartera_Polizas!$B$148+38-49))*(1+(Cartera_Polizas!$P$148-1)*MAX(0,1-38/Supuestos!$C$20))*(1-Supuestos!$C$18)^38))</f>
        <v>4.40570460016347E-011</v>
      </c>
      <c r="AP146" s="29" t="n">
        <f aca="false">AO146*(1-MIN(1,INDEX(Tabla_Mortalidad!$B$5:$B$75,MIN(71,Cartera_Polizas!$B$148+39-49))*(1+(Cartera_Polizas!$P$148-1)*MAX(0,1-39/Supuestos!$C$20))*(1-Supuestos!$C$18)^39))</f>
        <v>7.82310910117316E-012</v>
      </c>
      <c r="AQ146" s="29" t="n">
        <f aca="false">AP146*(1-MIN(1,INDEX(Tabla_Mortalidad!$B$5:$B$75,MIN(71,Cartera_Polizas!$B$148+40-49))*(1+(Cartera_Polizas!$P$148-1)*MAX(0,1-40/Supuestos!$C$20))*(1-Supuestos!$C$18)^40))</f>
        <v>1.42130151472756E-012</v>
      </c>
      <c r="AR146" s="29" t="n">
        <f aca="false">AQ146*(1-MIN(1,INDEX(Tabla_Mortalidad!$B$5:$B$75,MIN(71,Cartera_Polizas!$B$148+41-49))*(1+(Cartera_Polizas!$P$148-1)*MAX(0,1-41/Supuestos!$C$20))*(1-Supuestos!$C$18)^41))</f>
        <v>2.640372853237E-013</v>
      </c>
      <c r="AS146" s="29" t="n">
        <f aca="false">AR146*(1-MIN(1,INDEX(Tabla_Mortalidad!$B$5:$B$75,MIN(71,Cartera_Polizas!$B$148+42-49))*(1+(Cartera_Polizas!$P$148-1)*MAX(0,1-42/Supuestos!$C$20))*(1-Supuestos!$C$18)^42))</f>
        <v>5.01255306003353E-014</v>
      </c>
      <c r="AT146" s="29" t="n">
        <f aca="false">AS146*(1-MIN(1,INDEX(Tabla_Mortalidad!$B$5:$B$75,MIN(71,Cartera_Polizas!$B$148+43-49))*(1+(Cartera_Polizas!$P$148-1)*MAX(0,1-43/Supuestos!$C$20))*(1-Supuestos!$C$18)^43))</f>
        <v>9.71901000972228E-015</v>
      </c>
      <c r="AU146" s="29" t="n">
        <f aca="false">AT146*(1-MIN(1,INDEX(Tabla_Mortalidad!$B$5:$B$75,MIN(71,Cartera_Polizas!$B$148+44-49))*(1+(Cartera_Polizas!$P$148-1)*MAX(0,1-44/Supuestos!$C$20))*(1-Supuestos!$C$18)^44))</f>
        <v>1.92362477373612E-015</v>
      </c>
    </row>
    <row r="147" customFormat="false" ht="15" hidden="false" customHeight="false" outlineLevel="0" collapsed="false">
      <c r="A147" s="14" t="n">
        <f aca="false">Cartera_Polizas!A149</f>
        <v>144</v>
      </c>
      <c r="B147" s="26" t="n">
        <f aca="false">SUM(C147:AU147)+0.5</f>
        <v>10.3909250527767</v>
      </c>
      <c r="C147" s="29" t="n">
        <f aca="false">1-MIN(1,INDEX(Tabla_Mortalidad!$B$5:$B$75,MIN(71,Cartera_Polizas!$B$149+0-49))*(1+(Cartera_Polizas!$P$149-1)*MAX(0,1-0/Supuestos!$C$20))*(1-Supuestos!$C$18)^0)</f>
        <v>0.955019663625</v>
      </c>
      <c r="D147" s="29" t="n">
        <f aca="false">C147*(1-MIN(1,INDEX(Tabla_Mortalidad!$B$5:$B$75,MIN(71,Cartera_Polizas!$B$149+1-49))*(1+(Cartera_Polizas!$P$149-1)*MAX(0,1-1/Supuestos!$C$20))*(1-Supuestos!$C$18)^1))</f>
        <v>0.90807352141874</v>
      </c>
      <c r="E147" s="29" t="n">
        <f aca="false">D147*(1-MIN(1,INDEX(Tabla_Mortalidad!$B$5:$B$75,MIN(71,Cartera_Polizas!$B$149+2-49))*(1+(Cartera_Polizas!$P$149-1)*MAX(0,1-2/Supuestos!$C$20))*(1-Supuestos!$C$18)^2))</f>
        <v>0.859312391754566</v>
      </c>
      <c r="F147" s="29" t="n">
        <f aca="false">E147*(1-MIN(1,INDEX(Tabla_Mortalidad!$B$5:$B$75,MIN(71,Cartera_Polizas!$B$149+3-49))*(1+(Cartera_Polizas!$P$149-1)*MAX(0,1-3/Supuestos!$C$20))*(1-Supuestos!$C$18)^3))</f>
        <v>0.808931088255442</v>
      </c>
      <c r="G147" s="29" t="n">
        <f aca="false">F147*(1-MIN(1,INDEX(Tabla_Mortalidad!$B$5:$B$75,MIN(71,Cartera_Polizas!$B$149+4-49))*(1+(Cartera_Polizas!$P$149-1)*MAX(0,1-4/Supuestos!$C$20))*(1-Supuestos!$C$18)^4))</f>
        <v>0.757173030665684</v>
      </c>
      <c r="H147" s="29" t="n">
        <f aca="false">G147*(1-MIN(1,INDEX(Tabla_Mortalidad!$B$5:$B$75,MIN(71,Cartera_Polizas!$B$149+5-49))*(1+(Cartera_Polizas!$P$149-1)*MAX(0,1-5/Supuestos!$C$20))*(1-Supuestos!$C$18)^5))</f>
        <v>0.704333205644362</v>
      </c>
      <c r="I147" s="29" t="n">
        <f aca="false">H147*(1-MIN(1,INDEX(Tabla_Mortalidad!$B$5:$B$75,MIN(71,Cartera_Polizas!$B$149+6-49))*(1+(Cartera_Polizas!$P$149-1)*MAX(0,1-6/Supuestos!$C$20))*(1-Supuestos!$C$18)^6))</f>
        <v>0.650755759815867</v>
      </c>
      <c r="J147" s="29" t="n">
        <f aca="false">I147*(1-MIN(1,INDEX(Tabla_Mortalidad!$B$5:$B$75,MIN(71,Cartera_Polizas!$B$149+7-49))*(1+(Cartera_Polizas!$P$149-1)*MAX(0,1-7/Supuestos!$C$20))*(1-Supuestos!$C$18)^7))</f>
        <v>0.596831364177802</v>
      </c>
      <c r="K147" s="29" t="n">
        <f aca="false">J147*(1-MIN(1,INDEX(Tabla_Mortalidad!$B$5:$B$75,MIN(71,Cartera_Polizas!$B$149+8-49))*(1+(Cartera_Polizas!$P$149-1)*MAX(0,1-8/Supuestos!$C$20))*(1-Supuestos!$C$18)^8))</f>
        <v>0.542995851302168</v>
      </c>
      <c r="L147" s="29" t="n">
        <f aca="false">K147*(1-MIN(1,INDEX(Tabla_Mortalidad!$B$5:$B$75,MIN(71,Cartera_Polizas!$B$149+9-49))*(1+(Cartera_Polizas!$P$149-1)*MAX(0,1-9/Supuestos!$C$20))*(1-Supuestos!$C$18)^9))</f>
        <v>0.489718603174682</v>
      </c>
      <c r="M147" s="29" t="n">
        <f aca="false">L147*(1-MIN(1,INDEX(Tabla_Mortalidad!$B$5:$B$75,MIN(71,Cartera_Polizas!$B$149+10-49))*(1+(Cartera_Polizas!$P$149-1)*MAX(0,1-10/Supuestos!$C$20))*(1-Supuestos!$C$18)^10))</f>
        <v>0.437496424290396</v>
      </c>
      <c r="N147" s="29" t="n">
        <f aca="false">M147*(1-MIN(1,INDEX(Tabla_Mortalidad!$B$5:$B$75,MIN(71,Cartera_Polizas!$B$149+11-49))*(1+(Cartera_Polizas!$P$149-1)*MAX(0,1-11/Supuestos!$C$20))*(1-Supuestos!$C$18)^11))</f>
        <v>0.386837457220521</v>
      </c>
      <c r="O147" s="29" t="n">
        <f aca="false">N147*(1-MIN(1,INDEX(Tabla_Mortalidad!$B$5:$B$75,MIN(71,Cartera_Polizas!$B$149+12-49))*(1+(Cartera_Polizas!$P$149-1)*MAX(0,1-12/Supuestos!$C$20))*(1-Supuestos!$C$18)^12))</f>
        <v>0.338246077696195</v>
      </c>
      <c r="P147" s="29" t="n">
        <f aca="false">O147*(1-MIN(1,INDEX(Tabla_Mortalidad!$B$5:$B$75,MIN(71,Cartera_Polizas!$B$149+13-49))*(1+(Cartera_Polizas!$P$149-1)*MAX(0,1-13/Supuestos!$C$20))*(1-Supuestos!$C$18)^13))</f>
        <v>0.292204459830879</v>
      </c>
      <c r="Q147" s="29" t="n">
        <f aca="false">P147*(1-MIN(1,INDEX(Tabla_Mortalidad!$B$5:$B$75,MIN(71,Cartera_Polizas!$B$149+14-49))*(1+(Cartera_Polizas!$P$149-1)*MAX(0,1-14/Supuestos!$C$20))*(1-Supuestos!$C$18)^14))</f>
        <v>0.249153117210063</v>
      </c>
      <c r="R147" s="29" t="n">
        <f aca="false">Q147*(1-MIN(1,INDEX(Tabla_Mortalidad!$B$5:$B$75,MIN(71,Cartera_Polizas!$B$149+15-49))*(1+(Cartera_Polizas!$P$149-1)*MAX(0,1-15/Supuestos!$C$20))*(1-Supuestos!$C$18)^15))</f>
        <v>0.209470941285119</v>
      </c>
      <c r="S147" s="29" t="n">
        <f aca="false">R147*(1-MIN(1,INDEX(Tabla_Mortalidad!$B$5:$B$75,MIN(71,Cartera_Polizas!$B$149+16-49))*(1+(Cartera_Polizas!$P$149-1)*MAX(0,1-16/Supuestos!$C$20))*(1-Supuestos!$C$18)^16))</f>
        <v>0.172806041425323</v>
      </c>
      <c r="T147" s="29" t="n">
        <f aca="false">S147*(1-MIN(1,INDEX(Tabla_Mortalidad!$B$5:$B$75,MIN(71,Cartera_Polizas!$B$149+17-49))*(1+(Cartera_Polizas!$P$149-1)*MAX(0,1-17/Supuestos!$C$20))*(1-Supuestos!$C$18)^17))</f>
        <v>0.139603676214031</v>
      </c>
      <c r="U147" s="29" t="n">
        <f aca="false">T147*(1-MIN(1,INDEX(Tabla_Mortalidad!$B$5:$B$75,MIN(71,Cartera_Polizas!$B$149+18-49))*(1+(Cartera_Polizas!$P$149-1)*MAX(0,1-18/Supuestos!$C$20))*(1-Supuestos!$C$18)^18))</f>
        <v>0.110198821688565</v>
      </c>
      <c r="V147" s="29" t="n">
        <f aca="false">U147*(1-MIN(1,INDEX(Tabla_Mortalidad!$B$5:$B$75,MIN(71,Cartera_Polizas!$B$149+19-49))*(1+(Cartera_Polizas!$P$149-1)*MAX(0,1-19/Supuestos!$C$20))*(1-Supuestos!$C$18)^19))</f>
        <v>0.0847900558163089</v>
      </c>
      <c r="W147" s="29" t="n">
        <f aca="false">V147*(1-MIN(1,INDEX(Tabla_Mortalidad!$B$5:$B$75,MIN(71,Cartera_Polizas!$B$149+20-49))*(1+(Cartera_Polizas!$P$149-1)*MAX(0,1-20/Supuestos!$C$20))*(1-Supuestos!$C$18)^20))</f>
        <v>0.0634231104638287</v>
      </c>
      <c r="X147" s="29" t="n">
        <f aca="false">W147*(1-MIN(1,INDEX(Tabla_Mortalidad!$B$5:$B$75,MIN(71,Cartera_Polizas!$B$149+21-49))*(1+(Cartera_Polizas!$P$149-1)*MAX(0,1-21/Supuestos!$C$20))*(1-Supuestos!$C$18)^21))</f>
        <v>0.0459862007501951</v>
      </c>
      <c r="Y147" s="29" t="n">
        <f aca="false">X147*(1-MIN(1,INDEX(Tabla_Mortalidad!$B$5:$B$75,MIN(71,Cartera_Polizas!$B$149+22-49))*(1+(Cartera_Polizas!$P$149-1)*MAX(0,1-22/Supuestos!$C$20))*(1-Supuestos!$C$18)^22))</f>
        <v>0.0322194100860654</v>
      </c>
      <c r="Z147" s="29" t="n">
        <f aca="false">Y147*(1-MIN(1,INDEX(Tabla_Mortalidad!$B$5:$B$75,MIN(71,Cartera_Polizas!$B$149+23-49))*(1+(Cartera_Polizas!$P$149-1)*MAX(0,1-23/Supuestos!$C$20))*(1-Supuestos!$C$18)^23))</f>
        <v>0.0217389733774562</v>
      </c>
      <c r="AA147" s="29" t="n">
        <f aca="false">Z147*(1-MIN(1,INDEX(Tabla_Mortalidad!$B$5:$B$75,MIN(71,Cartera_Polizas!$B$149+24-49))*(1+(Cartera_Polizas!$P$149-1)*MAX(0,1-24/Supuestos!$C$20))*(1-Supuestos!$C$18)^24))</f>
        <v>0.0140734272834527</v>
      </c>
      <c r="AB147" s="29" t="n">
        <f aca="false">AA147*(1-MIN(1,INDEX(Tabla_Mortalidad!$B$5:$B$75,MIN(71,Cartera_Polizas!$B$149+25-49))*(1+(Cartera_Polizas!$P$149-1)*MAX(0,1-25/Supuestos!$C$20))*(1-Supuestos!$C$18)^25))</f>
        <v>0.00870758951882362</v>
      </c>
      <c r="AC147" s="29" t="n">
        <f aca="false">AB147*(1-MIN(1,INDEX(Tabla_Mortalidad!$B$5:$B$75,MIN(71,Cartera_Polizas!$B$149+26-49))*(1+(Cartera_Polizas!$P$149-1)*MAX(0,1-26/Supuestos!$C$20))*(1-Supuestos!$C$18)^26))</f>
        <v>0.00512778510703311</v>
      </c>
      <c r="AD147" s="29" t="n">
        <f aca="false">AC147*(1-MIN(1,INDEX(Tabla_Mortalidad!$B$5:$B$75,MIN(71,Cartera_Polizas!$B$149+27-49))*(1+(Cartera_Polizas!$P$149-1)*MAX(0,1-27/Supuestos!$C$20))*(1-Supuestos!$C$18)^27))</f>
        <v>0.00286157995693121</v>
      </c>
      <c r="AE147" s="29" t="n">
        <f aca="false">AD147*(1-MIN(1,INDEX(Tabla_Mortalidad!$B$5:$B$75,MIN(71,Cartera_Polizas!$B$149+28-49))*(1+(Cartera_Polizas!$P$149-1)*MAX(0,1-28/Supuestos!$C$20))*(1-Supuestos!$C$18)^28))</f>
        <v>0.00150651974734278</v>
      </c>
      <c r="AF147" s="29" t="n">
        <f aca="false">AE147*(1-MIN(1,INDEX(Tabla_Mortalidad!$B$5:$B$75,MIN(71,Cartera_Polizas!$B$149+29-49))*(1+(Cartera_Polizas!$P$149-1)*MAX(0,1-29/Supuestos!$C$20))*(1-Supuestos!$C$18)^29))</f>
        <v>0.000744836693930131</v>
      </c>
      <c r="AG147" s="29" t="n">
        <f aca="false">AF147*(1-MIN(1,INDEX(Tabla_Mortalidad!$B$5:$B$75,MIN(71,Cartera_Polizas!$B$149+30-49))*(1+(Cartera_Polizas!$P$149-1)*MAX(0,1-30/Supuestos!$C$20))*(1-Supuestos!$C$18)^30))</f>
        <v>0.000344285050349638</v>
      </c>
      <c r="AH147" s="29" t="n">
        <f aca="false">AG147*(1-MIN(1,INDEX(Tabla_Mortalidad!$B$5:$B$75,MIN(71,Cartera_Polizas!$B$149+31-49))*(1+(Cartera_Polizas!$P$149-1)*MAX(0,1-31/Supuestos!$C$20))*(1-Supuestos!$C$18)^31))</f>
        <v>0.000148151287360628</v>
      </c>
      <c r="AI147" s="29" t="n">
        <f aca="false">AH147*(1-MIN(1,INDEX(Tabla_Mortalidad!$B$5:$B$75,MIN(71,Cartera_Polizas!$B$149+32-49))*(1+(Cartera_Polizas!$P$149-1)*MAX(0,1-32/Supuestos!$C$20))*(1-Supuestos!$C$18)^32))</f>
        <v>5.91266422031362E-005</v>
      </c>
      <c r="AJ147" s="29" t="n">
        <f aca="false">AI147*(1-MIN(1,INDEX(Tabla_Mortalidad!$B$5:$B$75,MIN(71,Cartera_Polizas!$B$149+33-49))*(1+(Cartera_Polizas!$P$149-1)*MAX(0,1-33/Supuestos!$C$20))*(1-Supuestos!$C$18)^33))</f>
        <v>2.18192408617071E-005</v>
      </c>
      <c r="AK147" s="29" t="n">
        <f aca="false">AJ147*(1-MIN(1,INDEX(Tabla_Mortalidad!$B$5:$B$75,MIN(71,Cartera_Polizas!$B$149+34-49))*(1+(Cartera_Polizas!$P$149-1)*MAX(0,1-34/Supuestos!$C$20))*(1-Supuestos!$C$18)^34))</f>
        <v>7.43092276744176E-006</v>
      </c>
      <c r="AL147" s="29" t="n">
        <f aca="false">AK147*(1-MIN(1,INDEX(Tabla_Mortalidad!$B$5:$B$75,MIN(71,Cartera_Polizas!$B$149+35-49))*(1+(Cartera_Polizas!$P$149-1)*MAX(0,1-35/Supuestos!$C$20))*(1-Supuestos!$C$18)^35))</f>
        <v>2.33457363914755E-006</v>
      </c>
      <c r="AM147" s="29" t="n">
        <f aca="false">AL147*(1-MIN(1,INDEX(Tabla_Mortalidad!$B$5:$B$75,MIN(71,Cartera_Polizas!$B$149+36-49))*(1+(Cartera_Polizas!$P$149-1)*MAX(0,1-36/Supuestos!$C$20))*(1-Supuestos!$C$18)^36))</f>
        <v>6.77597847458159E-007</v>
      </c>
      <c r="AN147" s="29" t="n">
        <f aca="false">AM147*(1-MIN(1,INDEX(Tabla_Mortalidad!$B$5:$B$75,MIN(71,Cartera_Polizas!$B$149+37-49))*(1+(Cartera_Polizas!$P$149-1)*MAX(0,1-37/Supuestos!$C$20))*(1-Supuestos!$C$18)^37))</f>
        <v>1.82366658180342E-007</v>
      </c>
      <c r="AO147" s="29" t="n">
        <f aca="false">AN147*(1-MIN(1,INDEX(Tabla_Mortalidad!$B$5:$B$75,MIN(71,Cartera_Polizas!$B$149+38-49))*(1+(Cartera_Polizas!$P$149-1)*MAX(0,1-38/Supuestos!$C$20))*(1-Supuestos!$C$18)^38))</f>
        <v>4.57917748299484E-008</v>
      </c>
      <c r="AP147" s="29" t="n">
        <f aca="false">AO147*(1-MIN(1,INDEX(Tabla_Mortalidad!$B$5:$B$75,MIN(71,Cartera_Polizas!$B$149+39-49))*(1+(Cartera_Polizas!$P$149-1)*MAX(0,1-39/Supuestos!$C$20))*(1-Supuestos!$C$18)^39))</f>
        <v>1.08189427199165E-008</v>
      </c>
      <c r="AQ147" s="29" t="n">
        <f aca="false">AP147*(1-MIN(1,INDEX(Tabla_Mortalidad!$B$5:$B$75,MIN(71,Cartera_Polizas!$B$149+40-49))*(1+(Cartera_Polizas!$P$149-1)*MAX(0,1-40/Supuestos!$C$20))*(1-Supuestos!$C$18)^40))</f>
        <v>2.43042093953583E-009</v>
      </c>
      <c r="AR147" s="29" t="n">
        <f aca="false">AQ147*(1-MIN(1,INDEX(Tabla_Mortalidad!$B$5:$B$75,MIN(71,Cartera_Polizas!$B$149+41-49))*(1+(Cartera_Polizas!$P$149-1)*MAX(0,1-41/Supuestos!$C$20))*(1-Supuestos!$C$18)^41))</f>
        <v>4.51502893945713E-010</v>
      </c>
      <c r="AS147" s="29" t="n">
        <f aca="false">AR147*(1-MIN(1,INDEX(Tabla_Mortalidad!$B$5:$B$75,MIN(71,Cartera_Polizas!$B$149+42-49))*(1+(Cartera_Polizas!$P$149-1)*MAX(0,1-42/Supuestos!$C$20))*(1-Supuestos!$C$18)^42))</f>
        <v>8.57144933105565E-011</v>
      </c>
      <c r="AT147" s="29" t="n">
        <f aca="false">AS147*(1-MIN(1,INDEX(Tabla_Mortalidad!$B$5:$B$75,MIN(71,Cartera_Polizas!$B$149+43-49))*(1+(Cartera_Polizas!$P$149-1)*MAX(0,1-43/Supuestos!$C$20))*(1-Supuestos!$C$18)^43))</f>
        <v>1.66194753150005E-011</v>
      </c>
      <c r="AU147" s="29" t="n">
        <f aca="false">AT147*(1-MIN(1,INDEX(Tabla_Mortalidad!$B$5:$B$75,MIN(71,Cartera_Polizas!$B$149+44-49))*(1+(Cartera_Polizas!$P$149-1)*MAX(0,1-44/Supuestos!$C$20))*(1-Supuestos!$C$18)^44))</f>
        <v>3.28939206878585E-012</v>
      </c>
    </row>
    <row r="148" customFormat="false" ht="15" hidden="false" customHeight="false" outlineLevel="0" collapsed="false">
      <c r="A148" s="14" t="n">
        <f aca="false">Cartera_Polizas!A150</f>
        <v>145</v>
      </c>
      <c r="B148" s="26" t="n">
        <f aca="false">SUM(C148:AU148)+0.5</f>
        <v>5.72188396863742</v>
      </c>
      <c r="C148" s="29" t="n">
        <f aca="false">1-MIN(1,INDEX(Tabla_Mortalidad!$B$5:$B$75,MIN(71,Cartera_Polizas!$B$150+0-49))*(1+(Cartera_Polizas!$P$150-1)*MAX(0,1-0/Supuestos!$C$20))*(1-Supuestos!$C$18)^0)</f>
        <v>0.86838985</v>
      </c>
      <c r="D148" s="29" t="n">
        <f aca="false">C148*(1-MIN(1,INDEX(Tabla_Mortalidad!$B$5:$B$75,MIN(71,Cartera_Polizas!$B$150+1-49))*(1+(Cartera_Polizas!$P$150-1)*MAX(0,1-1/Supuestos!$C$20))*(1-Supuestos!$C$18)^1))</f>
        <v>0.747650587223914</v>
      </c>
      <c r="E148" s="29" t="n">
        <f aca="false">D148*(1-MIN(1,INDEX(Tabla_Mortalidad!$B$5:$B$75,MIN(71,Cartera_Polizas!$B$150+2-49))*(1+(Cartera_Polizas!$P$150-1)*MAX(0,1-2/Supuestos!$C$20))*(1-Supuestos!$C$18)^2))</f>
        <v>0.638121905145891</v>
      </c>
      <c r="F148" s="29" t="n">
        <f aca="false">E148*(1-MIN(1,INDEX(Tabla_Mortalidad!$B$5:$B$75,MIN(71,Cartera_Polizas!$B$150+3-49))*(1+(Cartera_Polizas!$P$150-1)*MAX(0,1-3/Supuestos!$C$20))*(1-Supuestos!$C$18)^3))</f>
        <v>0.539912240236429</v>
      </c>
      <c r="G148" s="29" t="n">
        <f aca="false">F148*(1-MIN(1,INDEX(Tabla_Mortalidad!$B$5:$B$75,MIN(71,Cartera_Polizas!$B$150+4-49))*(1+(Cartera_Polizas!$P$150-1)*MAX(0,1-4/Supuestos!$C$20))*(1-Supuestos!$C$18)^4))</f>
        <v>0.452903096034175</v>
      </c>
      <c r="H148" s="29" t="n">
        <f aca="false">G148*(1-MIN(1,INDEX(Tabla_Mortalidad!$B$5:$B$75,MIN(71,Cartera_Polizas!$B$150+5-49))*(1+(Cartera_Polizas!$P$150-1)*MAX(0,1-5/Supuestos!$C$20))*(1-Supuestos!$C$18)^5))</f>
        <v>0.376757267813156</v>
      </c>
      <c r="I148" s="29" t="n">
        <f aca="false">H148*(1-MIN(1,INDEX(Tabla_Mortalidad!$B$5:$B$75,MIN(71,Cartera_Polizas!$B$150+6-49))*(1+(Cartera_Polizas!$P$150-1)*MAX(0,1-6/Supuestos!$C$20))*(1-Supuestos!$C$18)^6))</f>
        <v>0.31094281076665</v>
      </c>
      <c r="J148" s="29" t="n">
        <f aca="false">I148*(1-MIN(1,INDEX(Tabla_Mortalidad!$B$5:$B$75,MIN(71,Cartera_Polizas!$B$150+7-49))*(1+(Cartera_Polizas!$P$150-1)*MAX(0,1-7/Supuestos!$C$20))*(1-Supuestos!$C$18)^7))</f>
        <v>0.254769840891225</v>
      </c>
      <c r="K148" s="29" t="n">
        <f aca="false">J148*(1-MIN(1,INDEX(Tabla_Mortalidad!$B$5:$B$75,MIN(71,Cartera_Polizas!$B$150+8-49))*(1+(Cartera_Polizas!$P$150-1)*MAX(0,1-8/Supuestos!$C$20))*(1-Supuestos!$C$18)^8))</f>
        <v>0.207423793617266</v>
      </c>
      <c r="L148" s="29" t="n">
        <f aca="false">K148*(1-MIN(1,INDEX(Tabla_Mortalidad!$B$5:$B$75,MIN(71,Cartera_Polizas!$B$150+9-49))*(1+(Cartera_Polizas!$P$150-1)*MAX(0,1-9/Supuestos!$C$20))*(1-Supuestos!$C$18)^9))</f>
        <v>0.168012300950006</v>
      </c>
      <c r="M148" s="29" t="n">
        <f aca="false">L148*(1-MIN(1,INDEX(Tabla_Mortalidad!$B$5:$B$75,MIN(71,Cartera_Polizas!$B$150+10-49))*(1+(Cartera_Polizas!$P$150-1)*MAX(0,1-10/Supuestos!$C$20))*(1-Supuestos!$C$18)^10))</f>
        <v>0.135604522578503</v>
      </c>
      <c r="N148" s="29" t="n">
        <f aca="false">M148*(1-MIN(1,INDEX(Tabla_Mortalidad!$B$5:$B$75,MIN(71,Cartera_Polizas!$B$150+11-49))*(1+(Cartera_Polizas!$P$150-1)*MAX(0,1-11/Supuestos!$C$20))*(1-Supuestos!$C$18)^11))</f>
        <v>0.109271768969693</v>
      </c>
      <c r="O148" s="29" t="n">
        <f aca="false">N148*(1-MIN(1,INDEX(Tabla_Mortalidad!$B$5:$B$75,MIN(71,Cartera_Polizas!$B$150+12-49))*(1+(Cartera_Polizas!$P$150-1)*MAX(0,1-12/Supuestos!$C$20))*(1-Supuestos!$C$18)^12))</f>
        <v>0.0881217290184006</v>
      </c>
      <c r="P148" s="29" t="n">
        <f aca="false">O148*(1-MIN(1,INDEX(Tabla_Mortalidad!$B$5:$B$75,MIN(71,Cartera_Polizas!$B$150+13-49))*(1+(Cartera_Polizas!$P$150-1)*MAX(0,1-13/Supuestos!$C$20))*(1-Supuestos!$C$18)^13))</f>
        <v>0.0713259310604715</v>
      </c>
      <c r="Q148" s="29" t="n">
        <f aca="false">P148*(1-MIN(1,INDEX(Tabla_Mortalidad!$B$5:$B$75,MIN(71,Cartera_Polizas!$B$150+14-49))*(1+(Cartera_Polizas!$P$150-1)*MAX(0,1-14/Supuestos!$C$20))*(1-Supuestos!$C$18)^14))</f>
        <v>0.0581392498857855</v>
      </c>
      <c r="R148" s="29" t="n">
        <f aca="false">Q148*(1-MIN(1,INDEX(Tabla_Mortalidad!$B$5:$B$75,MIN(71,Cartera_Polizas!$B$150+15-49))*(1+(Cartera_Polizas!$P$150-1)*MAX(0,1-15/Supuestos!$C$20))*(1-Supuestos!$C$18)^15))</f>
        <v>0.0479116657146384</v>
      </c>
      <c r="S148" s="29" t="n">
        <f aca="false">R148*(1-MIN(1,INDEX(Tabla_Mortalidad!$B$5:$B$75,MIN(71,Cartera_Polizas!$B$150+16-49))*(1+(Cartera_Polizas!$P$150-1)*MAX(0,1-16/Supuestos!$C$20))*(1-Supuestos!$C$18)^16))</f>
        <v>0.038659821958315</v>
      </c>
      <c r="T148" s="29" t="n">
        <f aca="false">S148*(1-MIN(1,INDEX(Tabla_Mortalidad!$B$5:$B$75,MIN(71,Cartera_Polizas!$B$150+17-49))*(1+(Cartera_Polizas!$P$150-1)*MAX(0,1-17/Supuestos!$C$20))*(1-Supuestos!$C$18)^17))</f>
        <v>0.0304759476770261</v>
      </c>
      <c r="U148" s="29" t="n">
        <f aca="false">T148*(1-MIN(1,INDEX(Tabla_Mortalidad!$B$5:$B$75,MIN(71,Cartera_Polizas!$B$150+18-49))*(1+(Cartera_Polizas!$P$150-1)*MAX(0,1-18/Supuestos!$C$20))*(1-Supuestos!$C$18)^18))</f>
        <v>0.0234137355352047</v>
      </c>
      <c r="V148" s="29" t="n">
        <f aca="false">U148*(1-MIN(1,INDEX(Tabla_Mortalidad!$B$5:$B$75,MIN(71,Cartera_Polizas!$B$150+19-49))*(1+(Cartera_Polizas!$P$150-1)*MAX(0,1-19/Supuestos!$C$20))*(1-Supuestos!$C$18)^19))</f>
        <v>0.0174838658974817</v>
      </c>
      <c r="W148" s="29" t="n">
        <f aca="false">V148*(1-MIN(1,INDEX(Tabla_Mortalidad!$B$5:$B$75,MIN(71,Cartera_Polizas!$B$150+20-49))*(1+(Cartera_Polizas!$P$150-1)*MAX(0,1-20/Supuestos!$C$20))*(1-Supuestos!$C$18)^20))</f>
        <v>0.0126528733503051</v>
      </c>
      <c r="X148" s="29" t="n">
        <f aca="false">W148*(1-MIN(1,INDEX(Tabla_Mortalidad!$B$5:$B$75,MIN(71,Cartera_Polizas!$B$150+21-49))*(1+(Cartera_Polizas!$P$150-1)*MAX(0,1-21/Supuestos!$C$20))*(1-Supuestos!$C$18)^21))</f>
        <v>0.00884597519888984</v>
      </c>
      <c r="Y148" s="29" t="n">
        <f aca="false">X148*(1-MIN(1,INDEX(Tabla_Mortalidad!$B$5:$B$75,MIN(71,Cartera_Polizas!$B$150+22-49))*(1+(Cartera_Polizas!$P$150-1)*MAX(0,1-22/Supuestos!$C$20))*(1-Supuestos!$C$18)^22))</f>
        <v>0.00595406747140467</v>
      </c>
      <c r="Z148" s="29" t="n">
        <f aca="false">Y148*(1-MIN(1,INDEX(Tabla_Mortalidad!$B$5:$B$75,MIN(71,Cartera_Polizas!$B$150+23-49))*(1+(Cartera_Polizas!$P$150-1)*MAX(0,1-23/Supuestos!$C$20))*(1-Supuestos!$C$18)^23))</f>
        <v>0.00384400778694159</v>
      </c>
      <c r="AA148" s="29" t="n">
        <f aca="false">Z148*(1-MIN(1,INDEX(Tabla_Mortalidad!$B$5:$B$75,MIN(71,Cartera_Polizas!$B$150+24-49))*(1+(Cartera_Polizas!$P$150-1)*MAX(0,1-24/Supuestos!$C$20))*(1-Supuestos!$C$18)^24))</f>
        <v>0.00237102103018142</v>
      </c>
      <c r="AB148" s="29" t="n">
        <f aca="false">AA148*(1-MIN(1,INDEX(Tabla_Mortalidad!$B$5:$B$75,MIN(71,Cartera_Polizas!$B$150+25-49))*(1+(Cartera_Polizas!$P$150-1)*MAX(0,1-25/Supuestos!$C$20))*(1-Supuestos!$C$18)^25))</f>
        <v>0.00139136486418205</v>
      </c>
      <c r="AC148" s="29" t="n">
        <f aca="false">AB148*(1-MIN(1,INDEX(Tabla_Mortalidad!$B$5:$B$75,MIN(71,Cartera_Polizas!$B$150+26-49))*(1+(Cartera_Polizas!$P$150-1)*MAX(0,1-26/Supuestos!$C$20))*(1-Supuestos!$C$18)^26))</f>
        <v>0.00077336645552915</v>
      </c>
      <c r="AD148" s="29" t="n">
        <f aca="false">AC148*(1-MIN(1,INDEX(Tabla_Mortalidad!$B$5:$B$75,MIN(71,Cartera_Polizas!$B$150+27-49))*(1+(Cartera_Polizas!$P$150-1)*MAX(0,1-27/Supuestos!$C$20))*(1-Supuestos!$C$18)^27))</f>
        <v>0.000405309560970145</v>
      </c>
      <c r="AE148" s="29" t="n">
        <f aca="false">AD148*(1-MIN(1,INDEX(Tabla_Mortalidad!$B$5:$B$75,MIN(71,Cartera_Polizas!$B$150+28-49))*(1+(Cartera_Polizas!$P$150-1)*MAX(0,1-28/Supuestos!$C$20))*(1-Supuestos!$C$18)^28))</f>
        <v>0.000199358880029243</v>
      </c>
      <c r="AF148" s="29" t="n">
        <f aca="false">AE148*(1-MIN(1,INDEX(Tabla_Mortalidad!$B$5:$B$75,MIN(71,Cartera_Polizas!$B$150+29-49))*(1+(Cartera_Polizas!$P$150-1)*MAX(0,1-29/Supuestos!$C$20))*(1-Supuestos!$C$18)^29))</f>
        <v>9.16106961422056E-005</v>
      </c>
      <c r="AG148" s="29" t="n">
        <f aca="false">AF148*(1-MIN(1,INDEX(Tabla_Mortalidad!$B$5:$B$75,MIN(71,Cartera_Polizas!$B$150+30-49))*(1+(Cartera_Polizas!$P$150-1)*MAX(0,1-30/Supuestos!$C$20))*(1-Supuestos!$C$18)^30))</f>
        <v>3.91592703398336E-005</v>
      </c>
      <c r="AH148" s="29" t="n">
        <f aca="false">AG148*(1-MIN(1,INDEX(Tabla_Mortalidad!$B$5:$B$75,MIN(71,Cartera_Polizas!$B$150+31-49))*(1+(Cartera_Polizas!$P$150-1)*MAX(0,1-31/Supuestos!$C$20))*(1-Supuestos!$C$18)^31))</f>
        <v>1.55100769967104E-005</v>
      </c>
      <c r="AI148" s="29" t="n">
        <f aca="false">AH148*(1-MIN(1,INDEX(Tabla_Mortalidad!$B$5:$B$75,MIN(71,Cartera_Polizas!$B$150+32-49))*(1+(Cartera_Polizas!$P$150-1)*MAX(0,1-32/Supuestos!$C$20))*(1-Supuestos!$C$18)^32))</f>
        <v>5.67443628162012E-006</v>
      </c>
      <c r="AJ148" s="29" t="n">
        <f aca="false">AI148*(1-MIN(1,INDEX(Tabla_Mortalidad!$B$5:$B$75,MIN(71,Cartera_Polizas!$B$150+33-49))*(1+(Cartera_Polizas!$P$150-1)*MAX(0,1-33/Supuestos!$C$20))*(1-Supuestos!$C$18)^33))</f>
        <v>1.91372461829333E-006</v>
      </c>
      <c r="AK148" s="29" t="n">
        <f aca="false">AJ148*(1-MIN(1,INDEX(Tabla_Mortalidad!$B$5:$B$75,MIN(71,Cartera_Polizas!$B$150+34-49))*(1+(Cartera_Polizas!$P$150-1)*MAX(0,1-34/Supuestos!$C$20))*(1-Supuestos!$C$18)^34))</f>
        <v>5.94639601341632E-007</v>
      </c>
      <c r="AL148" s="29" t="n">
        <f aca="false">AK148*(1-MIN(1,INDEX(Tabla_Mortalidad!$B$5:$B$75,MIN(71,Cartera_Polizas!$B$150+35-49))*(1+(Cartera_Polizas!$P$150-1)*MAX(0,1-35/Supuestos!$C$20))*(1-Supuestos!$C$18)^35))</f>
        <v>1.70470202233299E-007</v>
      </c>
      <c r="AM148" s="29" t="n">
        <f aca="false">AL148*(1-MIN(1,INDEX(Tabla_Mortalidad!$B$5:$B$75,MIN(71,Cartera_Polizas!$B$150+36-49))*(1+(Cartera_Polizas!$P$150-1)*MAX(0,1-36/Supuestos!$C$20))*(1-Supuestos!$C$18)^36))</f>
        <v>4.52537581854424E-008</v>
      </c>
      <c r="AN148" s="29" t="n">
        <f aca="false">AM148*(1-MIN(1,INDEX(Tabla_Mortalidad!$B$5:$B$75,MIN(71,Cartera_Polizas!$B$150+37-49))*(1+(Cartera_Polizas!$P$150-1)*MAX(0,1-37/Supuestos!$C$20))*(1-Supuestos!$C$18)^37))</f>
        <v>1.1192791500707E-008</v>
      </c>
      <c r="AO148" s="29" t="n">
        <f aca="false">AN148*(1-MIN(1,INDEX(Tabla_Mortalidad!$B$5:$B$75,MIN(71,Cartera_Polizas!$B$150+38-49))*(1+(Cartera_Polizas!$P$150-1)*MAX(0,1-38/Supuestos!$C$20))*(1-Supuestos!$C$18)^38))</f>
        <v>2.60149595004208E-009</v>
      </c>
      <c r="AP148" s="29" t="n">
        <f aca="false">AO148*(1-MIN(1,INDEX(Tabla_Mortalidad!$B$5:$B$75,MIN(71,Cartera_Polizas!$B$150+39-49))*(1+(Cartera_Polizas!$P$150-1)*MAX(0,1-39/Supuestos!$C$20))*(1-Supuestos!$C$18)^39))</f>
        <v>5.74276854547717E-010</v>
      </c>
      <c r="AQ148" s="29" t="n">
        <f aca="false">AP148*(1-MIN(1,INDEX(Tabla_Mortalidad!$B$5:$B$75,MIN(71,Cartera_Polizas!$B$150+40-49))*(1+(Cartera_Polizas!$P$150-1)*MAX(0,1-40/Supuestos!$C$20))*(1-Supuestos!$C$18)^40))</f>
        <v>1.04334549433708E-010</v>
      </c>
      <c r="AR148" s="29" t="n">
        <f aca="false">AQ148*(1-MIN(1,INDEX(Tabla_Mortalidad!$B$5:$B$75,MIN(71,Cartera_Polizas!$B$150+41-49))*(1+(Cartera_Polizas!$P$150-1)*MAX(0,1-41/Supuestos!$C$20))*(1-Supuestos!$C$18)^41))</f>
        <v>1.93823836198672E-011</v>
      </c>
      <c r="AS148" s="29" t="n">
        <f aca="false">AR148*(1-MIN(1,INDEX(Tabla_Mortalidad!$B$5:$B$75,MIN(71,Cartera_Polizas!$B$150+42-49))*(1+(Cartera_Polizas!$P$150-1)*MAX(0,1-42/Supuestos!$C$20))*(1-Supuestos!$C$18)^42))</f>
        <v>3.67960253058201E-012</v>
      </c>
      <c r="AT148" s="29" t="n">
        <f aca="false">AS148*(1-MIN(1,INDEX(Tabla_Mortalidad!$B$5:$B$75,MIN(71,Cartera_Polizas!$B$150+43-49))*(1+(Cartera_Polizas!$P$150-1)*MAX(0,1-43/Supuestos!$C$20))*(1-Supuestos!$C$18)^43))</f>
        <v>7.13450678690407E-013</v>
      </c>
      <c r="AU148" s="29" t="n">
        <f aca="false">AT148*(1-MIN(1,INDEX(Tabla_Mortalidad!$B$5:$B$75,MIN(71,Cartera_Polizas!$B$150+44-49))*(1+(Cartera_Polizas!$P$150-1)*MAX(0,1-44/Supuestos!$C$20))*(1-Supuestos!$C$18)^44))</f>
        <v>1.41208970769126E-013</v>
      </c>
    </row>
    <row r="149" customFormat="false" ht="15" hidden="false" customHeight="false" outlineLevel="0" collapsed="false">
      <c r="A149" s="14" t="n">
        <f aca="false">Cartera_Polizas!A151</f>
        <v>146</v>
      </c>
      <c r="B149" s="26" t="n">
        <f aca="false">SUM(C149:AU149)+0.5</f>
        <v>6.97508702124244</v>
      </c>
      <c r="C149" s="29" t="n">
        <f aca="false">1-MIN(1,INDEX(Tabla_Mortalidad!$B$5:$B$75,MIN(71,Cartera_Polizas!$B$151+0-49))*(1+(Cartera_Polizas!$P$151-1)*MAX(0,1-0/Supuestos!$C$20))*(1-Supuestos!$C$18)^0)</f>
        <v>0.892342846</v>
      </c>
      <c r="D149" s="29" t="n">
        <f aca="false">C149*(1-MIN(1,INDEX(Tabla_Mortalidad!$B$5:$B$75,MIN(71,Cartera_Polizas!$B$151+1-49))*(1+(Cartera_Polizas!$P$151-1)*MAX(0,1-1/Supuestos!$C$20))*(1-Supuestos!$C$18)^1))</f>
        <v>0.791034058742971</v>
      </c>
      <c r="E149" s="29" t="n">
        <f aca="false">D149*(1-MIN(1,INDEX(Tabla_Mortalidad!$B$5:$B$75,MIN(71,Cartera_Polizas!$B$151+2-49))*(1+(Cartera_Polizas!$P$151-1)*MAX(0,1-2/Supuestos!$C$20))*(1-Supuestos!$C$18)^2))</f>
        <v>0.696595155593005</v>
      </c>
      <c r="F149" s="29" t="n">
        <f aca="false">E149*(1-MIN(1,INDEX(Tabla_Mortalidad!$B$5:$B$75,MIN(71,Cartera_Polizas!$B$151+3-49))*(1+(Cartera_Polizas!$P$151-1)*MAX(0,1-3/Supuestos!$C$20))*(1-Supuestos!$C$18)^3))</f>
        <v>0.60941887456547</v>
      </c>
      <c r="G149" s="29" t="n">
        <f aca="false">F149*(1-MIN(1,INDEX(Tabla_Mortalidad!$B$5:$B$75,MIN(71,Cartera_Polizas!$B$151+4-49))*(1+(Cartera_Polizas!$P$151-1)*MAX(0,1-4/Supuestos!$C$20))*(1-Supuestos!$C$18)^4))</f>
        <v>0.529756722554401</v>
      </c>
      <c r="H149" s="29" t="n">
        <f aca="false">G149*(1-MIN(1,INDEX(Tabla_Mortalidad!$B$5:$B$75,MIN(71,Cartera_Polizas!$B$151+5-49))*(1+(Cartera_Polizas!$P$151-1)*MAX(0,1-5/Supuestos!$C$20))*(1-Supuestos!$C$18)^5))</f>
        <v>0.457710739454822</v>
      </c>
      <c r="I149" s="29" t="n">
        <f aca="false">H149*(1-MIN(1,INDEX(Tabla_Mortalidad!$B$5:$B$75,MIN(71,Cartera_Polizas!$B$151+6-49))*(1+(Cartera_Polizas!$P$151-1)*MAX(0,1-6/Supuestos!$C$20))*(1-Supuestos!$C$18)^6))</f>
        <v>0.39323903802238</v>
      </c>
      <c r="J149" s="29" t="n">
        <f aca="false">I149*(1-MIN(1,INDEX(Tabla_Mortalidad!$B$5:$B$75,MIN(71,Cartera_Polizas!$B$151+7-49))*(1+(Cartera_Polizas!$P$151-1)*MAX(0,1-7/Supuestos!$C$20))*(1-Supuestos!$C$18)^7))</f>
        <v>0.336165322615169</v>
      </c>
      <c r="K149" s="29" t="n">
        <f aca="false">J149*(1-MIN(1,INDEX(Tabla_Mortalidad!$B$5:$B$75,MIN(71,Cartera_Polizas!$B$151+8-49))*(1+(Cartera_Polizas!$P$151-1)*MAX(0,1-8/Supuestos!$C$20))*(1-Supuestos!$C$18)^8))</f>
        <v>0.286189961352367</v>
      </c>
      <c r="L149" s="29" t="n">
        <f aca="false">K149*(1-MIN(1,INDEX(Tabla_Mortalidad!$B$5:$B$75,MIN(71,Cartera_Polizas!$B$151+9-49))*(1+(Cartera_Polizas!$P$151-1)*MAX(0,1-9/Supuestos!$C$20))*(1-Supuestos!$C$18)^9))</f>
        <v>0.242909825073796</v>
      </c>
      <c r="M149" s="29" t="n">
        <f aca="false">L149*(1-MIN(1,INDEX(Tabla_Mortalidad!$B$5:$B$75,MIN(71,Cartera_Polizas!$B$151+10-49))*(1+(Cartera_Polizas!$P$151-1)*MAX(0,1-10/Supuestos!$C$20))*(1-Supuestos!$C$18)^10))</f>
        <v>0.205844725596552</v>
      </c>
      <c r="N149" s="29" t="n">
        <f aca="false">M149*(1-MIN(1,INDEX(Tabla_Mortalidad!$B$5:$B$75,MIN(71,Cartera_Polizas!$B$151+11-49))*(1+(Cartera_Polizas!$P$151-1)*MAX(0,1-11/Supuestos!$C$20))*(1-Supuestos!$C$18)^11))</f>
        <v>0.174459752400622</v>
      </c>
      <c r="O149" s="29" t="n">
        <f aca="false">N149*(1-MIN(1,INDEX(Tabla_Mortalidad!$B$5:$B$75,MIN(71,Cartera_Polizas!$B$151+12-49))*(1+(Cartera_Polizas!$P$151-1)*MAX(0,1-12/Supuestos!$C$20))*(1-Supuestos!$C$18)^12))</f>
        <v>0.148194890008262</v>
      </c>
      <c r="P149" s="29" t="n">
        <f aca="false">O149*(1-MIN(1,INDEX(Tabla_Mortalidad!$B$5:$B$75,MIN(71,Cartera_Polizas!$B$151+13-49))*(1+(Cartera_Polizas!$P$151-1)*MAX(0,1-13/Supuestos!$C$20))*(1-Supuestos!$C$18)^13))</f>
        <v>0.12648872795145</v>
      </c>
      <c r="Q149" s="29" t="n">
        <f aca="false">P149*(1-MIN(1,INDEX(Tabla_Mortalidad!$B$5:$B$75,MIN(71,Cartera_Polizas!$B$151+14-49))*(1+(Cartera_Polizas!$P$151-1)*MAX(0,1-14/Supuestos!$C$20))*(1-Supuestos!$C$18)^14))</f>
        <v>0.108802762963292</v>
      </c>
      <c r="R149" s="29" t="n">
        <f aca="false">Q149*(1-MIN(1,INDEX(Tabla_Mortalidad!$B$5:$B$75,MIN(71,Cartera_Polizas!$B$151+15-49))*(1+(Cartera_Polizas!$P$151-1)*MAX(0,1-15/Supuestos!$C$20))*(1-Supuestos!$C$18)^15))</f>
        <v>0.0946423877921292</v>
      </c>
      <c r="S149" s="29" t="n">
        <f aca="false">R149*(1-MIN(1,INDEX(Tabla_Mortalidad!$B$5:$B$75,MIN(71,Cartera_Polizas!$B$151+16-49))*(1+(Cartera_Polizas!$P$151-1)*MAX(0,1-16/Supuestos!$C$20))*(1-Supuestos!$C$18)^16))</f>
        <v>0.0810779665783828</v>
      </c>
      <c r="T149" s="29" t="n">
        <f aca="false">S149*(1-MIN(1,INDEX(Tabla_Mortalidad!$B$5:$B$75,MIN(71,Cartera_Polizas!$B$151+17-49))*(1+(Cartera_Polizas!$P$151-1)*MAX(0,1-17/Supuestos!$C$20))*(1-Supuestos!$C$18)^17))</f>
        <v>0.0682936309799085</v>
      </c>
      <c r="U149" s="29" t="n">
        <f aca="false">T149*(1-MIN(1,INDEX(Tabla_Mortalidad!$B$5:$B$75,MIN(71,Cartera_Polizas!$B$151+18-49))*(1+(Cartera_Polizas!$P$151-1)*MAX(0,1-18/Supuestos!$C$20))*(1-Supuestos!$C$18)^18))</f>
        <v>0.0564590445986164</v>
      </c>
      <c r="V149" s="29" t="n">
        <f aca="false">U149*(1-MIN(1,INDEX(Tabla_Mortalidad!$B$5:$B$75,MIN(71,Cartera_Polizas!$B$151+19-49))*(1+(Cartera_Polizas!$P$151-1)*MAX(0,1-19/Supuestos!$C$20))*(1-Supuestos!$C$18)^19))</f>
        <v>0.0457194030380586</v>
      </c>
      <c r="W149" s="29" t="n">
        <f aca="false">V149*(1-MIN(1,INDEX(Tabla_Mortalidad!$B$5:$B$75,MIN(71,Cartera_Polizas!$B$151+20-49))*(1+(Cartera_Polizas!$P$151-1)*MAX(0,1-20/Supuestos!$C$20))*(1-Supuestos!$C$18)^20))</f>
        <v>0.0361855403434876</v>
      </c>
      <c r="X149" s="29" t="n">
        <f aca="false">W149*(1-MIN(1,INDEX(Tabla_Mortalidad!$B$5:$B$75,MIN(71,Cartera_Polizas!$B$151+21-49))*(1+(Cartera_Polizas!$P$151-1)*MAX(0,1-21/Supuestos!$C$20))*(1-Supuestos!$C$18)^21))</f>
        <v>0.0279253920485827</v>
      </c>
      <c r="Y149" s="29" t="n">
        <f aca="false">X149*(1-MIN(1,INDEX(Tabla_Mortalidad!$B$5:$B$75,MIN(71,Cartera_Polizas!$B$151+22-49))*(1+(Cartera_Polizas!$P$151-1)*MAX(0,1-22/Supuestos!$C$20))*(1-Supuestos!$C$18)^22))</f>
        <v>0.0209584378001025</v>
      </c>
      <c r="Z149" s="29" t="n">
        <f aca="false">Y149*(1-MIN(1,INDEX(Tabla_Mortalidad!$B$5:$B$75,MIN(71,Cartera_Polizas!$B$151+23-49))*(1+(Cartera_Polizas!$P$151-1)*MAX(0,1-23/Supuestos!$C$20))*(1-Supuestos!$C$18)^23))</f>
        <v>0.0152538134542399</v>
      </c>
      <c r="AA149" s="29" t="n">
        <f aca="false">Z149*(1-MIN(1,INDEX(Tabla_Mortalidad!$B$5:$B$75,MIN(71,Cartera_Polizas!$B$151+24-49))*(1+(Cartera_Polizas!$P$151-1)*MAX(0,1-24/Supuestos!$C$20))*(1-Supuestos!$C$18)^24))</f>
        <v>0.0107328627647399</v>
      </c>
      <c r="AB149" s="29" t="n">
        <f aca="false">AA149*(1-MIN(1,INDEX(Tabla_Mortalidad!$B$5:$B$75,MIN(71,Cartera_Polizas!$B$151+25-49))*(1+(Cartera_Polizas!$P$151-1)*MAX(0,1-25/Supuestos!$C$20))*(1-Supuestos!$C$18)^25))</f>
        <v>0.00727646645429499</v>
      </c>
      <c r="AC149" s="29" t="n">
        <f aca="false">AB149*(1-MIN(1,INDEX(Tabla_Mortalidad!$B$5:$B$75,MIN(71,Cartera_Polizas!$B$151+26-49))*(1+(Cartera_Polizas!$P$151-1)*MAX(0,1-26/Supuestos!$C$20))*(1-Supuestos!$C$18)^26))</f>
        <v>0.00473624978397645</v>
      </c>
      <c r="AD149" s="29" t="n">
        <f aca="false">AC149*(1-MIN(1,INDEX(Tabla_Mortalidad!$B$5:$B$75,MIN(71,Cartera_Polizas!$B$151+27-49))*(1+(Cartera_Polizas!$P$151-1)*MAX(0,1-27/Supuestos!$C$20))*(1-Supuestos!$C$18)^27))</f>
        <v>0.00294845187832177</v>
      </c>
      <c r="AE149" s="29" t="n">
        <f aca="false">AD149*(1-MIN(1,INDEX(Tabla_Mortalidad!$B$5:$B$75,MIN(71,Cartera_Polizas!$B$151+28-49))*(1+(Cartera_Polizas!$P$151-1)*MAX(0,1-28/Supuestos!$C$20))*(1-Supuestos!$C$18)^28))</f>
        <v>0.00174839575705132</v>
      </c>
      <c r="AF149" s="29" t="n">
        <f aca="false">AE149*(1-MIN(1,INDEX(Tabla_Mortalidad!$B$5:$B$75,MIN(71,Cartera_Polizas!$B$151+29-49))*(1+(Cartera_Polizas!$P$151-1)*MAX(0,1-29/Supuestos!$C$20))*(1-Supuestos!$C$18)^29))</f>
        <v>0.0009834065447378</v>
      </c>
      <c r="AG149" s="29" t="n">
        <f aca="false">AF149*(1-MIN(1,INDEX(Tabla_Mortalidad!$B$5:$B$75,MIN(71,Cartera_Polizas!$B$151+30-49))*(1+(Cartera_Polizas!$P$151-1)*MAX(0,1-30/Supuestos!$C$20))*(1-Supuestos!$C$18)^30))</f>
        <v>0.00052237359718089</v>
      </c>
      <c r="AH149" s="29" t="n">
        <f aca="false">AG149*(1-MIN(1,INDEX(Tabla_Mortalidad!$B$5:$B$75,MIN(71,Cartera_Polizas!$B$151+31-49))*(1+(Cartera_Polizas!$P$151-1)*MAX(0,1-31/Supuestos!$C$20))*(1-Supuestos!$C$18)^31))</f>
        <v>0.000260900600806056</v>
      </c>
      <c r="AI149" s="29" t="n">
        <f aca="false">AH149*(1-MIN(1,INDEX(Tabla_Mortalidad!$B$5:$B$75,MIN(71,Cartera_Polizas!$B$151+32-49))*(1+(Cartera_Polizas!$P$151-1)*MAX(0,1-32/Supuestos!$C$20))*(1-Supuestos!$C$18)^32))</f>
        <v>0.000121995339737943</v>
      </c>
      <c r="AJ149" s="29" t="n">
        <f aca="false">AI149*(1-MIN(1,INDEX(Tabla_Mortalidad!$B$5:$B$75,MIN(71,Cartera_Polizas!$B$151+33-49))*(1+(Cartera_Polizas!$P$151-1)*MAX(0,1-33/Supuestos!$C$20))*(1-Supuestos!$C$18)^33))</f>
        <v>5.31897695846777E-005</v>
      </c>
      <c r="AK149" s="29" t="n">
        <f aca="false">AJ149*(1-MIN(1,INDEX(Tabla_Mortalidad!$B$5:$B$75,MIN(71,Cartera_Polizas!$B$151+34-49))*(1+(Cartera_Polizas!$P$151-1)*MAX(0,1-34/Supuestos!$C$20))*(1-Supuestos!$C$18)^34))</f>
        <v>2.15466645993695E-005</v>
      </c>
      <c r="AL149" s="29" t="n">
        <f aca="false">AK149*(1-MIN(1,INDEX(Tabla_Mortalidad!$B$5:$B$75,MIN(71,Cartera_Polizas!$B$151+35-49))*(1+(Cartera_Polizas!$P$151-1)*MAX(0,1-35/Supuestos!$C$20))*(1-Supuestos!$C$18)^35))</f>
        <v>8.08688353049891E-006</v>
      </c>
      <c r="AM149" s="29" t="n">
        <f aca="false">AL149*(1-MIN(1,INDEX(Tabla_Mortalidad!$B$5:$B$75,MIN(71,Cartera_Polizas!$B$151+36-49))*(1+(Cartera_Polizas!$P$151-1)*MAX(0,1-36/Supuestos!$C$20))*(1-Supuestos!$C$18)^36))</f>
        <v>2.80732335935206E-006</v>
      </c>
      <c r="AN149" s="29" t="n">
        <f aca="false">AM149*(1-MIN(1,INDEX(Tabla_Mortalidad!$B$5:$B$75,MIN(71,Cartera_Polizas!$B$151+37-49))*(1+(Cartera_Polizas!$P$151-1)*MAX(0,1-37/Supuestos!$C$20))*(1-Supuestos!$C$18)^37))</f>
        <v>9.01182348806158E-007</v>
      </c>
      <c r="AO149" s="29" t="n">
        <f aca="false">AN149*(1-MIN(1,INDEX(Tabla_Mortalidad!$B$5:$B$75,MIN(71,Cartera_Polizas!$B$151+38-49))*(1+(Cartera_Polizas!$P$151-1)*MAX(0,1-38/Supuestos!$C$20))*(1-Supuestos!$C$18)^38))</f>
        <v>2.67943684300337E-007</v>
      </c>
      <c r="AP149" s="29" t="n">
        <f aca="false">AO149*(1-MIN(1,INDEX(Tabla_Mortalidad!$B$5:$B$75,MIN(71,Cartera_Polizas!$B$151+39-49))*(1+(Cartera_Polizas!$P$151-1)*MAX(0,1-39/Supuestos!$C$20))*(1-Supuestos!$C$18)^39))</f>
        <v>7.40669673276959E-008</v>
      </c>
      <c r="AQ149" s="29" t="n">
        <f aca="false">AP149*(1-MIN(1,INDEX(Tabla_Mortalidad!$B$5:$B$75,MIN(71,Cartera_Polizas!$B$151+40-49))*(1+(Cartera_Polizas!$P$151-1)*MAX(0,1-40/Supuestos!$C$20))*(1-Supuestos!$C$18)^40))</f>
        <v>1.91513180484813E-008</v>
      </c>
      <c r="AR149" s="29" t="n">
        <f aca="false">AQ149*(1-MIN(1,INDEX(Tabla_Mortalidad!$B$5:$B$75,MIN(71,Cartera_Polizas!$B$151+41-49))*(1+(Cartera_Polizas!$P$151-1)*MAX(0,1-41/Supuestos!$C$20))*(1-Supuestos!$C$18)^41))</f>
        <v>4.67066471399851E-009</v>
      </c>
      <c r="AS149" s="29" t="n">
        <f aca="false">AR149*(1-MIN(1,INDEX(Tabla_Mortalidad!$B$5:$B$75,MIN(71,Cartera_Polizas!$B$151+42-49))*(1+(Cartera_Polizas!$P$151-1)*MAX(0,1-42/Supuestos!$C$20))*(1-Supuestos!$C$18)^42))</f>
        <v>1.08536498010492E-009</v>
      </c>
      <c r="AT149" s="29" t="n">
        <f aca="false">AS149*(1-MIN(1,INDEX(Tabla_Mortalidad!$B$5:$B$75,MIN(71,Cartera_Polizas!$B$151+43-49))*(1+(Cartera_Polizas!$P$151-1)*MAX(0,1-43/Supuestos!$C$20))*(1-Supuestos!$C$18)^43))</f>
        <v>2.10445116081647E-010</v>
      </c>
      <c r="AU149" s="29" t="n">
        <f aca="false">AT149*(1-MIN(1,INDEX(Tabla_Mortalidad!$B$5:$B$75,MIN(71,Cartera_Polizas!$B$151+44-49))*(1+(Cartera_Polizas!$P$151-1)*MAX(0,1-44/Supuestos!$C$20))*(1-Supuestos!$C$18)^44))</f>
        <v>4.16521269554693E-011</v>
      </c>
    </row>
    <row r="150" customFormat="false" ht="15" hidden="false" customHeight="false" outlineLevel="0" collapsed="false">
      <c r="A150" s="14" t="n">
        <f aca="false">Cartera_Polizas!A152</f>
        <v>147</v>
      </c>
      <c r="B150" s="26" t="n">
        <f aca="false">SUM(C150:AU150)+0.5</f>
        <v>2.75150371160186</v>
      </c>
      <c r="C150" s="29" t="n">
        <f aca="false">1-MIN(1,INDEX(Tabla_Mortalidad!$B$5:$B$75,MIN(71,Cartera_Polizas!$B$152+0-49))*(1+(Cartera_Polizas!$P$152-1)*MAX(0,1-0/Supuestos!$C$20))*(1-Supuestos!$C$18)^0)</f>
        <v>0.7237266425</v>
      </c>
      <c r="D150" s="29" t="n">
        <f aca="false">C150*(1-MIN(1,INDEX(Tabla_Mortalidad!$B$5:$B$75,MIN(71,Cartera_Polizas!$B$152+1-49))*(1+(Cartera_Polizas!$P$152-1)*MAX(0,1-1/Supuestos!$C$20))*(1-Supuestos!$C$18)^1))</f>
        <v>0.512248198923908</v>
      </c>
      <c r="E150" s="29" t="n">
        <f aca="false">D150*(1-MIN(1,INDEX(Tabla_Mortalidad!$B$5:$B$75,MIN(71,Cartera_Polizas!$B$152+2-49))*(1+(Cartera_Polizas!$P$152-1)*MAX(0,1-2/Supuestos!$C$20))*(1-Supuestos!$C$18)^2))</f>
        <v>0.354344928297781</v>
      </c>
      <c r="F150" s="29" t="n">
        <f aca="false">E150*(1-MIN(1,INDEX(Tabla_Mortalidad!$B$5:$B$75,MIN(71,Cartera_Polizas!$B$152+3-49))*(1+(Cartera_Polizas!$P$152-1)*MAX(0,1-3/Supuestos!$C$20))*(1-Supuestos!$C$18)^3))</f>
        <v>0.239447027065902</v>
      </c>
      <c r="G150" s="29" t="n">
        <f aca="false">F150*(1-MIN(1,INDEX(Tabla_Mortalidad!$B$5:$B$75,MIN(71,Cartera_Polizas!$B$152+4-49))*(1+(Cartera_Polizas!$P$152-1)*MAX(0,1-4/Supuestos!$C$20))*(1-Supuestos!$C$18)^4))</f>
        <v>0.158033077073727</v>
      </c>
      <c r="H150" s="29" t="n">
        <f aca="false">G150*(1-MIN(1,INDEX(Tabla_Mortalidad!$B$5:$B$75,MIN(71,Cartera_Polizas!$B$152+5-49))*(1+(Cartera_Polizas!$P$152-1)*MAX(0,1-5/Supuestos!$C$20))*(1-Supuestos!$C$18)^5))</f>
        <v>0.101886472823095</v>
      </c>
      <c r="I150" s="29" t="n">
        <f aca="false">H150*(1-MIN(1,INDEX(Tabla_Mortalidad!$B$5:$B$75,MIN(71,Cartera_Polizas!$B$152+6-49))*(1+(Cartera_Polizas!$P$152-1)*MAX(0,1-6/Supuestos!$C$20))*(1-Supuestos!$C$18)^6))</f>
        <v>0.0642073789790583</v>
      </c>
      <c r="J150" s="29" t="n">
        <f aca="false">I150*(1-MIN(1,INDEX(Tabla_Mortalidad!$B$5:$B$75,MIN(71,Cartera_Polizas!$B$152+7-49))*(1+(Cartera_Polizas!$P$152-1)*MAX(0,1-7/Supuestos!$C$20))*(1-Supuestos!$C$18)^7))</f>
        <v>0.039597591022099</v>
      </c>
      <c r="K150" s="29" t="n">
        <f aca="false">J150*(1-MIN(1,INDEX(Tabla_Mortalidad!$B$5:$B$75,MIN(71,Cartera_Polizas!$B$152+8-49))*(1+(Cartera_Polizas!$P$152-1)*MAX(0,1-8/Supuestos!$C$20))*(1-Supuestos!$C$18)^8))</f>
        <v>0.0239431015956332</v>
      </c>
      <c r="L150" s="29" t="n">
        <f aca="false">K150*(1-MIN(1,INDEX(Tabla_Mortalidad!$B$5:$B$75,MIN(71,Cartera_Polizas!$B$152+9-49))*(1+(Cartera_Polizas!$P$152-1)*MAX(0,1-9/Supuestos!$C$20))*(1-Supuestos!$C$18)^9))</f>
        <v>0.0142323652573845</v>
      </c>
      <c r="M150" s="29" t="n">
        <f aca="false">L150*(1-MIN(1,INDEX(Tabla_Mortalidad!$B$5:$B$75,MIN(71,Cartera_Polizas!$B$152+10-49))*(1+(Cartera_Polizas!$P$152-1)*MAX(0,1-10/Supuestos!$C$20))*(1-Supuestos!$C$18)^10))</f>
        <v>0.00834663542901026</v>
      </c>
      <c r="N150" s="29" t="n">
        <f aca="false">M150*(1-MIN(1,INDEX(Tabla_Mortalidad!$B$5:$B$75,MIN(71,Cartera_Polizas!$B$152+11-49))*(1+(Cartera_Polizas!$P$152-1)*MAX(0,1-11/Supuestos!$C$20))*(1-Supuestos!$C$18)^11))</f>
        <v>0.00485144304205844</v>
      </c>
      <c r="O150" s="29" t="n">
        <f aca="false">N150*(1-MIN(1,INDEX(Tabla_Mortalidad!$B$5:$B$75,MIN(71,Cartera_Polizas!$B$152+12-49))*(1+(Cartera_Polizas!$P$152-1)*MAX(0,1-12/Supuestos!$C$20))*(1-Supuestos!$C$18)^12))</f>
        <v>0.0028105780769094</v>
      </c>
      <c r="P150" s="29" t="n">
        <f aca="false">O150*(1-MIN(1,INDEX(Tabla_Mortalidad!$B$5:$B$75,MIN(71,Cartera_Polizas!$B$152+13-49))*(1+(Cartera_Polizas!$P$152-1)*MAX(0,1-13/Supuestos!$C$20))*(1-Supuestos!$C$18)^13))</f>
        <v>0.00163371397527175</v>
      </c>
      <c r="Q150" s="29" t="n">
        <f aca="false">P150*(1-MIN(1,INDEX(Tabla_Mortalidad!$B$5:$B$75,MIN(71,Cartera_Polizas!$B$152+14-49))*(1+(Cartera_Polizas!$P$152-1)*MAX(0,1-14/Supuestos!$C$20))*(1-Supuestos!$C$18)^14))</f>
        <v>0.000960087481078049</v>
      </c>
      <c r="R150" s="29" t="n">
        <f aca="false">Q150*(1-MIN(1,INDEX(Tabla_Mortalidad!$B$5:$B$75,MIN(71,Cartera_Polizas!$B$152+15-49))*(1+(Cartera_Polizas!$P$152-1)*MAX(0,1-15/Supuestos!$C$20))*(1-Supuestos!$C$18)^15))</f>
        <v>0.000575214287470457</v>
      </c>
      <c r="S150" s="29" t="n">
        <f aca="false">R150*(1-MIN(1,INDEX(Tabla_Mortalidad!$B$5:$B$75,MIN(71,Cartera_Polizas!$B$152+16-49))*(1+(Cartera_Polizas!$P$152-1)*MAX(0,1-16/Supuestos!$C$20))*(1-Supuestos!$C$18)^16))</f>
        <v>0.000326580464166027</v>
      </c>
      <c r="T150" s="29" t="n">
        <f aca="false">S150*(1-MIN(1,INDEX(Tabla_Mortalidad!$B$5:$B$75,MIN(71,Cartera_Polizas!$B$152+17-49))*(1+(Cartera_Polizas!$P$152-1)*MAX(0,1-17/Supuestos!$C$20))*(1-Supuestos!$C$18)^17))</f>
        <v>0.000174830429132963</v>
      </c>
      <c r="U150" s="29" t="n">
        <f aca="false">T150*(1-MIN(1,INDEX(Tabla_Mortalidad!$B$5:$B$75,MIN(71,Cartera_Polizas!$B$152+18-49))*(1+(Cartera_Polizas!$P$152-1)*MAX(0,1-18/Supuestos!$C$20))*(1-Supuestos!$C$18)^18))</f>
        <v>8.77864124418153E-005</v>
      </c>
      <c r="V150" s="29" t="n">
        <f aca="false">U150*(1-MIN(1,INDEX(Tabla_Mortalidad!$B$5:$B$75,MIN(71,Cartera_Polizas!$B$152+19-49))*(1+(Cartera_Polizas!$P$152-1)*MAX(0,1-19/Supuestos!$C$20))*(1-Supuestos!$C$18)^19))</f>
        <v>4.11209087243419E-005</v>
      </c>
      <c r="W150" s="29" t="n">
        <f aca="false">V150*(1-MIN(1,INDEX(Tabla_Mortalidad!$B$5:$B$75,MIN(71,Cartera_Polizas!$B$152+20-49))*(1+(Cartera_Polizas!$P$152-1)*MAX(0,1-20/Supuestos!$C$20))*(1-Supuestos!$C$18)^20))</f>
        <v>1.78705664627275E-005</v>
      </c>
      <c r="X150" s="29" t="n">
        <f aca="false">W150*(1-MIN(1,INDEX(Tabla_Mortalidad!$B$5:$B$75,MIN(71,Cartera_Polizas!$B$152+21-49))*(1+(Cartera_Polizas!$P$152-1)*MAX(0,1-21/Supuestos!$C$20))*(1-Supuestos!$C$18)^21))</f>
        <v>7.16667474049616E-006</v>
      </c>
      <c r="Y150" s="29" t="n">
        <f aca="false">X150*(1-MIN(1,INDEX(Tabla_Mortalidad!$B$5:$B$75,MIN(71,Cartera_Polizas!$B$152+22-49))*(1+(Cartera_Polizas!$P$152-1)*MAX(0,1-22/Supuestos!$C$20))*(1-Supuestos!$C$18)^22))</f>
        <v>2.63882810078851E-006</v>
      </c>
      <c r="Z150" s="29" t="n">
        <f aca="false">Y150*(1-MIN(1,INDEX(Tabla_Mortalidad!$B$5:$B$75,MIN(71,Cartera_Polizas!$B$152+23-49))*(1+(Cartera_Polizas!$P$152-1)*MAX(0,1-23/Supuestos!$C$20))*(1-Supuestos!$C$18)^23))</f>
        <v>8.88207334828924E-007</v>
      </c>
      <c r="AA150" s="29" t="n">
        <f aca="false">Z150*(1-MIN(1,INDEX(Tabla_Mortalidad!$B$5:$B$75,MIN(71,Cartera_Polizas!$B$152+24-49))*(1+(Cartera_Polizas!$P$152-1)*MAX(0,1-24/Supuestos!$C$20))*(1-Supuestos!$C$18)^24))</f>
        <v>2.72387118594043E-007</v>
      </c>
      <c r="AB150" s="29" t="n">
        <f aca="false">AA150*(1-MIN(1,INDEX(Tabla_Mortalidad!$B$5:$B$75,MIN(71,Cartera_Polizas!$B$152+25-49))*(1+(Cartera_Polizas!$P$152-1)*MAX(0,1-25/Supuestos!$C$20))*(1-Supuestos!$C$18)^25))</f>
        <v>7.5973235125388E-008</v>
      </c>
      <c r="AC150" s="29" t="n">
        <f aca="false">AB150*(1-MIN(1,INDEX(Tabla_Mortalidad!$B$5:$B$75,MIN(71,Cartera_Polizas!$B$152+26-49))*(1+(Cartera_Polizas!$P$152-1)*MAX(0,1-26/Supuestos!$C$20))*(1-Supuestos!$C$18)^26))</f>
        <v>1.92790655032011E-008</v>
      </c>
      <c r="AD150" s="29" t="n">
        <f aca="false">AC150*(1-MIN(1,INDEX(Tabla_Mortalidad!$B$5:$B$75,MIN(71,Cartera_Polizas!$B$152+27-49))*(1+(Cartera_Polizas!$P$152-1)*MAX(0,1-27/Supuestos!$C$20))*(1-Supuestos!$C$18)^27))</f>
        <v>4.46442414882734E-009</v>
      </c>
      <c r="AE150" s="29" t="n">
        <f aca="false">AD150*(1-MIN(1,INDEX(Tabla_Mortalidad!$B$5:$B$75,MIN(71,Cartera_Polizas!$B$152+28-49))*(1+(Cartera_Polizas!$P$152-1)*MAX(0,1-28/Supuestos!$C$20))*(1-Supuestos!$C$18)^28))</f>
        <v>9.49143207327546E-010</v>
      </c>
      <c r="AF150" s="29" t="n">
        <f aca="false">AE150*(1-MIN(1,INDEX(Tabla_Mortalidad!$B$5:$B$75,MIN(71,Cartera_Polizas!$B$152+29-49))*(1+(Cartera_Polizas!$P$152-1)*MAX(0,1-29/Supuestos!$C$20))*(1-Supuestos!$C$18)^29))</f>
        <v>1.86986522731955E-010</v>
      </c>
      <c r="AG150" s="29" t="n">
        <f aca="false">AF150*(1-MIN(1,INDEX(Tabla_Mortalidad!$B$5:$B$75,MIN(71,Cartera_Polizas!$B$152+30-49))*(1+(Cartera_Polizas!$P$152-1)*MAX(0,1-30/Supuestos!$C$20))*(1-Supuestos!$C$18)^30))</f>
        <v>3.45531310269088E-011</v>
      </c>
      <c r="AH150" s="29" t="n">
        <f aca="false">AG150*(1-MIN(1,INDEX(Tabla_Mortalidad!$B$5:$B$75,MIN(71,Cartera_Polizas!$B$152+31-49))*(1+(Cartera_Polizas!$P$152-1)*MAX(0,1-31/Supuestos!$C$20))*(1-Supuestos!$C$18)^31))</f>
        <v>4.9728081487828E-012</v>
      </c>
      <c r="AI150" s="29" t="n">
        <f aca="false">AH150*(1-MIN(1,INDEX(Tabla_Mortalidad!$B$5:$B$75,MIN(71,Cartera_Polizas!$B$152+32-49))*(1+(Cartera_Polizas!$P$152-1)*MAX(0,1-32/Supuestos!$C$20))*(1-Supuestos!$C$18)^32))</f>
        <v>7.36960920213853E-013</v>
      </c>
      <c r="AJ150" s="29" t="n">
        <f aca="false">AI150*(1-MIN(1,INDEX(Tabla_Mortalidad!$B$5:$B$75,MIN(71,Cartera_Polizas!$B$152+33-49))*(1+(Cartera_Polizas!$P$152-1)*MAX(0,1-33/Supuestos!$C$20))*(1-Supuestos!$C$18)^33))</f>
        <v>1.12354961334365E-013</v>
      </c>
      <c r="AK150" s="29" t="n">
        <f aca="false">AJ150*(1-MIN(1,INDEX(Tabla_Mortalidad!$B$5:$B$75,MIN(71,Cartera_Polizas!$B$152+34-49))*(1+(Cartera_Polizas!$P$152-1)*MAX(0,1-34/Supuestos!$C$20))*(1-Supuestos!$C$18)^34))</f>
        <v>1.76054453803022E-014</v>
      </c>
      <c r="AL150" s="29" t="n">
        <f aca="false">AK150*(1-MIN(1,INDEX(Tabla_Mortalidad!$B$5:$B$75,MIN(71,Cartera_Polizas!$B$152+35-49))*(1+(Cartera_Polizas!$P$152-1)*MAX(0,1-35/Supuestos!$C$20))*(1-Supuestos!$C$18)^35))</f>
        <v>2.83291668118929E-015</v>
      </c>
      <c r="AM150" s="29" t="n">
        <f aca="false">AL150*(1-MIN(1,INDEX(Tabla_Mortalidad!$B$5:$B$75,MIN(71,Cartera_Polizas!$B$152+36-49))*(1+(Cartera_Polizas!$P$152-1)*MAX(0,1-36/Supuestos!$C$20))*(1-Supuestos!$C$18)^36))</f>
        <v>4.67733900481108E-016</v>
      </c>
      <c r="AN150" s="29" t="n">
        <f aca="false">AM150*(1-MIN(1,INDEX(Tabla_Mortalidad!$B$5:$B$75,MIN(71,Cartera_Polizas!$B$152+37-49))*(1+(Cartera_Polizas!$P$152-1)*MAX(0,1-37/Supuestos!$C$20))*(1-Supuestos!$C$18)^37))</f>
        <v>7.91786020342689E-017</v>
      </c>
      <c r="AO150" s="29" t="n">
        <f aca="false">AN150*(1-MIN(1,INDEX(Tabla_Mortalidad!$B$5:$B$75,MIN(71,Cartera_Polizas!$B$152+38-49))*(1+(Cartera_Polizas!$P$152-1)*MAX(0,1-38/Supuestos!$C$20))*(1-Supuestos!$C$18)^38))</f>
        <v>1.37323322945259E-017</v>
      </c>
      <c r="AP150" s="29" t="n">
        <f aca="false">AO150*(1-MIN(1,INDEX(Tabla_Mortalidad!$B$5:$B$75,MIN(71,Cartera_Polizas!$B$152+39-49))*(1+(Cartera_Polizas!$P$152-1)*MAX(0,1-39/Supuestos!$C$20))*(1-Supuestos!$C$18)^39))</f>
        <v>2.43841890238518E-018</v>
      </c>
      <c r="AQ150" s="29" t="n">
        <f aca="false">AP150*(1-MIN(1,INDEX(Tabla_Mortalidad!$B$5:$B$75,MIN(71,Cartera_Polizas!$B$152+40-49))*(1+(Cartera_Polizas!$P$152-1)*MAX(0,1-40/Supuestos!$C$20))*(1-Supuestos!$C$18)^40))</f>
        <v>4.43011651081363E-019</v>
      </c>
      <c r="AR150" s="29" t="n">
        <f aca="false">AQ150*(1-MIN(1,INDEX(Tabla_Mortalidad!$B$5:$B$75,MIN(71,Cartera_Polizas!$B$152+41-49))*(1+(Cartera_Polizas!$P$152-1)*MAX(0,1-41/Supuestos!$C$20))*(1-Supuestos!$C$18)^41))</f>
        <v>8.22989298936441E-020</v>
      </c>
      <c r="AS150" s="29" t="n">
        <f aca="false">AR150*(1-MIN(1,INDEX(Tabla_Mortalidad!$B$5:$B$75,MIN(71,Cartera_Polizas!$B$152+42-49))*(1+(Cartera_Polizas!$P$152-1)*MAX(0,1-42/Supuestos!$C$20))*(1-Supuestos!$C$18)^42))</f>
        <v>1.56238446539899E-020</v>
      </c>
      <c r="AT150" s="29" t="n">
        <f aca="false">AS150*(1-MIN(1,INDEX(Tabla_Mortalidad!$B$5:$B$75,MIN(71,Cartera_Polizas!$B$152+43-49))*(1+(Cartera_Polizas!$P$152-1)*MAX(0,1-43/Supuestos!$C$20))*(1-Supuestos!$C$18)^43))</f>
        <v>3.02936050279852E-021</v>
      </c>
      <c r="AU150" s="29" t="n">
        <f aca="false">AT150*(1-MIN(1,INDEX(Tabla_Mortalidad!$B$5:$B$75,MIN(71,Cartera_Polizas!$B$152+44-49))*(1+(Cartera_Polizas!$P$152-1)*MAX(0,1-44/Supuestos!$C$20))*(1-Supuestos!$C$18)^44))</f>
        <v>5.99582972538523E-022</v>
      </c>
    </row>
    <row r="151" customFormat="false" ht="15" hidden="false" customHeight="false" outlineLevel="0" collapsed="false">
      <c r="A151" s="14" t="n">
        <f aca="false">Cartera_Polizas!A153</f>
        <v>148</v>
      </c>
      <c r="B151" s="26" t="n">
        <f aca="false">SUM(C151:AU151)+0.5</f>
        <v>6.58258632890062</v>
      </c>
      <c r="C151" s="29" t="n">
        <f aca="false">1-MIN(1,INDEX(Tabla_Mortalidad!$B$5:$B$75,MIN(71,Cartera_Polizas!$B$153+0-49))*(1+(Cartera_Polizas!$P$153-1)*MAX(0,1-0/Supuestos!$C$20))*(1-Supuestos!$C$18)^0)</f>
        <v>0.89742489</v>
      </c>
      <c r="D151" s="29" t="n">
        <f aca="false">C151*(1-MIN(1,INDEX(Tabla_Mortalidad!$B$5:$B$75,MIN(71,Cartera_Polizas!$B$153+1-49))*(1+(Cartera_Polizas!$P$153-1)*MAX(0,1-1/Supuestos!$C$20))*(1-Supuestos!$C$18)^1))</f>
        <v>0.79902057181329</v>
      </c>
      <c r="E151" s="29" t="n">
        <f aca="false">D151*(1-MIN(1,INDEX(Tabla_Mortalidad!$B$5:$B$75,MIN(71,Cartera_Polizas!$B$153+2-49))*(1+(Cartera_Polizas!$P$153-1)*MAX(0,1-2/Supuestos!$C$20))*(1-Supuestos!$C$18)^2))</f>
        <v>0.70551630616644</v>
      </c>
      <c r="F151" s="29" t="n">
        <f aca="false">E151*(1-MIN(1,INDEX(Tabla_Mortalidad!$B$5:$B$75,MIN(71,Cartera_Polizas!$B$153+3-49))*(1+(Cartera_Polizas!$P$153-1)*MAX(0,1-3/Supuestos!$C$20))*(1-Supuestos!$C$18)^3))</f>
        <v>0.617559918752786</v>
      </c>
      <c r="G151" s="29" t="n">
        <f aca="false">F151*(1-MIN(1,INDEX(Tabla_Mortalidad!$B$5:$B$75,MIN(71,Cartera_Polizas!$B$153+4-49))*(1+(Cartera_Polizas!$P$153-1)*MAX(0,1-4/Supuestos!$C$20))*(1-Supuestos!$C$18)^4))</f>
        <v>0.535694834771386</v>
      </c>
      <c r="H151" s="29" t="n">
        <f aca="false">G151*(1-MIN(1,INDEX(Tabla_Mortalidad!$B$5:$B$75,MIN(71,Cartera_Polizas!$B$153+5-49))*(1+(Cartera_Polizas!$P$153-1)*MAX(0,1-5/Supuestos!$C$20))*(1-Supuestos!$C$18)^5))</f>
        <v>0.460345634064603</v>
      </c>
      <c r="I151" s="29" t="n">
        <f aca="false">H151*(1-MIN(1,INDEX(Tabla_Mortalidad!$B$5:$B$75,MIN(71,Cartera_Polizas!$B$153+6-49))*(1+(Cartera_Polizas!$P$153-1)*MAX(0,1-6/Supuestos!$C$20))*(1-Supuestos!$C$18)^6))</f>
        <v>0.391796334016021</v>
      </c>
      <c r="J151" s="29" t="n">
        <f aca="false">I151*(1-MIN(1,INDEX(Tabla_Mortalidad!$B$5:$B$75,MIN(71,Cartera_Polizas!$B$153+7-49))*(1+(Cartera_Polizas!$P$153-1)*MAX(0,1-7/Supuestos!$C$20))*(1-Supuestos!$C$18)^7))</f>
        <v>0.330187266740133</v>
      </c>
      <c r="K151" s="29" t="n">
        <f aca="false">J151*(1-MIN(1,INDEX(Tabla_Mortalidad!$B$5:$B$75,MIN(71,Cartera_Polizas!$B$153+8-49))*(1+(Cartera_Polizas!$P$153-1)*MAX(0,1-8/Supuestos!$C$20))*(1-Supuestos!$C$18)^8))</f>
        <v>0.275508680396634</v>
      </c>
      <c r="L151" s="29" t="n">
        <f aca="false">K151*(1-MIN(1,INDEX(Tabla_Mortalidad!$B$5:$B$75,MIN(71,Cartera_Polizas!$B$153+9-49))*(1+(Cartera_Polizas!$P$153-1)*MAX(0,1-9/Supuestos!$C$20))*(1-Supuestos!$C$18)^9))</f>
        <v>0.227607010673996</v>
      </c>
      <c r="M151" s="29" t="n">
        <f aca="false">L151*(1-MIN(1,INDEX(Tabla_Mortalidad!$B$5:$B$75,MIN(71,Cartera_Polizas!$B$153+10-49))*(1+(Cartera_Polizas!$P$153-1)*MAX(0,1-10/Supuestos!$C$20))*(1-Supuestos!$C$18)^10))</f>
        <v>0.18619683048192</v>
      </c>
      <c r="N151" s="29" t="n">
        <f aca="false">M151*(1-MIN(1,INDEX(Tabla_Mortalidad!$B$5:$B$75,MIN(71,Cartera_Polizas!$B$153+11-49))*(1+(Cartera_Polizas!$P$153-1)*MAX(0,1-11/Supuestos!$C$20))*(1-Supuestos!$C$18)^11))</f>
        <v>0.15087960706602</v>
      </c>
      <c r="O151" s="29" t="n">
        <f aca="false">N151*(1-MIN(1,INDEX(Tabla_Mortalidad!$B$5:$B$75,MIN(71,Cartera_Polizas!$B$153+12-49))*(1+(Cartera_Polizas!$P$153-1)*MAX(0,1-12/Supuestos!$C$20))*(1-Supuestos!$C$18)^12))</f>
        <v>0.121167206353869</v>
      </c>
      <c r="P151" s="29" t="n">
        <f aca="false">O151*(1-MIN(1,INDEX(Tabla_Mortalidad!$B$5:$B$75,MIN(71,Cartera_Polizas!$B$153+13-49))*(1+(Cartera_Polizas!$P$153-1)*MAX(0,1-13/Supuestos!$C$20))*(1-Supuestos!$C$18)^13))</f>
        <v>0.0965082624885675</v>
      </c>
      <c r="Q151" s="29" t="n">
        <f aca="false">P151*(1-MIN(1,INDEX(Tabla_Mortalidad!$B$5:$B$75,MIN(71,Cartera_Polizas!$B$153+14-49))*(1+(Cartera_Polizas!$P$153-1)*MAX(0,1-14/Supuestos!$C$20))*(1-Supuestos!$C$18)^14))</f>
        <v>0.0763166901038614</v>
      </c>
      <c r="R151" s="29" t="n">
        <f aca="false">Q151*(1-MIN(1,INDEX(Tabla_Mortalidad!$B$5:$B$75,MIN(71,Cartera_Polizas!$B$153+15-49))*(1+(Cartera_Polizas!$P$153-1)*MAX(0,1-15/Supuestos!$C$20))*(1-Supuestos!$C$18)^15))</f>
        <v>0.0599984821012612</v>
      </c>
      <c r="S151" s="29" t="n">
        <f aca="false">R151*(1-MIN(1,INDEX(Tabla_Mortalidad!$B$5:$B$75,MIN(71,Cartera_Polizas!$B$153+16-49))*(1+(Cartera_Polizas!$P$153-1)*MAX(0,1-16/Supuestos!$C$20))*(1-Supuestos!$C$18)^16))</f>
        <v>0.0459549082720323</v>
      </c>
      <c r="T151" s="29" t="n">
        <f aca="false">S151*(1-MIN(1,INDEX(Tabla_Mortalidad!$B$5:$B$75,MIN(71,Cartera_Polizas!$B$153+17-49))*(1+(Cartera_Polizas!$P$153-1)*MAX(0,1-17/Supuestos!$C$20))*(1-Supuestos!$C$18)^17))</f>
        <v>0.0341988919750323</v>
      </c>
      <c r="U151" s="29" t="n">
        <f aca="false">T151*(1-MIN(1,INDEX(Tabla_Mortalidad!$B$5:$B$75,MIN(71,Cartera_Polizas!$B$153+18-49))*(1+(Cartera_Polizas!$P$153-1)*MAX(0,1-18/Supuestos!$C$20))*(1-Supuestos!$C$18)^18))</f>
        <v>0.0246541372065362</v>
      </c>
      <c r="V151" s="29" t="n">
        <f aca="false">U151*(1-MIN(1,INDEX(Tabla_Mortalidad!$B$5:$B$75,MIN(71,Cartera_Polizas!$B$153+19-49))*(1+(Cartera_Polizas!$P$153-1)*MAX(0,1-19/Supuestos!$C$20))*(1-Supuestos!$C$18)^19))</f>
        <v>0.0171616545875789</v>
      </c>
      <c r="W151" s="29" t="n">
        <f aca="false">V151*(1-MIN(1,INDEX(Tabla_Mortalidad!$B$5:$B$75,MIN(71,Cartera_Polizas!$B$153+20-49))*(1+(Cartera_Polizas!$P$153-1)*MAX(0,1-20/Supuestos!$C$20))*(1-Supuestos!$C$18)^20))</f>
        <v>0.0114946742014222</v>
      </c>
      <c r="X151" s="29" t="n">
        <f aca="false">W151*(1-MIN(1,INDEX(Tabla_Mortalidad!$B$5:$B$75,MIN(71,Cartera_Polizas!$B$153+21-49))*(1+(Cartera_Polizas!$P$153-1)*MAX(0,1-21/Supuestos!$C$20))*(1-Supuestos!$C$18)^21))</f>
        <v>0.00738003752499449</v>
      </c>
      <c r="Y151" s="29" t="n">
        <f aca="false">X151*(1-MIN(1,INDEX(Tabla_Mortalidad!$B$5:$B$75,MIN(71,Cartera_Polizas!$B$153+22-49))*(1+(Cartera_Polizas!$P$153-1)*MAX(0,1-22/Supuestos!$C$20))*(1-Supuestos!$C$18)^22))</f>
        <v>0.00452358512049158</v>
      </c>
      <c r="Z151" s="29" t="n">
        <f aca="false">Y151*(1-MIN(1,INDEX(Tabla_Mortalidad!$B$5:$B$75,MIN(71,Cartera_Polizas!$B$153+23-49))*(1+(Cartera_Polizas!$P$153-1)*MAX(0,1-23/Supuestos!$C$20))*(1-Supuestos!$C$18)^23))</f>
        <v>0.0026357029904488</v>
      </c>
      <c r="AA151" s="29" t="n">
        <f aca="false">Z151*(1-MIN(1,INDEX(Tabla_Mortalidad!$B$5:$B$75,MIN(71,Cartera_Polizas!$B$153+24-49))*(1+(Cartera_Polizas!$P$153-1)*MAX(0,1-24/Supuestos!$C$20))*(1-Supuestos!$C$18)^24))</f>
        <v>0.00145321528881051</v>
      </c>
      <c r="AB151" s="29" t="n">
        <f aca="false">AA151*(1-MIN(1,INDEX(Tabla_Mortalidad!$B$5:$B$75,MIN(71,Cartera_Polizas!$B$153+25-49))*(1+(Cartera_Polizas!$P$153-1)*MAX(0,1-25/Supuestos!$C$20))*(1-Supuestos!$C$18)^25))</f>
        <v>0.000754639671024843</v>
      </c>
      <c r="AC151" s="29" t="n">
        <f aca="false">AB151*(1-MIN(1,INDEX(Tabla_Mortalidad!$B$5:$B$75,MIN(71,Cartera_Polizas!$B$153+26-49))*(1+(Cartera_Polizas!$P$153-1)*MAX(0,1-26/Supuestos!$C$20))*(1-Supuestos!$C$18)^26))</f>
        <v>0.000367319732488472</v>
      </c>
      <c r="AD151" s="29" t="n">
        <f aca="false">AC151*(1-MIN(1,INDEX(Tabla_Mortalidad!$B$5:$B$75,MIN(71,Cartera_Polizas!$B$153+27-49))*(1+(Cartera_Polizas!$P$153-1)*MAX(0,1-27/Supuestos!$C$20))*(1-Supuestos!$C$18)^27))</f>
        <v>0.000166792910294962</v>
      </c>
      <c r="AE151" s="29" t="n">
        <f aca="false">AD151*(1-MIN(1,INDEX(Tabla_Mortalidad!$B$5:$B$75,MIN(71,Cartera_Polizas!$B$153+28-49))*(1+(Cartera_Polizas!$P$153-1)*MAX(0,1-28/Supuestos!$C$20))*(1-Supuestos!$C$18)^28))</f>
        <v>7.03339581025032E-005</v>
      </c>
      <c r="AF151" s="29" t="n">
        <f aca="false">AE151*(1-MIN(1,INDEX(Tabla_Mortalidad!$B$5:$B$75,MIN(71,Cartera_Polizas!$B$153+29-49))*(1+(Cartera_Polizas!$P$153-1)*MAX(0,1-29/Supuestos!$C$20))*(1-Supuestos!$C$18)^29))</f>
        <v>2.7429676168405E-005</v>
      </c>
      <c r="AG151" s="29" t="n">
        <f aca="false">AF151*(1-MIN(1,INDEX(Tabla_Mortalidad!$B$5:$B$75,MIN(71,Cartera_Polizas!$B$153+30-49))*(1+(Cartera_Polizas!$P$153-1)*MAX(0,1-30/Supuestos!$C$20))*(1-Supuestos!$C$18)^30))</f>
        <v>9.86002167512841E-006</v>
      </c>
      <c r="AH151" s="29" t="n">
        <f aca="false">AG151*(1-MIN(1,INDEX(Tabla_Mortalidad!$B$5:$B$75,MIN(71,Cartera_Polizas!$B$153+31-49))*(1+(Cartera_Polizas!$P$153-1)*MAX(0,1-31/Supuestos!$C$20))*(1-Supuestos!$C$18)^31))</f>
        <v>3.25948845034187E-006</v>
      </c>
      <c r="AI151" s="29" t="n">
        <f aca="false">AH151*(1-MIN(1,INDEX(Tabla_Mortalidad!$B$5:$B$75,MIN(71,Cartera_Polizas!$B$153+32-49))*(1+(Cartera_Polizas!$P$153-1)*MAX(0,1-32/Supuestos!$C$20))*(1-Supuestos!$C$18)^32))</f>
        <v>9.90163810315829E-007</v>
      </c>
      <c r="AJ151" s="29" t="n">
        <f aca="false">AI151*(1-MIN(1,INDEX(Tabla_Mortalidad!$B$5:$B$75,MIN(71,Cartera_Polizas!$B$153+33-49))*(1+(Cartera_Polizas!$P$153-1)*MAX(0,1-33/Supuestos!$C$20))*(1-Supuestos!$C$18)^33))</f>
        <v>2.7674198224404E-007</v>
      </c>
      <c r="AK151" s="29" t="n">
        <f aca="false">AJ151*(1-MIN(1,INDEX(Tabla_Mortalidad!$B$5:$B$75,MIN(71,Cartera_Polizas!$B$153+34-49))*(1+(Cartera_Polizas!$P$153-1)*MAX(0,1-34/Supuestos!$C$20))*(1-Supuestos!$C$18)^34))</f>
        <v>7.14170085539644E-008</v>
      </c>
      <c r="AL151" s="29" t="n">
        <f aca="false">AK151*(1-MIN(1,INDEX(Tabla_Mortalidad!$B$5:$B$75,MIN(71,Cartera_Polizas!$B$153+35-49))*(1+(Cartera_Polizas!$P$153-1)*MAX(0,1-35/Supuestos!$C$20))*(1-Supuestos!$C$18)^35))</f>
        <v>1.71222618869099E-008</v>
      </c>
      <c r="AM151" s="29" t="n">
        <f aca="false">AL151*(1-MIN(1,INDEX(Tabla_Mortalidad!$B$5:$B$75,MIN(71,Cartera_Polizas!$B$153+36-49))*(1+(Cartera_Polizas!$P$153-1)*MAX(0,1-36/Supuestos!$C$20))*(1-Supuestos!$C$18)^36))</f>
        <v>3.84724080077516E-009</v>
      </c>
      <c r="AN151" s="29" t="n">
        <f aca="false">AM151*(1-MIN(1,INDEX(Tabla_Mortalidad!$B$5:$B$75,MIN(71,Cartera_Polizas!$B$153+37-49))*(1+(Cartera_Polizas!$P$153-1)*MAX(0,1-37/Supuestos!$C$20))*(1-Supuestos!$C$18)^37))</f>
        <v>8.19067383686892E-010</v>
      </c>
      <c r="AO151" s="29" t="n">
        <f aca="false">AN151*(1-MIN(1,INDEX(Tabla_Mortalidad!$B$5:$B$75,MIN(71,Cartera_Polizas!$B$153+38-49))*(1+(Cartera_Polizas!$P$153-1)*MAX(0,1-38/Supuestos!$C$20))*(1-Supuestos!$C$18)^38))</f>
        <v>1.42054863251163E-010</v>
      </c>
      <c r="AP151" s="29" t="n">
        <f aca="false">AO151*(1-MIN(1,INDEX(Tabla_Mortalidad!$B$5:$B$75,MIN(71,Cartera_Polizas!$B$153+39-49))*(1+(Cartera_Polizas!$P$153-1)*MAX(0,1-39/Supuestos!$C$20))*(1-Supuestos!$C$18)^39))</f>
        <v>2.52243578365387E-011</v>
      </c>
      <c r="AQ151" s="29" t="n">
        <f aca="false">AP151*(1-MIN(1,INDEX(Tabla_Mortalidad!$B$5:$B$75,MIN(71,Cartera_Polizas!$B$153+40-49))*(1+(Cartera_Polizas!$P$153-1)*MAX(0,1-40/Supuestos!$C$20))*(1-Supuestos!$C$18)^40))</f>
        <v>4.58275827902312E-012</v>
      </c>
      <c r="AR151" s="29" t="n">
        <f aca="false">AQ151*(1-MIN(1,INDEX(Tabla_Mortalidad!$B$5:$B$75,MIN(71,Cartera_Polizas!$B$153+41-49))*(1+(Cartera_Polizas!$P$153-1)*MAX(0,1-41/Supuestos!$C$20))*(1-Supuestos!$C$18)^41))</f>
        <v>8.51345786062797E-013</v>
      </c>
      <c r="AS151" s="29" t="n">
        <f aca="false">AR151*(1-MIN(1,INDEX(Tabla_Mortalidad!$B$5:$B$75,MIN(71,Cartera_Polizas!$B$153+42-49))*(1+(Cartera_Polizas!$P$153-1)*MAX(0,1-42/Supuestos!$C$20))*(1-Supuestos!$C$18)^42))</f>
        <v>1.61621716411909E-013</v>
      </c>
      <c r="AT151" s="29" t="n">
        <f aca="false">AS151*(1-MIN(1,INDEX(Tabla_Mortalidad!$B$5:$B$75,MIN(71,Cartera_Polizas!$B$153+43-49))*(1+(Cartera_Polizas!$P$153-1)*MAX(0,1-43/Supuestos!$C$20))*(1-Supuestos!$C$18)^43))</f>
        <v>3.13373855754323E-014</v>
      </c>
      <c r="AU151" s="29" t="n">
        <f aca="false">AT151*(1-MIN(1,INDEX(Tabla_Mortalidad!$B$5:$B$75,MIN(71,Cartera_Polizas!$B$153+44-49))*(1+(Cartera_Polizas!$P$153-1)*MAX(0,1-44/Supuestos!$C$20))*(1-Supuestos!$C$18)^44))</f>
        <v>6.20241888594834E-015</v>
      </c>
    </row>
    <row r="152" customFormat="false" ht="15" hidden="false" customHeight="false" outlineLevel="0" collapsed="false">
      <c r="A152" s="14" t="n">
        <f aca="false">Cartera_Polizas!A154</f>
        <v>149</v>
      </c>
      <c r="B152" s="26" t="n">
        <f aca="false">SUM(C152:AU152)+0.5</f>
        <v>5.3181990028983</v>
      </c>
      <c r="C152" s="29" t="n">
        <f aca="false">1-MIN(1,INDEX(Tabla_Mortalidad!$B$5:$B$75,MIN(71,Cartera_Polizas!$B$154+0-49))*(1+(Cartera_Polizas!$P$154-1)*MAX(0,1-0/Supuestos!$C$20))*(1-Supuestos!$C$18)^0)</f>
        <v>0.87753304</v>
      </c>
      <c r="D152" s="29" t="n">
        <f aca="false">C152*(1-MIN(1,INDEX(Tabla_Mortalidad!$B$5:$B$75,MIN(71,Cartera_Polizas!$B$154+1-49))*(1+(Cartera_Polizas!$P$154-1)*MAX(0,1-1/Supuestos!$C$20))*(1-Supuestos!$C$18)^1))</f>
        <v>0.760748991602227</v>
      </c>
      <c r="E152" s="29" t="n">
        <f aca="false">D152*(1-MIN(1,INDEX(Tabla_Mortalidad!$B$5:$B$75,MIN(71,Cartera_Polizas!$B$154+2-49))*(1+(Cartera_Polizas!$P$154-1)*MAX(0,1-2/Supuestos!$C$20))*(1-Supuestos!$C$18)^2))</f>
        <v>0.650830487780313</v>
      </c>
      <c r="F152" s="29" t="n">
        <f aca="false">E152*(1-MIN(1,INDEX(Tabla_Mortalidad!$B$5:$B$75,MIN(71,Cartera_Polizas!$B$154+3-49))*(1+(Cartera_Polizas!$P$154-1)*MAX(0,1-3/Supuestos!$C$20))*(1-Supuestos!$C$18)^3))</f>
        <v>0.548835232467631</v>
      </c>
      <c r="G152" s="29" t="n">
        <f aca="false">F152*(1-MIN(1,INDEX(Tabla_Mortalidad!$B$5:$B$75,MIN(71,Cartera_Polizas!$B$154+4-49))*(1+(Cartera_Polizas!$P$154-1)*MAX(0,1-4/Supuestos!$C$20))*(1-Supuestos!$C$18)^4))</f>
        <v>0.455644515283794</v>
      </c>
      <c r="H152" s="29" t="n">
        <f aca="false">G152*(1-MIN(1,INDEX(Tabla_Mortalidad!$B$5:$B$75,MIN(71,Cartera_Polizas!$B$154+5-49))*(1+(Cartera_Polizas!$P$154-1)*MAX(0,1-5/Supuestos!$C$20))*(1-Supuestos!$C$18)^5))</f>
        <v>0.371917045688936</v>
      </c>
      <c r="I152" s="29" t="n">
        <f aca="false">H152*(1-MIN(1,INDEX(Tabla_Mortalidad!$B$5:$B$75,MIN(71,Cartera_Polizas!$B$154+6-49))*(1+(Cartera_Polizas!$P$154-1)*MAX(0,1-6/Supuestos!$C$20))*(1-Supuestos!$C$18)^6))</f>
        <v>0.298051184570854</v>
      </c>
      <c r="J152" s="29" t="n">
        <f aca="false">I152*(1-MIN(1,INDEX(Tabla_Mortalidad!$B$5:$B$75,MIN(71,Cartera_Polizas!$B$154+7-49))*(1+(Cartera_Polizas!$P$154-1)*MAX(0,1-7/Supuestos!$C$20))*(1-Supuestos!$C$18)^7))</f>
        <v>0.234159682714855</v>
      </c>
      <c r="K152" s="29" t="n">
        <f aca="false">J152*(1-MIN(1,INDEX(Tabla_Mortalidad!$B$5:$B$75,MIN(71,Cartera_Polizas!$B$154+8-49))*(1+(Cartera_Polizas!$P$154-1)*MAX(0,1-8/Supuestos!$C$20))*(1-Supuestos!$C$18)^8))</f>
        <v>0.180064262677805</v>
      </c>
      <c r="L152" s="29" t="n">
        <f aca="false">K152*(1-MIN(1,INDEX(Tabla_Mortalidad!$B$5:$B$75,MIN(71,Cartera_Polizas!$B$154+9-49))*(1+(Cartera_Polizas!$P$154-1)*MAX(0,1-9/Supuestos!$C$20))*(1-Supuestos!$C$18)^9))</f>
        <v>0.13530828172912</v>
      </c>
      <c r="M152" s="29" t="n">
        <f aca="false">L152*(1-MIN(1,INDEX(Tabla_Mortalidad!$B$5:$B$75,MIN(71,Cartera_Polizas!$B$154+10-49))*(1+(Cartera_Polizas!$P$154-1)*MAX(0,1-10/Supuestos!$C$20))*(1-Supuestos!$C$18)^10))</f>
        <v>0.0991889171128621</v>
      </c>
      <c r="N152" s="29" t="n">
        <f aca="false">M152*(1-MIN(1,INDEX(Tabla_Mortalidad!$B$5:$B$75,MIN(71,Cartera_Polizas!$B$154+11-49))*(1+(Cartera_Polizas!$P$154-1)*MAX(0,1-11/Supuestos!$C$20))*(1-Supuestos!$C$18)^11))</f>
        <v>0.070808675934746</v>
      </c>
      <c r="O152" s="29" t="n">
        <f aca="false">N152*(1-MIN(1,INDEX(Tabla_Mortalidad!$B$5:$B$75,MIN(71,Cartera_Polizas!$B$154+12-49))*(1+(Cartera_Polizas!$P$154-1)*MAX(0,1-12/Supuestos!$C$20))*(1-Supuestos!$C$18)^12))</f>
        <v>0.0491395019684006</v>
      </c>
      <c r="P152" s="29" t="n">
        <f aca="false">O152*(1-MIN(1,INDEX(Tabla_Mortalidad!$B$5:$B$75,MIN(71,Cartera_Polizas!$B$154+13-49))*(1+(Cartera_Polizas!$P$154-1)*MAX(0,1-13/Supuestos!$C$20))*(1-Supuestos!$C$18)^13))</f>
        <v>0.0330932469035178</v>
      </c>
      <c r="Q152" s="29" t="n">
        <f aca="false">P152*(1-MIN(1,INDEX(Tabla_Mortalidad!$B$5:$B$75,MIN(71,Cartera_Polizas!$B$154+14-49))*(1+(Cartera_Polizas!$P$154-1)*MAX(0,1-14/Supuestos!$C$20))*(1-Supuestos!$C$18)^14))</f>
        <v>0.0215915755465553</v>
      </c>
      <c r="R152" s="29" t="n">
        <f aca="false">Q152*(1-MIN(1,INDEX(Tabla_Mortalidad!$B$5:$B$75,MIN(71,Cartera_Polizas!$B$154+15-49))*(1+(Cartera_Polizas!$P$154-1)*MAX(0,1-15/Supuestos!$C$20))*(1-Supuestos!$C$18)^15))</f>
        <v>0.0136266691525493</v>
      </c>
      <c r="S152" s="29" t="n">
        <f aca="false">R152*(1-MIN(1,INDEX(Tabla_Mortalidad!$B$5:$B$75,MIN(71,Cartera_Polizas!$B$154+16-49))*(1+(Cartera_Polizas!$P$154-1)*MAX(0,1-16/Supuestos!$C$20))*(1-Supuestos!$C$18)^16))</f>
        <v>0.00819141759532521</v>
      </c>
      <c r="T152" s="29" t="n">
        <f aca="false">S152*(1-MIN(1,INDEX(Tabla_Mortalidad!$B$5:$B$75,MIN(71,Cartera_Polizas!$B$154+17-49))*(1+(Cartera_Polizas!$P$154-1)*MAX(0,1-17/Supuestos!$C$20))*(1-Supuestos!$C$18)^17))</f>
        <v>0.00466841720786018</v>
      </c>
      <c r="U152" s="29" t="n">
        <f aca="false">T152*(1-MIN(1,INDEX(Tabla_Mortalidad!$B$5:$B$75,MIN(71,Cartera_Polizas!$B$154+18-49))*(1+(Cartera_Polizas!$P$154-1)*MAX(0,1-18/Supuestos!$C$20))*(1-Supuestos!$C$18)^18))</f>
        <v>0.00251002015166278</v>
      </c>
      <c r="V152" s="29" t="n">
        <f aca="false">U152*(1-MIN(1,INDEX(Tabla_Mortalidad!$B$5:$B$75,MIN(71,Cartera_Polizas!$B$154+19-49))*(1+(Cartera_Polizas!$P$154-1)*MAX(0,1-19/Supuestos!$C$20))*(1-Supuestos!$C$18)^19))</f>
        <v>0.00126658772474104</v>
      </c>
      <c r="W152" s="29" t="n">
        <f aca="false">V152*(1-MIN(1,INDEX(Tabla_Mortalidad!$B$5:$B$75,MIN(71,Cartera_Polizas!$B$154+20-49))*(1+(Cartera_Polizas!$P$154-1)*MAX(0,1-20/Supuestos!$C$20))*(1-Supuestos!$C$18)^20))</f>
        <v>0.000596661448331218</v>
      </c>
      <c r="X152" s="29" t="n">
        <f aca="false">W152*(1-MIN(1,INDEX(Tabla_Mortalidad!$B$5:$B$75,MIN(71,Cartera_Polizas!$B$154+21-49))*(1+(Cartera_Polizas!$P$154-1)*MAX(0,1-21/Supuestos!$C$20))*(1-Supuestos!$C$18)^21))</f>
        <v>0.000260987446910126</v>
      </c>
      <c r="Y152" s="29" t="n">
        <f aca="false">X152*(1-MIN(1,INDEX(Tabla_Mortalidad!$B$5:$B$75,MIN(71,Cartera_Polizas!$B$154+22-49))*(1+(Cartera_Polizas!$P$154-1)*MAX(0,1-22/Supuestos!$C$20))*(1-Supuestos!$C$18)^22))</f>
        <v>0.00010544601673095</v>
      </c>
      <c r="Z152" s="29" t="n">
        <f aca="false">Y152*(1-MIN(1,INDEX(Tabla_Mortalidad!$B$5:$B$75,MIN(71,Cartera_Polizas!$B$154+23-49))*(1+(Cartera_Polizas!$P$154-1)*MAX(0,1-23/Supuestos!$C$20))*(1-Supuestos!$C$18)^23))</f>
        <v>3.91591831903127E-005</v>
      </c>
      <c r="AA152" s="29" t="n">
        <f aca="false">Z152*(1-MIN(1,INDEX(Tabla_Mortalidad!$B$5:$B$75,MIN(71,Cartera_Polizas!$B$154+24-49))*(1+(Cartera_Polizas!$P$154-1)*MAX(0,1-24/Supuestos!$C$20))*(1-Supuestos!$C$18)^24))</f>
        <v>1.33105442227952E-005</v>
      </c>
      <c r="AB152" s="29" t="n">
        <f aca="false">AA152*(1-MIN(1,INDEX(Tabla_Mortalidad!$B$5:$B$75,MIN(71,Cartera_Polizas!$B$154+25-49))*(1+(Cartera_Polizas!$P$154-1)*MAX(0,1-25/Supuestos!$C$20))*(1-Supuestos!$C$18)^25))</f>
        <v>4.12809617202656E-006</v>
      </c>
      <c r="AC152" s="29" t="n">
        <f aca="false">AB152*(1-MIN(1,INDEX(Tabla_Mortalidad!$B$5:$B$75,MIN(71,Cartera_Polizas!$B$154+26-49))*(1+(Cartera_Polizas!$P$154-1)*MAX(0,1-26/Supuestos!$C$20))*(1-Supuestos!$C$18)^26))</f>
        <v>1.166277244459E-006</v>
      </c>
      <c r="AD152" s="29" t="n">
        <f aca="false">AC152*(1-MIN(1,INDEX(Tabla_Mortalidad!$B$5:$B$75,MIN(71,Cartera_Polizas!$B$154+27-49))*(1+(Cartera_Polizas!$P$154-1)*MAX(0,1-27/Supuestos!$C$20))*(1-Supuestos!$C$18)^27))</f>
        <v>3.0030761429051E-007</v>
      </c>
      <c r="AE152" s="29" t="n">
        <f aca="false">AD152*(1-MIN(1,INDEX(Tabla_Mortalidad!$B$5:$B$75,MIN(71,Cartera_Polizas!$B$154+28-49))*(1+(Cartera_Polizas!$P$154-1)*MAX(0,1-28/Supuestos!$C$20))*(1-Supuestos!$C$18)^28))</f>
        <v>7.06956108996819E-008</v>
      </c>
      <c r="AF152" s="29" t="n">
        <f aca="false">AE152*(1-MIN(1,INDEX(Tabla_Mortalidad!$B$5:$B$75,MIN(71,Cartera_Polizas!$B$154+29-49))*(1+(Cartera_Polizas!$P$154-1)*MAX(0,1-29/Supuestos!$C$20))*(1-Supuestos!$C$18)^29))</f>
        <v>1.53083200124416E-008</v>
      </c>
      <c r="AG152" s="29" t="n">
        <f aca="false">AF152*(1-MIN(1,INDEX(Tabla_Mortalidad!$B$5:$B$75,MIN(71,Cartera_Polizas!$B$154+30-49))*(1+(Cartera_Polizas!$P$154-1)*MAX(0,1-30/Supuestos!$C$20))*(1-Supuestos!$C$18)^30))</f>
        <v>3.07728717603681E-009</v>
      </c>
      <c r="AH152" s="29" t="n">
        <f aca="false">AG152*(1-MIN(1,INDEX(Tabla_Mortalidad!$B$5:$B$75,MIN(71,Cartera_Polizas!$B$154+31-49))*(1+(Cartera_Polizas!$P$154-1)*MAX(0,1-31/Supuestos!$C$20))*(1-Supuestos!$C$18)^31))</f>
        <v>5.81193296825358E-010</v>
      </c>
      <c r="AI152" s="29" t="n">
        <f aca="false">AH152*(1-MIN(1,INDEX(Tabla_Mortalidad!$B$5:$B$75,MIN(71,Cartera_Polizas!$B$154+32-49))*(1+(Cartera_Polizas!$P$154-1)*MAX(0,1-32/Supuestos!$C$20))*(1-Supuestos!$C$18)^32))</f>
        <v>8.61317658022616E-011</v>
      </c>
      <c r="AJ152" s="29" t="n">
        <f aca="false">AI152*(1-MIN(1,INDEX(Tabla_Mortalidad!$B$5:$B$75,MIN(71,Cartera_Polizas!$B$154+33-49))*(1+(Cartera_Polizas!$P$154-1)*MAX(0,1-33/Supuestos!$C$20))*(1-Supuestos!$C$18)^33))</f>
        <v>1.31314035126387E-011</v>
      </c>
      <c r="AK152" s="29" t="n">
        <f aca="false">AJ152*(1-MIN(1,INDEX(Tabla_Mortalidad!$B$5:$B$75,MIN(71,Cartera_Polizas!$B$154+34-49))*(1+(Cartera_Polizas!$P$154-1)*MAX(0,1-34/Supuestos!$C$20))*(1-Supuestos!$C$18)^34))</f>
        <v>2.05762348687454E-012</v>
      </c>
      <c r="AL152" s="29" t="n">
        <f aca="false">AK152*(1-MIN(1,INDEX(Tabla_Mortalidad!$B$5:$B$75,MIN(71,Cartera_Polizas!$B$154+35-49))*(1+(Cartera_Polizas!$P$154-1)*MAX(0,1-35/Supuestos!$C$20))*(1-Supuestos!$C$18)^35))</f>
        <v>3.31095054607116E-013</v>
      </c>
      <c r="AM152" s="29" t="n">
        <f aca="false">AL152*(1-MIN(1,INDEX(Tabla_Mortalidad!$B$5:$B$75,MIN(71,Cartera_Polizas!$B$154+36-49))*(1+(Cartera_Polizas!$P$154-1)*MAX(0,1-36/Supuestos!$C$20))*(1-Supuestos!$C$18)^36))</f>
        <v>5.46660557826142E-014</v>
      </c>
      <c r="AN152" s="29" t="n">
        <f aca="false">AM152*(1-MIN(1,INDEX(Tabla_Mortalidad!$B$5:$B$75,MIN(71,Cartera_Polizas!$B$154+37-49))*(1+(Cartera_Polizas!$P$154-1)*MAX(0,1-37/Supuestos!$C$20))*(1-Supuestos!$C$18)^37))</f>
        <v>9.25394090773109E-015</v>
      </c>
      <c r="AO152" s="29" t="n">
        <f aca="false">AN152*(1-MIN(1,INDEX(Tabla_Mortalidad!$B$5:$B$75,MIN(71,Cartera_Polizas!$B$154+38-49))*(1+(Cartera_Polizas!$P$154-1)*MAX(0,1-38/Supuestos!$C$20))*(1-Supuestos!$C$18)^38))</f>
        <v>1.60495624214064E-015</v>
      </c>
      <c r="AP152" s="29" t="n">
        <f aca="false">AO152*(1-MIN(1,INDEX(Tabla_Mortalidad!$B$5:$B$75,MIN(71,Cartera_Polizas!$B$154+39-49))*(1+(Cartera_Polizas!$P$154-1)*MAX(0,1-39/Supuestos!$C$20))*(1-Supuestos!$C$18)^39))</f>
        <v>2.84988416708857E-016</v>
      </c>
      <c r="AQ152" s="29" t="n">
        <f aca="false">AP152*(1-MIN(1,INDEX(Tabla_Mortalidad!$B$5:$B$75,MIN(71,Cartera_Polizas!$B$154+40-49))*(1+(Cartera_Polizas!$P$154-1)*MAX(0,1-40/Supuestos!$C$20))*(1-Supuestos!$C$18)^40))</f>
        <v>5.17766610576048E-017</v>
      </c>
      <c r="AR152" s="29" t="n">
        <f aca="false">AQ152*(1-MIN(1,INDEX(Tabla_Mortalidad!$B$5:$B$75,MIN(71,Cartera_Polizas!$B$154+41-49))*(1+(Cartera_Polizas!$P$154-1)*MAX(0,1-41/Supuestos!$C$20))*(1-Supuestos!$C$18)^41))</f>
        <v>9.6186269325097E-018</v>
      </c>
      <c r="AS152" s="29" t="n">
        <f aca="false">AR152*(1-MIN(1,INDEX(Tabla_Mortalidad!$B$5:$B$75,MIN(71,Cartera_Polizas!$B$154+42-49))*(1+(Cartera_Polizas!$P$154-1)*MAX(0,1-42/Supuestos!$C$20))*(1-Supuestos!$C$18)^42))</f>
        <v>1.82602535868236E-018</v>
      </c>
      <c r="AT152" s="29" t="n">
        <f aca="false">AS152*(1-MIN(1,INDEX(Tabla_Mortalidad!$B$5:$B$75,MIN(71,Cartera_Polizas!$B$154+43-49))*(1+(Cartera_Polizas!$P$154-1)*MAX(0,1-43/Supuestos!$C$20))*(1-Supuestos!$C$18)^43))</f>
        <v>3.54054281849773E-019</v>
      </c>
      <c r="AU152" s="29" t="n">
        <f aca="false">AT152*(1-MIN(1,INDEX(Tabla_Mortalidad!$B$5:$B$75,MIN(71,Cartera_Polizas!$B$154+44-49))*(1+(Cartera_Polizas!$P$154-1)*MAX(0,1-44/Supuestos!$C$20))*(1-Supuestos!$C$18)^44))</f>
        <v>7.00758191556833E-020</v>
      </c>
    </row>
    <row r="153" customFormat="false" ht="15" hidden="false" customHeight="false" outlineLevel="0" collapsed="false">
      <c r="A153" s="14" t="n">
        <f aca="false">Cartera_Polizas!A155</f>
        <v>150</v>
      </c>
      <c r="B153" s="26" t="n">
        <f aca="false">SUM(C153:AU153)+0.5</f>
        <v>5.37727874168597</v>
      </c>
      <c r="C153" s="29" t="n">
        <f aca="false">1-MIN(1,INDEX(Tabla_Mortalidad!$B$5:$B$75,MIN(71,Cartera_Polizas!$B$155+0-49))*(1+(Cartera_Polizas!$P$155-1)*MAX(0,1-0/Supuestos!$C$20))*(1-Supuestos!$C$18)^0)</f>
        <v>0.86506884</v>
      </c>
      <c r="D153" s="29" t="n">
        <f aca="false">C153*(1-MIN(1,INDEX(Tabla_Mortalidad!$B$5:$B$75,MIN(71,Cartera_Polizas!$B$155+1-49))*(1+(Cartera_Polizas!$P$155-1)*MAX(0,1-1/Supuestos!$C$20))*(1-Supuestos!$C$18)^1))</f>
        <v>0.740969187440839</v>
      </c>
      <c r="E153" s="29" t="n">
        <f aca="false">D153*(1-MIN(1,INDEX(Tabla_Mortalidad!$B$5:$B$75,MIN(71,Cartera_Polizas!$B$155+2-49))*(1+(Cartera_Polizas!$P$155-1)*MAX(0,1-2/Supuestos!$C$20))*(1-Supuestos!$C$18)^2))</f>
        <v>0.62819180471203</v>
      </c>
      <c r="F153" s="29" t="n">
        <f aca="false">E153*(1-MIN(1,INDEX(Tabla_Mortalidad!$B$5:$B$75,MIN(71,Cartera_Polizas!$B$155+3-49))*(1+(Cartera_Polizas!$P$155-1)*MAX(0,1-3/Supuestos!$C$20))*(1-Supuestos!$C$18)^3))</f>
        <v>0.526978859784849</v>
      </c>
      <c r="G153" s="29" t="n">
        <f aca="false">F153*(1-MIN(1,INDEX(Tabla_Mortalidad!$B$5:$B$75,MIN(71,Cartera_Polizas!$B$155+4-49))*(1+(Cartera_Polizas!$P$155-1)*MAX(0,1-4/Supuestos!$C$20))*(1-Supuestos!$C$18)^4))</f>
        <v>0.437325134142507</v>
      </c>
      <c r="H153" s="29" t="n">
        <f aca="false">G153*(1-MIN(1,INDEX(Tabla_Mortalidad!$B$5:$B$75,MIN(71,Cartera_Polizas!$B$155+5-49))*(1+(Cartera_Polizas!$P$155-1)*MAX(0,1-5/Supuestos!$C$20))*(1-Supuestos!$C$18)^5))</f>
        <v>0.358976751031927</v>
      </c>
      <c r="I153" s="29" t="n">
        <f aca="false">H153*(1-MIN(1,INDEX(Tabla_Mortalidad!$B$5:$B$75,MIN(71,Cartera_Polizas!$B$155+6-49))*(1+(Cartera_Polizas!$P$155-1)*MAX(0,1-6/Supuestos!$C$20))*(1-Supuestos!$C$18)^6))</f>
        <v>0.291458108659278</v>
      </c>
      <c r="J153" s="29" t="n">
        <f aca="false">I153*(1-MIN(1,INDEX(Tabla_Mortalidad!$B$5:$B$75,MIN(71,Cartera_Polizas!$B$155+7-49))*(1+(Cartera_Polizas!$P$155-1)*MAX(0,1-7/Supuestos!$C$20))*(1-Supuestos!$C$18)^7))</f>
        <v>0.234097787625018</v>
      </c>
      <c r="K153" s="29" t="n">
        <f aca="false">J153*(1-MIN(1,INDEX(Tabla_Mortalidad!$B$5:$B$75,MIN(71,Cartera_Polizas!$B$155+8-49))*(1+(Cartera_Polizas!$P$155-1)*MAX(0,1-8/Supuestos!$C$20))*(1-Supuestos!$C$18)^8))</f>
        <v>0.186069984206255</v>
      </c>
      <c r="L153" s="29" t="n">
        <f aca="false">K153*(1-MIN(1,INDEX(Tabla_Mortalidad!$B$5:$B$75,MIN(71,Cartera_Polizas!$B$155+9-49))*(1+(Cartera_Polizas!$P$155-1)*MAX(0,1-9/Supuestos!$C$20))*(1-Supuestos!$C$18)^9))</f>
        <v>0.146440066527454</v>
      </c>
      <c r="M153" s="29" t="n">
        <f aca="false">L153*(1-MIN(1,INDEX(Tabla_Mortalidad!$B$5:$B$75,MIN(71,Cartera_Polizas!$B$155+10-49))*(1+(Cartera_Polizas!$P$155-1)*MAX(0,1-10/Supuestos!$C$20))*(1-Supuestos!$C$18)^10))</f>
        <v>0.114212814160034</v>
      </c>
      <c r="N153" s="29" t="n">
        <f aca="false">M153*(1-MIN(1,INDEX(Tabla_Mortalidad!$B$5:$B$75,MIN(71,Cartera_Polizas!$B$155+11-49))*(1+(Cartera_Polizas!$P$155-1)*MAX(0,1-11/Supuestos!$C$20))*(1-Supuestos!$C$18)^11))</f>
        <v>0.0883788592123404</v>
      </c>
      <c r="O153" s="29" t="n">
        <f aca="false">N153*(1-MIN(1,INDEX(Tabla_Mortalidad!$B$5:$B$75,MIN(71,Cartera_Polizas!$B$155+12-49))*(1+(Cartera_Polizas!$P$155-1)*MAX(0,1-12/Supuestos!$C$20))*(1-Supuestos!$C$18)^12))</f>
        <v>0.0679559755381151</v>
      </c>
      <c r="P153" s="29" t="n">
        <f aca="false">O153*(1-MIN(1,INDEX(Tabla_Mortalidad!$B$5:$B$75,MIN(71,Cartera_Polizas!$B$155+13-49))*(1+(Cartera_Polizas!$P$155-1)*MAX(0,1-13/Supuestos!$C$20))*(1-Supuestos!$C$18)^13))</f>
        <v>0.0520237440216222</v>
      </c>
      <c r="Q153" s="29" t="n">
        <f aca="false">P153*(1-MIN(1,INDEX(Tabla_Mortalidad!$B$5:$B$75,MIN(71,Cartera_Polizas!$B$155+14-49))*(1+(Cartera_Polizas!$P$155-1)*MAX(0,1-14/Supuestos!$C$20))*(1-Supuestos!$C$18)^14))</f>
        <v>0.0397483963445055</v>
      </c>
      <c r="R153" s="29" t="n">
        <f aca="false">Q153*(1-MIN(1,INDEX(Tabla_Mortalidad!$B$5:$B$75,MIN(71,Cartera_Polizas!$B$155+15-49))*(1+(Cartera_Polizas!$P$155-1)*MAX(0,1-15/Supuestos!$C$20))*(1-Supuestos!$C$18)^15))</f>
        <v>0.0303979162645386</v>
      </c>
      <c r="S153" s="29" t="n">
        <f aca="false">R153*(1-MIN(1,INDEX(Tabla_Mortalidad!$B$5:$B$75,MIN(71,Cartera_Polizas!$B$155+16-49))*(1+(Cartera_Polizas!$P$155-1)*MAX(0,1-16/Supuestos!$C$20))*(1-Supuestos!$C$18)^16))</f>
        <v>0.0225825558742191</v>
      </c>
      <c r="T153" s="29" t="n">
        <f aca="false">S153*(1-MIN(1,INDEX(Tabla_Mortalidad!$B$5:$B$75,MIN(71,Cartera_Polizas!$B$155+17-49))*(1+(Cartera_Polizas!$P$155-1)*MAX(0,1-17/Supuestos!$C$20))*(1-Supuestos!$C$18)^17))</f>
        <v>0.0162481957284219</v>
      </c>
      <c r="U153" s="29" t="n">
        <f aca="false">T153*(1-MIN(1,INDEX(Tabla_Mortalidad!$B$5:$B$75,MIN(71,Cartera_Polizas!$B$155+18-49))*(1+(Cartera_Polizas!$P$155-1)*MAX(0,1-18/Supuestos!$C$20))*(1-Supuestos!$C$18)^18))</f>
        <v>0.0112854960217945</v>
      </c>
      <c r="V153" s="29" t="n">
        <f aca="false">U153*(1-MIN(1,INDEX(Tabla_Mortalidad!$B$5:$B$75,MIN(71,Cartera_Polizas!$B$155+19-49))*(1+(Cartera_Polizas!$P$155-1)*MAX(0,1-19/Supuestos!$C$20))*(1-Supuestos!$C$18)^19))</f>
        <v>0.00754016572160767</v>
      </c>
      <c r="W153" s="29" t="n">
        <f aca="false">V153*(1-MIN(1,INDEX(Tabla_Mortalidad!$B$5:$B$75,MIN(71,Cartera_Polizas!$B$155+20-49))*(1+(Cartera_Polizas!$P$155-1)*MAX(0,1-20/Supuestos!$C$20))*(1-Supuestos!$C$18)^20))</f>
        <v>0.00482752275201283</v>
      </c>
      <c r="X153" s="29" t="n">
        <f aca="false">W153*(1-MIN(1,INDEX(Tabla_Mortalidad!$B$5:$B$75,MIN(71,Cartera_Polizas!$B$155+21-49))*(1+(Cartera_Polizas!$P$155-1)*MAX(0,1-21/Supuestos!$C$20))*(1-Supuestos!$C$18)^21))</f>
        <v>0.00294963482220334</v>
      </c>
      <c r="Y153" s="29" t="n">
        <f aca="false">X153*(1-MIN(1,INDEX(Tabla_Mortalidad!$B$5:$B$75,MIN(71,Cartera_Polizas!$B$155+22-49))*(1+(Cartera_Polizas!$P$155-1)*MAX(0,1-22/Supuestos!$C$20))*(1-Supuestos!$C$18)^22))</f>
        <v>0.00171244231893144</v>
      </c>
      <c r="Z153" s="29" t="n">
        <f aca="false">Y153*(1-MIN(1,INDEX(Tabla_Mortalidad!$B$5:$B$75,MIN(71,Cartera_Polizas!$B$155+23-49))*(1+(Cartera_Polizas!$P$155-1)*MAX(0,1-23/Supuestos!$C$20))*(1-Supuestos!$C$18)^23))</f>
        <v>0.000940307682697788</v>
      </c>
      <c r="AA153" s="29" t="n">
        <f aca="false">Z153*(1-MIN(1,INDEX(Tabla_Mortalidad!$B$5:$B$75,MIN(71,Cartera_Polizas!$B$155+24-49))*(1+(Cartera_Polizas!$P$155-1)*MAX(0,1-24/Supuestos!$C$20))*(1-Supuestos!$C$18)^24))</f>
        <v>0.000486020620101609</v>
      </c>
      <c r="AB153" s="29" t="n">
        <f aca="false">AA153*(1-MIN(1,INDEX(Tabla_Mortalidad!$B$5:$B$75,MIN(71,Cartera_Polizas!$B$155+25-49))*(1+(Cartera_Polizas!$P$155-1)*MAX(0,1-25/Supuestos!$C$20))*(1-Supuestos!$C$18)^25))</f>
        <v>0.000235316289096052</v>
      </c>
      <c r="AC153" s="29" t="n">
        <f aca="false">AB153*(1-MIN(1,INDEX(Tabla_Mortalidad!$B$5:$B$75,MIN(71,Cartera_Polizas!$B$155+26-49))*(1+(Cartera_Polizas!$P$155-1)*MAX(0,1-26/Supuestos!$C$20))*(1-Supuestos!$C$18)^26))</f>
        <v>0.000106207109230965</v>
      </c>
      <c r="AD153" s="29" t="n">
        <f aca="false">AC153*(1-MIN(1,INDEX(Tabla_Mortalidad!$B$5:$B$75,MIN(71,Cartera_Polizas!$B$155+27-49))*(1+(Cartera_Polizas!$P$155-1)*MAX(0,1-27/Supuestos!$C$20))*(1-Supuestos!$C$18)^27))</f>
        <v>4.44772252170992E-005</v>
      </c>
      <c r="AE153" s="29" t="n">
        <f aca="false">AD153*(1-MIN(1,INDEX(Tabla_Mortalidad!$B$5:$B$75,MIN(71,Cartera_Polizas!$B$155+28-49))*(1+(Cartera_Polizas!$P$155-1)*MAX(0,1-28/Supuestos!$C$20))*(1-Supuestos!$C$18)^28))</f>
        <v>1.72094199425202E-005</v>
      </c>
      <c r="AF153" s="29" t="n">
        <f aca="false">AE153*(1-MIN(1,INDEX(Tabla_Mortalidad!$B$5:$B$75,MIN(71,Cartera_Polizas!$B$155+29-49))*(1+(Cartera_Polizas!$P$155-1)*MAX(0,1-29/Supuestos!$C$20))*(1-Supuestos!$C$18)^29))</f>
        <v>6.1307992748674E-006</v>
      </c>
      <c r="AG153" s="29" t="n">
        <f aca="false">AF153*(1-MIN(1,INDEX(Tabla_Mortalidad!$B$5:$B$75,MIN(71,Cartera_Polizas!$B$155+30-49))*(1+(Cartera_Polizas!$P$155-1)*MAX(0,1-30/Supuestos!$C$20))*(1-Supuestos!$C$18)^30))</f>
        <v>2.0060726650128E-006</v>
      </c>
      <c r="AH153" s="29" t="n">
        <f aca="false">AG153*(1-MIN(1,INDEX(Tabla_Mortalidad!$B$5:$B$75,MIN(71,Cartera_Polizas!$B$155+31-49))*(1+(Cartera_Polizas!$P$155-1)*MAX(0,1-31/Supuestos!$C$20))*(1-Supuestos!$C$18)^31))</f>
        <v>6.02384101175461E-007</v>
      </c>
      <c r="AI153" s="29" t="n">
        <f aca="false">AH153*(1-MIN(1,INDEX(Tabla_Mortalidad!$B$5:$B$75,MIN(71,Cartera_Polizas!$B$155+32-49))*(1+(Cartera_Polizas!$P$155-1)*MAX(0,1-32/Supuestos!$C$20))*(1-Supuestos!$C$18)^32))</f>
        <v>1.6617998036854E-007</v>
      </c>
      <c r="AJ153" s="29" t="n">
        <f aca="false">AI153*(1-MIN(1,INDEX(Tabla_Mortalidad!$B$5:$B$75,MIN(71,Cartera_Polizas!$B$155+33-49))*(1+(Cartera_Polizas!$P$155-1)*MAX(0,1-33/Supuestos!$C$20))*(1-Supuestos!$C$18)^33))</f>
        <v>4.22654169602305E-008</v>
      </c>
      <c r="AK153" s="29" t="n">
        <f aca="false">AJ153*(1-MIN(1,INDEX(Tabla_Mortalidad!$B$5:$B$75,MIN(71,Cartera_Polizas!$B$155+34-49))*(1+(Cartera_Polizas!$P$155-1)*MAX(0,1-34/Supuestos!$C$20))*(1-Supuestos!$C$18)^34))</f>
        <v>9.9716852301136E-009</v>
      </c>
      <c r="AL153" s="29" t="n">
        <f aca="false">AK153*(1-MIN(1,INDEX(Tabla_Mortalidad!$B$5:$B$75,MIN(71,Cartera_Polizas!$B$155+35-49))*(1+(Cartera_Polizas!$P$155-1)*MAX(0,1-35/Supuestos!$C$20))*(1-Supuestos!$C$18)^35))</f>
        <v>2.20171125007129E-009</v>
      </c>
      <c r="AM153" s="29" t="n">
        <f aca="false">AL153*(1-MIN(1,INDEX(Tabla_Mortalidad!$B$5:$B$75,MIN(71,Cartera_Polizas!$B$155+36-49))*(1+(Cartera_Polizas!$P$155-1)*MAX(0,1-36/Supuestos!$C$20))*(1-Supuestos!$C$18)^36))</f>
        <v>4.60030091905112E-010</v>
      </c>
      <c r="AN153" s="29" t="n">
        <f aca="false">AM153*(1-MIN(1,INDEX(Tabla_Mortalidad!$B$5:$B$75,MIN(71,Cartera_Polizas!$B$155+37-49))*(1+(Cartera_Polizas!$P$155-1)*MAX(0,1-37/Supuestos!$C$20))*(1-Supuestos!$C$18)^37))</f>
        <v>7.78744913149911E-011</v>
      </c>
      <c r="AO153" s="29" t="n">
        <f aca="false">AN153*(1-MIN(1,INDEX(Tabla_Mortalidad!$B$5:$B$75,MIN(71,Cartera_Polizas!$B$155+38-49))*(1+(Cartera_Polizas!$P$155-1)*MAX(0,1-38/Supuestos!$C$20))*(1-Supuestos!$C$18)^38))</f>
        <v>1.35061539927389E-011</v>
      </c>
      <c r="AP153" s="29" t="n">
        <f aca="false">AO153*(1-MIN(1,INDEX(Tabla_Mortalidad!$B$5:$B$75,MIN(71,Cartera_Polizas!$B$155+39-49))*(1+(Cartera_Polizas!$P$155-1)*MAX(0,1-39/Supuestos!$C$20))*(1-Supuestos!$C$18)^39))</f>
        <v>2.39825693757411E-012</v>
      </c>
      <c r="AQ153" s="29" t="n">
        <f aca="false">AP153*(1-MIN(1,INDEX(Tabla_Mortalidad!$B$5:$B$75,MIN(71,Cartera_Polizas!$B$155+40-49))*(1+(Cartera_Polizas!$P$155-1)*MAX(0,1-40/Supuestos!$C$20))*(1-Supuestos!$C$18)^40))</f>
        <v>4.35715030174996E-013</v>
      </c>
      <c r="AR153" s="29" t="n">
        <f aca="false">AQ153*(1-MIN(1,INDEX(Tabla_Mortalidad!$B$5:$B$75,MIN(71,Cartera_Polizas!$B$155+41-49))*(1+(Cartera_Polizas!$P$155-1)*MAX(0,1-41/Supuestos!$C$20))*(1-Supuestos!$C$18)^41))</f>
        <v>8.09434258319161E-014</v>
      </c>
      <c r="AS153" s="29" t="n">
        <f aca="false">AR153*(1-MIN(1,INDEX(Tabla_Mortalidad!$B$5:$B$75,MIN(71,Cartera_Polizas!$B$155+42-49))*(1+(Cartera_Polizas!$P$155-1)*MAX(0,1-42/Supuestos!$C$20))*(1-Supuestos!$C$18)^42))</f>
        <v>1.53665122085297E-014</v>
      </c>
      <c r="AT153" s="29" t="n">
        <f aca="false">AS153*(1-MIN(1,INDEX(Tabla_Mortalidad!$B$5:$B$75,MIN(71,Cartera_Polizas!$B$155+43-49))*(1+(Cartera_Polizas!$P$155-1)*MAX(0,1-43/Supuestos!$C$20))*(1-Supuestos!$C$18)^43))</f>
        <v>2.97946543768299E-015</v>
      </c>
      <c r="AU153" s="29" t="n">
        <f aca="false">AT153*(1-MIN(1,INDEX(Tabla_Mortalidad!$B$5:$B$75,MIN(71,Cartera_Polizas!$B$155+44-49))*(1+(Cartera_Polizas!$P$155-1)*MAX(0,1-44/Supuestos!$C$20))*(1-Supuestos!$C$18)^44))</f>
        <v>5.89707544563102E-016</v>
      </c>
    </row>
    <row r="154" customFormat="false" ht="15" hidden="false" customHeight="false" outlineLevel="0" collapsed="false">
      <c r="A154" s="14" t="n">
        <f aca="false">Cartera_Polizas!A156</f>
        <v>151</v>
      </c>
      <c r="B154" s="26" t="n">
        <f aca="false">SUM(C154:AU154)+0.5</f>
        <v>8.69526338295805</v>
      </c>
      <c r="C154" s="29" t="n">
        <f aca="false">1-MIN(1,INDEX(Tabla_Mortalidad!$B$5:$B$75,MIN(71,Cartera_Polizas!$B$156+0-49))*(1+(Cartera_Polizas!$P$156-1)*MAX(0,1-0/Supuestos!$C$20))*(1-Supuestos!$C$18)^0)</f>
        <v>0.933818896</v>
      </c>
      <c r="D154" s="29" t="n">
        <f aca="false">C154*(1-MIN(1,INDEX(Tabla_Mortalidad!$B$5:$B$75,MIN(71,Cartera_Polizas!$B$156+1-49))*(1+(Cartera_Polizas!$P$156-1)*MAX(0,1-1/Supuestos!$C$20))*(1-Supuestos!$C$18)^1))</f>
        <v>0.867172278573413</v>
      </c>
      <c r="E154" s="29" t="n">
        <f aca="false">D154*(1-MIN(1,INDEX(Tabla_Mortalidad!$B$5:$B$75,MIN(71,Cartera_Polizas!$B$156+2-49))*(1+(Cartera_Polizas!$P$156-1)*MAX(0,1-2/Supuestos!$C$20))*(1-Supuestos!$C$18)^2))</f>
        <v>0.800497201396338</v>
      </c>
      <c r="F154" s="29" t="n">
        <f aca="false">E154*(1-MIN(1,INDEX(Tabla_Mortalidad!$B$5:$B$75,MIN(71,Cartera_Polizas!$B$156+3-49))*(1+(Cartera_Polizas!$P$156-1)*MAX(0,1-3/Supuestos!$C$20))*(1-Supuestos!$C$18)^3))</f>
        <v>0.734262172330944</v>
      </c>
      <c r="G154" s="29" t="n">
        <f aca="false">F154*(1-MIN(1,INDEX(Tabla_Mortalidad!$B$5:$B$75,MIN(71,Cartera_Polizas!$B$156+4-49))*(1+(Cartera_Polizas!$P$156-1)*MAX(0,1-4/Supuestos!$C$20))*(1-Supuestos!$C$18)^4))</f>
        <v>0.66896005912238</v>
      </c>
      <c r="H154" s="29" t="n">
        <f aca="false">G154*(1-MIN(1,INDEX(Tabla_Mortalidad!$B$5:$B$75,MIN(71,Cartera_Polizas!$B$156+5-49))*(1+(Cartera_Polizas!$P$156-1)*MAX(0,1-5/Supuestos!$C$20))*(1-Supuestos!$C$18)^5))</f>
        <v>0.605094106385929</v>
      </c>
      <c r="I154" s="29" t="n">
        <f aca="false">H154*(1-MIN(1,INDEX(Tabla_Mortalidad!$B$5:$B$75,MIN(71,Cartera_Polizas!$B$156+6-49))*(1+(Cartera_Polizas!$P$156-1)*MAX(0,1-6/Supuestos!$C$20))*(1-Supuestos!$C$18)^6))</f>
        <v>0.543164738779527</v>
      </c>
      <c r="J154" s="29" t="n">
        <f aca="false">I154*(1-MIN(1,INDEX(Tabla_Mortalidad!$B$5:$B$75,MIN(71,Cartera_Polizas!$B$156+7-49))*(1+(Cartera_Polizas!$P$156-1)*MAX(0,1-7/Supuestos!$C$20))*(1-Supuestos!$C$18)^7))</f>
        <v>0.48365910448861</v>
      </c>
      <c r="K154" s="29" t="n">
        <f aca="false">J154*(1-MIN(1,INDEX(Tabla_Mortalidad!$B$5:$B$75,MIN(71,Cartera_Polizas!$B$156+8-49))*(1+(Cartera_Polizas!$P$156-1)*MAX(0,1-8/Supuestos!$C$20))*(1-Supuestos!$C$18)^8))</f>
        <v>0.427030982436696</v>
      </c>
      <c r="L154" s="29" t="n">
        <f aca="false">K154*(1-MIN(1,INDEX(Tabla_Mortalidad!$B$5:$B$75,MIN(71,Cartera_Polizas!$B$156+9-49))*(1+(Cartera_Polizas!$P$156-1)*MAX(0,1-9/Supuestos!$C$20))*(1-Supuestos!$C$18)^9))</f>
        <v>0.373690178462537</v>
      </c>
      <c r="M154" s="29" t="n">
        <f aca="false">L154*(1-MIN(1,INDEX(Tabla_Mortalidad!$B$5:$B$75,MIN(71,Cartera_Polizas!$B$156+10-49))*(1+(Cartera_Polizas!$P$156-1)*MAX(0,1-10/Supuestos!$C$20))*(1-Supuestos!$C$18)^10))</f>
        <v>0.323984852680774</v>
      </c>
      <c r="N154" s="29" t="n">
        <f aca="false">M154*(1-MIN(1,INDEX(Tabla_Mortalidad!$B$5:$B$75,MIN(71,Cartera_Polizas!$B$156+11-49))*(1+(Cartera_Polizas!$P$156-1)*MAX(0,1-11/Supuestos!$C$20))*(1-Supuestos!$C$18)^11))</f>
        <v>0.278189726127481</v>
      </c>
      <c r="O154" s="29" t="n">
        <f aca="false">N154*(1-MIN(1,INDEX(Tabla_Mortalidad!$B$5:$B$75,MIN(71,Cartera_Polizas!$B$156+12-49))*(1+(Cartera_Polizas!$P$156-1)*MAX(0,1-12/Supuestos!$C$20))*(1-Supuestos!$C$18)^12))</f>
        <v>0.236495789845188</v>
      </c>
      <c r="P154" s="29" t="n">
        <f aca="false">O154*(1-MIN(1,INDEX(Tabla_Mortalidad!$B$5:$B$75,MIN(71,Cartera_Polizas!$B$156+13-49))*(1+(Cartera_Polizas!$P$156-1)*MAX(0,1-13/Supuestos!$C$20))*(1-Supuestos!$C$18)^13))</f>
        <v>0.199003942106784</v>
      </c>
      <c r="Q154" s="29" t="n">
        <f aca="false">P154*(1-MIN(1,INDEX(Tabla_Mortalidad!$B$5:$B$75,MIN(71,Cartera_Polizas!$B$156+14-49))*(1+(Cartera_Polizas!$P$156-1)*MAX(0,1-14/Supuestos!$C$20))*(1-Supuestos!$C$18)^14))</f>
        <v>0.165722593533129</v>
      </c>
      <c r="R154" s="29" t="n">
        <f aca="false">Q154*(1-MIN(1,INDEX(Tabla_Mortalidad!$B$5:$B$75,MIN(71,Cartera_Polizas!$B$156+15-49))*(1+(Cartera_Polizas!$P$156-1)*MAX(0,1-15/Supuestos!$C$20))*(1-Supuestos!$C$18)^15))</f>
        <v>0.136569452105426</v>
      </c>
      <c r="S154" s="29" t="n">
        <f aca="false">R154*(1-MIN(1,INDEX(Tabla_Mortalidad!$B$5:$B$75,MIN(71,Cartera_Polizas!$B$156+16-49))*(1+(Cartera_Polizas!$P$156-1)*MAX(0,1-16/Supuestos!$C$20))*(1-Supuestos!$C$18)^16))</f>
        <v>0.110197602704664</v>
      </c>
      <c r="T154" s="29" t="n">
        <f aca="false">S154*(1-MIN(1,INDEX(Tabla_Mortalidad!$B$5:$B$75,MIN(71,Cartera_Polizas!$B$156+17-49))*(1+(Cartera_Polizas!$P$156-1)*MAX(0,1-17/Supuestos!$C$20))*(1-Supuestos!$C$18)^17))</f>
        <v>0.0868699389713235</v>
      </c>
      <c r="U154" s="29" t="n">
        <f aca="false">T154*(1-MIN(1,INDEX(Tabla_Mortalidad!$B$5:$B$75,MIN(71,Cartera_Polizas!$B$156+18-49))*(1+(Cartera_Polizas!$P$156-1)*MAX(0,1-18/Supuestos!$C$20))*(1-Supuestos!$C$18)^18))</f>
        <v>0.06673950876242</v>
      </c>
      <c r="V154" s="29" t="n">
        <f aca="false">U154*(1-MIN(1,INDEX(Tabla_Mortalidad!$B$5:$B$75,MIN(71,Cartera_Polizas!$B$156+19-49))*(1+(Cartera_Polizas!$P$156-1)*MAX(0,1-19/Supuestos!$C$20))*(1-Supuestos!$C$18)^19))</f>
        <v>0.0498367558440842</v>
      </c>
      <c r="W154" s="29" t="n">
        <f aca="false">V154*(1-MIN(1,INDEX(Tabla_Mortalidad!$B$5:$B$75,MIN(71,Cartera_Polizas!$B$156+20-49))*(1+(Cartera_Polizas!$P$156-1)*MAX(0,1-20/Supuestos!$C$20))*(1-Supuestos!$C$18)^20))</f>
        <v>0.0360662889765187</v>
      </c>
      <c r="X154" s="29" t="n">
        <f aca="false">W154*(1-MIN(1,INDEX(Tabla_Mortalidad!$B$5:$B$75,MIN(71,Cartera_Polizas!$B$156+21-49))*(1+(Cartera_Polizas!$P$156-1)*MAX(0,1-21/Supuestos!$C$20))*(1-Supuestos!$C$18)^21))</f>
        <v>0.0252149443821459</v>
      </c>
      <c r="Y154" s="29" t="n">
        <f aca="false">X154*(1-MIN(1,INDEX(Tabla_Mortalidad!$B$5:$B$75,MIN(71,Cartera_Polizas!$B$156+22-49))*(1+(Cartera_Polizas!$P$156-1)*MAX(0,1-22/Supuestos!$C$20))*(1-Supuestos!$C$18)^22))</f>
        <v>0.016971727453843</v>
      </c>
      <c r="Z154" s="29" t="n">
        <f aca="false">Y154*(1-MIN(1,INDEX(Tabla_Mortalidad!$B$5:$B$75,MIN(71,Cartera_Polizas!$B$156+23-49))*(1+(Cartera_Polizas!$P$156-1)*MAX(0,1-23/Supuestos!$C$20))*(1-Supuestos!$C$18)^23))</f>
        <v>0.0109571234796625</v>
      </c>
      <c r="AA154" s="29" t="n">
        <f aca="false">Z154*(1-MIN(1,INDEX(Tabla_Mortalidad!$B$5:$B$75,MIN(71,Cartera_Polizas!$B$156+24-49))*(1+(Cartera_Polizas!$P$156-1)*MAX(0,1-24/Supuestos!$C$20))*(1-Supuestos!$C$18)^24))</f>
        <v>0.00675845930615153</v>
      </c>
      <c r="AB154" s="29" t="n">
        <f aca="false">AA154*(1-MIN(1,INDEX(Tabla_Mortalidad!$B$5:$B$75,MIN(71,Cartera_Polizas!$B$156+25-49))*(1+(Cartera_Polizas!$P$156-1)*MAX(0,1-25/Supuestos!$C$20))*(1-Supuestos!$C$18)^25))</f>
        <v>0.00396600565532053</v>
      </c>
      <c r="AC154" s="29" t="n">
        <f aca="false">AB154*(1-MIN(1,INDEX(Tabla_Mortalidad!$B$5:$B$75,MIN(71,Cartera_Polizas!$B$156+26-49))*(1+(Cartera_Polizas!$P$156-1)*MAX(0,1-26/Supuestos!$C$20))*(1-Supuestos!$C$18)^26))</f>
        <v>0.00220443667597351</v>
      </c>
      <c r="AD154" s="29" t="n">
        <f aca="false">AC154*(1-MIN(1,INDEX(Tabla_Mortalidad!$B$5:$B$75,MIN(71,Cartera_Polizas!$B$156+27-49))*(1+(Cartera_Polizas!$P$156-1)*MAX(0,1-27/Supuestos!$C$20))*(1-Supuestos!$C$18)^27))</f>
        <v>0.00115531163129383</v>
      </c>
      <c r="AE154" s="29" t="n">
        <f aca="false">AD154*(1-MIN(1,INDEX(Tabla_Mortalidad!$B$5:$B$75,MIN(71,Cartera_Polizas!$B$156+28-49))*(1+(Cartera_Polizas!$P$156-1)*MAX(0,1-28/Supuestos!$C$20))*(1-Supuestos!$C$18)^28))</f>
        <v>0.000568261040643106</v>
      </c>
      <c r="AF154" s="29" t="n">
        <f aca="false">AE154*(1-MIN(1,INDEX(Tabla_Mortalidad!$B$5:$B$75,MIN(71,Cartera_Polizas!$B$156+29-49))*(1+(Cartera_Polizas!$P$156-1)*MAX(0,1-29/Supuestos!$C$20))*(1-Supuestos!$C$18)^29))</f>
        <v>0.000261131029208094</v>
      </c>
      <c r="AG154" s="29" t="n">
        <f aca="false">AF154*(1-MIN(1,INDEX(Tabla_Mortalidad!$B$5:$B$75,MIN(71,Cartera_Polizas!$B$156+30-49))*(1+(Cartera_Polizas!$P$156-1)*MAX(0,1-30/Supuestos!$C$20))*(1-Supuestos!$C$18)^30))</f>
        <v>0.000111621251638625</v>
      </c>
      <c r="AH154" s="29" t="n">
        <f aca="false">AG154*(1-MIN(1,INDEX(Tabla_Mortalidad!$B$5:$B$75,MIN(71,Cartera_Polizas!$B$156+31-49))*(1+(Cartera_Polizas!$P$156-1)*MAX(0,1-31/Supuestos!$C$20))*(1-Supuestos!$C$18)^31))</f>
        <v>4.42105839143584E-005</v>
      </c>
      <c r="AI154" s="29" t="n">
        <f aca="false">AH154*(1-MIN(1,INDEX(Tabla_Mortalidad!$B$5:$B$75,MIN(71,Cartera_Polizas!$B$156+32-49))*(1+(Cartera_Polizas!$P$156-1)*MAX(0,1-32/Supuestos!$C$20))*(1-Supuestos!$C$18)^32))</f>
        <v>1.61746548033549E-005</v>
      </c>
      <c r="AJ154" s="29" t="n">
        <f aca="false">AI154*(1-MIN(1,INDEX(Tabla_Mortalidad!$B$5:$B$75,MIN(71,Cartera_Polizas!$B$156+33-49))*(1+(Cartera_Polizas!$P$156-1)*MAX(0,1-33/Supuestos!$C$20))*(1-Supuestos!$C$18)^33))</f>
        <v>5.45496214132113E-006</v>
      </c>
      <c r="AK154" s="29" t="n">
        <f aca="false">AJ154*(1-MIN(1,INDEX(Tabla_Mortalidad!$B$5:$B$75,MIN(71,Cartera_Polizas!$B$156+34-49))*(1+(Cartera_Polizas!$P$156-1)*MAX(0,1-34/Supuestos!$C$20))*(1-Supuestos!$C$18)^34))</f>
        <v>1.69498604033305E-006</v>
      </c>
      <c r="AL154" s="29" t="n">
        <f aca="false">AK154*(1-MIN(1,INDEX(Tabla_Mortalidad!$B$5:$B$75,MIN(71,Cartera_Polizas!$B$156+35-49))*(1+(Cartera_Polizas!$P$156-1)*MAX(0,1-35/Supuestos!$C$20))*(1-Supuestos!$C$18)^35))</f>
        <v>4.85915523329213E-007</v>
      </c>
      <c r="AM154" s="29" t="n">
        <f aca="false">AL154*(1-MIN(1,INDEX(Tabla_Mortalidad!$B$5:$B$75,MIN(71,Cartera_Polizas!$B$156+36-49))*(1+(Cartera_Polizas!$P$156-1)*MAX(0,1-36/Supuestos!$C$20))*(1-Supuestos!$C$18)^36))</f>
        <v>1.28993239306415E-007</v>
      </c>
      <c r="AN154" s="29" t="n">
        <f aca="false">AM154*(1-MIN(1,INDEX(Tabla_Mortalidad!$B$5:$B$75,MIN(71,Cartera_Polizas!$B$156+37-49))*(1+(Cartera_Polizas!$P$156-1)*MAX(0,1-37/Supuestos!$C$20))*(1-Supuestos!$C$18)^37))</f>
        <v>3.19044094998935E-008</v>
      </c>
      <c r="AO154" s="29" t="n">
        <f aca="false">AN154*(1-MIN(1,INDEX(Tabla_Mortalidad!$B$5:$B$75,MIN(71,Cartera_Polizas!$B$156+38-49))*(1+(Cartera_Polizas!$P$156-1)*MAX(0,1-38/Supuestos!$C$20))*(1-Supuestos!$C$18)^38))</f>
        <v>7.41541483169895E-009</v>
      </c>
      <c r="AP154" s="29" t="n">
        <f aca="false">AO154*(1-MIN(1,INDEX(Tabla_Mortalidad!$B$5:$B$75,MIN(71,Cartera_Polizas!$B$156+39-49))*(1+(Cartera_Polizas!$P$156-1)*MAX(0,1-39/Supuestos!$C$20))*(1-Supuestos!$C$18)^39))</f>
        <v>1.63694319979459E-009</v>
      </c>
      <c r="AQ154" s="29" t="n">
        <f aca="false">AP154*(1-MIN(1,INDEX(Tabla_Mortalidad!$B$5:$B$75,MIN(71,Cartera_Polizas!$B$156+40-49))*(1+(Cartera_Polizas!$P$156-1)*MAX(0,1-40/Supuestos!$C$20))*(1-Supuestos!$C$18)^40))</f>
        <v>2.97399642431438E-010</v>
      </c>
      <c r="AR154" s="29" t="n">
        <f aca="false">AQ154*(1-MIN(1,INDEX(Tabla_Mortalidad!$B$5:$B$75,MIN(71,Cartera_Polizas!$B$156+41-49))*(1+(Cartera_Polizas!$P$156-1)*MAX(0,1-41/Supuestos!$C$20))*(1-Supuestos!$C$18)^41))</f>
        <v>5.52483716017766E-011</v>
      </c>
      <c r="AS154" s="29" t="n">
        <f aca="false">AR154*(1-MIN(1,INDEX(Tabla_Mortalidad!$B$5:$B$75,MIN(71,Cartera_Polizas!$B$156+42-49))*(1+(Cartera_Polizas!$P$156-1)*MAX(0,1-42/Supuestos!$C$20))*(1-Supuestos!$C$18)^42))</f>
        <v>1.04884957363064E-011</v>
      </c>
      <c r="AT154" s="29" t="n">
        <f aca="false">AS154*(1-MIN(1,INDEX(Tabla_Mortalidad!$B$5:$B$75,MIN(71,Cartera_Polizas!$B$156+43-49))*(1+(Cartera_Polizas!$P$156-1)*MAX(0,1-43/Supuestos!$C$20))*(1-Supuestos!$C$18)^43))</f>
        <v>2.03365019436642E-012</v>
      </c>
      <c r="AU154" s="29" t="n">
        <f aca="false">AT154*(1-MIN(1,INDEX(Tabla_Mortalidad!$B$5:$B$75,MIN(71,Cartera_Polizas!$B$156+44-49))*(1+(Cartera_Polizas!$P$156-1)*MAX(0,1-44/Supuestos!$C$20))*(1-Supuestos!$C$18)^44))</f>
        <v>4.0250806317549E-013</v>
      </c>
    </row>
    <row r="155" customFormat="false" ht="15" hidden="false" customHeight="false" outlineLevel="0" collapsed="false">
      <c r="A155" s="14" t="n">
        <f aca="false">Cartera_Polizas!A157</f>
        <v>152</v>
      </c>
      <c r="B155" s="26" t="n">
        <f aca="false">SUM(C155:AU155)+0.5</f>
        <v>7.25050057094844</v>
      </c>
      <c r="C155" s="29" t="n">
        <f aca="false">1-MIN(1,INDEX(Tabla_Mortalidad!$B$5:$B$75,MIN(71,Cartera_Polizas!$B$157+0-49))*(1+(Cartera_Polizas!$P$157-1)*MAX(0,1-0/Supuestos!$C$20))*(1-Supuestos!$C$18)^0)</f>
        <v>0.909859865125</v>
      </c>
      <c r="D155" s="29" t="n">
        <f aca="false">C155*(1-MIN(1,INDEX(Tabla_Mortalidad!$B$5:$B$75,MIN(71,Cartera_Polizas!$B$157+1-49))*(1+(Cartera_Polizas!$P$157-1)*MAX(0,1-1/Supuestos!$C$20))*(1-Supuestos!$C$18)^1))</f>
        <v>0.822097557162331</v>
      </c>
      <c r="E155" s="29" t="n">
        <f aca="false">D155*(1-MIN(1,INDEX(Tabla_Mortalidad!$B$5:$B$75,MIN(71,Cartera_Polizas!$B$157+2-49))*(1+(Cartera_Polizas!$P$157-1)*MAX(0,1-2/Supuestos!$C$20))*(1-Supuestos!$C$18)^2))</f>
        <v>0.737373436909321</v>
      </c>
      <c r="F155" s="29" t="n">
        <f aca="false">E155*(1-MIN(1,INDEX(Tabla_Mortalidad!$B$5:$B$75,MIN(71,Cartera_Polizas!$B$157+3-49))*(1+(Cartera_Polizas!$P$157-1)*MAX(0,1-3/Supuestos!$C$20))*(1-Supuestos!$C$18)^3))</f>
        <v>0.656316930036942</v>
      </c>
      <c r="G155" s="29" t="n">
        <f aca="false">F155*(1-MIN(1,INDEX(Tabla_Mortalidad!$B$5:$B$75,MIN(71,Cartera_Polizas!$B$157+4-49))*(1+(Cartera_Polizas!$P$157-1)*MAX(0,1-4/Supuestos!$C$20))*(1-Supuestos!$C$18)^4))</f>
        <v>0.579502768015474</v>
      </c>
      <c r="H155" s="29" t="n">
        <f aca="false">G155*(1-MIN(1,INDEX(Tabla_Mortalidad!$B$5:$B$75,MIN(71,Cartera_Polizas!$B$157+5-49))*(1+(Cartera_Polizas!$P$157-1)*MAX(0,1-5/Supuestos!$C$20))*(1-Supuestos!$C$18)^5))</f>
        <v>0.507431564137709</v>
      </c>
      <c r="I155" s="29" t="n">
        <f aca="false">H155*(1-MIN(1,INDEX(Tabla_Mortalidad!$B$5:$B$75,MIN(71,Cartera_Polizas!$B$157+6-49))*(1+(Cartera_Polizas!$P$157-1)*MAX(0,1-6/Supuestos!$C$20))*(1-Supuestos!$C$18)^6))</f>
        <v>0.440516980837921</v>
      </c>
      <c r="J155" s="29" t="n">
        <f aca="false">I155*(1-MIN(1,INDEX(Tabla_Mortalidad!$B$5:$B$75,MIN(71,Cartera_Polizas!$B$157+7-49))*(1+(Cartera_Polizas!$P$157-1)*MAX(0,1-7/Supuestos!$C$20))*(1-Supuestos!$C$18)^7))</f>
        <v>0.379065519765337</v>
      </c>
      <c r="K155" s="29" t="n">
        <f aca="false">J155*(1-MIN(1,INDEX(Tabla_Mortalidad!$B$5:$B$75,MIN(71,Cartera_Polizas!$B$157+8-49))*(1+(Cartera_Polizas!$P$157-1)*MAX(0,1-8/Supuestos!$C$20))*(1-Supuestos!$C$18)^8))</f>
        <v>0.323271608706181</v>
      </c>
      <c r="L155" s="29" t="n">
        <f aca="false">K155*(1-MIN(1,INDEX(Tabla_Mortalidad!$B$5:$B$75,MIN(71,Cartera_Polizas!$B$157+9-49))*(1+(Cartera_Polizas!$P$157-1)*MAX(0,1-9/Supuestos!$C$20))*(1-Supuestos!$C$18)^9))</f>
        <v>0.273208798576132</v>
      </c>
      <c r="M155" s="29" t="n">
        <f aca="false">L155*(1-MIN(1,INDEX(Tabla_Mortalidad!$B$5:$B$75,MIN(71,Cartera_Polizas!$B$157+10-49))*(1+(Cartera_Polizas!$P$157-1)*MAX(0,1-10/Supuestos!$C$20))*(1-Supuestos!$C$18)^10))</f>
        <v>0.228831328683513</v>
      </c>
      <c r="N155" s="29" t="n">
        <f aca="false">M155*(1-MIN(1,INDEX(Tabla_Mortalidad!$B$5:$B$75,MIN(71,Cartera_Polizas!$B$157+11-49))*(1+(Cartera_Polizas!$P$157-1)*MAX(0,1-11/Supuestos!$C$20))*(1-Supuestos!$C$18)^11))</f>
        <v>0.189980166276488</v>
      </c>
      <c r="O155" s="29" t="n">
        <f aca="false">N155*(1-MIN(1,INDEX(Tabla_Mortalidad!$B$5:$B$75,MIN(71,Cartera_Polizas!$B$157+12-49))*(1+(Cartera_Polizas!$P$157-1)*MAX(0,1-12/Supuestos!$C$20))*(1-Supuestos!$C$18)^12))</f>
        <v>0.156394896641352</v>
      </c>
      <c r="P155" s="29" t="n">
        <f aca="false">O155*(1-MIN(1,INDEX(Tabla_Mortalidad!$B$5:$B$75,MIN(71,Cartera_Polizas!$B$157+13-49))*(1+(Cartera_Polizas!$P$157-1)*MAX(0,1-13/Supuestos!$C$20))*(1-Supuestos!$C$18)^13))</f>
        <v>0.127730023802477</v>
      </c>
      <c r="Q155" s="29" t="n">
        <f aca="false">P155*(1-MIN(1,INDEX(Tabla_Mortalidad!$B$5:$B$75,MIN(71,Cartera_Polizas!$B$157+14-49))*(1+(Cartera_Polizas!$P$157-1)*MAX(0,1-14/Supuestos!$C$20))*(1-Supuestos!$C$18)^14))</f>
        <v>0.103574379301082</v>
      </c>
      <c r="R155" s="29" t="n">
        <f aca="false">Q155*(1-MIN(1,INDEX(Tabla_Mortalidad!$B$5:$B$75,MIN(71,Cartera_Polizas!$B$157+15-49))*(1+(Cartera_Polizas!$P$157-1)*MAX(0,1-15/Supuestos!$C$20))*(1-Supuestos!$C$18)^15))</f>
        <v>0.0834734434080761</v>
      </c>
      <c r="S155" s="29" t="n">
        <f aca="false">R155*(1-MIN(1,INDEX(Tabla_Mortalidad!$B$5:$B$75,MIN(71,Cartera_Polizas!$B$157+16-49))*(1+(Cartera_Polizas!$P$157-1)*MAX(0,1-16/Supuestos!$C$20))*(1-Supuestos!$C$18)^16))</f>
        <v>0.0657142045663412</v>
      </c>
      <c r="T155" s="29" t="n">
        <f aca="false">S155*(1-MIN(1,INDEX(Tabla_Mortalidad!$B$5:$B$75,MIN(71,Cartera_Polizas!$B$157+17-49))*(1+(Cartera_Polizas!$P$157-1)*MAX(0,1-17/Supuestos!$C$20))*(1-Supuestos!$C$18)^17))</f>
        <v>0.0504096845204936</v>
      </c>
      <c r="U155" s="29" t="n">
        <f aca="false">T155*(1-MIN(1,INDEX(Tabla_Mortalidad!$B$5:$B$75,MIN(71,Cartera_Polizas!$B$157+18-49))*(1+(Cartera_Polizas!$P$157-1)*MAX(0,1-18/Supuestos!$C$20))*(1-Supuestos!$C$18)^18))</f>
        <v>0.0375785417860698</v>
      </c>
      <c r="V155" s="29" t="n">
        <f aca="false">U155*(1-MIN(1,INDEX(Tabla_Mortalidad!$B$5:$B$75,MIN(71,Cartera_Polizas!$B$157+19-49))*(1+(Cartera_Polizas!$P$157-1)*MAX(0,1-19/Supuestos!$C$20))*(1-Supuestos!$C$18)^19))</f>
        <v>0.0271429821680347</v>
      </c>
      <c r="W155" s="29" t="n">
        <f aca="false">V155*(1-MIN(1,INDEX(Tabla_Mortalidad!$B$5:$B$75,MIN(71,Cartera_Polizas!$B$157+20-49))*(1+(Cartera_Polizas!$P$157-1)*MAX(0,1-20/Supuestos!$C$20))*(1-Supuestos!$C$18)^20))</f>
        <v>0.018935374705851</v>
      </c>
      <c r="X155" s="29" t="n">
        <f aca="false">W155*(1-MIN(1,INDEX(Tabla_Mortalidad!$B$5:$B$75,MIN(71,Cartera_Polizas!$B$157+21-49))*(1+(Cartera_Polizas!$P$157-1)*MAX(0,1-21/Supuestos!$C$20))*(1-Supuestos!$C$18)^21))</f>
        <v>0.0127139544731801</v>
      </c>
      <c r="Y155" s="29" t="n">
        <f aca="false">X155*(1-MIN(1,INDEX(Tabla_Mortalidad!$B$5:$B$75,MIN(71,Cartera_Polizas!$B$157+22-49))*(1+(Cartera_Polizas!$P$157-1)*MAX(0,1-22/Supuestos!$C$20))*(1-Supuestos!$C$18)^22))</f>
        <v>0.00818561935477811</v>
      </c>
      <c r="Z155" s="29" t="n">
        <f aca="false">Y155*(1-MIN(1,INDEX(Tabla_Mortalidad!$B$5:$B$75,MIN(71,Cartera_Polizas!$B$157+23-49))*(1+(Cartera_Polizas!$P$157-1)*MAX(0,1-23/Supuestos!$C$20))*(1-Supuestos!$C$18)^23))</f>
        <v>0.00503320680280028</v>
      </c>
      <c r="AA155" s="29" t="n">
        <f aca="false">Z155*(1-MIN(1,INDEX(Tabla_Mortalidad!$B$5:$B$75,MIN(71,Cartera_Polizas!$B$157+24-49))*(1+(Cartera_Polizas!$P$157-1)*MAX(0,1-24/Supuestos!$C$20))*(1-Supuestos!$C$18)^24))</f>
        <v>0.00294314097623087</v>
      </c>
      <c r="AB155" s="29" t="n">
        <f aca="false">AA155*(1-MIN(1,INDEX(Tabla_Mortalidad!$B$5:$B$75,MIN(71,Cartera_Polizas!$B$157+25-49))*(1+(Cartera_Polizas!$P$157-1)*MAX(0,1-25/Supuestos!$C$20))*(1-Supuestos!$C$18)^25))</f>
        <v>0.00162932569389962</v>
      </c>
      <c r="AC155" s="29" t="n">
        <f aca="false">AB155*(1-MIN(1,INDEX(Tabla_Mortalidad!$B$5:$B$75,MIN(71,Cartera_Polizas!$B$157+26-49))*(1+(Cartera_Polizas!$P$157-1)*MAX(0,1-26/Supuestos!$C$20))*(1-Supuestos!$C$18)^26))</f>
        <v>0.000850008151692211</v>
      </c>
      <c r="AD155" s="29" t="n">
        <f aca="false">AC155*(1-MIN(1,INDEX(Tabla_Mortalidad!$B$5:$B$75,MIN(71,Cartera_Polizas!$B$157+27-49))*(1+(Cartera_Polizas!$P$157-1)*MAX(0,1-27/Supuestos!$C$20))*(1-Supuestos!$C$18)^27))</f>
        <v>0.000415921537747536</v>
      </c>
      <c r="AE155" s="29" t="n">
        <f aca="false">AD155*(1-MIN(1,INDEX(Tabla_Mortalidad!$B$5:$B$75,MIN(71,Cartera_Polizas!$B$157+28-49))*(1+(Cartera_Polizas!$P$157-1)*MAX(0,1-28/Supuestos!$C$20))*(1-Supuestos!$C$18)^28))</f>
        <v>0.000189997363832583</v>
      </c>
      <c r="AF155" s="29" t="n">
        <f aca="false">AE155*(1-MIN(1,INDEX(Tabla_Mortalidad!$B$5:$B$75,MIN(71,Cartera_Polizas!$B$157+29-49))*(1+(Cartera_Polizas!$P$157-1)*MAX(0,1-29/Supuestos!$C$20))*(1-Supuestos!$C$18)^29))</f>
        <v>8.06683050062858E-005</v>
      </c>
      <c r="AG155" s="29" t="n">
        <f aca="false">AF155*(1-MIN(1,INDEX(Tabla_Mortalidad!$B$5:$B$75,MIN(71,Cartera_Polizas!$B$157+30-49))*(1+(Cartera_Polizas!$P$157-1)*MAX(0,1-30/Supuestos!$C$20))*(1-Supuestos!$C$18)^30))</f>
        <v>3.17060296625458E-005</v>
      </c>
      <c r="AH155" s="29" t="n">
        <f aca="false">AG155*(1-MIN(1,INDEX(Tabla_Mortalidad!$B$5:$B$75,MIN(71,Cartera_Polizas!$B$157+31-49))*(1+(Cartera_Polizas!$P$157-1)*MAX(0,1-31/Supuestos!$C$20))*(1-Supuestos!$C$18)^31))</f>
        <v>1.14987671637513E-005</v>
      </c>
      <c r="AI155" s="29" t="n">
        <f aca="false">AH155*(1-MIN(1,INDEX(Tabla_Mortalidad!$B$5:$B$75,MIN(71,Cartera_Polizas!$B$157+32-49))*(1+(Cartera_Polizas!$P$157-1)*MAX(0,1-32/Supuestos!$C$20))*(1-Supuestos!$C$18)^32))</f>
        <v>3.83970644126063E-006</v>
      </c>
      <c r="AJ155" s="29" t="n">
        <f aca="false">AI155*(1-MIN(1,INDEX(Tabla_Mortalidad!$B$5:$B$75,MIN(71,Cartera_Polizas!$B$157+33-49))*(1+(Cartera_Polizas!$P$157-1)*MAX(0,1-33/Supuestos!$C$20))*(1-Supuestos!$C$18)^33))</f>
        <v>1.17978821558874E-006</v>
      </c>
      <c r="AK155" s="29" t="n">
        <f aca="false">AJ155*(1-MIN(1,INDEX(Tabla_Mortalidad!$B$5:$B$75,MIN(71,Cartera_Polizas!$B$157+34-49))*(1+(Cartera_Polizas!$P$157-1)*MAX(0,1-34/Supuestos!$C$20))*(1-Supuestos!$C$18)^34))</f>
        <v>3.33990557211153E-007</v>
      </c>
      <c r="AL155" s="29" t="n">
        <f aca="false">AK155*(1-MIN(1,INDEX(Tabla_Mortalidad!$B$5:$B$75,MIN(71,Cartera_Polizas!$B$157+35-49))*(1+(Cartera_Polizas!$P$157-1)*MAX(0,1-35/Supuestos!$C$20))*(1-Supuestos!$C$18)^35))</f>
        <v>8.74297759124109E-008</v>
      </c>
      <c r="AM155" s="29" t="n">
        <f aca="false">AL155*(1-MIN(1,INDEX(Tabla_Mortalidad!$B$5:$B$75,MIN(71,Cartera_Polizas!$B$157+36-49))*(1+(Cartera_Polizas!$P$157-1)*MAX(0,1-36/Supuestos!$C$20))*(1-Supuestos!$C$18)^36))</f>
        <v>2.12936727307565E-008</v>
      </c>
      <c r="AN155" s="29" t="n">
        <f aca="false">AM155*(1-MIN(1,INDEX(Tabla_Mortalidad!$B$5:$B$75,MIN(71,Cartera_Polizas!$B$157+37-49))*(1+(Cartera_Polizas!$P$157-1)*MAX(0,1-37/Supuestos!$C$20))*(1-Supuestos!$C$18)^37))</f>
        <v>4.86707053373249E-009</v>
      </c>
      <c r="AO155" s="29" t="n">
        <f aca="false">AN155*(1-MIN(1,INDEX(Tabla_Mortalidad!$B$5:$B$75,MIN(71,Cartera_Polizas!$B$157+38-49))*(1+(Cartera_Polizas!$P$157-1)*MAX(0,1-38/Supuestos!$C$20))*(1-Supuestos!$C$18)^38))</f>
        <v>1.05534085506488E-009</v>
      </c>
      <c r="AP155" s="29" t="n">
        <f aca="false">AO155*(1-MIN(1,INDEX(Tabla_Mortalidad!$B$5:$B$75,MIN(71,Cartera_Polizas!$B$157+39-49))*(1+(Cartera_Polizas!$P$157-1)*MAX(0,1-39/Supuestos!$C$20))*(1-Supuestos!$C$18)^39))</f>
        <v>1.87394466887126E-010</v>
      </c>
      <c r="AQ155" s="29" t="n">
        <f aca="false">AP155*(1-MIN(1,INDEX(Tabla_Mortalidad!$B$5:$B$75,MIN(71,Cartera_Polizas!$B$157+40-49))*(1+(Cartera_Polizas!$P$157-1)*MAX(0,1-40/Supuestos!$C$20))*(1-Supuestos!$C$18)^40))</f>
        <v>3.40458040650735E-011</v>
      </c>
      <c r="AR155" s="29" t="n">
        <f aca="false">AQ155*(1-MIN(1,INDEX(Tabla_Mortalidad!$B$5:$B$75,MIN(71,Cartera_Polizas!$B$157+41-49))*(1+(Cartera_Polizas!$P$157-1)*MAX(0,1-41/Supuestos!$C$20))*(1-Supuestos!$C$18)^41))</f>
        <v>6.32473939474252E-012</v>
      </c>
      <c r="AS155" s="29" t="n">
        <f aca="false">AR155*(1-MIN(1,INDEX(Tabla_Mortalidad!$B$5:$B$75,MIN(71,Cartera_Polizas!$B$157+42-49))*(1+(Cartera_Polizas!$P$157-1)*MAX(0,1-42/Supuestos!$C$20))*(1-Supuestos!$C$18)^42))</f>
        <v>1.2007051113317E-012</v>
      </c>
      <c r="AT155" s="29" t="n">
        <f aca="false">AS155*(1-MIN(1,INDEX(Tabla_Mortalidad!$B$5:$B$75,MIN(71,Cartera_Polizas!$B$157+43-49))*(1+(Cartera_Polizas!$P$157-1)*MAX(0,1-43/Supuestos!$C$20))*(1-Supuestos!$C$18)^43))</f>
        <v>2.32808807328205E-013</v>
      </c>
      <c r="AU155" s="29" t="n">
        <f aca="false">AT155*(1-MIN(1,INDEX(Tabla_Mortalidad!$B$5:$B$75,MIN(71,Cartera_Polizas!$B$157+44-49))*(1+(Cartera_Polizas!$P$157-1)*MAX(0,1-44/Supuestos!$C$20))*(1-Supuestos!$C$18)^44))</f>
        <v>4.60784368852904E-014</v>
      </c>
    </row>
    <row r="156" customFormat="false" ht="15" hidden="false" customHeight="false" outlineLevel="0" collapsed="false">
      <c r="A156" s="14" t="n">
        <f aca="false">Cartera_Polizas!A158</f>
        <v>153</v>
      </c>
      <c r="B156" s="26" t="n">
        <f aca="false">SUM(C156:AU156)+0.5</f>
        <v>8.97351489842766</v>
      </c>
      <c r="C156" s="29" t="n">
        <f aca="false">1-MIN(1,INDEX(Tabla_Mortalidad!$B$5:$B$75,MIN(71,Cartera_Polizas!$B$158+0-49))*(1+(Cartera_Polizas!$P$158-1)*MAX(0,1-0/Supuestos!$C$20))*(1-Supuestos!$C$18)^0)</f>
        <v>0.938331244</v>
      </c>
      <c r="D156" s="29" t="n">
        <f aca="false">C156*(1-MIN(1,INDEX(Tabla_Mortalidad!$B$5:$B$75,MIN(71,Cartera_Polizas!$B$158+1-49))*(1+(Cartera_Polizas!$P$158-1)*MAX(0,1-1/Supuestos!$C$20))*(1-Supuestos!$C$18)^1))</f>
        <v>0.875741554049891</v>
      </c>
      <c r="E156" s="29" t="n">
        <f aca="false">D156*(1-MIN(1,INDEX(Tabla_Mortalidad!$B$5:$B$75,MIN(71,Cartera_Polizas!$B$158+2-49))*(1+(Cartera_Polizas!$P$158-1)*MAX(0,1-2/Supuestos!$C$20))*(1-Supuestos!$C$18)^2))</f>
        <v>0.812611719819916</v>
      </c>
      <c r="F156" s="29" t="n">
        <f aca="false">E156*(1-MIN(1,INDEX(Tabla_Mortalidad!$B$5:$B$75,MIN(71,Cartera_Polizas!$B$158+3-49))*(1+(Cartera_Polizas!$P$158-1)*MAX(0,1-3/Supuestos!$C$20))*(1-Supuestos!$C$18)^3))</f>
        <v>0.749362374044184</v>
      </c>
      <c r="G156" s="29" t="n">
        <f aca="false">F156*(1-MIN(1,INDEX(Tabla_Mortalidad!$B$5:$B$75,MIN(71,Cartera_Polizas!$B$158+4-49))*(1+(Cartera_Polizas!$P$158-1)*MAX(0,1-4/Supuestos!$C$20))*(1-Supuestos!$C$18)^4))</f>
        <v>0.686449580197466</v>
      </c>
      <c r="H156" s="29" t="n">
        <f aca="false">G156*(1-MIN(1,INDEX(Tabla_Mortalidad!$B$5:$B$75,MIN(71,Cartera_Polizas!$B$158+5-49))*(1+(Cartera_Polizas!$P$158-1)*MAX(0,1-5/Supuestos!$C$20))*(1-Supuestos!$C$18)^5))</f>
        <v>0.624353612433262</v>
      </c>
      <c r="I156" s="29" t="n">
        <f aca="false">H156*(1-MIN(1,INDEX(Tabla_Mortalidad!$B$5:$B$75,MIN(71,Cartera_Polizas!$B$158+6-49))*(1+(Cartera_Polizas!$P$158-1)*MAX(0,1-6/Supuestos!$C$20))*(1-Supuestos!$C$18)^6))</f>
        <v>0.563567975312024</v>
      </c>
      <c r="J156" s="29" t="n">
        <f aca="false">I156*(1-MIN(1,INDEX(Tabla_Mortalidad!$B$5:$B$75,MIN(71,Cartera_Polizas!$B$158+7-49))*(1+(Cartera_Polizas!$P$158-1)*MAX(0,1-7/Supuestos!$C$20))*(1-Supuestos!$C$18)^7))</f>
        <v>0.504590525378469</v>
      </c>
      <c r="K156" s="29" t="n">
        <f aca="false">J156*(1-MIN(1,INDEX(Tabla_Mortalidad!$B$5:$B$75,MIN(71,Cartera_Polizas!$B$158+8-49))*(1+(Cartera_Polizas!$P$158-1)*MAX(0,1-8/Supuestos!$C$20))*(1-Supuestos!$C$18)^8))</f>
        <v>0.447904352320497</v>
      </c>
      <c r="L156" s="29" t="n">
        <f aca="false">K156*(1-MIN(1,INDEX(Tabla_Mortalidad!$B$5:$B$75,MIN(71,Cartera_Polizas!$B$158+9-49))*(1+(Cartera_Polizas!$P$158-1)*MAX(0,1-9/Supuestos!$C$20))*(1-Supuestos!$C$18)^9))</f>
        <v>0.393966983523181</v>
      </c>
      <c r="M156" s="29" t="n">
        <f aca="false">L156*(1-MIN(1,INDEX(Tabla_Mortalidad!$B$5:$B$75,MIN(71,Cartera_Polizas!$B$158+10-49))*(1+(Cartera_Polizas!$P$158-1)*MAX(0,1-10/Supuestos!$C$20))*(1-Supuestos!$C$18)^10))</f>
        <v>0.343191468239597</v>
      </c>
      <c r="N156" s="29" t="n">
        <f aca="false">M156*(1-MIN(1,INDEX(Tabla_Mortalidad!$B$5:$B$75,MIN(71,Cartera_Polizas!$B$158+11-49))*(1+(Cartera_Polizas!$P$158-1)*MAX(0,1-11/Supuestos!$C$20))*(1-Supuestos!$C$18)^11))</f>
        <v>0.295932090764343</v>
      </c>
      <c r="O156" s="29" t="n">
        <f aca="false">N156*(1-MIN(1,INDEX(Tabla_Mortalidad!$B$5:$B$75,MIN(71,Cartera_Polizas!$B$158+12-49))*(1+(Cartera_Polizas!$P$158-1)*MAX(0,1-12/Supuestos!$C$20))*(1-Supuestos!$C$18)^12))</f>
        <v>0.252470442360113</v>
      </c>
      <c r="P156" s="29" t="n">
        <f aca="false">O156*(1-MIN(1,INDEX(Tabla_Mortalidad!$B$5:$B$75,MIN(71,Cartera_Polizas!$B$158+13-49))*(1+(Cartera_Polizas!$P$158-1)*MAX(0,1-13/Supuestos!$C$20))*(1-Supuestos!$C$18)^13))</f>
        <v>0.213004463678854</v>
      </c>
      <c r="Q156" s="29" t="n">
        <f aca="false">P156*(1-MIN(1,INDEX(Tabla_Mortalidad!$B$5:$B$75,MIN(71,Cartera_Polizas!$B$158+14-49))*(1+(Cartera_Polizas!$P$158-1)*MAX(0,1-14/Supuestos!$C$20))*(1-Supuestos!$C$18)^14))</f>
        <v>0.177640797287316</v>
      </c>
      <c r="R156" s="29" t="n">
        <f aca="false">Q156*(1-MIN(1,INDEX(Tabla_Mortalidad!$B$5:$B$75,MIN(71,Cartera_Polizas!$B$158+15-49))*(1+(Cartera_Polizas!$P$158-1)*MAX(0,1-15/Supuestos!$C$20))*(1-Supuestos!$C$18)^15))</f>
        <v>0.146391061350666</v>
      </c>
      <c r="S156" s="29" t="n">
        <f aca="false">R156*(1-MIN(1,INDEX(Tabla_Mortalidad!$B$5:$B$75,MIN(71,Cartera_Polizas!$B$158+16-49))*(1+(Cartera_Polizas!$P$158-1)*MAX(0,1-16/Supuestos!$C$20))*(1-Supuestos!$C$18)^16))</f>
        <v>0.118122638478345</v>
      </c>
      <c r="T156" s="29" t="n">
        <f aca="false">S156*(1-MIN(1,INDEX(Tabla_Mortalidad!$B$5:$B$75,MIN(71,Cartera_Polizas!$B$158+17-49))*(1+(Cartera_Polizas!$P$158-1)*MAX(0,1-17/Supuestos!$C$20))*(1-Supuestos!$C$18)^17))</f>
        <v>0.0931173287248941</v>
      </c>
      <c r="U156" s="29" t="n">
        <f aca="false">T156*(1-MIN(1,INDEX(Tabla_Mortalidad!$B$5:$B$75,MIN(71,Cartera_Polizas!$B$158+18-49))*(1+(Cartera_Polizas!$P$158-1)*MAX(0,1-18/Supuestos!$C$20))*(1-Supuestos!$C$18)^18))</f>
        <v>0.0715391866272602</v>
      </c>
      <c r="V156" s="29" t="n">
        <f aca="false">U156*(1-MIN(1,INDEX(Tabla_Mortalidad!$B$5:$B$75,MIN(71,Cartera_Polizas!$B$158+19-49))*(1+(Cartera_Polizas!$P$158-1)*MAX(0,1-19/Supuestos!$C$20))*(1-Supuestos!$C$18)^19))</f>
        <v>0.0534208453634093</v>
      </c>
      <c r="W156" s="29" t="n">
        <f aca="false">V156*(1-MIN(1,INDEX(Tabla_Mortalidad!$B$5:$B$75,MIN(71,Cartera_Polizas!$B$158+20-49))*(1+(Cartera_Polizas!$P$158-1)*MAX(0,1-20/Supuestos!$C$20))*(1-Supuestos!$C$18)^20))</f>
        <v>0.0386600534808958</v>
      </c>
      <c r="X156" s="29" t="n">
        <f aca="false">W156*(1-MIN(1,INDEX(Tabla_Mortalidad!$B$5:$B$75,MIN(71,Cartera_Polizas!$B$158+21-49))*(1+(Cartera_Polizas!$P$158-1)*MAX(0,1-21/Supuestos!$C$20))*(1-Supuestos!$C$18)^21))</f>
        <v>0.0270283171902225</v>
      </c>
      <c r="Y156" s="29" t="n">
        <f aca="false">X156*(1-MIN(1,INDEX(Tabla_Mortalidad!$B$5:$B$75,MIN(71,Cartera_Polizas!$B$158+22-49))*(1+(Cartera_Polizas!$P$158-1)*MAX(0,1-22/Supuestos!$C$20))*(1-Supuestos!$C$18)^22))</f>
        <v>0.0181922762127241</v>
      </c>
      <c r="Z156" s="29" t="n">
        <f aca="false">Y156*(1-MIN(1,INDEX(Tabla_Mortalidad!$B$5:$B$75,MIN(71,Cartera_Polizas!$B$158+23-49))*(1+(Cartera_Polizas!$P$158-1)*MAX(0,1-23/Supuestos!$C$20))*(1-Supuestos!$C$18)^23))</f>
        <v>0.0117451224326495</v>
      </c>
      <c r="AA156" s="29" t="n">
        <f aca="false">Z156*(1-MIN(1,INDEX(Tabla_Mortalidad!$B$5:$B$75,MIN(71,Cartera_Polizas!$B$158+24-49))*(1+(Cartera_Polizas!$P$158-1)*MAX(0,1-24/Supuestos!$C$20))*(1-Supuestos!$C$18)^24))</f>
        <v>0.00724450465071098</v>
      </c>
      <c r="AB156" s="29" t="n">
        <f aca="false">AA156*(1-MIN(1,INDEX(Tabla_Mortalidad!$B$5:$B$75,MIN(71,Cartera_Polizas!$B$158+25-49))*(1+(Cartera_Polizas!$P$158-1)*MAX(0,1-25/Supuestos!$C$20))*(1-Supuestos!$C$18)^25))</f>
        <v>0.00425122725656779</v>
      </c>
      <c r="AC156" s="29" t="n">
        <f aca="false">AB156*(1-MIN(1,INDEX(Tabla_Mortalidad!$B$5:$B$75,MIN(71,Cartera_Polizas!$B$158+26-49))*(1+(Cartera_Polizas!$P$158-1)*MAX(0,1-26/Supuestos!$C$20))*(1-Supuestos!$C$18)^26))</f>
        <v>0.00236297224380001</v>
      </c>
      <c r="AD156" s="29" t="n">
        <f aca="false">AC156*(1-MIN(1,INDEX(Tabla_Mortalidad!$B$5:$B$75,MIN(71,Cartera_Polizas!$B$158+27-49))*(1+(Cartera_Polizas!$P$158-1)*MAX(0,1-27/Supuestos!$C$20))*(1-Supuestos!$C$18)^27))</f>
        <v>0.0012383977037948</v>
      </c>
      <c r="AE156" s="29" t="n">
        <f aca="false">AD156*(1-MIN(1,INDEX(Tabla_Mortalidad!$B$5:$B$75,MIN(71,Cartera_Polizas!$B$158+28-49))*(1+(Cartera_Polizas!$P$158-1)*MAX(0,1-28/Supuestos!$C$20))*(1-Supuestos!$C$18)^28))</f>
        <v>0.000609128436714825</v>
      </c>
      <c r="AF156" s="29" t="n">
        <f aca="false">AE156*(1-MIN(1,INDEX(Tabla_Mortalidad!$B$5:$B$75,MIN(71,Cartera_Polizas!$B$158+29-49))*(1+(Cartera_Polizas!$P$158-1)*MAX(0,1-29/Supuestos!$C$20))*(1-Supuestos!$C$18)^29))</f>
        <v>0.000279910682279481</v>
      </c>
      <c r="AG156" s="29" t="n">
        <f aca="false">AF156*(1-MIN(1,INDEX(Tabla_Mortalidad!$B$5:$B$75,MIN(71,Cartera_Polizas!$B$158+30-49))*(1+(Cartera_Polizas!$P$158-1)*MAX(0,1-30/Supuestos!$C$20))*(1-Supuestos!$C$18)^30))</f>
        <v>0.000119648671388489</v>
      </c>
      <c r="AH156" s="29" t="n">
        <f aca="false">AG156*(1-MIN(1,INDEX(Tabla_Mortalidad!$B$5:$B$75,MIN(71,Cartera_Polizas!$B$158+31-49))*(1+(Cartera_Polizas!$P$158-1)*MAX(0,1-31/Supuestos!$C$20))*(1-Supuestos!$C$18)^31))</f>
        <v>4.73900583357358E-005</v>
      </c>
      <c r="AI156" s="29" t="n">
        <f aca="false">AH156*(1-MIN(1,INDEX(Tabla_Mortalidad!$B$5:$B$75,MIN(71,Cartera_Polizas!$B$158+32-49))*(1+(Cartera_Polizas!$P$158-1)*MAX(0,1-32/Supuestos!$C$20))*(1-Supuestos!$C$18)^32))</f>
        <v>1.73378808155129E-005</v>
      </c>
      <c r="AJ156" s="29" t="n">
        <f aca="false">AI156*(1-MIN(1,INDEX(Tabla_Mortalidad!$B$5:$B$75,MIN(71,Cartera_Polizas!$B$158+33-49))*(1+(Cartera_Polizas!$P$158-1)*MAX(0,1-33/Supuestos!$C$20))*(1-Supuestos!$C$18)^33))</f>
        <v>5.8472644151728E-006</v>
      </c>
      <c r="AK156" s="29" t="n">
        <f aca="false">AJ156*(1-MIN(1,INDEX(Tabla_Mortalidad!$B$5:$B$75,MIN(71,Cartera_Polizas!$B$158+34-49))*(1+(Cartera_Polizas!$P$158-1)*MAX(0,1-34/Supuestos!$C$20))*(1-Supuestos!$C$18)^34))</f>
        <v>1.81688365585132E-006</v>
      </c>
      <c r="AL156" s="29" t="n">
        <f aca="false">AK156*(1-MIN(1,INDEX(Tabla_Mortalidad!$B$5:$B$75,MIN(71,Cartera_Polizas!$B$158+35-49))*(1+(Cartera_Polizas!$P$158-1)*MAX(0,1-35/Supuestos!$C$20))*(1-Supuestos!$C$18)^35))</f>
        <v>5.20860910623084E-007</v>
      </c>
      <c r="AM156" s="29" t="n">
        <f aca="false">AL156*(1-MIN(1,INDEX(Tabla_Mortalidad!$B$5:$B$75,MIN(71,Cartera_Polizas!$B$158+36-49))*(1+(Cartera_Polizas!$P$158-1)*MAX(0,1-36/Supuestos!$C$20))*(1-Supuestos!$C$18)^36))</f>
        <v>1.38269993164718E-007</v>
      </c>
      <c r="AN156" s="29" t="n">
        <f aca="false">AM156*(1-MIN(1,INDEX(Tabla_Mortalidad!$B$5:$B$75,MIN(71,Cartera_Polizas!$B$158+37-49))*(1+(Cartera_Polizas!$P$158-1)*MAX(0,1-37/Supuestos!$C$20))*(1-Supuestos!$C$18)^37))</f>
        <v>3.41988658257941E-008</v>
      </c>
      <c r="AO156" s="29" t="n">
        <f aca="false">AN156*(1-MIN(1,INDEX(Tabla_Mortalidad!$B$5:$B$75,MIN(71,Cartera_Polizas!$B$158+38-49))*(1+(Cartera_Polizas!$P$158-1)*MAX(0,1-38/Supuestos!$C$20))*(1-Supuestos!$C$18)^38))</f>
        <v>7.94870617720485E-009</v>
      </c>
      <c r="AP156" s="29" t="n">
        <f aca="false">AO156*(1-MIN(1,INDEX(Tabla_Mortalidad!$B$5:$B$75,MIN(71,Cartera_Polizas!$B$158+39-49))*(1+(Cartera_Polizas!$P$158-1)*MAX(0,1-39/Supuestos!$C$20))*(1-Supuestos!$C$18)^39))</f>
        <v>1.75466657216798E-009</v>
      </c>
      <c r="AQ156" s="29" t="n">
        <f aca="false">AP156*(1-MIN(1,INDEX(Tabla_Mortalidad!$B$5:$B$75,MIN(71,Cartera_Polizas!$B$158+40-49))*(1+(Cartera_Polizas!$P$158-1)*MAX(0,1-40/Supuestos!$C$20))*(1-Supuestos!$C$18)^40))</f>
        <v>3.18787610477037E-010</v>
      </c>
      <c r="AR156" s="29" t="n">
        <f aca="false">AQ156*(1-MIN(1,INDEX(Tabla_Mortalidad!$B$5:$B$75,MIN(71,Cartera_Polizas!$B$158+41-49))*(1+(Cartera_Polizas!$P$158-1)*MAX(0,1-41/Supuestos!$C$20))*(1-Supuestos!$C$18)^41))</f>
        <v>5.92216460708694E-011</v>
      </c>
      <c r="AS156" s="29" t="n">
        <f aca="false">AR156*(1-MIN(1,INDEX(Tabla_Mortalidad!$B$5:$B$75,MIN(71,Cartera_Polizas!$B$158+42-49))*(1+(Cartera_Polizas!$P$158-1)*MAX(0,1-42/Supuestos!$C$20))*(1-Supuestos!$C$18)^42))</f>
        <v>1.12427925801778E-011</v>
      </c>
      <c r="AT156" s="29" t="n">
        <f aca="false">AS156*(1-MIN(1,INDEX(Tabla_Mortalidad!$B$5:$B$75,MIN(71,Cartera_Polizas!$B$158+43-49))*(1+(Cartera_Polizas!$P$158-1)*MAX(0,1-43/Supuestos!$C$20))*(1-Supuestos!$C$18)^43))</f>
        <v>2.1799033808781E-012</v>
      </c>
      <c r="AU156" s="29" t="n">
        <f aca="false">AT156*(1-MIN(1,INDEX(Tabla_Mortalidad!$B$5:$B$75,MIN(71,Cartera_Polizas!$B$158+44-49))*(1+(Cartera_Polizas!$P$158-1)*MAX(0,1-44/Supuestos!$C$20))*(1-Supuestos!$C$18)^44))</f>
        <v>4.31455070384074E-013</v>
      </c>
    </row>
    <row r="157" customFormat="false" ht="15" hidden="false" customHeight="false" outlineLevel="0" collapsed="false">
      <c r="A157" s="14" t="n">
        <f aca="false">Cartera_Polizas!A159</f>
        <v>154</v>
      </c>
      <c r="B157" s="26" t="n">
        <f aca="false">SUM(C157:AU157)+0.5</f>
        <v>7.41975713786944</v>
      </c>
      <c r="C157" s="29" t="n">
        <f aca="false">1-MIN(1,INDEX(Tabla_Mortalidad!$B$5:$B$75,MIN(71,Cartera_Polizas!$B$159+0-49))*(1+(Cartera_Polizas!$P$159-1)*MAX(0,1-0/Supuestos!$C$20))*(1-Supuestos!$C$18)^0)</f>
        <v>0.920079236</v>
      </c>
      <c r="D157" s="29" t="n">
        <f aca="false">C157*(1-MIN(1,INDEX(Tabla_Mortalidad!$B$5:$B$75,MIN(71,Cartera_Polizas!$B$159+1-49))*(1+(Cartera_Polizas!$P$159-1)*MAX(0,1-1/Supuestos!$C$20))*(1-Supuestos!$C$18)^1))</f>
        <v>0.840387388533935</v>
      </c>
      <c r="E157" s="29" t="n">
        <f aca="false">D157*(1-MIN(1,INDEX(Tabla_Mortalidad!$B$5:$B$75,MIN(71,Cartera_Polizas!$B$159+2-49))*(1+(Cartera_Polizas!$P$159-1)*MAX(0,1-2/Supuestos!$C$20))*(1-Supuestos!$C$18)^2))</f>
        <v>0.761568243415722</v>
      </c>
      <c r="F157" s="29" t="n">
        <f aca="false">E157*(1-MIN(1,INDEX(Tabla_Mortalidad!$B$5:$B$75,MIN(71,Cartera_Polizas!$B$159+3-49))*(1+(Cartera_Polizas!$P$159-1)*MAX(0,1-3/Supuestos!$C$20))*(1-Supuestos!$C$18)^3))</f>
        <v>0.684292875736635</v>
      </c>
      <c r="G157" s="29" t="n">
        <f aca="false">F157*(1-MIN(1,INDEX(Tabla_Mortalidad!$B$5:$B$75,MIN(71,Cartera_Polizas!$B$159+4-49))*(1+(Cartera_Polizas!$P$159-1)*MAX(0,1-4/Supuestos!$C$20))*(1-Supuestos!$C$18)^4))</f>
        <v>0.609247290492478</v>
      </c>
      <c r="H157" s="29" t="n">
        <f aca="false">G157*(1-MIN(1,INDEX(Tabla_Mortalidad!$B$5:$B$75,MIN(71,Cartera_Polizas!$B$159+5-49))*(1+(Cartera_Polizas!$P$159-1)*MAX(0,1-5/Supuestos!$C$20))*(1-Supuestos!$C$18)^5))</f>
        <v>0.537106141181732</v>
      </c>
      <c r="I157" s="29" t="n">
        <f aca="false">H157*(1-MIN(1,INDEX(Tabla_Mortalidad!$B$5:$B$75,MIN(71,Cartera_Polizas!$B$159+6-49))*(1+(Cartera_Polizas!$P$159-1)*MAX(0,1-6/Supuestos!$C$20))*(1-Supuestos!$C$18)^6))</f>
        <v>0.468516147743598</v>
      </c>
      <c r="J157" s="29" t="n">
        <f aca="false">I157*(1-MIN(1,INDEX(Tabla_Mortalidad!$B$5:$B$75,MIN(71,Cartera_Polizas!$B$159+7-49))*(1+(Cartera_Polizas!$P$159-1)*MAX(0,1-7/Supuestos!$C$20))*(1-Supuestos!$C$18)^7))</f>
        <v>0.404068305797114</v>
      </c>
      <c r="K157" s="29" t="n">
        <f aca="false">J157*(1-MIN(1,INDEX(Tabla_Mortalidad!$B$5:$B$75,MIN(71,Cartera_Polizas!$B$159+8-49))*(1+(Cartera_Polizas!$P$159-1)*MAX(0,1-8/Supuestos!$C$20))*(1-Supuestos!$C$18)^8))</f>
        <v>0.344275350976238</v>
      </c>
      <c r="L157" s="29" t="n">
        <f aca="false">K157*(1-MIN(1,INDEX(Tabla_Mortalidad!$B$5:$B$75,MIN(71,Cartera_Polizas!$B$159+9-49))*(1+(Cartera_Polizas!$P$159-1)*MAX(0,1-9/Supuestos!$C$20))*(1-Supuestos!$C$18)^9))</f>
        <v>0.289549323537681</v>
      </c>
      <c r="M157" s="29" t="n">
        <f aca="false">L157*(1-MIN(1,INDEX(Tabla_Mortalidad!$B$5:$B$75,MIN(71,Cartera_Polizas!$B$159+10-49))*(1+(Cartera_Polizas!$P$159-1)*MAX(0,1-10/Supuestos!$C$20))*(1-Supuestos!$C$18)^10))</f>
        <v>0.240182988590738</v>
      </c>
      <c r="N157" s="29" t="n">
        <f aca="false">M157*(1-MIN(1,INDEX(Tabla_Mortalidad!$B$5:$B$75,MIN(71,Cartera_Polizas!$B$159+11-49))*(1+(Cartera_Polizas!$P$159-1)*MAX(0,1-11/Supuestos!$C$20))*(1-Supuestos!$C$18)^11))</f>
        <v>0.196336051034535</v>
      </c>
      <c r="O157" s="29" t="n">
        <f aca="false">N157*(1-MIN(1,INDEX(Tabla_Mortalidad!$B$5:$B$75,MIN(71,Cartera_Polizas!$B$159+12-49))*(1+(Cartera_Polizas!$P$159-1)*MAX(0,1-12/Supuestos!$C$20))*(1-Supuestos!$C$18)^12))</f>
        <v>0.15802750723154</v>
      </c>
      <c r="P157" s="29" t="n">
        <f aca="false">O157*(1-MIN(1,INDEX(Tabla_Mortalidad!$B$5:$B$75,MIN(71,Cartera_Polizas!$B$159+13-49))*(1+(Cartera_Polizas!$P$159-1)*MAX(0,1-13/Supuestos!$C$20))*(1-Supuestos!$C$18)^13))</f>
        <v>0.125137352283743</v>
      </c>
      <c r="Q157" s="29" t="n">
        <f aca="false">P157*(1-MIN(1,INDEX(Tabla_Mortalidad!$B$5:$B$75,MIN(71,Cartera_Polizas!$B$159+14-49))*(1+(Cartera_Polizas!$P$159-1)*MAX(0,1-14/Supuestos!$C$20))*(1-Supuestos!$C$18)^14))</f>
        <v>0.0974156869710325</v>
      </c>
      <c r="R157" s="29" t="n">
        <f aca="false">Q157*(1-MIN(1,INDEX(Tabla_Mortalidad!$B$5:$B$75,MIN(71,Cartera_Polizas!$B$159+15-49))*(1+(Cartera_Polizas!$P$159-1)*MAX(0,1-15/Supuestos!$C$20))*(1-Supuestos!$C$18)^15))</f>
        <v>0.0744994557700511</v>
      </c>
      <c r="S157" s="29" t="n">
        <f aca="false">R157*(1-MIN(1,INDEX(Tabla_Mortalidad!$B$5:$B$75,MIN(71,Cartera_Polizas!$B$159+16-49))*(1+(Cartera_Polizas!$P$159-1)*MAX(0,1-16/Supuestos!$C$20))*(1-Supuestos!$C$18)^16))</f>
        <v>0.055345508155397</v>
      </c>
      <c r="T157" s="29" t="n">
        <f aca="false">S157*(1-MIN(1,INDEX(Tabla_Mortalidad!$B$5:$B$75,MIN(71,Cartera_Polizas!$B$159+17-49))*(1+(Cartera_Polizas!$P$159-1)*MAX(0,1-17/Supuestos!$C$20))*(1-Supuestos!$C$18)^17))</f>
        <v>0.03982120775906</v>
      </c>
      <c r="U157" s="29" t="n">
        <f aca="false">T157*(1-MIN(1,INDEX(Tabla_Mortalidad!$B$5:$B$75,MIN(71,Cartera_Polizas!$B$159+18-49))*(1+(Cartera_Polizas!$P$159-1)*MAX(0,1-18/Supuestos!$C$20))*(1-Supuestos!$C$18)^18))</f>
        <v>0.0276585837135022</v>
      </c>
      <c r="V157" s="29" t="n">
        <f aca="false">U157*(1-MIN(1,INDEX(Tabla_Mortalidad!$B$5:$B$75,MIN(71,Cartera_Polizas!$B$159+19-49))*(1+(Cartera_Polizas!$P$159-1)*MAX(0,1-19/Supuestos!$C$20))*(1-Supuestos!$C$18)^19))</f>
        <v>0.0184794983243991</v>
      </c>
      <c r="W157" s="29" t="n">
        <f aca="false">V157*(1-MIN(1,INDEX(Tabla_Mortalidad!$B$5:$B$75,MIN(71,Cartera_Polizas!$B$159+20-49))*(1+(Cartera_Polizas!$P$159-1)*MAX(0,1-20/Supuestos!$C$20))*(1-Supuestos!$C$18)^20))</f>
        <v>0.0118313312864162</v>
      </c>
      <c r="X157" s="29" t="n">
        <f aca="false">W157*(1-MIN(1,INDEX(Tabla_Mortalidad!$B$5:$B$75,MIN(71,Cartera_Polizas!$B$159+21-49))*(1+(Cartera_Polizas!$P$159-1)*MAX(0,1-21/Supuestos!$C$20))*(1-Supuestos!$C$18)^21))</f>
        <v>0.00722898856165647</v>
      </c>
      <c r="Y157" s="29" t="n">
        <f aca="false">X157*(1-MIN(1,INDEX(Tabla_Mortalidad!$B$5:$B$75,MIN(71,Cartera_Polizas!$B$159+22-49))*(1+(Cartera_Polizas!$P$159-1)*MAX(0,1-22/Supuestos!$C$20))*(1-Supuestos!$C$18)^22))</f>
        <v>0.0041968673012901</v>
      </c>
      <c r="Z157" s="29" t="n">
        <f aca="false">Y157*(1-MIN(1,INDEX(Tabla_Mortalidad!$B$5:$B$75,MIN(71,Cartera_Polizas!$B$159+23-49))*(1+(Cartera_Polizas!$P$159-1)*MAX(0,1-23/Supuestos!$C$20))*(1-Supuestos!$C$18)^23))</f>
        <v>0.00230451357283014</v>
      </c>
      <c r="AA157" s="29" t="n">
        <f aca="false">Z157*(1-MIN(1,INDEX(Tabla_Mortalidad!$B$5:$B$75,MIN(71,Cartera_Polizas!$B$159+24-49))*(1+(Cartera_Polizas!$P$159-1)*MAX(0,1-24/Supuestos!$C$20))*(1-Supuestos!$C$18)^24))</f>
        <v>0.00119114321440619</v>
      </c>
      <c r="AB157" s="29" t="n">
        <f aca="false">AA157*(1-MIN(1,INDEX(Tabla_Mortalidad!$B$5:$B$75,MIN(71,Cartera_Polizas!$B$159+25-49))*(1+(Cartera_Polizas!$P$159-1)*MAX(0,1-25/Supuestos!$C$20))*(1-Supuestos!$C$18)^25))</f>
        <v>0.00057671503924547</v>
      </c>
      <c r="AC157" s="29" t="n">
        <f aca="false">AB157*(1-MIN(1,INDEX(Tabla_Mortalidad!$B$5:$B$75,MIN(71,Cartera_Polizas!$B$159+26-49))*(1+(Cartera_Polizas!$P$159-1)*MAX(0,1-26/Supuestos!$C$20))*(1-Supuestos!$C$18)^26))</f>
        <v>0.000260293230883316</v>
      </c>
      <c r="AD157" s="29" t="n">
        <f aca="false">AC157*(1-MIN(1,INDEX(Tabla_Mortalidad!$B$5:$B$75,MIN(71,Cartera_Polizas!$B$159+27-49))*(1+(Cartera_Polizas!$P$159-1)*MAX(0,1-27/Supuestos!$C$20))*(1-Supuestos!$C$18)^27))</f>
        <v>0.000109005138510147</v>
      </c>
      <c r="AE157" s="29" t="n">
        <f aca="false">AD157*(1-MIN(1,INDEX(Tabla_Mortalidad!$B$5:$B$75,MIN(71,Cartera_Polizas!$B$159+28-49))*(1+(Cartera_Polizas!$P$159-1)*MAX(0,1-28/Supuestos!$C$20))*(1-Supuestos!$C$18)^28))</f>
        <v>4.21769837339698E-005</v>
      </c>
      <c r="AF157" s="29" t="n">
        <f aca="false">AE157*(1-MIN(1,INDEX(Tabla_Mortalidad!$B$5:$B$75,MIN(71,Cartera_Polizas!$B$159+29-49))*(1+(Cartera_Polizas!$P$159-1)*MAX(0,1-29/Supuestos!$C$20))*(1-Supuestos!$C$18)^29))</f>
        <v>1.50254117893557E-005</v>
      </c>
      <c r="AG157" s="29" t="n">
        <f aca="false">AF157*(1-MIN(1,INDEX(Tabla_Mortalidad!$B$5:$B$75,MIN(71,Cartera_Polizas!$B$159+30-49))*(1+(Cartera_Polizas!$P$159-1)*MAX(0,1-30/Supuestos!$C$20))*(1-Supuestos!$C$18)^30))</f>
        <v>4.91649889676734E-006</v>
      </c>
      <c r="AH157" s="29" t="n">
        <f aca="false">AG157*(1-MIN(1,INDEX(Tabla_Mortalidad!$B$5:$B$75,MIN(71,Cartera_Polizas!$B$159+31-49))*(1+(Cartera_Polizas!$P$159-1)*MAX(0,1-31/Supuestos!$C$20))*(1-Supuestos!$C$18)^31))</f>
        <v>1.47632776245443E-006</v>
      </c>
      <c r="AI157" s="29" t="n">
        <f aca="false">AH157*(1-MIN(1,INDEX(Tabla_Mortalidad!$B$5:$B$75,MIN(71,Cartera_Polizas!$B$159+32-49))*(1+(Cartera_Polizas!$P$159-1)*MAX(0,1-32/Supuestos!$C$20))*(1-Supuestos!$C$18)^32))</f>
        <v>4.07275222077526E-007</v>
      </c>
      <c r="AJ157" s="29" t="n">
        <f aca="false">AI157*(1-MIN(1,INDEX(Tabla_Mortalidad!$B$5:$B$75,MIN(71,Cartera_Polizas!$B$159+33-49))*(1+(Cartera_Polizas!$P$159-1)*MAX(0,1-33/Supuestos!$C$20))*(1-Supuestos!$C$18)^33))</f>
        <v>1.03584421182998E-007</v>
      </c>
      <c r="AK157" s="29" t="n">
        <f aca="false">AJ157*(1-MIN(1,INDEX(Tabla_Mortalidad!$B$5:$B$75,MIN(71,Cartera_Polizas!$B$159+34-49))*(1+(Cartera_Polizas!$P$159-1)*MAX(0,1-34/Supuestos!$C$20))*(1-Supuestos!$C$18)^34))</f>
        <v>2.44386857404548E-008</v>
      </c>
      <c r="AL157" s="29" t="n">
        <f aca="false">AK157*(1-MIN(1,INDEX(Tabla_Mortalidad!$B$5:$B$75,MIN(71,Cartera_Polizas!$B$159+35-49))*(1+(Cartera_Polizas!$P$159-1)*MAX(0,1-35/Supuestos!$C$20))*(1-Supuestos!$C$18)^35))</f>
        <v>5.39597150231177E-009</v>
      </c>
      <c r="AM157" s="29" t="n">
        <f aca="false">AL157*(1-MIN(1,INDEX(Tabla_Mortalidad!$B$5:$B$75,MIN(71,Cartera_Polizas!$B$159+36-49))*(1+(Cartera_Polizas!$P$159-1)*MAX(0,1-36/Supuestos!$C$20))*(1-Supuestos!$C$18)^36))</f>
        <v>1.12744542048621E-009</v>
      </c>
      <c r="AN157" s="29" t="n">
        <f aca="false">AM157*(1-MIN(1,INDEX(Tabla_Mortalidad!$B$5:$B$75,MIN(71,Cartera_Polizas!$B$159+37-49))*(1+(Cartera_Polizas!$P$159-1)*MAX(0,1-37/Supuestos!$C$20))*(1-Supuestos!$C$18)^37))</f>
        <v>1.90855424787929E-010</v>
      </c>
      <c r="AO157" s="29" t="n">
        <f aca="false">AN157*(1-MIN(1,INDEX(Tabla_Mortalidad!$B$5:$B$75,MIN(71,Cartera_Polizas!$B$159+38-49))*(1+(Cartera_Polizas!$P$159-1)*MAX(0,1-38/Supuestos!$C$20))*(1-Supuestos!$C$18)^38))</f>
        <v>3.3100989990533E-011</v>
      </c>
      <c r="AP157" s="29" t="n">
        <f aca="false">AO157*(1-MIN(1,INDEX(Tabla_Mortalidad!$B$5:$B$75,MIN(71,Cartera_Polizas!$B$159+39-49))*(1+(Cartera_Polizas!$P$159-1)*MAX(0,1-39/Supuestos!$C$20))*(1-Supuestos!$C$18)^39))</f>
        <v>5.87766724176588E-012</v>
      </c>
      <c r="AQ157" s="29" t="n">
        <f aca="false">AP157*(1-MIN(1,INDEX(Tabla_Mortalidad!$B$5:$B$75,MIN(71,Cartera_Polizas!$B$159+40-49))*(1+(Cartera_Polizas!$P$159-1)*MAX(0,1-40/Supuestos!$C$20))*(1-Supuestos!$C$18)^40))</f>
        <v>1.06785387315302E-012</v>
      </c>
      <c r="AR157" s="29" t="n">
        <f aca="false">AQ157*(1-MIN(1,INDEX(Tabla_Mortalidad!$B$5:$B$75,MIN(71,Cartera_Polizas!$B$159+41-49))*(1+(Cartera_Polizas!$P$159-1)*MAX(0,1-41/Supuestos!$C$20))*(1-Supuestos!$C$18)^41))</f>
        <v>1.98376793993474E-013</v>
      </c>
      <c r="AS157" s="29" t="n">
        <f aca="false">AR157*(1-MIN(1,INDEX(Tabla_Mortalidad!$B$5:$B$75,MIN(71,Cartera_Polizas!$B$159+42-49))*(1+(Cartera_Polizas!$P$159-1)*MAX(0,1-42/Supuestos!$C$20))*(1-Supuestos!$C$18)^42))</f>
        <v>3.76603707522808E-014</v>
      </c>
      <c r="AT157" s="29" t="n">
        <f aca="false">AS157*(1-MIN(1,INDEX(Tabla_Mortalidad!$B$5:$B$75,MIN(71,Cartera_Polizas!$B$159+43-49))*(1+(Cartera_Polizas!$P$159-1)*MAX(0,1-43/Supuestos!$C$20))*(1-Supuestos!$C$18)^43))</f>
        <v>7.30209767213559E-015</v>
      </c>
      <c r="AU157" s="29" t="n">
        <f aca="false">AT157*(1-MIN(1,INDEX(Tabla_Mortalidad!$B$5:$B$75,MIN(71,Cartera_Polizas!$B$159+44-49))*(1+(Cartera_Polizas!$P$159-1)*MAX(0,1-44/Supuestos!$C$20))*(1-Supuestos!$C$18)^44))</f>
        <v>1.44525995634428E-015</v>
      </c>
    </row>
    <row r="158" customFormat="false" ht="15" hidden="false" customHeight="false" outlineLevel="0" collapsed="false">
      <c r="A158" s="14" t="n">
        <f aca="false">Cartera_Polizas!A160</f>
        <v>155</v>
      </c>
      <c r="B158" s="26" t="n">
        <f aca="false">SUM(C158:AU158)+0.5</f>
        <v>8.8644950663787</v>
      </c>
      <c r="C158" s="29" t="n">
        <f aca="false">1-MIN(1,INDEX(Tabla_Mortalidad!$B$5:$B$75,MIN(71,Cartera_Polizas!$B$160+0-49))*(1+(Cartera_Polizas!$P$160-1)*MAX(0,1-0/Supuestos!$C$20))*(1-Supuestos!$C$18)^0)</f>
        <v>0.9401159615</v>
      </c>
      <c r="D158" s="29" t="n">
        <f aca="false">C158*(1-MIN(1,INDEX(Tabla_Mortalidad!$B$5:$B$75,MIN(71,Cartera_Polizas!$B$160+1-49))*(1+(Cartera_Polizas!$P$160-1)*MAX(0,1-1/Supuestos!$C$20))*(1-Supuestos!$C$18)^1))</f>
        <v>0.878845474423962</v>
      </c>
      <c r="E158" s="29" t="n">
        <f aca="false">D158*(1-MIN(1,INDEX(Tabla_Mortalidad!$B$5:$B$75,MIN(71,Cartera_Polizas!$B$160+2-49))*(1+(Cartera_Polizas!$P$160-1)*MAX(0,1-2/Supuestos!$C$20))*(1-Supuestos!$C$18)^2))</f>
        <v>0.816547018556855</v>
      </c>
      <c r="F158" s="29" t="n">
        <f aca="false">E158*(1-MIN(1,INDEX(Tabla_Mortalidad!$B$5:$B$75,MIN(71,Cartera_Polizas!$B$160+3-49))*(1+(Cartera_Polizas!$P$160-1)*MAX(0,1-3/Supuestos!$C$20))*(1-Supuestos!$C$18)^3))</f>
        <v>0.753633550911919</v>
      </c>
      <c r="G158" s="29" t="n">
        <f aca="false">F158*(1-MIN(1,INDEX(Tabla_Mortalidad!$B$5:$B$75,MIN(71,Cartera_Polizas!$B$160+4-49))*(1+(Cartera_Polizas!$P$160-1)*MAX(0,1-4/Supuestos!$C$20))*(1-Supuestos!$C$18)^4))</f>
        <v>0.69056588595061</v>
      </c>
      <c r="H158" s="29" t="n">
        <f aca="false">G158*(1-MIN(1,INDEX(Tabla_Mortalidad!$B$5:$B$75,MIN(71,Cartera_Polizas!$B$160+5-49))*(1+(Cartera_Polizas!$P$160-1)*MAX(0,1-5/Supuestos!$C$20))*(1-Supuestos!$C$18)^5))</f>
        <v>0.627845677618019</v>
      </c>
      <c r="I158" s="29" t="n">
        <f aca="false">H158*(1-MIN(1,INDEX(Tabla_Mortalidad!$B$5:$B$75,MIN(71,Cartera_Polizas!$B$160+6-49))*(1+(Cartera_Polizas!$P$160-1)*MAX(0,1-6/Supuestos!$C$20))*(1-Supuestos!$C$18)^6))</f>
        <v>0.566009776195811</v>
      </c>
      <c r="J158" s="29" t="n">
        <f aca="false">I158*(1-MIN(1,INDEX(Tabla_Mortalidad!$B$5:$B$75,MIN(71,Cartera_Polizas!$B$160+7-49))*(1+(Cartera_Polizas!$P$160-1)*MAX(0,1-7/Supuestos!$C$20))*(1-Supuestos!$C$18)^7))</f>
        <v>0.505612801018141</v>
      </c>
      <c r="K158" s="29" t="n">
        <f aca="false">J158*(1-MIN(1,INDEX(Tabla_Mortalidad!$B$5:$B$75,MIN(71,Cartera_Polizas!$B$160+8-49))*(1+(Cartera_Polizas!$P$160-1)*MAX(0,1-8/Supuestos!$C$20))*(1-Supuestos!$C$18)^8))</f>
        <v>0.447216617156822</v>
      </c>
      <c r="L158" s="29" t="n">
        <f aca="false">K158*(1-MIN(1,INDEX(Tabla_Mortalidad!$B$5:$B$75,MIN(71,Cartera_Polizas!$B$160+9-49))*(1+(Cartera_Polizas!$P$160-1)*MAX(0,1-9/Supuestos!$C$20))*(1-Supuestos!$C$18)^9))</f>
        <v>0.3913692295846</v>
      </c>
      <c r="M158" s="29" t="n">
        <f aca="false">L158*(1-MIN(1,INDEX(Tabla_Mortalidad!$B$5:$B$75,MIN(71,Cartera_Polizas!$B$160+10-49))*(1+(Cartera_Polizas!$P$160-1)*MAX(0,1-10/Supuestos!$C$20))*(1-Supuestos!$C$18)^10))</f>
        <v>0.338586143155048</v>
      </c>
      <c r="N158" s="29" t="n">
        <f aca="false">M158*(1-MIN(1,INDEX(Tabla_Mortalidad!$B$5:$B$75,MIN(71,Cartera_Polizas!$B$160+11-49))*(1+(Cartera_Polizas!$P$160-1)*MAX(0,1-11/Supuestos!$C$20))*(1-Supuestos!$C$18)^11))</f>
        <v>0.289329624137526</v>
      </c>
      <c r="O158" s="29" t="n">
        <f aca="false">N158*(1-MIN(1,INDEX(Tabla_Mortalidad!$B$5:$B$75,MIN(71,Cartera_Polizas!$B$160+12-49))*(1+(Cartera_Polizas!$P$160-1)*MAX(0,1-12/Supuestos!$C$20))*(1-Supuestos!$C$18)^12))</f>
        <v>0.243988802160004</v>
      </c>
      <c r="P158" s="29" t="n">
        <f aca="false">O158*(1-MIN(1,INDEX(Tabla_Mortalidad!$B$5:$B$75,MIN(71,Cartera_Polizas!$B$160+13-49))*(1+(Cartera_Polizas!$P$160-1)*MAX(0,1-13/Supuestos!$C$20))*(1-Supuestos!$C$18)^13))</f>
        <v>0.202861399743761</v>
      </c>
      <c r="Q158" s="29" t="n">
        <f aca="false">P158*(1-MIN(1,INDEX(Tabla_Mortalidad!$B$5:$B$75,MIN(71,Cartera_Polizas!$B$160+14-49))*(1+(Cartera_Polizas!$P$160-1)*MAX(0,1-14/Supuestos!$C$20))*(1-Supuestos!$C$18)^14))</f>
        <v>0.166138453391655</v>
      </c>
      <c r="R158" s="29" t="n">
        <f aca="false">Q158*(1-MIN(1,INDEX(Tabla_Mortalidad!$B$5:$B$75,MIN(71,Cartera_Polizas!$B$160+15-49))*(1+(Cartera_Polizas!$P$160-1)*MAX(0,1-15/Supuestos!$C$20))*(1-Supuestos!$C$18)^15))</f>
        <v>0.133895552941525</v>
      </c>
      <c r="S158" s="29" t="n">
        <f aca="false">R158*(1-MIN(1,INDEX(Tabla_Mortalidad!$B$5:$B$75,MIN(71,Cartera_Polizas!$B$160+16-49))*(1+(Cartera_Polizas!$P$160-1)*MAX(0,1-16/Supuestos!$C$20))*(1-Supuestos!$C$18)^16))</f>
        <v>0.10540885097441</v>
      </c>
      <c r="T158" s="29" t="n">
        <f aca="false">S158*(1-MIN(1,INDEX(Tabla_Mortalidad!$B$5:$B$75,MIN(71,Cartera_Polizas!$B$160+17-49))*(1+(Cartera_Polizas!$P$160-1)*MAX(0,1-17/Supuestos!$C$20))*(1-Supuestos!$C$18)^17))</f>
        <v>0.0808596399873243</v>
      </c>
      <c r="U158" s="29" t="n">
        <f aca="false">T158*(1-MIN(1,INDEX(Tabla_Mortalidad!$B$5:$B$75,MIN(71,Cartera_Polizas!$B$160+18-49))*(1+(Cartera_Polizas!$P$160-1)*MAX(0,1-18/Supuestos!$C$20))*(1-Supuestos!$C$18)^18))</f>
        <v>0.0602778491667591</v>
      </c>
      <c r="V158" s="29" t="n">
        <f aca="false">U158*(1-MIN(1,INDEX(Tabla_Mortalidad!$B$5:$B$75,MIN(71,Cartera_Polizas!$B$160+19-49))*(1+(Cartera_Polizas!$P$160-1)*MAX(0,1-19/Supuestos!$C$20))*(1-Supuestos!$C$18)^19))</f>
        <v>0.0435386927564957</v>
      </c>
      <c r="W158" s="29" t="n">
        <f aca="false">V158*(1-MIN(1,INDEX(Tabla_Mortalidad!$B$5:$B$75,MIN(71,Cartera_Polizas!$B$160+20-49))*(1+(Cartera_Polizas!$P$160-1)*MAX(0,1-20/Supuestos!$C$20))*(1-Supuestos!$C$18)^20))</f>
        <v>0.0303732823623949</v>
      </c>
      <c r="X158" s="29" t="n">
        <f aca="false">W158*(1-MIN(1,INDEX(Tabla_Mortalidad!$B$5:$B$75,MIN(71,Cartera_Polizas!$B$160+21-49))*(1+(Cartera_Polizas!$P$160-1)*MAX(0,1-21/Supuestos!$C$20))*(1-Supuestos!$C$18)^21))</f>
        <v>0.0203938150237507</v>
      </c>
      <c r="Y158" s="29" t="n">
        <f aca="false">X158*(1-MIN(1,INDEX(Tabla_Mortalidad!$B$5:$B$75,MIN(71,Cartera_Polizas!$B$160+22-49))*(1+(Cartera_Polizas!$P$160-1)*MAX(0,1-22/Supuestos!$C$20))*(1-Supuestos!$C$18)^22))</f>
        <v>0.0131301403767276</v>
      </c>
      <c r="Z158" s="29" t="n">
        <f aca="false">Y158*(1-MIN(1,INDEX(Tabla_Mortalidad!$B$5:$B$75,MIN(71,Cartera_Polizas!$B$160+23-49))*(1+(Cartera_Polizas!$P$160-1)*MAX(0,1-23/Supuestos!$C$20))*(1-Supuestos!$C$18)^23))</f>
        <v>0.00807351392748206</v>
      </c>
      <c r="AA158" s="29" t="n">
        <f aca="false">Z158*(1-MIN(1,INDEX(Tabla_Mortalidad!$B$5:$B$75,MIN(71,Cartera_Polizas!$B$160+24-49))*(1+(Cartera_Polizas!$P$160-1)*MAX(0,1-24/Supuestos!$C$20))*(1-Supuestos!$C$18)^24))</f>
        <v>0.00472094443823034</v>
      </c>
      <c r="AB158" s="29" t="n">
        <f aca="false">AA158*(1-MIN(1,INDEX(Tabla_Mortalidad!$B$5:$B$75,MIN(71,Cartera_Polizas!$B$160+25-49))*(1+(Cartera_Polizas!$P$160-1)*MAX(0,1-25/Supuestos!$C$20))*(1-Supuestos!$C$18)^25))</f>
        <v>0.00261351941167695</v>
      </c>
      <c r="AC158" s="29" t="n">
        <f aca="false">AB158*(1-MIN(1,INDEX(Tabla_Mortalidad!$B$5:$B$75,MIN(71,Cartera_Polizas!$B$160+26-49))*(1+(Cartera_Polizas!$P$160-1)*MAX(0,1-26/Supuestos!$C$20))*(1-Supuestos!$C$18)^26))</f>
        <v>0.00136345533176628</v>
      </c>
      <c r="AD158" s="29" t="n">
        <f aca="false">AC158*(1-MIN(1,INDEX(Tabla_Mortalidad!$B$5:$B$75,MIN(71,Cartera_Polizas!$B$160+27-49))*(1+(Cartera_Polizas!$P$160-1)*MAX(0,1-27/Supuestos!$C$20))*(1-Supuestos!$C$18)^27))</f>
        <v>0.000667158823252853</v>
      </c>
      <c r="AE158" s="29" t="n">
        <f aca="false">AD158*(1-MIN(1,INDEX(Tabla_Mortalidad!$B$5:$B$75,MIN(71,Cartera_Polizas!$B$160+28-49))*(1+(Cartera_Polizas!$P$160-1)*MAX(0,1-28/Supuestos!$C$20))*(1-Supuestos!$C$18)^28))</f>
        <v>0.00030476521692568</v>
      </c>
      <c r="AF158" s="29" t="n">
        <f aca="false">AE158*(1-MIN(1,INDEX(Tabla_Mortalidad!$B$5:$B$75,MIN(71,Cartera_Polizas!$B$160+29-49))*(1+(Cartera_Polizas!$P$160-1)*MAX(0,1-29/Supuestos!$C$20))*(1-Supuestos!$C$18)^29))</f>
        <v>0.000129395971493219</v>
      </c>
      <c r="AG158" s="29" t="n">
        <f aca="false">AF158*(1-MIN(1,INDEX(Tabla_Mortalidad!$B$5:$B$75,MIN(71,Cartera_Polizas!$B$160+30-49))*(1+(Cartera_Polizas!$P$160-1)*MAX(0,1-30/Supuestos!$C$20))*(1-Supuestos!$C$18)^30))</f>
        <v>5.0858047780454E-005</v>
      </c>
      <c r="AH158" s="29" t="n">
        <f aca="false">AG158*(1-MIN(1,INDEX(Tabla_Mortalidad!$B$5:$B$75,MIN(71,Cartera_Polizas!$B$160+31-49))*(1+(Cartera_Polizas!$P$160-1)*MAX(0,1-31/Supuestos!$C$20))*(1-Supuestos!$C$18)^31))</f>
        <v>1.84445941688249E-005</v>
      </c>
      <c r="AI158" s="29" t="n">
        <f aca="false">AH158*(1-MIN(1,INDEX(Tabla_Mortalidad!$B$5:$B$75,MIN(71,Cartera_Polizas!$B$160+32-49))*(1+(Cartera_Polizas!$P$160-1)*MAX(0,1-32/Supuestos!$C$20))*(1-Supuestos!$C$18)^32))</f>
        <v>6.15908001509359E-006</v>
      </c>
      <c r="AJ158" s="29" t="n">
        <f aca="false">AI158*(1-MIN(1,INDEX(Tabla_Mortalidad!$B$5:$B$75,MIN(71,Cartera_Polizas!$B$160+33-49))*(1+(Cartera_Polizas!$P$160-1)*MAX(0,1-33/Supuestos!$C$20))*(1-Supuestos!$C$18)^33))</f>
        <v>1.89243894861137E-006</v>
      </c>
      <c r="AK158" s="29" t="n">
        <f aca="false">AJ158*(1-MIN(1,INDEX(Tabla_Mortalidad!$B$5:$B$75,MIN(71,Cartera_Polizas!$B$160+34-49))*(1+(Cartera_Polizas!$P$160-1)*MAX(0,1-34/Supuestos!$C$20))*(1-Supuestos!$C$18)^34))</f>
        <v>5.35737457437974E-007</v>
      </c>
      <c r="AL158" s="29" t="n">
        <f aca="false">AK158*(1-MIN(1,INDEX(Tabla_Mortalidad!$B$5:$B$75,MIN(71,Cartera_Polizas!$B$160+35-49))*(1+(Cartera_Polizas!$P$160-1)*MAX(0,1-35/Supuestos!$C$20))*(1-Supuestos!$C$18)^35))</f>
        <v>1.4024170695962E-007</v>
      </c>
      <c r="AM158" s="29" t="n">
        <f aca="false">AL158*(1-MIN(1,INDEX(Tabla_Mortalidad!$B$5:$B$75,MIN(71,Cartera_Polizas!$B$160+36-49))*(1+(Cartera_Polizas!$P$160-1)*MAX(0,1-36/Supuestos!$C$20))*(1-Supuestos!$C$18)^36))</f>
        <v>3.41561096324039E-008</v>
      </c>
      <c r="AN158" s="29" t="n">
        <f aca="false">AM158*(1-MIN(1,INDEX(Tabla_Mortalidad!$B$5:$B$75,MIN(71,Cartera_Polizas!$B$160+37-49))*(1+(Cartera_Polizas!$P$160-1)*MAX(0,1-37/Supuestos!$C$20))*(1-Supuestos!$C$18)^37))</f>
        <v>7.80702309276563E-009</v>
      </c>
      <c r="AO158" s="29" t="n">
        <f aca="false">AN158*(1-MIN(1,INDEX(Tabla_Mortalidad!$B$5:$B$75,MIN(71,Cartera_Polizas!$B$160+38-49))*(1+(Cartera_Polizas!$P$160-1)*MAX(0,1-38/Supuestos!$C$20))*(1-Supuestos!$C$18)^38))</f>
        <v>1.69281919567993E-009</v>
      </c>
      <c r="AP158" s="29" t="n">
        <f aca="false">AO158*(1-MIN(1,INDEX(Tabla_Mortalidad!$B$5:$B$75,MIN(71,Cartera_Polizas!$B$160+39-49))*(1+(Cartera_Polizas!$P$160-1)*MAX(0,1-39/Supuestos!$C$20))*(1-Supuestos!$C$18)^39))</f>
        <v>3.00590040827361E-010</v>
      </c>
      <c r="AQ158" s="29" t="n">
        <f aca="false">AP158*(1-MIN(1,INDEX(Tabla_Mortalidad!$B$5:$B$75,MIN(71,Cartera_Polizas!$B$160+40-49))*(1+(Cartera_Polizas!$P$160-1)*MAX(0,1-40/Supuestos!$C$20))*(1-Supuestos!$C$18)^40))</f>
        <v>5.46111622393043E-011</v>
      </c>
      <c r="AR158" s="29" t="n">
        <f aca="false">AQ158*(1-MIN(1,INDEX(Tabla_Mortalidad!$B$5:$B$75,MIN(71,Cartera_Polizas!$B$160+41-49))*(1+(Cartera_Polizas!$P$160-1)*MAX(0,1-41/Supuestos!$C$20))*(1-Supuestos!$C$18)^41))</f>
        <v>1.01451964109122E-011</v>
      </c>
      <c r="AS158" s="29" t="n">
        <f aca="false">AR158*(1-MIN(1,INDEX(Tabla_Mortalidad!$B$5:$B$75,MIN(71,Cartera_Polizas!$B$160+42-49))*(1+(Cartera_Polizas!$P$160-1)*MAX(0,1-42/Supuestos!$C$20))*(1-Supuestos!$C$18)^42))</f>
        <v>1.92599068922462E-012</v>
      </c>
      <c r="AT158" s="29" t="n">
        <f aca="false">AS158*(1-MIN(1,INDEX(Tabla_Mortalidad!$B$5:$B$75,MIN(71,Cartera_Polizas!$B$160+43-49))*(1+(Cartera_Polizas!$P$160-1)*MAX(0,1-43/Supuestos!$C$20))*(1-Supuestos!$C$18)^43))</f>
        <v>3.73436900577783E-013</v>
      </c>
      <c r="AU158" s="29" t="n">
        <f aca="false">AT158*(1-MIN(1,INDEX(Tabla_Mortalidad!$B$5:$B$75,MIN(71,Cartera_Polizas!$B$160+44-49))*(1+(Cartera_Polizas!$P$160-1)*MAX(0,1-44/Supuestos!$C$20))*(1-Supuestos!$C$18)^44))</f>
        <v>7.39121034611613E-014</v>
      </c>
    </row>
    <row r="159" customFormat="false" ht="15" hidden="false" customHeight="false" outlineLevel="0" collapsed="false">
      <c r="A159" s="14" t="n">
        <f aca="false">Cartera_Polizas!A161</f>
        <v>156</v>
      </c>
      <c r="B159" s="26" t="n">
        <f aca="false">SUM(C159:AU159)+0.5</f>
        <v>7.72877194048031</v>
      </c>
      <c r="C159" s="29" t="n">
        <f aca="false">1-MIN(1,INDEX(Tabla_Mortalidad!$B$5:$B$75,MIN(71,Cartera_Polizas!$B$161+0-49))*(1+(Cartera_Polizas!$P$161-1)*MAX(0,1-0/Supuestos!$C$20))*(1-Supuestos!$C$18)^0)</f>
        <v>0.9230686675</v>
      </c>
      <c r="D159" s="29" t="n">
        <f aca="false">C159*(1-MIN(1,INDEX(Tabla_Mortalidad!$B$5:$B$75,MIN(71,Cartera_Polizas!$B$161+1-49))*(1+(Cartera_Polizas!$P$161-1)*MAX(0,1-1/Supuestos!$C$20))*(1-Supuestos!$C$18)^1))</f>
        <v>0.846320291588437</v>
      </c>
      <c r="E159" s="29" t="n">
        <f aca="false">D159*(1-MIN(1,INDEX(Tabla_Mortalidad!$B$5:$B$75,MIN(71,Cartera_Polizas!$B$161+2-49))*(1+(Cartera_Polizas!$P$161-1)*MAX(0,1-2/Supuestos!$C$20))*(1-Supuestos!$C$18)^2))</f>
        <v>0.770343079539847</v>
      </c>
      <c r="F159" s="29" t="n">
        <f aca="false">E159*(1-MIN(1,INDEX(Tabla_Mortalidad!$B$5:$B$75,MIN(71,Cartera_Polizas!$B$161+3-49))*(1+(Cartera_Polizas!$P$161-1)*MAX(0,1-3/Supuestos!$C$20))*(1-Supuestos!$C$18)^3))</f>
        <v>0.695749220551855</v>
      </c>
      <c r="G159" s="29" t="n">
        <f aca="false">F159*(1-MIN(1,INDEX(Tabla_Mortalidad!$B$5:$B$75,MIN(71,Cartera_Polizas!$B$161+4-49))*(1+(Cartera_Polizas!$P$161-1)*MAX(0,1-4/Supuestos!$C$20))*(1-Supuestos!$C$18)^4))</f>
        <v>0.623159507252296</v>
      </c>
      <c r="H159" s="29" t="n">
        <f aca="false">G159*(1-MIN(1,INDEX(Tabla_Mortalidad!$B$5:$B$75,MIN(71,Cartera_Polizas!$B$161+5-49))*(1+(Cartera_Polizas!$P$161-1)*MAX(0,1-5/Supuestos!$C$20))*(1-Supuestos!$C$18)^5))</f>
        <v>0.553190426174933</v>
      </c>
      <c r="I159" s="29" t="n">
        <f aca="false">H159*(1-MIN(1,INDEX(Tabla_Mortalidad!$B$5:$B$75,MIN(71,Cartera_Polizas!$B$161+6-49))*(1+(Cartera_Polizas!$P$161-1)*MAX(0,1-6/Supuestos!$C$20))*(1-Supuestos!$C$18)^6))</f>
        <v>0.486429098567342</v>
      </c>
      <c r="J159" s="29" t="n">
        <f aca="false">I159*(1-MIN(1,INDEX(Tabla_Mortalidad!$B$5:$B$75,MIN(71,Cartera_Polizas!$B$161+7-49))*(1+(Cartera_Polizas!$P$161-1)*MAX(0,1-7/Supuestos!$C$20))*(1-Supuestos!$C$18)^7))</f>
        <v>0.423418488072946</v>
      </c>
      <c r="K159" s="29" t="n">
        <f aca="false">J159*(1-MIN(1,INDEX(Tabla_Mortalidad!$B$5:$B$75,MIN(71,Cartera_Polizas!$B$161+8-49))*(1+(Cartera_Polizas!$P$161-1)*MAX(0,1-8/Supuestos!$C$20))*(1-Supuestos!$C$18)^8))</f>
        <v>0.364633453060913</v>
      </c>
      <c r="L159" s="29" t="n">
        <f aca="false">K159*(1-MIN(1,INDEX(Tabla_Mortalidad!$B$5:$B$75,MIN(71,Cartera_Polizas!$B$161+9-49))*(1+(Cartera_Polizas!$P$161-1)*MAX(0,1-9/Supuestos!$C$20))*(1-Supuestos!$C$18)^9))</f>
        <v>0.31046305855712</v>
      </c>
      <c r="M159" s="29" t="n">
        <f aca="false">L159*(1-MIN(1,INDEX(Tabla_Mortalidad!$B$5:$B$75,MIN(71,Cartera_Polizas!$B$161+10-49))*(1+(Cartera_Polizas!$P$161-1)*MAX(0,1-10/Supuestos!$C$20))*(1-Supuestos!$C$18)^10))</f>
        <v>0.26119424651258</v>
      </c>
      <c r="N159" s="29" t="n">
        <f aca="false">M159*(1-MIN(1,INDEX(Tabla_Mortalidad!$B$5:$B$75,MIN(71,Cartera_Polizas!$B$161+11-49))*(1+(Cartera_Polizas!$P$161-1)*MAX(0,1-11/Supuestos!$C$20))*(1-Supuestos!$C$18)^11))</f>
        <v>0.217000088964976</v>
      </c>
      <c r="O159" s="29" t="n">
        <f aca="false">N159*(1-MIN(1,INDEX(Tabla_Mortalidad!$B$5:$B$75,MIN(71,Cartera_Polizas!$B$161+12-49))*(1+(Cartera_Polizas!$P$161-1)*MAX(0,1-12/Supuestos!$C$20))*(1-Supuestos!$C$18)^12))</f>
        <v>0.177933090623574</v>
      </c>
      <c r="P159" s="29" t="n">
        <f aca="false">O159*(1-MIN(1,INDEX(Tabla_Mortalidad!$B$5:$B$75,MIN(71,Cartera_Polizas!$B$161+13-49))*(1+(Cartera_Polizas!$P$161-1)*MAX(0,1-13/Supuestos!$C$20))*(1-Supuestos!$C$18)^13))</f>
        <v>0.1439242435169</v>
      </c>
      <c r="Q159" s="29" t="n">
        <f aca="false">P159*(1-MIN(1,INDEX(Tabla_Mortalidad!$B$5:$B$75,MIN(71,Cartera_Polizas!$B$161+14-49))*(1+(Cartera_Polizas!$P$161-1)*MAX(0,1-14/Supuestos!$C$20))*(1-Supuestos!$C$18)^14))</f>
        <v>0.114790088333077</v>
      </c>
      <c r="R159" s="29" t="n">
        <f aca="false">Q159*(1-MIN(1,INDEX(Tabla_Mortalidad!$B$5:$B$75,MIN(71,Cartera_Polizas!$B$161+15-49))*(1+(Cartera_Polizas!$P$161-1)*MAX(0,1-15/Supuestos!$C$20))*(1-Supuestos!$C$18)^15))</f>
        <v>0.0902454109432854</v>
      </c>
      <c r="S159" s="29" t="n">
        <f aca="false">R159*(1-MIN(1,INDEX(Tabla_Mortalidad!$B$5:$B$75,MIN(71,Cartera_Polizas!$B$161+16-49))*(1+(Cartera_Polizas!$P$161-1)*MAX(0,1-16/Supuestos!$C$20))*(1-Supuestos!$C$18)^16))</f>
        <v>0.069122075036351</v>
      </c>
      <c r="T159" s="29" t="n">
        <f aca="false">S159*(1-MIN(1,INDEX(Tabla_Mortalidad!$B$5:$B$75,MIN(71,Cartera_Polizas!$B$161+17-49))*(1+(Cartera_Polizas!$P$161-1)*MAX(0,1-17/Supuestos!$C$20))*(1-Supuestos!$C$18)^17))</f>
        <v>0.0514395190012139</v>
      </c>
      <c r="U159" s="29" t="n">
        <f aca="false">T159*(1-MIN(1,INDEX(Tabla_Mortalidad!$B$5:$B$75,MIN(71,Cartera_Polizas!$B$161+18-49))*(1+(Cartera_Polizas!$P$161-1)*MAX(0,1-18/Supuestos!$C$20))*(1-Supuestos!$C$18)^18))</f>
        <v>0.0370829838645074</v>
      </c>
      <c r="V159" s="29" t="n">
        <f aca="false">U159*(1-MIN(1,INDEX(Tabla_Mortalidad!$B$5:$B$75,MIN(71,Cartera_Polizas!$B$161+19-49))*(1+(Cartera_Polizas!$P$161-1)*MAX(0,1-19/Supuestos!$C$20))*(1-Supuestos!$C$18)^19))</f>
        <v>0.0258133292123772</v>
      </c>
      <c r="W159" s="29" t="n">
        <f aca="false">V159*(1-MIN(1,INDEX(Tabla_Mortalidad!$B$5:$B$75,MIN(71,Cartera_Polizas!$B$161+20-49))*(1+(Cartera_Polizas!$P$161-1)*MAX(0,1-20/Supuestos!$C$20))*(1-Supuestos!$C$18)^20))</f>
        <v>0.017289464010369</v>
      </c>
      <c r="X159" s="29" t="n">
        <f aca="false">W159*(1-MIN(1,INDEX(Tabla_Mortalidad!$B$5:$B$75,MIN(71,Cartera_Polizas!$B$161+21-49))*(1+(Cartera_Polizas!$P$161-1)*MAX(0,1-21/Supuestos!$C$20))*(1-Supuestos!$C$18)^21))</f>
        <v>0.0111005228114928</v>
      </c>
      <c r="Y159" s="29" t="n">
        <f aca="false">X159*(1-MIN(1,INDEX(Tabla_Mortalidad!$B$5:$B$75,MIN(71,Cartera_Polizas!$B$161+22-49))*(1+(Cartera_Polizas!$P$161-1)*MAX(0,1-22/Supuestos!$C$20))*(1-Supuestos!$C$18)^22))</f>
        <v>0.00680405209996325</v>
      </c>
      <c r="Z159" s="29" t="n">
        <f aca="false">Y159*(1-MIN(1,INDEX(Tabla_Mortalidad!$B$5:$B$75,MIN(71,Cartera_Polizas!$B$161+23-49))*(1+(Cartera_Polizas!$P$161-1)*MAX(0,1-23/Supuestos!$C$20))*(1-Supuestos!$C$18)^23))</f>
        <v>0.00396443528514696</v>
      </c>
      <c r="AA159" s="29" t="n">
        <f aca="false">Z159*(1-MIN(1,INDEX(Tabla_Mortalidad!$B$5:$B$75,MIN(71,Cartera_Polizas!$B$161+24-49))*(1+(Cartera_Polizas!$P$161-1)*MAX(0,1-24/Supuestos!$C$20))*(1-Supuestos!$C$18)^24))</f>
        <v>0.00218582214640749</v>
      </c>
      <c r="AB159" s="29" t="n">
        <f aca="false">AA159*(1-MIN(1,INDEX(Tabla_Mortalidad!$B$5:$B$75,MIN(71,Cartera_Polizas!$B$161+25-49))*(1+(Cartera_Polizas!$P$161-1)*MAX(0,1-25/Supuestos!$C$20))*(1-Supuestos!$C$18)^25))</f>
        <v>0.00113507483590674</v>
      </c>
      <c r="AC159" s="29" t="n">
        <f aca="false">AB159*(1-MIN(1,INDEX(Tabla_Mortalidad!$B$5:$B$75,MIN(71,Cartera_Polizas!$B$161+26-49))*(1+(Cartera_Polizas!$P$161-1)*MAX(0,1-26/Supuestos!$C$20))*(1-Supuestos!$C$18)^26))</f>
        <v>0.000552495980649201</v>
      </c>
      <c r="AD159" s="29" t="n">
        <f aca="false">AC159*(1-MIN(1,INDEX(Tabla_Mortalidad!$B$5:$B$75,MIN(71,Cartera_Polizas!$B$161+27-49))*(1+(Cartera_Polizas!$P$161-1)*MAX(0,1-27/Supuestos!$C$20))*(1-Supuestos!$C$18)^27))</f>
        <v>0.000250877925654706</v>
      </c>
      <c r="AE159" s="29" t="n">
        <f aca="false">AD159*(1-MIN(1,INDEX(Tabla_Mortalidad!$B$5:$B$75,MIN(71,Cartera_Polizas!$B$161+28-49))*(1+(Cartera_Polizas!$P$161-1)*MAX(0,1-28/Supuestos!$C$20))*(1-Supuestos!$C$18)^28))</f>
        <v>0.000105791292211621</v>
      </c>
      <c r="AF159" s="29" t="n">
        <f aca="false">AE159*(1-MIN(1,INDEX(Tabla_Mortalidad!$B$5:$B$75,MIN(71,Cartera_Polizas!$B$161+29-49))*(1+(Cartera_Polizas!$P$161-1)*MAX(0,1-29/Supuestos!$C$20))*(1-Supuestos!$C$18)^29))</f>
        <v>4.12577503824371E-005</v>
      </c>
      <c r="AG159" s="29" t="n">
        <f aca="false">AF159*(1-MIN(1,INDEX(Tabla_Mortalidad!$B$5:$B$75,MIN(71,Cartera_Polizas!$B$161+30-49))*(1+(Cartera_Polizas!$P$161-1)*MAX(0,1-30/Supuestos!$C$20))*(1-Supuestos!$C$18)^30))</f>
        <v>1.48307369923107E-005</v>
      </c>
      <c r="AH159" s="29" t="n">
        <f aca="false">AG159*(1-MIN(1,INDEX(Tabla_Mortalidad!$B$5:$B$75,MIN(71,Cartera_Polizas!$B$161+31-49))*(1+(Cartera_Polizas!$P$161-1)*MAX(0,1-31/Supuestos!$C$20))*(1-Supuestos!$C$18)^31))</f>
        <v>4.90268860751415E-006</v>
      </c>
      <c r="AI159" s="29" t="n">
        <f aca="false">AH159*(1-MIN(1,INDEX(Tabla_Mortalidad!$B$5:$B$75,MIN(71,Cartera_Polizas!$B$161+32-49))*(1+(Cartera_Polizas!$P$161-1)*MAX(0,1-32/Supuestos!$C$20))*(1-Supuestos!$C$18)^32))</f>
        <v>1.48933334367209E-006</v>
      </c>
      <c r="AJ159" s="29" t="n">
        <f aca="false">AI159*(1-MIN(1,INDEX(Tabla_Mortalidad!$B$5:$B$75,MIN(71,Cartera_Polizas!$B$161+33-49))*(1+(Cartera_Polizas!$P$161-1)*MAX(0,1-33/Supuestos!$C$20))*(1-Supuestos!$C$18)^33))</f>
        <v>4.16255429107727E-007</v>
      </c>
      <c r="AK159" s="29" t="n">
        <f aca="false">AJ159*(1-MIN(1,INDEX(Tabla_Mortalidad!$B$5:$B$75,MIN(71,Cartera_Polizas!$B$161+34-49))*(1+(Cartera_Polizas!$P$161-1)*MAX(0,1-34/Supuestos!$C$20))*(1-Supuestos!$C$18)^34))</f>
        <v>1.07420338974828E-007</v>
      </c>
      <c r="AL159" s="29" t="n">
        <f aca="false">AK159*(1-MIN(1,INDEX(Tabla_Mortalidad!$B$5:$B$75,MIN(71,Cartera_Polizas!$B$161+35-49))*(1+(Cartera_Polizas!$P$161-1)*MAX(0,1-35/Supuestos!$C$20))*(1-Supuestos!$C$18)^35))</f>
        <v>2.57540775390759E-008</v>
      </c>
      <c r="AM159" s="29" t="n">
        <f aca="false">AL159*(1-MIN(1,INDEX(Tabla_Mortalidad!$B$5:$B$75,MIN(71,Cartera_Polizas!$B$161+36-49))*(1+(Cartera_Polizas!$P$161-1)*MAX(0,1-36/Supuestos!$C$20))*(1-Supuestos!$C$18)^36))</f>
        <v>5.78674351257348E-009</v>
      </c>
      <c r="AN159" s="29" t="n">
        <f aca="false">AM159*(1-MIN(1,INDEX(Tabla_Mortalidad!$B$5:$B$75,MIN(71,Cartera_Polizas!$B$161+37-49))*(1+(Cartera_Polizas!$P$161-1)*MAX(0,1-37/Supuestos!$C$20))*(1-Supuestos!$C$18)^37))</f>
        <v>1.23198237759271E-009</v>
      </c>
      <c r="AO159" s="29" t="n">
        <f aca="false">AN159*(1-MIN(1,INDEX(Tabla_Mortalidad!$B$5:$B$75,MIN(71,Cartera_Polizas!$B$161+38-49))*(1+(Cartera_Polizas!$P$161-1)*MAX(0,1-38/Supuestos!$C$20))*(1-Supuestos!$C$18)^38))</f>
        <v>2.13668730634836E-010</v>
      </c>
      <c r="AP159" s="29" t="n">
        <f aca="false">AO159*(1-MIN(1,INDEX(Tabla_Mortalidad!$B$5:$B$75,MIN(71,Cartera_Polizas!$B$161+39-49))*(1+(Cartera_Polizas!$P$161-1)*MAX(0,1-39/Supuestos!$C$20))*(1-Supuestos!$C$18)^39))</f>
        <v>3.79406688138711E-011</v>
      </c>
      <c r="AQ159" s="29" t="n">
        <f aca="false">AP159*(1-MIN(1,INDEX(Tabla_Mortalidad!$B$5:$B$75,MIN(71,Cartera_Polizas!$B$161+40-49))*(1+(Cartera_Polizas!$P$161-1)*MAX(0,1-40/Supuestos!$C$20))*(1-Supuestos!$C$18)^40))</f>
        <v>6.89305611842289E-012</v>
      </c>
      <c r="AR159" s="29" t="n">
        <f aca="false">AQ159*(1-MIN(1,INDEX(Tabla_Mortalidad!$B$5:$B$75,MIN(71,Cartera_Polizas!$B$161+41-49))*(1+(Cartera_Polizas!$P$161-1)*MAX(0,1-41/Supuestos!$C$20))*(1-Supuestos!$C$18)^41))</f>
        <v>1.2805332339642E-012</v>
      </c>
      <c r="AS159" s="29" t="n">
        <f aca="false">AR159*(1-MIN(1,INDEX(Tabla_Mortalidad!$B$5:$B$75,MIN(71,Cartera_Polizas!$B$161+42-49))*(1+(Cartera_Polizas!$P$161-1)*MAX(0,1-42/Supuestos!$C$20))*(1-Supuestos!$C$18)^42))</f>
        <v>2.43099786930197E-013</v>
      </c>
      <c r="AT159" s="29" t="n">
        <f aca="false">AS159*(1-MIN(1,INDEX(Tabla_Mortalidad!$B$5:$B$75,MIN(71,Cartera_Polizas!$B$161+43-49))*(1+(Cartera_Polizas!$P$161-1)*MAX(0,1-43/Supuestos!$C$20))*(1-Supuestos!$C$18)^43))</f>
        <v>4.71354464329627E-014</v>
      </c>
      <c r="AU159" s="29" t="n">
        <f aca="false">AT159*(1-MIN(1,INDEX(Tabla_Mortalidad!$B$5:$B$75,MIN(71,Cartera_Polizas!$B$161+44-49))*(1+(Cartera_Polizas!$P$161-1)*MAX(0,1-44/Supuestos!$C$20))*(1-Supuestos!$C$18)^44))</f>
        <v>9.32923336727275E-015</v>
      </c>
    </row>
    <row r="160" customFormat="false" ht="15" hidden="false" customHeight="false" outlineLevel="0" collapsed="false">
      <c r="A160" s="14" t="n">
        <f aca="false">Cartera_Polizas!A162</f>
        <v>157</v>
      </c>
      <c r="B160" s="26" t="n">
        <f aca="false">SUM(C160:AU160)+0.5</f>
        <v>12.539033928733</v>
      </c>
      <c r="C160" s="29" t="n">
        <f aca="false">1-MIN(1,INDEX(Tabla_Mortalidad!$B$5:$B$75,MIN(71,Cartera_Polizas!$B$162+0-49))*(1+(Cartera_Polizas!$P$162-1)*MAX(0,1-0/Supuestos!$C$20))*(1-Supuestos!$C$18)^0)</f>
        <v>0.9681389296875</v>
      </c>
      <c r="D160" s="29" t="n">
        <f aca="false">C160*(1-MIN(1,INDEX(Tabla_Mortalidad!$B$5:$B$75,MIN(71,Cartera_Polizas!$B$162+1-49))*(1+(Cartera_Polizas!$P$162-1)*MAX(0,1-1/Supuestos!$C$20))*(1-Supuestos!$C$18)^1))</f>
        <v>0.934373161175361</v>
      </c>
      <c r="E160" s="29" t="n">
        <f aca="false">D160*(1-MIN(1,INDEX(Tabla_Mortalidad!$B$5:$B$75,MIN(71,Cartera_Polizas!$B$162+2-49))*(1+(Cartera_Polizas!$P$162-1)*MAX(0,1-2/Supuestos!$C$20))*(1-Supuestos!$C$18)^2))</f>
        <v>0.898712154671223</v>
      </c>
      <c r="F160" s="29" t="n">
        <f aca="false">E160*(1-MIN(1,INDEX(Tabla_Mortalidad!$B$5:$B$75,MIN(71,Cartera_Polizas!$B$162+3-49))*(1+(Cartera_Polizas!$P$162-1)*MAX(0,1-3/Supuestos!$C$20))*(1-Supuestos!$C$18)^3))</f>
        <v>0.861191435095305</v>
      </c>
      <c r="G160" s="29" t="n">
        <f aca="false">F160*(1-MIN(1,INDEX(Tabla_Mortalidad!$B$5:$B$75,MIN(71,Cartera_Polizas!$B$162+4-49))*(1+(Cartera_Polizas!$P$162-1)*MAX(0,1-4/Supuestos!$C$20))*(1-Supuestos!$C$18)^4))</f>
        <v>0.821877103233183</v>
      </c>
      <c r="H160" s="29" t="n">
        <f aca="false">G160*(1-MIN(1,INDEX(Tabla_Mortalidad!$B$5:$B$75,MIN(71,Cartera_Polizas!$B$162+5-49))*(1+(Cartera_Polizas!$P$162-1)*MAX(0,1-5/Supuestos!$C$20))*(1-Supuestos!$C$18)^5))</f>
        <v>0.780869381248198</v>
      </c>
      <c r="I160" s="29" t="n">
        <f aca="false">H160*(1-MIN(1,INDEX(Tabla_Mortalidad!$B$5:$B$75,MIN(71,Cartera_Polizas!$B$162+6-49))*(1+(Cartera_Polizas!$P$162-1)*MAX(0,1-6/Supuestos!$C$20))*(1-Supuestos!$C$18)^6))</f>
        <v>0.738304434295718</v>
      </c>
      <c r="J160" s="29" t="n">
        <f aca="false">I160*(1-MIN(1,INDEX(Tabla_Mortalidad!$B$5:$B$75,MIN(71,Cartera_Polizas!$B$162+7-49))*(1+(Cartera_Polizas!$P$162-1)*MAX(0,1-7/Supuestos!$C$20))*(1-Supuestos!$C$18)^7))</f>
        <v>0.694358985286949</v>
      </c>
      <c r="K160" s="29" t="n">
        <f aca="false">J160*(1-MIN(1,INDEX(Tabla_Mortalidad!$B$5:$B$75,MIN(71,Cartera_Polizas!$B$162+8-49))*(1+(Cartera_Polizas!$P$162-1)*MAX(0,1-8/Supuestos!$C$20))*(1-Supuestos!$C$18)^8))</f>
        <v>0.649253801426296</v>
      </c>
      <c r="L160" s="29" t="n">
        <f aca="false">K160*(1-MIN(1,INDEX(Tabla_Mortalidad!$B$5:$B$75,MIN(71,Cartera_Polizas!$B$162+9-49))*(1+(Cartera_Polizas!$P$162-1)*MAX(0,1-9/Supuestos!$C$20))*(1-Supuestos!$C$18)^9))</f>
        <v>0.603252873433972</v>
      </c>
      <c r="M160" s="29" t="n">
        <f aca="false">L160*(1-MIN(1,INDEX(Tabla_Mortalidad!$B$5:$B$75,MIN(71,Cartera_Polizas!$B$162+10-49))*(1+(Cartera_Polizas!$P$162-1)*MAX(0,1-10/Supuestos!$C$20))*(1-Supuestos!$C$18)^10))</f>
        <v>0.556662598882171</v>
      </c>
      <c r="N160" s="29" t="n">
        <f aca="false">M160*(1-MIN(1,INDEX(Tabla_Mortalidad!$B$5:$B$75,MIN(71,Cartera_Polizas!$B$162+11-49))*(1+(Cartera_Polizas!$P$162-1)*MAX(0,1-11/Supuestos!$C$20))*(1-Supuestos!$C$18)^11))</f>
        <v>0.509832306205102</v>
      </c>
      <c r="O160" s="29" t="n">
        <f aca="false">N160*(1-MIN(1,INDEX(Tabla_Mortalidad!$B$5:$B$75,MIN(71,Cartera_Polizas!$B$162+12-49))*(1+(Cartera_Polizas!$P$162-1)*MAX(0,1-12/Supuestos!$C$20))*(1-Supuestos!$C$18)^12))</f>
        <v>0.463146130180387</v>
      </c>
      <c r="P160" s="29" t="n">
        <f aca="false">O160*(1-MIN(1,INDEX(Tabla_Mortalidad!$B$5:$B$75,MIN(71,Cartera_Polizas!$B$162+13-49))*(1+(Cartera_Polizas!$P$162-1)*MAX(0,1-13/Supuestos!$C$20))*(1-Supuestos!$C$18)^13))</f>
        <v>0.417019719439155</v>
      </c>
      <c r="Q160" s="29" t="n">
        <f aca="false">P160*(1-MIN(1,INDEX(Tabla_Mortalidad!$B$5:$B$75,MIN(71,Cartera_Polizas!$B$162+14-49))*(1+(Cartera_Polizas!$P$162-1)*MAX(0,1-14/Supuestos!$C$20))*(1-Supuestos!$C$18)^14))</f>
        <v>0.371888282523473</v>
      </c>
      <c r="R160" s="29" t="n">
        <f aca="false">Q160*(1-MIN(1,INDEX(Tabla_Mortalidad!$B$5:$B$75,MIN(71,Cartera_Polizas!$B$162+15-49))*(1+(Cartera_Polizas!$P$162-1)*MAX(0,1-15/Supuestos!$C$20))*(1-Supuestos!$C$18)^15))</f>
        <v>0.328195278502339</v>
      </c>
      <c r="S160" s="29" t="n">
        <f aca="false">R160*(1-MIN(1,INDEX(Tabla_Mortalidad!$B$5:$B$75,MIN(71,Cartera_Polizas!$B$162+16-49))*(1+(Cartera_Polizas!$P$162-1)*MAX(0,1-16/Supuestos!$C$20))*(1-Supuestos!$C$18)^16))</f>
        <v>0.285695149776816</v>
      </c>
      <c r="T160" s="29" t="n">
        <f aca="false">S160*(1-MIN(1,INDEX(Tabla_Mortalidad!$B$5:$B$75,MIN(71,Cartera_Polizas!$B$162+17-49))*(1+(Cartera_Polizas!$P$162-1)*MAX(0,1-17/Supuestos!$C$20))*(1-Supuestos!$C$18)^17))</f>
        <v>0.244953226485377</v>
      </c>
      <c r="U160" s="29" t="n">
        <f aca="false">T160*(1-MIN(1,INDEX(Tabla_Mortalidad!$B$5:$B$75,MIN(71,Cartera_Polizas!$B$162+18-49))*(1+(Cartera_Polizas!$P$162-1)*MAX(0,1-18/Supuestos!$C$20))*(1-Supuestos!$C$18)^18))</f>
        <v>0.206522237604579</v>
      </c>
      <c r="V160" s="29" t="n">
        <f aca="false">U160*(1-MIN(1,INDEX(Tabla_Mortalidad!$B$5:$B$75,MIN(71,Cartera_Polizas!$B$162+19-49))*(1+(Cartera_Polizas!$P$162-1)*MAX(0,1-19/Supuestos!$C$20))*(1-Supuestos!$C$18)^19))</f>
        <v>0.170912991187418</v>
      </c>
      <c r="W160" s="29" t="n">
        <f aca="false">V160*(1-MIN(1,INDEX(Tabla_Mortalidad!$B$5:$B$75,MIN(71,Cartera_Polizas!$B$162+20-49))*(1+(Cartera_Polizas!$P$162-1)*MAX(0,1-20/Supuestos!$C$20))*(1-Supuestos!$C$18)^20))</f>
        <v>0.138564471033334</v>
      </c>
      <c r="X160" s="29" t="n">
        <f aca="false">W160*(1-MIN(1,INDEX(Tabla_Mortalidad!$B$5:$B$75,MIN(71,Cartera_Polizas!$B$162+21-49))*(1+(Cartera_Polizas!$P$162-1)*MAX(0,1-21/Supuestos!$C$20))*(1-Supuestos!$C$18)^21))</f>
        <v>0.10981410946633</v>
      </c>
      <c r="Y160" s="29" t="n">
        <f aca="false">X160*(1-MIN(1,INDEX(Tabla_Mortalidad!$B$5:$B$75,MIN(71,Cartera_Polizas!$B$162+22-49))*(1+(Cartera_Polizas!$P$162-1)*MAX(0,1-22/Supuestos!$C$20))*(1-Supuestos!$C$18)^22))</f>
        <v>0.0848719525618826</v>
      </c>
      <c r="Z160" s="29" t="n">
        <f aca="false">Y160*(1-MIN(1,INDEX(Tabla_Mortalidad!$B$5:$B$75,MIN(71,Cartera_Polizas!$B$162+23-49))*(1+(Cartera_Polizas!$P$162-1)*MAX(0,1-23/Supuestos!$C$20))*(1-Supuestos!$C$18)^23))</f>
        <v>0.0638035817256962</v>
      </c>
      <c r="AA160" s="29" t="n">
        <f aca="false">Z160*(1-MIN(1,INDEX(Tabla_Mortalidad!$B$5:$B$75,MIN(71,Cartera_Polizas!$B$162+24-49))*(1+(Cartera_Polizas!$P$162-1)*MAX(0,1-24/Supuestos!$C$20))*(1-Supuestos!$C$18)^24))</f>
        <v>0.0465238783531699</v>
      </c>
      <c r="AB160" s="29" t="n">
        <f aca="false">AA160*(1-MIN(1,INDEX(Tabla_Mortalidad!$B$5:$B$75,MIN(71,Cartera_Polizas!$B$162+25-49))*(1+(Cartera_Polizas!$P$162-1)*MAX(0,1-25/Supuestos!$C$20))*(1-Supuestos!$C$18)^25))</f>
        <v>0.0328039977641482</v>
      </c>
      <c r="AC160" s="29" t="n">
        <f aca="false">AB160*(1-MIN(1,INDEX(Tabla_Mortalidad!$B$5:$B$75,MIN(71,Cartera_Polizas!$B$162+26-49))*(1+(Cartera_Polizas!$P$162-1)*MAX(0,1-26/Supuestos!$C$20))*(1-Supuestos!$C$18)^26))</f>
        <v>0.0222926643735569</v>
      </c>
      <c r="AD160" s="29" t="n">
        <f aca="false">AC160*(1-MIN(1,INDEX(Tabla_Mortalidad!$B$5:$B$75,MIN(71,Cartera_Polizas!$B$162+27-49))*(1+(Cartera_Polizas!$P$162-1)*MAX(0,1-27/Supuestos!$C$20))*(1-Supuestos!$C$18)^27))</f>
        <v>0.0145492002851696</v>
      </c>
      <c r="AE160" s="29" t="n">
        <f aca="false">AD160*(1-MIN(1,INDEX(Tabla_Mortalidad!$B$5:$B$75,MIN(71,Cartera_Polizas!$B$162+28-49))*(1+(Cartera_Polizas!$P$162-1)*MAX(0,1-28/Supuestos!$C$20))*(1-Supuestos!$C$18)^28))</f>
        <v>0.00908475566543218</v>
      </c>
      <c r="AF160" s="29" t="n">
        <f aca="false">AE160*(1-MIN(1,INDEX(Tabla_Mortalidad!$B$5:$B$75,MIN(71,Cartera_Polizas!$B$162+29-49))*(1+(Cartera_Polizas!$P$162-1)*MAX(0,1-29/Supuestos!$C$20))*(1-Supuestos!$C$18)^29))</f>
        <v>0.00540563658498447</v>
      </c>
      <c r="AG160" s="29" t="n">
        <f aca="false">AF160*(1-MIN(1,INDEX(Tabla_Mortalidad!$B$5:$B$75,MIN(71,Cartera_Polizas!$B$162+30-49))*(1+(Cartera_Polizas!$P$162-1)*MAX(0,1-30/Supuestos!$C$20))*(1-Supuestos!$C$18)^30))</f>
        <v>0.00305229216153787</v>
      </c>
      <c r="AH160" s="29" t="n">
        <f aca="false">AG160*(1-MIN(1,INDEX(Tabla_Mortalidad!$B$5:$B$75,MIN(71,Cartera_Polizas!$B$162+31-49))*(1+(Cartera_Polizas!$P$162-1)*MAX(0,1-31/Supuestos!$C$20))*(1-Supuestos!$C$18)^31))</f>
        <v>0.00162849523515908</v>
      </c>
      <c r="AI160" s="29" t="n">
        <f aca="false">AH160*(1-MIN(1,INDEX(Tabla_Mortalidad!$B$5:$B$75,MIN(71,Cartera_Polizas!$B$162+32-49))*(1+(Cartera_Polizas!$P$162-1)*MAX(0,1-32/Supuestos!$C$20))*(1-Supuestos!$C$18)^32))</f>
        <v>0.000817431097610653</v>
      </c>
      <c r="AJ160" s="29" t="n">
        <f aca="false">AI160*(1-MIN(1,INDEX(Tabla_Mortalidad!$B$5:$B$75,MIN(71,Cartera_Polizas!$B$162+33-49))*(1+(Cartera_Polizas!$P$162-1)*MAX(0,1-33/Supuestos!$C$20))*(1-Supuestos!$C$18)^33))</f>
        <v>0.000384401230030194</v>
      </c>
      <c r="AK160" s="29" t="n">
        <f aca="false">AJ160*(1-MIN(1,INDEX(Tabla_Mortalidad!$B$5:$B$75,MIN(71,Cartera_Polizas!$B$162+34-49))*(1+(Cartera_Polizas!$P$162-1)*MAX(0,1-34/Supuestos!$C$20))*(1-Supuestos!$C$18)^34))</f>
        <v>0.000168682325296822</v>
      </c>
      <c r="AL160" s="29" t="n">
        <f aca="false">AK160*(1-MIN(1,INDEX(Tabla_Mortalidad!$B$5:$B$75,MIN(71,Cartera_Polizas!$B$162+35-49))*(1+(Cartera_Polizas!$P$162-1)*MAX(0,1-35/Supuestos!$C$20))*(1-Supuestos!$C$18)^35))</f>
        <v>6.8833342919946E-005</v>
      </c>
      <c r="AM160" s="29" t="n">
        <f aca="false">AL160*(1-MIN(1,INDEX(Tabla_Mortalidad!$B$5:$B$75,MIN(71,Cartera_Polizas!$B$162+36-49))*(1+(Cartera_Polizas!$P$162-1)*MAX(0,1-36/Supuestos!$C$20))*(1-Supuestos!$C$18)^36))</f>
        <v>2.60494905487425E-005</v>
      </c>
      <c r="AN160" s="29" t="n">
        <f aca="false">AM160*(1-MIN(1,INDEX(Tabla_Mortalidad!$B$5:$B$75,MIN(71,Cartera_Polizas!$B$162+37-49))*(1+(Cartera_Polizas!$P$162-1)*MAX(0,1-37/Supuestos!$C$20))*(1-Supuestos!$C$18)^37))</f>
        <v>9.12799007209773E-006</v>
      </c>
      <c r="AO160" s="29" t="n">
        <f aca="false">AN160*(1-MIN(1,INDEX(Tabla_Mortalidad!$B$5:$B$75,MIN(71,Cartera_Polizas!$B$162+38-49))*(1+(Cartera_Polizas!$P$162-1)*MAX(0,1-38/Supuestos!$C$20))*(1-Supuestos!$C$18)^38))</f>
        <v>2.96117641256416E-006</v>
      </c>
      <c r="AP160" s="29" t="n">
        <f aca="false">AO160*(1-MIN(1,INDEX(Tabla_Mortalidad!$B$5:$B$75,MIN(71,Cartera_Polizas!$B$162+39-49))*(1+(Cartera_Polizas!$P$162-1)*MAX(0,1-39/Supuestos!$C$20))*(1-Supuestos!$C$18)^39))</f>
        <v>8.90834331024687E-007</v>
      </c>
      <c r="AQ160" s="29" t="n">
        <f aca="false">AP160*(1-MIN(1,INDEX(Tabla_Mortalidad!$B$5:$B$75,MIN(71,Cartera_Polizas!$B$162+40-49))*(1+(Cartera_Polizas!$P$162-1)*MAX(0,1-40/Supuestos!$C$20))*(1-Supuestos!$C$18)^40))</f>
        <v>2.4947390584059E-007</v>
      </c>
      <c r="AR160" s="29" t="n">
        <f aca="false">AQ160*(1-MIN(1,INDEX(Tabla_Mortalidad!$B$5:$B$75,MIN(71,Cartera_Polizas!$B$162+41-49))*(1+(Cartera_Polizas!$P$162-1)*MAX(0,1-41/Supuestos!$C$20))*(1-Supuestos!$C$18)^41))</f>
        <v>6.54307095050338E-008</v>
      </c>
      <c r="AS160" s="29" t="n">
        <f aca="false">AR160*(1-MIN(1,INDEX(Tabla_Mortalidad!$B$5:$B$75,MIN(71,Cartera_Polizas!$B$162+42-49))*(1+(Cartera_Polizas!$P$162-1)*MAX(0,1-42/Supuestos!$C$20))*(1-Supuestos!$C$18)^42))</f>
        <v>1.62047490632384E-008</v>
      </c>
      <c r="AT160" s="29" t="n">
        <f aca="false">AS160*(1-MIN(1,INDEX(Tabla_Mortalidad!$B$5:$B$75,MIN(71,Cartera_Polizas!$B$162+43-49))*(1+(Cartera_Polizas!$P$162-1)*MAX(0,1-43/Supuestos!$C$20))*(1-Supuestos!$C$18)^43))</f>
        <v>3.82784092884338E-009</v>
      </c>
      <c r="AU160" s="29" t="n">
        <f aca="false">AT160*(1-MIN(1,INDEX(Tabla_Mortalidad!$B$5:$B$75,MIN(71,Cartera_Polizas!$B$162+44-49))*(1+(Cartera_Polizas!$P$162-1)*MAX(0,1-44/Supuestos!$C$20))*(1-Supuestos!$C$18)^44))</f>
        <v>7.57621366093708E-010</v>
      </c>
    </row>
    <row r="161" customFormat="false" ht="15" hidden="false" customHeight="false" outlineLevel="0" collapsed="false">
      <c r="A161" s="14" t="n">
        <f aca="false">Cartera_Polizas!A163</f>
        <v>158</v>
      </c>
      <c r="B161" s="26" t="n">
        <f aca="false">SUM(C161:AU161)+0.5</f>
        <v>10.1399772380033</v>
      </c>
      <c r="C161" s="29" t="n">
        <f aca="false">1-MIN(1,INDEX(Tabla_Mortalidad!$B$5:$B$75,MIN(71,Cartera_Polizas!$B$163+0-49))*(1+(Cartera_Polizas!$P$163-1)*MAX(0,1-0/Supuestos!$C$20))*(1-Supuestos!$C$18)^0)</f>
        <v>0.9517284195</v>
      </c>
      <c r="D161" s="29" t="n">
        <f aca="false">C161*(1-MIN(1,INDEX(Tabla_Mortalidad!$B$5:$B$75,MIN(71,Cartera_Polizas!$B$163+1-49))*(1+(Cartera_Polizas!$P$163-1)*MAX(0,1-1/Supuestos!$C$20))*(1-Supuestos!$C$18)^1))</f>
        <v>0.901703664114682</v>
      </c>
      <c r="E161" s="29" t="n">
        <f aca="false">D161*(1-MIN(1,INDEX(Tabla_Mortalidad!$B$5:$B$75,MIN(71,Cartera_Polizas!$B$163+2-49))*(1+(Cartera_Polizas!$P$163-1)*MAX(0,1-2/Supuestos!$C$20))*(1-Supuestos!$C$18)^2))</f>
        <v>0.850125636123044</v>
      </c>
      <c r="F161" s="29" t="n">
        <f aca="false">E161*(1-MIN(1,INDEX(Tabla_Mortalidad!$B$5:$B$75,MIN(71,Cartera_Polizas!$B$163+3-49))*(1+(Cartera_Polizas!$P$163-1)*MAX(0,1-3/Supuestos!$C$20))*(1-Supuestos!$C$18)^3))</f>
        <v>0.797237396412864</v>
      </c>
      <c r="G161" s="29" t="n">
        <f aca="false">F161*(1-MIN(1,INDEX(Tabla_Mortalidad!$B$5:$B$75,MIN(71,Cartera_Polizas!$B$163+4-49))*(1+(Cartera_Polizas!$P$163-1)*MAX(0,1-4/Supuestos!$C$20))*(1-Supuestos!$C$18)^4))</f>
        <v>0.743328027334899</v>
      </c>
      <c r="H161" s="29" t="n">
        <f aca="false">G161*(1-MIN(1,INDEX(Tabla_Mortalidad!$B$5:$B$75,MIN(71,Cartera_Polizas!$B$163+5-49))*(1+(Cartera_Polizas!$P$163-1)*MAX(0,1-5/Supuestos!$C$20))*(1-Supuestos!$C$18)^5))</f>
        <v>0.688733469916244</v>
      </c>
      <c r="I161" s="29" t="n">
        <f aca="false">H161*(1-MIN(1,INDEX(Tabla_Mortalidad!$B$5:$B$75,MIN(71,Cartera_Polizas!$B$163+6-49))*(1+(Cartera_Polizas!$P$163-1)*MAX(0,1-6/Supuestos!$C$20))*(1-Supuestos!$C$18)^6))</f>
        <v>0.633831625461693</v>
      </c>
      <c r="J161" s="29" t="n">
        <f aca="false">I161*(1-MIN(1,INDEX(Tabla_Mortalidad!$B$5:$B$75,MIN(71,Cartera_Polizas!$B$163+7-49))*(1+(Cartera_Polizas!$P$163-1)*MAX(0,1-7/Supuestos!$C$20))*(1-Supuestos!$C$18)^7))</f>
        <v>0.579037270779181</v>
      </c>
      <c r="K161" s="29" t="n">
        <f aca="false">J161*(1-MIN(1,INDEX(Tabla_Mortalidad!$B$5:$B$75,MIN(71,Cartera_Polizas!$B$163+8-49))*(1+(Cartera_Polizas!$P$163-1)*MAX(0,1-8/Supuestos!$C$20))*(1-Supuestos!$C$18)^8))</f>
        <v>0.524798363385619</v>
      </c>
      <c r="L161" s="29" t="n">
        <f aca="false">K161*(1-MIN(1,INDEX(Tabla_Mortalidad!$B$5:$B$75,MIN(71,Cartera_Polizas!$B$163+9-49))*(1+(Cartera_Polizas!$P$163-1)*MAX(0,1-9/Supuestos!$C$20))*(1-Supuestos!$C$18)^9))</f>
        <v>0.471582220594085</v>
      </c>
      <c r="M161" s="29" t="n">
        <f aca="false">L161*(1-MIN(1,INDEX(Tabla_Mortalidad!$B$5:$B$75,MIN(71,Cartera_Polizas!$B$163+10-49))*(1+(Cartera_Polizas!$P$163-1)*MAX(0,1-10/Supuestos!$C$20))*(1-Supuestos!$C$18)^10))</f>
        <v>0.419867807113803</v>
      </c>
      <c r="N161" s="29" t="n">
        <f aca="false">M161*(1-MIN(1,INDEX(Tabla_Mortalidad!$B$5:$B$75,MIN(71,Cartera_Polizas!$B$163+11-49))*(1+(Cartera_Polizas!$P$163-1)*MAX(0,1-11/Supuestos!$C$20))*(1-Supuestos!$C$18)^11))</f>
        <v>0.370128755021596</v>
      </c>
      <c r="O161" s="29" t="n">
        <f aca="false">N161*(1-MIN(1,INDEX(Tabla_Mortalidad!$B$5:$B$75,MIN(71,Cartera_Polizas!$B$163+12-49))*(1+(Cartera_Polizas!$P$163-1)*MAX(0,1-12/Supuestos!$C$20))*(1-Supuestos!$C$18)^12))</f>
        <v>0.322818398062606</v>
      </c>
      <c r="P161" s="29" t="n">
        <f aca="false">O161*(1-MIN(1,INDEX(Tabla_Mortalidad!$B$5:$B$75,MIN(71,Cartera_Polizas!$B$163+13-49))*(1+(Cartera_Polizas!$P$163-1)*MAX(0,1-13/Supuestos!$C$20))*(1-Supuestos!$C$18)^13))</f>
        <v>0.278352676262315</v>
      </c>
      <c r="Q161" s="29" t="n">
        <f aca="false">P161*(1-MIN(1,INDEX(Tabla_Mortalidad!$B$5:$B$75,MIN(71,Cartera_Polizas!$B$163+14-49))*(1+(Cartera_Polizas!$P$163-1)*MAX(0,1-14/Supuestos!$C$20))*(1-Supuestos!$C$18)^14))</f>
        <v>0.237093328210959</v>
      </c>
      <c r="R161" s="29" t="n">
        <f aca="false">Q161*(1-MIN(1,INDEX(Tabla_Mortalidad!$B$5:$B$75,MIN(71,Cartera_Polizas!$B$163+15-49))*(1+(Cartera_Polizas!$P$163-1)*MAX(0,1-15/Supuestos!$C$20))*(1-Supuestos!$C$18)^15))</f>
        <v>0.199331893531555</v>
      </c>
      <c r="S161" s="29" t="n">
        <f aca="false">R161*(1-MIN(1,INDEX(Tabla_Mortalidad!$B$5:$B$75,MIN(71,Cartera_Polizas!$B$163+16-49))*(1+(Cartera_Polizas!$P$163-1)*MAX(0,1-16/Supuestos!$C$20))*(1-Supuestos!$C$18)^16))</f>
        <v>0.164441689332539</v>
      </c>
      <c r="T161" s="29" t="n">
        <f aca="false">S161*(1-MIN(1,INDEX(Tabla_Mortalidad!$B$5:$B$75,MIN(71,Cartera_Polizas!$B$163+17-49))*(1+(Cartera_Polizas!$P$163-1)*MAX(0,1-17/Supuestos!$C$20))*(1-Supuestos!$C$18)^17))</f>
        <v>0.132846422291252</v>
      </c>
      <c r="U161" s="29" t="n">
        <f aca="false">T161*(1-MIN(1,INDEX(Tabla_Mortalidad!$B$5:$B$75,MIN(71,Cartera_Polizas!$B$163+18-49))*(1+(Cartera_Polizas!$P$163-1)*MAX(0,1-18/Supuestos!$C$20))*(1-Supuestos!$C$18)^18))</f>
        <v>0.104864854558652</v>
      </c>
      <c r="V161" s="29" t="n">
        <f aca="false">U161*(1-MIN(1,INDEX(Tabla_Mortalidad!$B$5:$B$75,MIN(71,Cartera_Polizas!$B$163+19-49))*(1+(Cartera_Polizas!$P$163-1)*MAX(0,1-19/Supuestos!$C$20))*(1-Supuestos!$C$18)^19))</f>
        <v>0.0806859523083253</v>
      </c>
      <c r="W161" s="29" t="n">
        <f aca="false">V161*(1-MIN(1,INDEX(Tabla_Mortalidad!$B$5:$B$75,MIN(71,Cartera_Polizas!$B$163+20-49))*(1+(Cartera_Polizas!$P$163-1)*MAX(0,1-20/Supuestos!$C$20))*(1-Supuestos!$C$18)^20))</f>
        <v>0.0603532338416722</v>
      </c>
      <c r="X161" s="29" t="n">
        <f aca="false">W161*(1-MIN(1,INDEX(Tabla_Mortalidad!$B$5:$B$75,MIN(71,Cartera_Polizas!$B$163+21-49))*(1+(Cartera_Polizas!$P$163-1)*MAX(0,1-21/Supuestos!$C$20))*(1-Supuestos!$C$18)^21))</f>
        <v>0.0437603250151138</v>
      </c>
      <c r="Y161" s="29" t="n">
        <f aca="false">X161*(1-MIN(1,INDEX(Tabla_Mortalidad!$B$5:$B$75,MIN(71,Cartera_Polizas!$B$163+22-49))*(1+(Cartera_Polizas!$P$163-1)*MAX(0,1-22/Supuestos!$C$20))*(1-Supuestos!$C$18)^22))</f>
        <v>0.0306598900139728</v>
      </c>
      <c r="Z161" s="29" t="n">
        <f aca="false">Y161*(1-MIN(1,INDEX(Tabla_Mortalidad!$B$5:$B$75,MIN(71,Cartera_Polizas!$B$163+23-49))*(1+(Cartera_Polizas!$P$163-1)*MAX(0,1-23/Supuestos!$C$20))*(1-Supuestos!$C$18)^23))</f>
        <v>0.0206867391733455</v>
      </c>
      <c r="AA161" s="29" t="n">
        <f aca="false">Z161*(1-MIN(1,INDEX(Tabla_Mortalidad!$B$5:$B$75,MIN(71,Cartera_Polizas!$B$163+24-49))*(1+(Cartera_Polizas!$P$163-1)*MAX(0,1-24/Supuestos!$C$20))*(1-Supuestos!$C$18)^24))</f>
        <v>0.0133922294504367</v>
      </c>
      <c r="AB161" s="29" t="n">
        <f aca="false">AA161*(1-MIN(1,INDEX(Tabla_Mortalidad!$B$5:$B$75,MIN(71,Cartera_Polizas!$B$163+25-49))*(1+(Cartera_Polizas!$P$163-1)*MAX(0,1-25/Supuestos!$C$20))*(1-Supuestos!$C$18)^25))</f>
        <v>0.00828611499157827</v>
      </c>
      <c r="AC161" s="29" t="n">
        <f aca="false">AB161*(1-MIN(1,INDEX(Tabla_Mortalidad!$B$5:$B$75,MIN(71,Cartera_Polizas!$B$163+26-49))*(1+(Cartera_Polizas!$P$163-1)*MAX(0,1-26/Supuestos!$C$20))*(1-Supuestos!$C$18)^26))</f>
        <v>0.00487958429334862</v>
      </c>
      <c r="AD161" s="29" t="n">
        <f aca="false">AC161*(1-MIN(1,INDEX(Tabla_Mortalidad!$B$5:$B$75,MIN(71,Cartera_Polizas!$B$163+27-49))*(1+(Cartera_Polizas!$P$163-1)*MAX(0,1-27/Supuestos!$C$20))*(1-Supuestos!$C$18)^27))</f>
        <v>0.00272307055006091</v>
      </c>
      <c r="AE161" s="29" t="n">
        <f aca="false">AD161*(1-MIN(1,INDEX(Tabla_Mortalidad!$B$5:$B$75,MIN(71,Cartera_Polizas!$B$163+28-49))*(1+(Cartera_Polizas!$P$163-1)*MAX(0,1-28/Supuestos!$C$20))*(1-Supuestos!$C$18)^28))</f>
        <v>0.00143359948658354</v>
      </c>
      <c r="AF161" s="29" t="n">
        <f aca="false">AE161*(1-MIN(1,INDEX(Tabla_Mortalidad!$B$5:$B$75,MIN(71,Cartera_Polizas!$B$163+29-49))*(1+(Cartera_Polizas!$P$163-1)*MAX(0,1-29/Supuestos!$C$20))*(1-Supuestos!$C$18)^29))</f>
        <v>0.000708784271756285</v>
      </c>
      <c r="AG161" s="29" t="n">
        <f aca="false">AF161*(1-MIN(1,INDEX(Tabla_Mortalidad!$B$5:$B$75,MIN(71,Cartera_Polizas!$B$163+30-49))*(1+(Cartera_Polizas!$P$163-1)*MAX(0,1-30/Supuestos!$C$20))*(1-Supuestos!$C$18)^30))</f>
        <v>0.000327620578681552</v>
      </c>
      <c r="AH161" s="29" t="n">
        <f aca="false">AG161*(1-MIN(1,INDEX(Tabla_Mortalidad!$B$5:$B$75,MIN(71,Cartera_Polizas!$B$163+31-49))*(1+(Cartera_Polizas!$P$163-1)*MAX(0,1-31/Supuestos!$C$20))*(1-Supuestos!$C$18)^31))</f>
        <v>0.000140980302363445</v>
      </c>
      <c r="AI161" s="29" t="n">
        <f aca="false">AH161*(1-MIN(1,INDEX(Tabla_Mortalidad!$B$5:$B$75,MIN(71,Cartera_Polizas!$B$163+32-49))*(1+(Cartera_Polizas!$P$163-1)*MAX(0,1-32/Supuestos!$C$20))*(1-Supuestos!$C$18)^32))</f>
        <v>5.62647280630289E-005</v>
      </c>
      <c r="AJ161" s="29" t="n">
        <f aca="false">AI161*(1-MIN(1,INDEX(Tabla_Mortalidad!$B$5:$B$75,MIN(71,Cartera_Polizas!$B$163+33-49))*(1+(Cartera_Polizas!$P$163-1)*MAX(0,1-33/Supuestos!$C$20))*(1-Supuestos!$C$18)^33))</f>
        <v>2.07631214606765E-005</v>
      </c>
      <c r="AK161" s="29" t="n">
        <f aca="false">AJ161*(1-MIN(1,INDEX(Tabla_Mortalidad!$B$5:$B$75,MIN(71,Cartera_Polizas!$B$163+34-49))*(1+(Cartera_Polizas!$P$163-1)*MAX(0,1-34/Supuestos!$C$20))*(1-Supuestos!$C$18)^34))</f>
        <v>7.07124289810091E-006</v>
      </c>
      <c r="AL161" s="29" t="n">
        <f aca="false">AK161*(1-MIN(1,INDEX(Tabla_Mortalidad!$B$5:$B$75,MIN(71,Cartera_Polizas!$B$163+35-49))*(1+(Cartera_Polizas!$P$163-1)*MAX(0,1-35/Supuestos!$C$20))*(1-Supuestos!$C$18)^35))</f>
        <v>2.22157298394302E-006</v>
      </c>
      <c r="AM161" s="29" t="n">
        <f aca="false">AL161*(1-MIN(1,INDEX(Tabla_Mortalidad!$B$5:$B$75,MIN(71,Cartera_Polizas!$B$163+36-49))*(1+(Cartera_Polizas!$P$163-1)*MAX(0,1-36/Supuestos!$C$20))*(1-Supuestos!$C$18)^36))</f>
        <v>6.44799995446128E-007</v>
      </c>
      <c r="AN161" s="29" t="n">
        <f aca="false">AM161*(1-MIN(1,INDEX(Tabla_Mortalidad!$B$5:$B$75,MIN(71,Cartera_Polizas!$B$163+37-49))*(1+(Cartera_Polizas!$P$163-1)*MAX(0,1-37/Supuestos!$C$20))*(1-Supuestos!$C$18)^37))</f>
        <v>1.73539542378005E-007</v>
      </c>
      <c r="AO161" s="29" t="n">
        <f aca="false">AN161*(1-MIN(1,INDEX(Tabla_Mortalidad!$B$5:$B$75,MIN(71,Cartera_Polizas!$B$163+38-49))*(1+(Cartera_Polizas!$P$163-1)*MAX(0,1-38/Supuestos!$C$20))*(1-Supuestos!$C$18)^38))</f>
        <v>4.35753099166155E-008</v>
      </c>
      <c r="AP161" s="29" t="n">
        <f aca="false">AO161*(1-MIN(1,INDEX(Tabla_Mortalidad!$B$5:$B$75,MIN(71,Cartera_Polizas!$B$163+39-49))*(1+(Cartera_Polizas!$P$163-1)*MAX(0,1-39/Supuestos!$C$20))*(1-Supuestos!$C$18)^39))</f>
        <v>1.02952721038047E-008</v>
      </c>
      <c r="AQ161" s="29" t="n">
        <f aca="false">AP161*(1-MIN(1,INDEX(Tabla_Mortalidad!$B$5:$B$75,MIN(71,Cartera_Polizas!$B$163+40-49))*(1+(Cartera_Polizas!$P$163-1)*MAX(0,1-40/Supuestos!$C$20))*(1-Supuestos!$C$18)^40))</f>
        <v>2.31278097565333E-009</v>
      </c>
      <c r="AR161" s="29" t="n">
        <f aca="false">AQ161*(1-MIN(1,INDEX(Tabla_Mortalidad!$B$5:$B$75,MIN(71,Cartera_Polizas!$B$163+41-49))*(1+(Cartera_Polizas!$P$163-1)*MAX(0,1-41/Supuestos!$C$20))*(1-Supuestos!$C$18)^41))</f>
        <v>4.29648743797236E-010</v>
      </c>
      <c r="AS161" s="29" t="n">
        <f aca="false">AR161*(1-MIN(1,INDEX(Tabla_Mortalidad!$B$5:$B$75,MIN(71,Cartera_Polizas!$B$163+42-49))*(1+(Cartera_Polizas!$P$163-1)*MAX(0,1-42/Supuestos!$C$20))*(1-Supuestos!$C$18)^42))</f>
        <v>8.15656441407553E-011</v>
      </c>
      <c r="AT161" s="29" t="n">
        <f aca="false">AS161*(1-MIN(1,INDEX(Tabla_Mortalidad!$B$5:$B$75,MIN(71,Cartera_Polizas!$B$163+43-49))*(1+(Cartera_Polizas!$P$163-1)*MAX(0,1-43/Supuestos!$C$20))*(1-Supuestos!$C$18)^43))</f>
        <v>1.58150408057355E-011</v>
      </c>
      <c r="AU161" s="29" t="n">
        <f aca="false">AT161*(1-MIN(1,INDEX(Tabla_Mortalidad!$B$5:$B$75,MIN(71,Cartera_Polizas!$B$163+44-49))*(1+(Cartera_Polizas!$P$163-1)*MAX(0,1-44/Supuestos!$C$20))*(1-Supuestos!$C$18)^44))</f>
        <v>3.13017521960859E-012</v>
      </c>
    </row>
    <row r="162" customFormat="false" ht="15" hidden="false" customHeight="false" outlineLevel="0" collapsed="false">
      <c r="A162" s="14" t="n">
        <f aca="false">Cartera_Polizas!A164</f>
        <v>159</v>
      </c>
      <c r="B162" s="26" t="n">
        <f aca="false">SUM(C162:AU162)+0.5</f>
        <v>1.71339533450788</v>
      </c>
      <c r="C162" s="29" t="n">
        <f aca="false">1-MIN(1,INDEX(Tabla_Mortalidad!$B$5:$B$75,MIN(71,Cartera_Polizas!$B$164+0-49))*(1+(Cartera_Polizas!$P$164-1)*MAX(0,1-0/Supuestos!$C$20))*(1-Supuestos!$C$18)^0)</f>
        <v>0.57155902</v>
      </c>
      <c r="D162" s="29" t="n">
        <f aca="false">C162*(1-MIN(1,INDEX(Tabla_Mortalidad!$B$5:$B$75,MIN(71,Cartera_Polizas!$B$164+1-49))*(1+(Cartera_Polizas!$P$164-1)*MAX(0,1-1/Supuestos!$C$20))*(1-Supuestos!$C$18)^1))</f>
        <v>0.314328250533211</v>
      </c>
      <c r="E162" s="29" t="n">
        <f aca="false">D162*(1-MIN(1,INDEX(Tabla_Mortalidad!$B$5:$B$75,MIN(71,Cartera_Polizas!$B$164+2-49))*(1+(Cartera_Polizas!$P$164-1)*MAX(0,1-2/Supuestos!$C$20))*(1-Supuestos!$C$18)^2))</f>
        <v>0.166218815301278</v>
      </c>
      <c r="F162" s="29" t="n">
        <f aca="false">E162*(1-MIN(1,INDEX(Tabla_Mortalidad!$B$5:$B$75,MIN(71,Cartera_Polizas!$B$164+3-49))*(1+(Cartera_Polizas!$P$164-1)*MAX(0,1-3/Supuestos!$C$20))*(1-Supuestos!$C$18)^3))</f>
        <v>0.0845177015859282</v>
      </c>
      <c r="G162" s="29" t="n">
        <f aca="false">F162*(1-MIN(1,INDEX(Tabla_Mortalidad!$B$5:$B$75,MIN(71,Cartera_Polizas!$B$164+4-49))*(1+(Cartera_Polizas!$P$164-1)*MAX(0,1-4/Supuestos!$C$20))*(1-Supuestos!$C$18)^4))</f>
        <v>0.0413576021743356</v>
      </c>
      <c r="H162" s="29" t="n">
        <f aca="false">G162*(1-MIN(1,INDEX(Tabla_Mortalidad!$B$5:$B$75,MIN(71,Cartera_Polizas!$B$164+5-49))*(1+(Cartera_Polizas!$P$164-1)*MAX(0,1-5/Supuestos!$C$20))*(1-Supuestos!$C$18)^5))</f>
        <v>0.0195147831051923</v>
      </c>
      <c r="I162" s="29" t="n">
        <f aca="false">H162*(1-MIN(1,INDEX(Tabla_Mortalidad!$B$5:$B$75,MIN(71,Cartera_Polizas!$B$164+6-49))*(1+(Cartera_Polizas!$P$164-1)*MAX(0,1-6/Supuestos!$C$20))*(1-Supuestos!$C$18)^6))</f>
        <v>0.00890941264725838</v>
      </c>
      <c r="J162" s="29" t="n">
        <f aca="false">I162*(1-MIN(1,INDEX(Tabla_Mortalidad!$B$5:$B$75,MIN(71,Cartera_Polizas!$B$164+7-49))*(1+(Cartera_Polizas!$P$164-1)*MAX(0,1-7/Supuestos!$C$20))*(1-Supuestos!$C$18)^7))</f>
        <v>0.00395568517405097</v>
      </c>
      <c r="K162" s="29" t="n">
        <f aca="false">J162*(1-MIN(1,INDEX(Tabla_Mortalidad!$B$5:$B$75,MIN(71,Cartera_Polizas!$B$164+8-49))*(1+(Cartera_Polizas!$P$164-1)*MAX(0,1-8/Supuestos!$C$20))*(1-Supuestos!$C$18)^8))</f>
        <v>0.0017200449790543</v>
      </c>
      <c r="L162" s="29" t="n">
        <f aca="false">K162*(1-MIN(1,INDEX(Tabla_Mortalidad!$B$5:$B$75,MIN(71,Cartera_Polizas!$B$164+9-49))*(1+(Cartera_Polizas!$P$164-1)*MAX(0,1-9/Supuestos!$C$20))*(1-Supuestos!$C$18)^9))</f>
        <v>0.000739230068078895</v>
      </c>
      <c r="M162" s="29" t="n">
        <f aca="false">L162*(1-MIN(1,INDEX(Tabla_Mortalidad!$B$5:$B$75,MIN(71,Cartera_Polizas!$B$164+10-49))*(1+(Cartera_Polizas!$P$164-1)*MAX(0,1-10/Supuestos!$C$20))*(1-Supuestos!$C$18)^10))</f>
        <v>0.000317562095282722</v>
      </c>
      <c r="N162" s="29" t="n">
        <f aca="false">M162*(1-MIN(1,INDEX(Tabla_Mortalidad!$B$5:$B$75,MIN(71,Cartera_Polizas!$B$164+11-49))*(1+(Cartera_Polizas!$P$164-1)*MAX(0,1-11/Supuestos!$C$20))*(1-Supuestos!$C$18)^11))</f>
        <v>0.000138163196009795</v>
      </c>
      <c r="O162" s="29" t="n">
        <f aca="false">N162*(1-MIN(1,INDEX(Tabla_Mortalidad!$B$5:$B$75,MIN(71,Cartera_Polizas!$B$164+12-49))*(1+(Cartera_Polizas!$P$164-1)*MAX(0,1-12/Supuestos!$C$20))*(1-Supuestos!$C$18)^12))</f>
        <v>6.17703091871184E-005</v>
      </c>
      <c r="P162" s="29" t="n">
        <f aca="false">O162*(1-MIN(1,INDEX(Tabla_Mortalidad!$B$5:$B$75,MIN(71,Cartera_Polizas!$B$164+13-49))*(1+(Cartera_Polizas!$P$164-1)*MAX(0,1-13/Supuestos!$C$20))*(1-Supuestos!$C$18)^13))</f>
        <v>2.88134337869671E-005</v>
      </c>
      <c r="Q162" s="29" t="n">
        <f aca="false">P162*(1-MIN(1,INDEX(Tabla_Mortalidad!$B$5:$B$75,MIN(71,Cartera_Polizas!$B$164+14-49))*(1+(Cartera_Polizas!$P$164-1)*MAX(0,1-14/Supuestos!$C$20))*(1-Supuestos!$C$18)^14))</f>
        <v>1.42353521263985E-005</v>
      </c>
      <c r="R162" s="29" t="n">
        <f aca="false">Q162*(1-MIN(1,INDEX(Tabla_Mortalidad!$B$5:$B$75,MIN(71,Cartera_Polizas!$B$164+15-49))*(1+(Cartera_Polizas!$P$164-1)*MAX(0,1-15/Supuestos!$C$20))*(1-Supuestos!$C$18)^15))</f>
        <v>7.55405707607246E-006</v>
      </c>
      <c r="S162" s="29" t="n">
        <f aca="false">R162*(1-MIN(1,INDEX(Tabla_Mortalidad!$B$5:$B$75,MIN(71,Cartera_Polizas!$B$164+16-49))*(1+(Cartera_Polizas!$P$164-1)*MAX(0,1-16/Supuestos!$C$20))*(1-Supuestos!$C$18)^16))</f>
        <v>3.75517335653541E-006</v>
      </c>
      <c r="T162" s="29" t="n">
        <f aca="false">S162*(1-MIN(1,INDEX(Tabla_Mortalidad!$B$5:$B$75,MIN(71,Cartera_Polizas!$B$164+17-49))*(1+(Cartera_Polizas!$P$164-1)*MAX(0,1-17/Supuestos!$C$20))*(1-Supuestos!$C$18)^17))</f>
        <v>1.73888572366927E-006</v>
      </c>
      <c r="U162" s="29" t="n">
        <f aca="false">T162*(1-MIN(1,INDEX(Tabla_Mortalidad!$B$5:$B$75,MIN(71,Cartera_Polizas!$B$164+18-49))*(1+(Cartera_Polizas!$P$164-1)*MAX(0,1-18/Supuestos!$C$20))*(1-Supuestos!$C$18)^18))</f>
        <v>7.45789049815131E-007</v>
      </c>
      <c r="V162" s="29" t="n">
        <f aca="false">U162*(1-MIN(1,INDEX(Tabla_Mortalidad!$B$5:$B$75,MIN(71,Cartera_Polizas!$B$164+19-49))*(1+(Cartera_Polizas!$P$164-1)*MAX(0,1-19/Supuestos!$C$20))*(1-Supuestos!$C$18)^19))</f>
        <v>2.94584750502893E-007</v>
      </c>
      <c r="W162" s="29" t="n">
        <f aca="false">V162*(1-MIN(1,INDEX(Tabla_Mortalidad!$B$5:$B$75,MIN(71,Cartera_Polizas!$B$164+20-49))*(1+(Cartera_Polizas!$P$164-1)*MAX(0,1-20/Supuestos!$C$20))*(1-Supuestos!$C$18)^20))</f>
        <v>1.06593293392237E-007</v>
      </c>
      <c r="X162" s="29" t="n">
        <f aca="false">W162*(1-MIN(1,INDEX(Tabla_Mortalidad!$B$5:$B$75,MIN(71,Cartera_Polizas!$B$164+21-49))*(1+(Cartera_Polizas!$P$164-1)*MAX(0,1-21/Supuestos!$C$20))*(1-Supuestos!$C$18)^21))</f>
        <v>3.51659175738803E-008</v>
      </c>
      <c r="Y162" s="29" t="n">
        <f aca="false">X162*(1-MIN(1,INDEX(Tabla_Mortalidad!$B$5:$B$75,MIN(71,Cartera_Polizas!$B$164+22-49))*(1+(Cartera_Polizas!$P$164-1)*MAX(0,1-22/Supuestos!$C$20))*(1-Supuestos!$C$18)^22))</f>
        <v>1.05386982033609E-008</v>
      </c>
      <c r="Z162" s="29" t="n">
        <f aca="false">Y162*(1-MIN(1,INDEX(Tabla_Mortalidad!$B$5:$B$75,MIN(71,Cartera_Polizas!$B$164+23-49))*(1+(Cartera_Polizas!$P$164-1)*MAX(0,1-23/Supuestos!$C$20))*(1-Supuestos!$C$18)^23))</f>
        <v>2.86284919293253E-009</v>
      </c>
      <c r="AA162" s="29" t="n">
        <f aca="false">Z162*(1-MIN(1,INDEX(Tabla_Mortalidad!$B$5:$B$75,MIN(71,Cartera_Polizas!$B$164+24-49))*(1+(Cartera_Polizas!$P$164-1)*MAX(0,1-24/Supuestos!$C$20))*(1-Supuestos!$C$18)^24))</f>
        <v>7.04955288167487E-010</v>
      </c>
      <c r="AB162" s="29" t="n">
        <f aca="false">AA162*(1-MIN(1,INDEX(Tabla_Mortalidad!$B$5:$B$75,MIN(71,Cartera_Polizas!$B$164+25-49))*(1+(Cartera_Polizas!$P$164-1)*MAX(0,1-25/Supuestos!$C$20))*(1-Supuestos!$C$18)^25))</f>
        <v>1.57787434512165E-010</v>
      </c>
      <c r="AC162" s="29" t="n">
        <f aca="false">AB162*(1-MIN(1,INDEX(Tabla_Mortalidad!$B$5:$B$75,MIN(71,Cartera_Polizas!$B$164+26-49))*(1+(Cartera_Polizas!$P$164-1)*MAX(0,1-26/Supuestos!$C$20))*(1-Supuestos!$C$18)^26))</f>
        <v>3.22940464737802E-011</v>
      </c>
      <c r="AD162" s="29" t="n">
        <f aca="false">AC162*(1-MIN(1,INDEX(Tabla_Mortalidad!$B$5:$B$75,MIN(71,Cartera_Polizas!$B$164+27-49))*(1+(Cartera_Polizas!$P$164-1)*MAX(0,1-27/Supuestos!$C$20))*(1-Supuestos!$C$18)^27))</f>
        <v>6.10083052615191E-012</v>
      </c>
      <c r="AE162" s="29" t="n">
        <f aca="false">AD162*(1-MIN(1,INDEX(Tabla_Mortalidad!$B$5:$B$75,MIN(71,Cartera_Polizas!$B$164+28-49))*(1+(Cartera_Polizas!$P$164-1)*MAX(0,1-28/Supuestos!$C$20))*(1-Supuestos!$C$18)^28))</f>
        <v>1.07725880467928E-012</v>
      </c>
      <c r="AF162" s="29" t="n">
        <f aca="false">AE162*(1-MIN(1,INDEX(Tabla_Mortalidad!$B$5:$B$75,MIN(71,Cartera_Polizas!$B$164+29-49))*(1+(Cartera_Polizas!$P$164-1)*MAX(0,1-29/Supuestos!$C$20))*(1-Supuestos!$C$18)^29))</f>
        <v>1.45744788451166E-013</v>
      </c>
      <c r="AG162" s="29" t="n">
        <f aca="false">AF162*(1-MIN(1,INDEX(Tabla_Mortalidad!$B$5:$B$75,MIN(71,Cartera_Polizas!$B$164+30-49))*(1+(Cartera_Polizas!$P$164-1)*MAX(0,1-30/Supuestos!$C$20))*(1-Supuestos!$C$18)^30))</f>
        <v>2.03482764138313E-014</v>
      </c>
      <c r="AH162" s="29" t="n">
        <f aca="false">AG162*(1-MIN(1,INDEX(Tabla_Mortalidad!$B$5:$B$75,MIN(71,Cartera_Polizas!$B$164+31-49))*(1+(Cartera_Polizas!$P$164-1)*MAX(0,1-31/Supuestos!$C$20))*(1-Supuestos!$C$18)^31))</f>
        <v>2.92847773145604E-015</v>
      </c>
      <c r="AI162" s="29" t="n">
        <f aca="false">AH162*(1-MIN(1,INDEX(Tabla_Mortalidad!$B$5:$B$75,MIN(71,Cartera_Polizas!$B$164+32-49))*(1+(Cartera_Polizas!$P$164-1)*MAX(0,1-32/Supuestos!$C$20))*(1-Supuestos!$C$18)^32))</f>
        <v>4.33994954003579E-016</v>
      </c>
      <c r="AJ162" s="29" t="n">
        <f aca="false">AI162*(1-MIN(1,INDEX(Tabla_Mortalidad!$B$5:$B$75,MIN(71,Cartera_Polizas!$B$164+33-49))*(1+(Cartera_Polizas!$P$164-1)*MAX(0,1-33/Supuestos!$C$20))*(1-Supuestos!$C$18)^33))</f>
        <v>6.61656336705505E-017</v>
      </c>
      <c r="AK162" s="29" t="n">
        <f aca="false">AJ162*(1-MIN(1,INDEX(Tabla_Mortalidad!$B$5:$B$75,MIN(71,Cartera_Polizas!$B$164+34-49))*(1+(Cartera_Polizas!$P$164-1)*MAX(0,1-34/Supuestos!$C$20))*(1-Supuestos!$C$18)^34))</f>
        <v>1.03678149661173E-017</v>
      </c>
      <c r="AL162" s="29" t="n">
        <f aca="false">AK162*(1-MIN(1,INDEX(Tabla_Mortalidad!$B$5:$B$75,MIN(71,Cartera_Polizas!$B$164+35-49))*(1+(Cartera_Polizas!$P$164-1)*MAX(0,1-35/Supuestos!$C$20))*(1-Supuestos!$C$18)^35))</f>
        <v>1.66829951361864E-018</v>
      </c>
      <c r="AM162" s="29" t="n">
        <f aca="false">AL162*(1-MIN(1,INDEX(Tabla_Mortalidad!$B$5:$B$75,MIN(71,Cartera_Polizas!$B$164+36-49))*(1+(Cartera_Polizas!$P$164-1)*MAX(0,1-36/Supuestos!$C$20))*(1-Supuestos!$C$18)^36))</f>
        <v>2.75447648657283E-019</v>
      </c>
      <c r="AN162" s="29" t="n">
        <f aca="false">AM162*(1-MIN(1,INDEX(Tabla_Mortalidad!$B$5:$B$75,MIN(71,Cartera_Polizas!$B$164+37-49))*(1+(Cartera_Polizas!$P$164-1)*MAX(0,1-37/Supuestos!$C$20))*(1-Supuestos!$C$18)^37))</f>
        <v>4.66281356383981E-020</v>
      </c>
      <c r="AO162" s="29" t="n">
        <f aca="false">AN162*(1-MIN(1,INDEX(Tabla_Mortalidad!$B$5:$B$75,MIN(71,Cartera_Polizas!$B$164+38-49))*(1+(Cartera_Polizas!$P$164-1)*MAX(0,1-38/Supuestos!$C$20))*(1-Supuestos!$C$18)^38))</f>
        <v>8.0869456697856E-021</v>
      </c>
      <c r="AP162" s="29" t="n">
        <f aca="false">AO162*(1-MIN(1,INDEX(Tabla_Mortalidad!$B$5:$B$75,MIN(71,Cartera_Polizas!$B$164+39-49))*(1+(Cartera_Polizas!$P$164-1)*MAX(0,1-39/Supuestos!$C$20))*(1-Supuestos!$C$18)^39))</f>
        <v>1.43598048465721E-021</v>
      </c>
      <c r="AQ162" s="29" t="n">
        <f aca="false">AP162*(1-MIN(1,INDEX(Tabla_Mortalidad!$B$5:$B$75,MIN(71,Cartera_Polizas!$B$164+40-49))*(1+(Cartera_Polizas!$P$164-1)*MAX(0,1-40/Supuestos!$C$20))*(1-Supuestos!$C$18)^40))</f>
        <v>2.60888760666324E-022</v>
      </c>
      <c r="AR162" s="29" t="n">
        <f aca="false">AQ162*(1-MIN(1,INDEX(Tabla_Mortalidad!$B$5:$B$75,MIN(71,Cartera_Polizas!$B$164+41-49))*(1+(Cartera_Polizas!$P$164-1)*MAX(0,1-41/Supuestos!$C$20))*(1-Supuestos!$C$18)^41))</f>
        <v>4.84656910754119E-023</v>
      </c>
      <c r="AS162" s="29" t="n">
        <f aca="false">AR162*(1-MIN(1,INDEX(Tabla_Mortalidad!$B$5:$B$75,MIN(71,Cartera_Polizas!$B$164+42-49))*(1+(Cartera_Polizas!$P$164-1)*MAX(0,1-42/Supuestos!$C$20))*(1-Supuestos!$C$18)^42))</f>
        <v>9.20085387974142E-024</v>
      </c>
      <c r="AT162" s="29" t="n">
        <f aca="false">AS162*(1-MIN(1,INDEX(Tabla_Mortalidad!$B$5:$B$75,MIN(71,Cartera_Polizas!$B$164+43-49))*(1+(Cartera_Polizas!$P$164-1)*MAX(0,1-43/Supuestos!$C$20))*(1-Supuestos!$C$18)^43))</f>
        <v>1.78398492513116E-024</v>
      </c>
      <c r="AU162" s="29" t="n">
        <f aca="false">AT162*(1-MIN(1,INDEX(Tabla_Mortalidad!$B$5:$B$75,MIN(71,Cartera_Polizas!$B$164+44-49))*(1+(Cartera_Polizas!$P$164-1)*MAX(0,1-44/Supuestos!$C$20))*(1-Supuestos!$C$18)^44))</f>
        <v>3.53093328900908E-025</v>
      </c>
    </row>
    <row r="163" customFormat="false" ht="15" hidden="false" customHeight="false" outlineLevel="0" collapsed="false">
      <c r="A163" s="14" t="n">
        <f aca="false">Cartera_Polizas!A165</f>
        <v>160</v>
      </c>
      <c r="B163" s="26" t="n">
        <f aca="false">SUM(C163:AU163)+0.5</f>
        <v>8.21452861333057</v>
      </c>
      <c r="C163" s="29" t="n">
        <f aca="false">1-MIN(1,INDEX(Tabla_Mortalidad!$B$5:$B$75,MIN(71,Cartera_Polizas!$B$165+0-49))*(1+(Cartera_Polizas!$P$165-1)*MAX(0,1-0/Supuestos!$C$20))*(1-Supuestos!$C$18)^0)</f>
        <v>0.925546258</v>
      </c>
      <c r="D163" s="29" t="n">
        <f aca="false">C163*(1-MIN(1,INDEX(Tabla_Mortalidad!$B$5:$B$75,MIN(71,Cartera_Polizas!$B$165+1-49))*(1+(Cartera_Polizas!$P$165-1)*MAX(0,1-1/Supuestos!$C$20))*(1-Supuestos!$C$18)^1))</f>
        <v>0.851571325216817</v>
      </c>
      <c r="E163" s="29" t="n">
        <f aca="false">D163*(1-MIN(1,INDEX(Tabla_Mortalidad!$B$5:$B$75,MIN(71,Cartera_Polizas!$B$165+2-49))*(1+(Cartera_Polizas!$P$165-1)*MAX(0,1-2/Supuestos!$C$20))*(1-Supuestos!$C$18)^2))</f>
        <v>0.778600951795824</v>
      </c>
      <c r="F163" s="29" t="n">
        <f aca="false">E163*(1-MIN(1,INDEX(Tabla_Mortalidad!$B$5:$B$75,MIN(71,Cartera_Polizas!$B$165+3-49))*(1+(Cartera_Polizas!$P$165-1)*MAX(0,1-3/Supuestos!$C$20))*(1-Supuestos!$C$18)^3))</f>
        <v>0.707172224837112</v>
      </c>
      <c r="G163" s="29" t="n">
        <f aca="false">F163*(1-MIN(1,INDEX(Tabla_Mortalidad!$B$5:$B$75,MIN(71,Cartera_Polizas!$B$165+4-49))*(1+(Cartera_Polizas!$P$165-1)*MAX(0,1-4/Supuestos!$C$20))*(1-Supuestos!$C$18)^4))</f>
        <v>0.637822128374313</v>
      </c>
      <c r="H163" s="29" t="n">
        <f aca="false">G163*(1-MIN(1,INDEX(Tabla_Mortalidad!$B$5:$B$75,MIN(71,Cartera_Polizas!$B$165+5-49))*(1+(Cartera_Polizas!$P$165-1)*MAX(0,1-5/Supuestos!$C$20))*(1-Supuestos!$C$18)^5))</f>
        <v>0.571069501086296</v>
      </c>
      <c r="I163" s="29" t="n">
        <f aca="false">H163*(1-MIN(1,INDEX(Tabla_Mortalidad!$B$5:$B$75,MIN(71,Cartera_Polizas!$B$165+6-49))*(1+(Cartera_Polizas!$P$165-1)*MAX(0,1-6/Supuestos!$C$20))*(1-Supuestos!$C$18)^6))</f>
        <v>0.507399190541944</v>
      </c>
      <c r="J163" s="29" t="n">
        <f aca="false">I163*(1-MIN(1,INDEX(Tabla_Mortalidad!$B$5:$B$75,MIN(71,Cartera_Polizas!$B$165+7-49))*(1+(Cartera_Polizas!$P$165-1)*MAX(0,1-7/Supuestos!$C$20))*(1-Supuestos!$C$18)^7))</f>
        <v>0.447250447160411</v>
      </c>
      <c r="K163" s="29" t="n">
        <f aca="false">J163*(1-MIN(1,INDEX(Tabla_Mortalidad!$B$5:$B$75,MIN(71,Cartera_Polizas!$B$165+8-49))*(1+(Cartera_Polizas!$P$165-1)*MAX(0,1-8/Supuestos!$C$20))*(1-Supuestos!$C$18)^8))</f>
        <v>0.390997084756097</v>
      </c>
      <c r="L163" s="29" t="n">
        <f aca="false">K163*(1-MIN(1,INDEX(Tabla_Mortalidad!$B$5:$B$75,MIN(71,Cartera_Polizas!$B$165+9-49))*(1+(Cartera_Polizas!$P$165-1)*MAX(0,1-9/Supuestos!$C$20))*(1-Supuestos!$C$18)^9))</f>
        <v>0.338939300030998</v>
      </c>
      <c r="M163" s="29" t="n">
        <f aca="false">L163*(1-MIN(1,INDEX(Tabla_Mortalidad!$B$5:$B$75,MIN(71,Cartera_Polizas!$B$165+10-49))*(1+(Cartera_Polizas!$P$165-1)*MAX(0,1-10/Supuestos!$C$20))*(1-Supuestos!$C$18)^10))</f>
        <v>0.291290261760308</v>
      </c>
      <c r="N163" s="29" t="n">
        <f aca="false">M163*(1-MIN(1,INDEX(Tabla_Mortalidad!$B$5:$B$75,MIN(71,Cartera_Polizas!$B$165+11-49))*(1+(Cartera_Polizas!$P$165-1)*MAX(0,1-11/Supuestos!$C$20))*(1-Supuestos!$C$18)^11))</f>
        <v>0.248170478817082</v>
      </c>
      <c r="O163" s="29" t="n">
        <f aca="false">N163*(1-MIN(1,INDEX(Tabla_Mortalidad!$B$5:$B$75,MIN(71,Cartera_Polizas!$B$165+12-49))*(1+(Cartera_Polizas!$P$165-1)*MAX(0,1-12/Supuestos!$C$20))*(1-Supuestos!$C$18)^12))</f>
        <v>0.209605163439406</v>
      </c>
      <c r="P163" s="29" t="n">
        <f aca="false">O163*(1-MIN(1,INDEX(Tabla_Mortalidad!$B$5:$B$75,MIN(71,Cartera_Polizas!$B$165+13-49))*(1+(Cartera_Polizas!$P$165-1)*MAX(0,1-13/Supuestos!$C$20))*(1-Supuestos!$C$18)^13))</f>
        <v>0.175526473554265</v>
      </c>
      <c r="Q163" s="29" t="n">
        <f aca="false">P163*(1-MIN(1,INDEX(Tabla_Mortalidad!$B$5:$B$75,MIN(71,Cartera_Polizas!$B$165+14-49))*(1+(Cartera_Polizas!$P$165-1)*MAX(0,1-14/Supuestos!$C$20))*(1-Supuestos!$C$18)^14))</f>
        <v>0.145780013755621</v>
      </c>
      <c r="R163" s="29" t="n">
        <f aca="false">Q163*(1-MIN(1,INDEX(Tabla_Mortalidad!$B$5:$B$75,MIN(71,Cartera_Polizas!$B$165+15-49))*(1+(Cartera_Polizas!$P$165-1)*MAX(0,1-15/Supuestos!$C$20))*(1-Supuestos!$C$18)^15))</f>
        <v>0.12013507743316</v>
      </c>
      <c r="S163" s="29" t="n">
        <f aca="false">R163*(1-MIN(1,INDEX(Tabla_Mortalidad!$B$5:$B$75,MIN(71,Cartera_Polizas!$B$165+16-49))*(1+(Cartera_Polizas!$P$165-1)*MAX(0,1-16/Supuestos!$C$20))*(1-Supuestos!$C$18)^16))</f>
        <v>0.0969367404626753</v>
      </c>
      <c r="T163" s="29" t="n">
        <f aca="false">S163*(1-MIN(1,INDEX(Tabla_Mortalidad!$B$5:$B$75,MIN(71,Cartera_Polizas!$B$165+17-49))*(1+(Cartera_Polizas!$P$165-1)*MAX(0,1-17/Supuestos!$C$20))*(1-Supuestos!$C$18)^17))</f>
        <v>0.076416260620842</v>
      </c>
      <c r="U163" s="29" t="n">
        <f aca="false">T163*(1-MIN(1,INDEX(Tabla_Mortalidad!$B$5:$B$75,MIN(71,Cartera_Polizas!$B$165+18-49))*(1+(Cartera_Polizas!$P$165-1)*MAX(0,1-18/Supuestos!$C$20))*(1-Supuestos!$C$18)^18))</f>
        <v>0.0587082684261998</v>
      </c>
      <c r="V163" s="29" t="n">
        <f aca="false">U163*(1-MIN(1,INDEX(Tabla_Mortalidad!$B$5:$B$75,MIN(71,Cartera_Polizas!$B$165+19-49))*(1+(Cartera_Polizas!$P$165-1)*MAX(0,1-19/Supuestos!$C$20))*(1-Supuestos!$C$18)^19))</f>
        <v>0.043839544129713</v>
      </c>
      <c r="W163" s="29" t="n">
        <f aca="false">V163*(1-MIN(1,INDEX(Tabla_Mortalidad!$B$5:$B$75,MIN(71,Cartera_Polizas!$B$165+20-49))*(1+(Cartera_Polizas!$P$165-1)*MAX(0,1-20/Supuestos!$C$20))*(1-Supuestos!$C$18)^20))</f>
        <v>0.0317261755987425</v>
      </c>
      <c r="X163" s="29" t="n">
        <f aca="false">W163*(1-MIN(1,INDEX(Tabla_Mortalidad!$B$5:$B$75,MIN(71,Cartera_Polizas!$B$165+21-49))*(1+(Cartera_Polizas!$P$165-1)*MAX(0,1-21/Supuestos!$C$20))*(1-Supuestos!$C$18)^21))</f>
        <v>0.0221806505709893</v>
      </c>
      <c r="Y163" s="29" t="n">
        <f aca="false">X163*(1-MIN(1,INDEX(Tabla_Mortalidad!$B$5:$B$75,MIN(71,Cartera_Polizas!$B$165+22-49))*(1+(Cartera_Polizas!$P$165-1)*MAX(0,1-22/Supuestos!$C$20))*(1-Supuestos!$C$18)^22))</f>
        <v>0.0149293986349741</v>
      </c>
      <c r="Z163" s="29" t="n">
        <f aca="false">Y163*(1-MIN(1,INDEX(Tabla_Mortalidad!$B$5:$B$75,MIN(71,Cartera_Polizas!$B$165+23-49))*(1+(Cartera_Polizas!$P$165-1)*MAX(0,1-23/Supuestos!$C$20))*(1-Supuestos!$C$18)^23))</f>
        <v>0.00963857478653274</v>
      </c>
      <c r="AA163" s="29" t="n">
        <f aca="false">Z163*(1-MIN(1,INDEX(Tabla_Mortalidad!$B$5:$B$75,MIN(71,Cartera_Polizas!$B$165+24-49))*(1+(Cartera_Polizas!$P$165-1)*MAX(0,1-24/Supuestos!$C$20))*(1-Supuestos!$C$18)^24))</f>
        <v>0.00594516577138056</v>
      </c>
      <c r="AB163" s="29" t="n">
        <f aca="false">AA163*(1-MIN(1,INDEX(Tabla_Mortalidad!$B$5:$B$75,MIN(71,Cartera_Polizas!$B$165+25-49))*(1+(Cartera_Polizas!$P$165-1)*MAX(0,1-25/Supuestos!$C$20))*(1-Supuestos!$C$18)^25))</f>
        <v>0.00348874795319877</v>
      </c>
      <c r="AC163" s="29" t="n">
        <f aca="false">AB163*(1-MIN(1,INDEX(Tabla_Mortalidad!$B$5:$B$75,MIN(71,Cartera_Polizas!$B$165+26-49))*(1+(Cartera_Polizas!$P$165-1)*MAX(0,1-26/Supuestos!$C$20))*(1-Supuestos!$C$18)^26))</f>
        <v>0.00193916111313193</v>
      </c>
      <c r="AD163" s="29" t="n">
        <f aca="false">AC163*(1-MIN(1,INDEX(Tabla_Mortalidad!$B$5:$B$75,MIN(71,Cartera_Polizas!$B$165+27-49))*(1+(Cartera_Polizas!$P$165-1)*MAX(0,1-27/Supuestos!$C$20))*(1-Supuestos!$C$18)^27))</f>
        <v>0.0010162847558162</v>
      </c>
      <c r="AE163" s="29" t="n">
        <f aca="false">AD163*(1-MIN(1,INDEX(Tabla_Mortalidad!$B$5:$B$75,MIN(71,Cartera_Polizas!$B$165+28-49))*(1+(Cartera_Polizas!$P$165-1)*MAX(0,1-28/Supuestos!$C$20))*(1-Supuestos!$C$18)^28))</f>
        <v>0.000499878143079959</v>
      </c>
      <c r="AF163" s="29" t="n">
        <f aca="false">AE163*(1-MIN(1,INDEX(Tabla_Mortalidad!$B$5:$B$75,MIN(71,Cartera_Polizas!$B$165+29-49))*(1+(Cartera_Polizas!$P$165-1)*MAX(0,1-29/Supuestos!$C$20))*(1-Supuestos!$C$18)^29))</f>
        <v>0.000229707272969786</v>
      </c>
      <c r="AG163" s="29" t="n">
        <f aca="false">AF163*(1-MIN(1,INDEX(Tabla_Mortalidad!$B$5:$B$75,MIN(71,Cartera_Polizas!$B$165+30-49))*(1+(Cartera_Polizas!$P$165-1)*MAX(0,1-30/Supuestos!$C$20))*(1-Supuestos!$C$18)^30))</f>
        <v>9.81890715827196E-005</v>
      </c>
      <c r="AH163" s="29" t="n">
        <f aca="false">AG163*(1-MIN(1,INDEX(Tabla_Mortalidad!$B$5:$B$75,MIN(71,Cartera_Polizas!$B$165+31-49))*(1+(Cartera_Polizas!$P$165-1)*MAX(0,1-31/Supuestos!$C$20))*(1-Supuestos!$C$18)^31))</f>
        <v>3.88904095318227E-005</v>
      </c>
      <c r="AI163" s="29" t="n">
        <f aca="false">AH163*(1-MIN(1,INDEX(Tabla_Mortalidad!$B$5:$B$75,MIN(71,Cartera_Polizas!$B$165+32-49))*(1+(Cartera_Polizas!$P$165-1)*MAX(0,1-32/Supuestos!$C$20))*(1-Supuestos!$C$18)^32))</f>
        <v>1.42282434124115E-005</v>
      </c>
      <c r="AJ163" s="29" t="n">
        <f aca="false">AI163*(1-MIN(1,INDEX(Tabla_Mortalidad!$B$5:$B$75,MIN(71,Cartera_Polizas!$B$165+33-49))*(1+(Cartera_Polizas!$P$165-1)*MAX(0,1-33/Supuestos!$C$20))*(1-Supuestos!$C$18)^33))</f>
        <v>4.79852770249588E-006</v>
      </c>
      <c r="AK163" s="29" t="n">
        <f aca="false">AJ163*(1-MIN(1,INDEX(Tabla_Mortalidad!$B$5:$B$75,MIN(71,Cartera_Polizas!$B$165+34-49))*(1+(Cartera_Polizas!$P$165-1)*MAX(0,1-34/Supuestos!$C$20))*(1-Supuestos!$C$18)^34))</f>
        <v>1.49101630023634E-006</v>
      </c>
      <c r="AL163" s="29" t="n">
        <f aca="false">AK163*(1-MIN(1,INDEX(Tabla_Mortalidad!$B$5:$B$75,MIN(71,Cartera_Polizas!$B$165+35-49))*(1+(Cartera_Polizas!$P$165-1)*MAX(0,1-35/Supuestos!$C$20))*(1-Supuestos!$C$18)^35))</f>
        <v>4.27441848240455E-007</v>
      </c>
      <c r="AM163" s="29" t="n">
        <f aca="false">AL163*(1-MIN(1,INDEX(Tabla_Mortalidad!$B$5:$B$75,MIN(71,Cartera_Polizas!$B$165+36-49))*(1+(Cartera_Polizas!$P$165-1)*MAX(0,1-36/Supuestos!$C$20))*(1-Supuestos!$C$18)^36))</f>
        <v>1.13470564269875E-007</v>
      </c>
      <c r="AN163" s="29" t="n">
        <f aca="false">AM163*(1-MIN(1,INDEX(Tabla_Mortalidad!$B$5:$B$75,MIN(71,Cartera_Polizas!$B$165+37-49))*(1+(Cartera_Polizas!$P$165-1)*MAX(0,1-37/Supuestos!$C$20))*(1-Supuestos!$C$18)^37))</f>
        <v>2.80651247159589E-008</v>
      </c>
      <c r="AO163" s="29" t="n">
        <f aca="false">AN163*(1-MIN(1,INDEX(Tabla_Mortalidad!$B$5:$B$75,MIN(71,Cartera_Polizas!$B$165+38-49))*(1+(Cartera_Polizas!$P$165-1)*MAX(0,1-38/Supuestos!$C$20))*(1-Supuestos!$C$18)^38))</f>
        <v>6.52306516040979E-009</v>
      </c>
      <c r="AP163" s="29" t="n">
        <f aca="false">AO163*(1-MIN(1,INDEX(Tabla_Mortalidad!$B$5:$B$75,MIN(71,Cartera_Polizas!$B$165+39-49))*(1+(Cartera_Polizas!$P$165-1)*MAX(0,1-39/Supuestos!$C$20))*(1-Supuestos!$C$18)^39))</f>
        <v>1.43995816801842E-009</v>
      </c>
      <c r="AQ163" s="29" t="n">
        <f aca="false">AP163*(1-MIN(1,INDEX(Tabla_Mortalidad!$B$5:$B$75,MIN(71,Cartera_Polizas!$B$165+40-49))*(1+(Cartera_Polizas!$P$165-1)*MAX(0,1-40/Supuestos!$C$20))*(1-Supuestos!$C$18)^40))</f>
        <v>2.61611425697998E-010</v>
      </c>
      <c r="AR163" s="29" t="n">
        <f aca="false">AQ163*(1-MIN(1,INDEX(Tabla_Mortalidad!$B$5:$B$75,MIN(71,Cartera_Polizas!$B$165+41-49))*(1+(Cartera_Polizas!$P$165-1)*MAX(0,1-41/Supuestos!$C$20))*(1-Supuestos!$C$18)^41))</f>
        <v>4.85999416275884E-011</v>
      </c>
      <c r="AS163" s="29" t="n">
        <f aca="false">AR163*(1-MIN(1,INDEX(Tabla_Mortalidad!$B$5:$B$75,MIN(71,Cartera_Polizas!$B$165+42-49))*(1+(Cartera_Polizas!$P$165-1)*MAX(0,1-42/Supuestos!$C$20))*(1-Supuestos!$C$18)^42))</f>
        <v>9.22634035659634E-012</v>
      </c>
      <c r="AT163" s="29" t="n">
        <f aca="false">AS163*(1-MIN(1,INDEX(Tabla_Mortalidad!$B$5:$B$75,MIN(71,Cartera_Polizas!$B$165+43-49))*(1+(Cartera_Polizas!$P$165-1)*MAX(0,1-43/Supuestos!$C$20))*(1-Supuestos!$C$18)^43))</f>
        <v>1.78892658501384E-012</v>
      </c>
      <c r="AU163" s="29" t="n">
        <f aca="false">AT163*(1-MIN(1,INDEX(Tabla_Mortalidad!$B$5:$B$75,MIN(71,Cartera_Polizas!$B$165+44-49))*(1+(Cartera_Polizas!$P$165-1)*MAX(0,1-44/Supuestos!$C$20))*(1-Supuestos!$C$18)^44))</f>
        <v>3.5407140170505E-013</v>
      </c>
    </row>
    <row r="164" customFormat="false" ht="15" hidden="false" customHeight="false" outlineLevel="0" collapsed="false">
      <c r="A164" s="14" t="n">
        <f aca="false">Cartera_Polizas!A166</f>
        <v>161</v>
      </c>
      <c r="B164" s="26" t="n">
        <f aca="false">SUM(C164:AU164)+0.5</f>
        <v>10.2810276121255</v>
      </c>
      <c r="C164" s="29" t="n">
        <f aca="false">1-MIN(1,INDEX(Tabla_Mortalidad!$B$5:$B$75,MIN(71,Cartera_Polizas!$B$166+0-49))*(1+(Cartera_Polizas!$P$166-1)*MAX(0,1-0/Supuestos!$C$20))*(1-Supuestos!$C$18)^0)</f>
        <v>0.9500108575</v>
      </c>
      <c r="D164" s="29" t="n">
        <f aca="false">C164*(1-MIN(1,INDEX(Tabla_Mortalidad!$B$5:$B$75,MIN(71,Cartera_Polizas!$B$166+1-49))*(1+(Cartera_Polizas!$P$166-1)*MAX(0,1-1/Supuestos!$C$20))*(1-Supuestos!$C$18)^1))</f>
        <v>0.898632486739599</v>
      </c>
      <c r="E164" s="29" t="n">
        <f aca="false">D164*(1-MIN(1,INDEX(Tabla_Mortalidad!$B$5:$B$75,MIN(71,Cartera_Polizas!$B$166+2-49))*(1+(Cartera_Polizas!$P$166-1)*MAX(0,1-2/Supuestos!$C$20))*(1-Supuestos!$C$18)^2))</f>
        <v>0.846097779361</v>
      </c>
      <c r="F164" s="29" t="n">
        <f aca="false">E164*(1-MIN(1,INDEX(Tabla_Mortalidad!$B$5:$B$75,MIN(71,Cartera_Polizas!$B$166+3-49))*(1+(Cartera_Polizas!$P$166-1)*MAX(0,1-3/Supuestos!$C$20))*(1-Supuestos!$C$18)^3))</f>
        <v>0.792677563065229</v>
      </c>
      <c r="G164" s="29" t="n">
        <f aca="false">F164*(1-MIN(1,INDEX(Tabla_Mortalidad!$B$5:$B$75,MIN(71,Cartera_Polizas!$B$166+4-49))*(1+(Cartera_Polizas!$P$166-1)*MAX(0,1-4/Supuestos!$C$20))*(1-Supuestos!$C$18)^4))</f>
        <v>0.738676916266324</v>
      </c>
      <c r="H164" s="29" t="n">
        <f aca="false">G164*(1-MIN(1,INDEX(Tabla_Mortalidad!$B$5:$B$75,MIN(71,Cartera_Polizas!$B$166+5-49))*(1+(Cartera_Polizas!$P$166-1)*MAX(0,1-5/Supuestos!$C$20))*(1-Supuestos!$C$18)^5))</f>
        <v>0.684434442062799</v>
      </c>
      <c r="I164" s="29" t="n">
        <f aca="false">H164*(1-MIN(1,INDEX(Tabla_Mortalidad!$B$5:$B$75,MIN(71,Cartera_Polizas!$B$166+6-49))*(1+(Cartera_Polizas!$P$166-1)*MAX(0,1-6/Supuestos!$C$20))*(1-Supuestos!$C$18)^6))</f>
        <v>0.63031923930159</v>
      </c>
      <c r="J164" s="29" t="n">
        <f aca="false">I164*(1-MIN(1,INDEX(Tabla_Mortalidad!$B$5:$B$75,MIN(71,Cartera_Polizas!$B$166+7-49))*(1+(Cartera_Polizas!$P$166-1)*MAX(0,1-7/Supuestos!$C$20))*(1-Supuestos!$C$18)^7))</f>
        <v>0.576722216040329</v>
      </c>
      <c r="K164" s="29" t="n">
        <f aca="false">J164*(1-MIN(1,INDEX(Tabla_Mortalidad!$B$5:$B$75,MIN(71,Cartera_Polizas!$B$166+8-49))*(1+(Cartera_Polizas!$P$166-1)*MAX(0,1-8/Supuestos!$C$20))*(1-Supuestos!$C$18)^8))</f>
        <v>0.524047731852956</v>
      </c>
      <c r="L164" s="29" t="n">
        <f aca="false">K164*(1-MIN(1,INDEX(Tabla_Mortalidad!$B$5:$B$75,MIN(71,Cartera_Polizas!$B$166+9-49))*(1+(Cartera_Polizas!$P$166-1)*MAX(0,1-9/Supuestos!$C$20))*(1-Supuestos!$C$18)^9))</f>
        <v>0.472707193635658</v>
      </c>
      <c r="M164" s="29" t="n">
        <f aca="false">L164*(1-MIN(1,INDEX(Tabla_Mortalidad!$B$5:$B$75,MIN(71,Cartera_Polizas!$B$166+10-49))*(1+(Cartera_Polizas!$P$166-1)*MAX(0,1-10/Supuestos!$C$20))*(1-Supuestos!$C$18)^10))</f>
        <v>0.423103872837173</v>
      </c>
      <c r="N164" s="29" t="n">
        <f aca="false">M164*(1-MIN(1,INDEX(Tabla_Mortalidad!$B$5:$B$75,MIN(71,Cartera_Polizas!$B$166+11-49))*(1+(Cartera_Polizas!$P$166-1)*MAX(0,1-11/Supuestos!$C$20))*(1-Supuestos!$C$18)^11))</f>
        <v>0.375624907927469</v>
      </c>
      <c r="O164" s="29" t="n">
        <f aca="false">N164*(1-MIN(1,INDEX(Tabla_Mortalidad!$B$5:$B$75,MIN(71,Cartera_Polizas!$B$166+12-49))*(1+(Cartera_Polizas!$P$166-1)*MAX(0,1-12/Supuestos!$C$20))*(1-Supuestos!$C$18)^12))</f>
        <v>0.330626143517883</v>
      </c>
      <c r="P164" s="29" t="n">
        <f aca="false">O164*(1-MIN(1,INDEX(Tabla_Mortalidad!$B$5:$B$75,MIN(71,Cartera_Polizas!$B$166+13-49))*(1+(Cartera_Polizas!$P$166-1)*MAX(0,1-13/Supuestos!$C$20))*(1-Supuestos!$C$18)^13))</f>
        <v>0.288420730888607</v>
      </c>
      <c r="Q164" s="29" t="n">
        <f aca="false">P164*(1-MIN(1,INDEX(Tabla_Mortalidad!$B$5:$B$75,MIN(71,Cartera_Polizas!$B$166+14-49))*(1+(Cartera_Polizas!$P$166-1)*MAX(0,1-14/Supuestos!$C$20))*(1-Supuestos!$C$18)^14))</f>
        <v>0.249267658849147</v>
      </c>
      <c r="R164" s="29" t="n">
        <f aca="false">Q164*(1-MIN(1,INDEX(Tabla_Mortalidad!$B$5:$B$75,MIN(71,Cartera_Polizas!$B$166+15-49))*(1+(Cartera_Polizas!$P$166-1)*MAX(0,1-15/Supuestos!$C$20))*(1-Supuestos!$C$18)^15))</f>
        <v>0.213362369363909</v>
      </c>
      <c r="S164" s="29" t="n">
        <f aca="false">R164*(1-MIN(1,INDEX(Tabla_Mortalidad!$B$5:$B$75,MIN(71,Cartera_Polizas!$B$166+16-49))*(1+(Cartera_Polizas!$P$166-1)*MAX(0,1-16/Supuestos!$C$20))*(1-Supuestos!$C$18)^16))</f>
        <v>0.179550431725679</v>
      </c>
      <c r="T164" s="29" t="n">
        <f aca="false">S164*(1-MIN(1,INDEX(Tabla_Mortalidad!$B$5:$B$75,MIN(71,Cartera_Polizas!$B$166+17-49))*(1+(Cartera_Polizas!$P$166-1)*MAX(0,1-17/Supuestos!$C$20))*(1-Supuestos!$C$18)^17))</f>
        <v>0.148279828911639</v>
      </c>
      <c r="U164" s="29" t="n">
        <f aca="false">T164*(1-MIN(1,INDEX(Tabla_Mortalidad!$B$5:$B$75,MIN(71,Cartera_Polizas!$B$166+18-49))*(1+(Cartera_Polizas!$P$166-1)*MAX(0,1-18/Supuestos!$C$20))*(1-Supuestos!$C$18)^18))</f>
        <v>0.119932296687518</v>
      </c>
      <c r="V164" s="29" t="n">
        <f aca="false">U164*(1-MIN(1,INDEX(Tabla_Mortalidad!$B$5:$B$75,MIN(71,Cartera_Polizas!$B$166+19-49))*(1+(Cartera_Polizas!$P$166-1)*MAX(0,1-19/Supuestos!$C$20))*(1-Supuestos!$C$18)^19))</f>
        <v>0.0947971507266278</v>
      </c>
      <c r="W164" s="29" t="n">
        <f aca="false">V164*(1-MIN(1,INDEX(Tabla_Mortalidad!$B$5:$B$75,MIN(71,Cartera_Polizas!$B$166+20-49))*(1+(Cartera_Polizas!$P$166-1)*MAX(0,1-20/Supuestos!$C$20))*(1-Supuestos!$C$18)^20))</f>
        <v>0.0730488672295303</v>
      </c>
      <c r="X164" s="29" t="n">
        <f aca="false">W164*(1-MIN(1,INDEX(Tabla_Mortalidad!$B$5:$B$75,MIN(71,Cartera_Polizas!$B$166+21-49))*(1+(Cartera_Polizas!$P$166-1)*MAX(0,1-21/Supuestos!$C$20))*(1-Supuestos!$C$18)^21))</f>
        <v>0.0547327217401619</v>
      </c>
      <c r="Y164" s="29" t="n">
        <f aca="false">X164*(1-MIN(1,INDEX(Tabla_Mortalidad!$B$5:$B$75,MIN(71,Cartera_Polizas!$B$166+22-49))*(1+(Cartera_Polizas!$P$166-1)*MAX(0,1-22/Supuestos!$C$20))*(1-Supuestos!$C$18)^22))</f>
        <v>0.0397602980797143</v>
      </c>
      <c r="Z164" s="29" t="n">
        <f aca="false">Y164*(1-MIN(1,INDEX(Tabla_Mortalidad!$B$5:$B$75,MIN(71,Cartera_Polizas!$B$166+23-49))*(1+(Cartera_Polizas!$P$166-1)*MAX(0,1-23/Supuestos!$C$20))*(1-Supuestos!$C$18)^23))</f>
        <v>0.0279168573731567</v>
      </c>
      <c r="AA164" s="29" t="n">
        <f aca="false">Z164*(1-MIN(1,INDEX(Tabla_Mortalidad!$B$5:$B$75,MIN(71,Cartera_Polizas!$B$166+24-49))*(1+(Cartera_Polizas!$P$166-1)*MAX(0,1-24/Supuestos!$C$20))*(1-Supuestos!$C$18)^24))</f>
        <v>0.0188813737395028</v>
      </c>
      <c r="AB164" s="29" t="n">
        <f aca="false">AA164*(1-MIN(1,INDEX(Tabla_Mortalidad!$B$5:$B$75,MIN(71,Cartera_Polizas!$B$166+25-49))*(1+(Cartera_Polizas!$P$166-1)*MAX(0,1-25/Supuestos!$C$20))*(1-Supuestos!$C$18)^25))</f>
        <v>0.0122567572953786</v>
      </c>
      <c r="AC164" s="29" t="n">
        <f aca="false">AB164*(1-MIN(1,INDEX(Tabla_Mortalidad!$B$5:$B$75,MIN(71,Cartera_Polizas!$B$166+26-49))*(1+(Cartera_Polizas!$P$166-1)*MAX(0,1-26/Supuestos!$C$20))*(1-Supuestos!$C$18)^26))</f>
        <v>0.00760693525888433</v>
      </c>
      <c r="AD164" s="29" t="n">
        <f aca="false">AC164*(1-MIN(1,INDEX(Tabla_Mortalidad!$B$5:$B$75,MIN(71,Cartera_Polizas!$B$166+27-49))*(1+(Cartera_Polizas!$P$166-1)*MAX(0,1-27/Supuestos!$C$20))*(1-Supuestos!$C$18)^27))</f>
        <v>0.00449526082368201</v>
      </c>
      <c r="AE164" s="29" t="n">
        <f aca="false">AD164*(1-MIN(1,INDEX(Tabla_Mortalidad!$B$5:$B$75,MIN(71,Cartera_Polizas!$B$166+28-49))*(1+(Cartera_Polizas!$P$166-1)*MAX(0,1-28/Supuestos!$C$20))*(1-Supuestos!$C$18)^28))</f>
        <v>0.00251853069518491</v>
      </c>
      <c r="AF164" s="29" t="n">
        <f aca="false">AE164*(1-MIN(1,INDEX(Tabla_Mortalidad!$B$5:$B$75,MIN(71,Cartera_Polizas!$B$166+29-49))*(1+(Cartera_Polizas!$P$166-1)*MAX(0,1-29/Supuestos!$C$20))*(1-Supuestos!$C$18)^29))</f>
        <v>0.00133187962160967</v>
      </c>
      <c r="AG164" s="29" t="n">
        <f aca="false">AF164*(1-MIN(1,INDEX(Tabla_Mortalidad!$B$5:$B$75,MIN(71,Cartera_Polizas!$B$166+30-49))*(1+(Cartera_Polizas!$P$166-1)*MAX(0,1-30/Supuestos!$C$20))*(1-Supuestos!$C$18)^30))</f>
        <v>0.000661860003173672</v>
      </c>
      <c r="AH164" s="29" t="n">
        <f aca="false">AG164*(1-MIN(1,INDEX(Tabla_Mortalidad!$B$5:$B$75,MIN(71,Cartera_Polizas!$B$166+31-49))*(1+(Cartera_Polizas!$P$166-1)*MAX(0,1-31/Supuestos!$C$20))*(1-Supuestos!$C$18)^31))</f>
        <v>0.000307710471228496</v>
      </c>
      <c r="AI164" s="29" t="n">
        <f aca="false">AH164*(1-MIN(1,INDEX(Tabla_Mortalidad!$B$5:$B$75,MIN(71,Cartera_Polizas!$B$166+32-49))*(1+(Cartera_Polizas!$P$166-1)*MAX(0,1-32/Supuestos!$C$20))*(1-Supuestos!$C$18)^32))</f>
        <v>0.000133289158107243</v>
      </c>
      <c r="AJ164" s="29" t="n">
        <f aca="false">AI164*(1-MIN(1,INDEX(Tabla_Mortalidad!$B$5:$B$75,MIN(71,Cartera_Polizas!$B$166+33-49))*(1+(Cartera_Polizas!$P$166-1)*MAX(0,1-33/Supuestos!$C$20))*(1-Supuestos!$C$18)^33))</f>
        <v>5.35956899358917E-005</v>
      </c>
      <c r="AK164" s="29" t="n">
        <f aca="false">AJ164*(1-MIN(1,INDEX(Tabla_Mortalidad!$B$5:$B$75,MIN(71,Cartera_Polizas!$B$166+34-49))*(1+(Cartera_Polizas!$P$166-1)*MAX(0,1-34/Supuestos!$C$20))*(1-Supuestos!$C$18)^34))</f>
        <v>1.99472657923247E-005</v>
      </c>
      <c r="AL164" s="29" t="n">
        <f aca="false">AK164*(1-MIN(1,INDEX(Tabla_Mortalidad!$B$5:$B$75,MIN(71,Cartera_Polizas!$B$166+35-49))*(1+(Cartera_Polizas!$P$166-1)*MAX(0,1-35/Supuestos!$C$20))*(1-Supuestos!$C$18)^35))</f>
        <v>6.85915841433827E-006</v>
      </c>
      <c r="AM164" s="29" t="n">
        <f aca="false">AL164*(1-MIN(1,INDEX(Tabla_Mortalidad!$B$5:$B$75,MIN(71,Cartera_Polizas!$B$166+36-49))*(1+(Cartera_Polizas!$P$166-1)*MAX(0,1-36/Supuestos!$C$20))*(1-Supuestos!$C$18)^36))</f>
        <v>2.17846346375808E-006</v>
      </c>
      <c r="AN164" s="29" t="n">
        <f aca="false">AM164*(1-MIN(1,INDEX(Tabla_Mortalidad!$B$5:$B$75,MIN(71,Cartera_Polizas!$B$166+37-49))*(1+(Cartera_Polizas!$P$166-1)*MAX(0,1-37/Supuestos!$C$20))*(1-Supuestos!$C$18)^37))</f>
        <v>6.40018560505523E-007</v>
      </c>
      <c r="AO164" s="29" t="n">
        <f aca="false">AN164*(1-MIN(1,INDEX(Tabla_Mortalidad!$B$5:$B$75,MIN(71,Cartera_Polizas!$B$166+38-49))*(1+(Cartera_Polizas!$P$166-1)*MAX(0,1-38/Supuestos!$C$20))*(1-Supuestos!$C$18)^38))</f>
        <v>1.74591510674014E-007</v>
      </c>
      <c r="AP164" s="29" t="n">
        <f aca="false">AO164*(1-MIN(1,INDEX(Tabla_Mortalidad!$B$5:$B$75,MIN(71,Cartera_Polizas!$B$166+39-49))*(1+(Cartera_Polizas!$P$166-1)*MAX(0,1-39/Supuestos!$C$20))*(1-Supuestos!$C$18)^39))</f>
        <v>4.44932165834961E-008</v>
      </c>
      <c r="AQ164" s="29" t="n">
        <f aca="false">AP164*(1-MIN(1,INDEX(Tabla_Mortalidad!$B$5:$B$75,MIN(71,Cartera_Polizas!$B$166+40-49))*(1+(Cartera_Polizas!$P$166-1)*MAX(0,1-40/Supuestos!$C$20))*(1-Supuestos!$C$18)^40))</f>
        <v>1.06820456823574E-008</v>
      </c>
      <c r="AR164" s="29" t="n">
        <f aca="false">AQ164*(1-MIN(1,INDEX(Tabla_Mortalidad!$B$5:$B$75,MIN(71,Cartera_Polizas!$B$166+41-49))*(1+(Cartera_Polizas!$P$166-1)*MAX(0,1-41/Supuestos!$C$20))*(1-Supuestos!$C$18)^41))</f>
        <v>2.44107960006012E-009</v>
      </c>
      <c r="AS164" s="29" t="n">
        <f aca="false">AR164*(1-MIN(1,INDEX(Tabla_Mortalidad!$B$5:$B$75,MIN(71,Cartera_Polizas!$B$166+42-49))*(1+(Cartera_Polizas!$P$166-1)*MAX(0,1-42/Supuestos!$C$20))*(1-Supuestos!$C$18)^42))</f>
        <v>4.6342095223657E-010</v>
      </c>
      <c r="AT164" s="29" t="n">
        <f aca="false">AS164*(1-MIN(1,INDEX(Tabla_Mortalidad!$B$5:$B$75,MIN(71,Cartera_Polizas!$B$166+43-49))*(1+(Cartera_Polizas!$P$166-1)*MAX(0,1-43/Supuestos!$C$20))*(1-Supuestos!$C$18)^43))</f>
        <v>8.98542682652846E-011</v>
      </c>
      <c r="AU164" s="29" t="n">
        <f aca="false">AT164*(1-MIN(1,INDEX(Tabla_Mortalidad!$B$5:$B$75,MIN(71,Cartera_Polizas!$B$166+44-49))*(1+(Cartera_Polizas!$P$166-1)*MAX(0,1-44/Supuestos!$C$20))*(1-Supuestos!$C$18)^44))</f>
        <v>1.77843109831278E-011</v>
      </c>
    </row>
    <row r="165" customFormat="false" ht="15" hidden="false" customHeight="false" outlineLevel="0" collapsed="false">
      <c r="A165" s="14" t="n">
        <f aca="false">Cartera_Polizas!A167</f>
        <v>162</v>
      </c>
      <c r="B165" s="26" t="n">
        <f aca="false">SUM(C165:AU165)+0.5</f>
        <v>5.05491015893638</v>
      </c>
      <c r="C165" s="29" t="n">
        <f aca="false">1-MIN(1,INDEX(Tabla_Mortalidad!$B$5:$B$75,MIN(71,Cartera_Polizas!$B$167+0-49))*(1+(Cartera_Polizas!$P$167-1)*MAX(0,1-0/Supuestos!$C$20))*(1-Supuestos!$C$18)^0)</f>
        <v>0.85870346</v>
      </c>
      <c r="D165" s="29" t="n">
        <f aca="false">C165*(1-MIN(1,INDEX(Tabla_Mortalidad!$B$5:$B$75,MIN(71,Cartera_Polizas!$B$167+1-49))*(1+(Cartera_Polizas!$P$167-1)*MAX(0,1-1/Supuestos!$C$20))*(1-Supuestos!$C$18)^1))</f>
        <v>0.729146836775963</v>
      </c>
      <c r="E165" s="29" t="n">
        <f aca="false">D165*(1-MIN(1,INDEX(Tabla_Mortalidad!$B$5:$B$75,MIN(71,Cartera_Polizas!$B$167+2-49))*(1+(Cartera_Polizas!$P$167-1)*MAX(0,1-2/Supuestos!$C$20))*(1-Supuestos!$C$18)^2))</f>
        <v>0.611888532404656</v>
      </c>
      <c r="F165" s="29" t="n">
        <f aca="false">E165*(1-MIN(1,INDEX(Tabla_Mortalidad!$B$5:$B$75,MIN(71,Cartera_Polizas!$B$167+3-49))*(1+(Cartera_Polizas!$P$167-1)*MAX(0,1-3/Supuestos!$C$20))*(1-Supuestos!$C$18)^3))</f>
        <v>0.507201616178808</v>
      </c>
      <c r="G165" s="29" t="n">
        <f aca="false">F165*(1-MIN(1,INDEX(Tabla_Mortalidad!$B$5:$B$75,MIN(71,Cartera_Polizas!$B$167+4-49))*(1+(Cartera_Polizas!$P$167-1)*MAX(0,1-4/Supuestos!$C$20))*(1-Supuestos!$C$18)^4))</f>
        <v>0.415075268886584</v>
      </c>
      <c r="H165" s="29" t="n">
        <f aca="false">G165*(1-MIN(1,INDEX(Tabla_Mortalidad!$B$5:$B$75,MIN(71,Cartera_Polizas!$B$167+5-49))*(1+(Cartera_Polizas!$P$167-1)*MAX(0,1-5/Supuestos!$C$20))*(1-Supuestos!$C$18)^5))</f>
        <v>0.335215181258462</v>
      </c>
      <c r="I165" s="29" t="n">
        <f aca="false">H165*(1-MIN(1,INDEX(Tabla_Mortalidad!$B$5:$B$75,MIN(71,Cartera_Polizas!$B$167+6-49))*(1+(Cartera_Polizas!$P$167-1)*MAX(0,1-6/Supuestos!$C$20))*(1-Supuestos!$C$18)^6))</f>
        <v>0.267067533928435</v>
      </c>
      <c r="J165" s="29" t="n">
        <f aca="false">I165*(1-MIN(1,INDEX(Tabla_Mortalidad!$B$5:$B$75,MIN(71,Cartera_Polizas!$B$167+7-49))*(1+(Cartera_Polizas!$P$167-1)*MAX(0,1-7/Supuestos!$C$20))*(1-Supuestos!$C$18)^7))</f>
        <v>0.20985453513708</v>
      </c>
      <c r="K165" s="29" t="n">
        <f aca="false">J165*(1-MIN(1,INDEX(Tabla_Mortalidad!$B$5:$B$75,MIN(71,Cartera_Polizas!$B$167+8-49))*(1+(Cartera_Polizas!$P$167-1)*MAX(0,1-8/Supuestos!$C$20))*(1-Supuestos!$C$18)^8))</f>
        <v>0.162621855322324</v>
      </c>
      <c r="L165" s="29" t="n">
        <f aca="false">K165*(1-MIN(1,INDEX(Tabla_Mortalidad!$B$5:$B$75,MIN(71,Cartera_Polizas!$B$167+9-49))*(1+(Cartera_Polizas!$P$167-1)*MAX(0,1-9/Supuestos!$C$20))*(1-Supuestos!$C$18)^9))</f>
        <v>0.124293161450944</v>
      </c>
      <c r="M165" s="29" t="n">
        <f aca="false">L165*(1-MIN(1,INDEX(Tabla_Mortalidad!$B$5:$B$75,MIN(71,Cartera_Polizas!$B$167+10-49))*(1+(Cartera_Polizas!$P$167-1)*MAX(0,1-10/Supuestos!$C$20))*(1-Supuestos!$C$18)^10))</f>
        <v>0.0937272379146535</v>
      </c>
      <c r="N165" s="29" t="n">
        <f aca="false">M165*(1-MIN(1,INDEX(Tabla_Mortalidad!$B$5:$B$75,MIN(71,Cartera_Polizas!$B$167+11-49))*(1+(Cartera_Polizas!$P$167-1)*MAX(0,1-11/Supuestos!$C$20))*(1-Supuestos!$C$18)^11))</f>
        <v>0.0697747004070107</v>
      </c>
      <c r="O165" s="29" t="n">
        <f aca="false">N165*(1-MIN(1,INDEX(Tabla_Mortalidad!$B$5:$B$75,MIN(71,Cartera_Polizas!$B$167+12-49))*(1+(Cartera_Polizas!$P$167-1)*MAX(0,1-12/Supuestos!$C$20))*(1-Supuestos!$C$18)^12))</f>
        <v>0.0513275637689043</v>
      </c>
      <c r="P165" s="29" t="n">
        <f aca="false">O165*(1-MIN(1,INDEX(Tabla_Mortalidad!$B$5:$B$75,MIN(71,Cartera_Polizas!$B$167+13-49))*(1+(Cartera_Polizas!$P$167-1)*MAX(0,1-13/Supuestos!$C$20))*(1-Supuestos!$C$18)^13))</f>
        <v>0.0373590343157741</v>
      </c>
      <c r="Q165" s="29" t="n">
        <f aca="false">P165*(1-MIN(1,INDEX(Tabla_Mortalidad!$B$5:$B$75,MIN(71,Cartera_Polizas!$B$167+14-49))*(1+(Cartera_Polizas!$P$167-1)*MAX(0,1-14/Supuestos!$C$20))*(1-Supuestos!$C$18)^14))</f>
        <v>0.0269521803486658</v>
      </c>
      <c r="R165" s="29" t="n">
        <f aca="false">Q165*(1-MIN(1,INDEX(Tabla_Mortalidad!$B$5:$B$75,MIN(71,Cartera_Polizas!$B$167+15-49))*(1+(Cartera_Polizas!$P$167-1)*MAX(0,1-15/Supuestos!$C$20))*(1-Supuestos!$C$18)^15))</f>
        <v>0.0193159784752257</v>
      </c>
      <c r="S165" s="29" t="n">
        <f aca="false">R165*(1-MIN(1,INDEX(Tabla_Mortalidad!$B$5:$B$75,MIN(71,Cartera_Polizas!$B$167+16-49))*(1+(Cartera_Polizas!$P$167-1)*MAX(0,1-16/Supuestos!$C$20))*(1-Supuestos!$C$18)^16))</f>
        <v>0.0133568409793561</v>
      </c>
      <c r="T165" s="29" t="n">
        <f aca="false">S165*(1-MIN(1,INDEX(Tabla_Mortalidad!$B$5:$B$75,MIN(71,Cartera_Polizas!$B$167+17-49))*(1+(Cartera_Polizas!$P$167-1)*MAX(0,1-17/Supuestos!$C$20))*(1-Supuestos!$C$18)^17))</f>
        <v>0.0088794289051963</v>
      </c>
      <c r="U165" s="29" t="n">
        <f aca="false">T165*(1-MIN(1,INDEX(Tabla_Mortalidad!$B$5:$B$75,MIN(71,Cartera_Polizas!$B$167+18-49))*(1+(Cartera_Polizas!$P$167-1)*MAX(0,1-18/Supuestos!$C$20))*(1-Supuestos!$C$18)^18))</f>
        <v>0.00565278812314695</v>
      </c>
      <c r="V165" s="29" t="n">
        <f aca="false">U165*(1-MIN(1,INDEX(Tabla_Mortalidad!$B$5:$B$75,MIN(71,Cartera_Polizas!$B$167+19-49))*(1+(Cartera_Polizas!$P$167-1)*MAX(0,1-19/Supuestos!$C$20))*(1-Supuestos!$C$18)^19))</f>
        <v>0.00343171995804343</v>
      </c>
      <c r="W165" s="29" t="n">
        <f aca="false">V165*(1-MIN(1,INDEX(Tabla_Mortalidad!$B$5:$B$75,MIN(71,Cartera_Polizas!$B$167+20-49))*(1+(Cartera_Polizas!$P$167-1)*MAX(0,1-20/Supuestos!$C$20))*(1-Supuestos!$C$18)^20))</f>
        <v>0.00197781938745244</v>
      </c>
      <c r="X165" s="29" t="n">
        <f aca="false">W165*(1-MIN(1,INDEX(Tabla_Mortalidad!$B$5:$B$75,MIN(71,Cartera_Polizas!$B$167+21-49))*(1+(Cartera_Polizas!$P$167-1)*MAX(0,1-21/Supuestos!$C$20))*(1-Supuestos!$C$18)^21))</f>
        <v>0.00107704184368781</v>
      </c>
      <c r="Y165" s="29" t="n">
        <f aca="false">X165*(1-MIN(1,INDEX(Tabla_Mortalidad!$B$5:$B$75,MIN(71,Cartera_Polizas!$B$167+22-49))*(1+(Cartera_Polizas!$P$167-1)*MAX(0,1-22/Supuestos!$C$20))*(1-Supuestos!$C$18)^22))</f>
        <v>0.000551452200047663</v>
      </c>
      <c r="Z165" s="29" t="n">
        <f aca="false">Y165*(1-MIN(1,INDEX(Tabla_Mortalidad!$B$5:$B$75,MIN(71,Cartera_Polizas!$B$167+23-49))*(1+(Cartera_Polizas!$P$167-1)*MAX(0,1-23/Supuestos!$C$20))*(1-Supuestos!$C$18)^23))</f>
        <v>0.000264130218042599</v>
      </c>
      <c r="AA165" s="29" t="n">
        <f aca="false">Z165*(1-MIN(1,INDEX(Tabla_Mortalidad!$B$5:$B$75,MIN(71,Cartera_Polizas!$B$167+24-49))*(1+(Cartera_Polizas!$P$167-1)*MAX(0,1-24/Supuestos!$C$20))*(1-Supuestos!$C$18)^24))</f>
        <v>0.000117751796470545</v>
      </c>
      <c r="AB165" s="29" t="n">
        <f aca="false">AA165*(1-MIN(1,INDEX(Tabla_Mortalidad!$B$5:$B$75,MIN(71,Cartera_Polizas!$B$167+25-49))*(1+(Cartera_Polizas!$P$167-1)*MAX(0,1-25/Supuestos!$C$20))*(1-Supuestos!$C$18)^25))</f>
        <v>4.86223224013474E-005</v>
      </c>
      <c r="AC165" s="29" t="n">
        <f aca="false">AB165*(1-MIN(1,INDEX(Tabla_Mortalidad!$B$5:$B$75,MIN(71,Cartera_Polizas!$B$167+26-49))*(1+(Cartera_Polizas!$P$167-1)*MAX(0,1-26/Supuestos!$C$20))*(1-Supuestos!$C$18)^26))</f>
        <v>1.85129269349025E-005</v>
      </c>
      <c r="AD165" s="29" t="n">
        <f aca="false">AC165*(1-MIN(1,INDEX(Tabla_Mortalidad!$B$5:$B$75,MIN(71,Cartera_Polizas!$B$167+27-49))*(1+(Cartera_Polizas!$P$167-1)*MAX(0,1-27/Supuestos!$C$20))*(1-Supuestos!$C$18)^27))</f>
        <v>6.47509195138447E-006</v>
      </c>
      <c r="AE165" s="29" t="n">
        <f aca="false">AD165*(1-MIN(1,INDEX(Tabla_Mortalidad!$B$5:$B$75,MIN(71,Cartera_Polizas!$B$167+28-49))*(1+(Cartera_Polizas!$P$167-1)*MAX(0,1-28/Supuestos!$C$20))*(1-Supuestos!$C$18)^28))</f>
        <v>2.07483690450735E-006</v>
      </c>
      <c r="AF165" s="29" t="n">
        <f aca="false">AE165*(1-MIN(1,INDEX(Tabla_Mortalidad!$B$5:$B$75,MIN(71,Cartera_Polizas!$B$167+29-49))*(1+(Cartera_Polizas!$P$167-1)*MAX(0,1-29/Supuestos!$C$20))*(1-Supuestos!$C$18)^29))</f>
        <v>6.08404989268635E-007</v>
      </c>
      <c r="AG165" s="29" t="n">
        <f aca="false">AF165*(1-MIN(1,INDEX(Tabla_Mortalidad!$B$5:$B$75,MIN(71,Cartera_Polizas!$B$167+30-49))*(1+(Cartera_Polizas!$P$167-1)*MAX(0,1-30/Supuestos!$C$20))*(1-Supuestos!$C$18)^30))</f>
        <v>1.63402061343155E-007</v>
      </c>
      <c r="AH165" s="29" t="n">
        <f aca="false">AG165*(1-MIN(1,INDEX(Tabla_Mortalidad!$B$5:$B$75,MIN(71,Cartera_Polizas!$B$167+31-49))*(1+(Cartera_Polizas!$P$167-1)*MAX(0,1-31/Supuestos!$C$20))*(1-Supuestos!$C$18)^31))</f>
        <v>4.03312631841479E-008</v>
      </c>
      <c r="AI165" s="29" t="n">
        <f aca="false">AH165*(1-MIN(1,INDEX(Tabla_Mortalidad!$B$5:$B$75,MIN(71,Cartera_Polizas!$B$167+32-49))*(1+(Cartera_Polizas!$P$167-1)*MAX(0,1-32/Supuestos!$C$20))*(1-Supuestos!$C$18)^32))</f>
        <v>9.20487435371763E-009</v>
      </c>
      <c r="AJ165" s="29" t="n">
        <f aca="false">AI165*(1-MIN(1,INDEX(Tabla_Mortalidad!$B$5:$B$75,MIN(71,Cartera_Polizas!$B$167+33-49))*(1+(Cartera_Polizas!$P$167-1)*MAX(0,1-33/Supuestos!$C$20))*(1-Supuestos!$C$18)^33))</f>
        <v>1.96013597687872E-009</v>
      </c>
      <c r="AK165" s="29" t="n">
        <f aca="false">AJ165*(1-MIN(1,INDEX(Tabla_Mortalidad!$B$5:$B$75,MIN(71,Cartera_Polizas!$B$167+34-49))*(1+(Cartera_Polizas!$P$167-1)*MAX(0,1-34/Supuestos!$C$20))*(1-Supuestos!$C$18)^34))</f>
        <v>3.93931970864467E-010</v>
      </c>
      <c r="AL165" s="29" t="n">
        <f aca="false">AK165*(1-MIN(1,INDEX(Tabla_Mortalidad!$B$5:$B$75,MIN(71,Cartera_Polizas!$B$167+35-49))*(1+(Cartera_Polizas!$P$167-1)*MAX(0,1-35/Supuestos!$C$20))*(1-Supuestos!$C$18)^35))</f>
        <v>6.33881408512578E-011</v>
      </c>
      <c r="AM165" s="29" t="n">
        <f aca="false">AL165*(1-MIN(1,INDEX(Tabla_Mortalidad!$B$5:$B$75,MIN(71,Cartera_Polizas!$B$167+36-49))*(1+(Cartera_Polizas!$P$167-1)*MAX(0,1-36/Supuestos!$C$20))*(1-Supuestos!$C$18)^36))</f>
        <v>1.04658151655056E-011</v>
      </c>
      <c r="AN165" s="29" t="n">
        <f aca="false">AM165*(1-MIN(1,INDEX(Tabla_Mortalidad!$B$5:$B$75,MIN(71,Cartera_Polizas!$B$167+37-49))*(1+(Cartera_Polizas!$P$167-1)*MAX(0,1-37/Supuestos!$C$20))*(1-Supuestos!$C$18)^37))</f>
        <v>1.77166678126478E-012</v>
      </c>
      <c r="AO165" s="29" t="n">
        <f aca="false">AN165*(1-MIN(1,INDEX(Tabla_Mortalidad!$B$5:$B$75,MIN(71,Cartera_Polizas!$B$167+38-49))*(1+(Cartera_Polizas!$P$167-1)*MAX(0,1-38/Supuestos!$C$20))*(1-Supuestos!$C$18)^38))</f>
        <v>3.07268836913429E-013</v>
      </c>
      <c r="AP165" s="29" t="n">
        <f aca="false">AO165*(1-MIN(1,INDEX(Tabla_Mortalidad!$B$5:$B$75,MIN(71,Cartera_Polizas!$B$167+39-49))*(1+(Cartera_Polizas!$P$167-1)*MAX(0,1-39/Supuestos!$C$20))*(1-Supuestos!$C$18)^39))</f>
        <v>5.45610260496163E-014</v>
      </c>
      <c r="AQ165" s="29" t="n">
        <f aca="false">AP165*(1-MIN(1,INDEX(Tabla_Mortalidad!$B$5:$B$75,MIN(71,Cartera_Polizas!$B$167+40-49))*(1+(Cartera_Polizas!$P$167-1)*MAX(0,1-40/Supuestos!$C$20))*(1-Supuestos!$C$18)^40))</f>
        <v>9.91264060957301E-015</v>
      </c>
      <c r="AR165" s="29" t="n">
        <f aca="false">AQ165*(1-MIN(1,INDEX(Tabla_Mortalidad!$B$5:$B$75,MIN(71,Cartera_Polizas!$B$167+41-49))*(1+(Cartera_Polizas!$P$167-1)*MAX(0,1-41/Supuestos!$C$20))*(1-Supuestos!$C$18)^41))</f>
        <v>1.84148591260935E-015</v>
      </c>
      <c r="AS165" s="29" t="n">
        <f aca="false">AR165*(1-MIN(1,INDEX(Tabla_Mortalidad!$B$5:$B$75,MIN(71,Cartera_Polizas!$B$167+42-49))*(1+(Cartera_Polizas!$P$167-1)*MAX(0,1-42/Supuestos!$C$20))*(1-Supuestos!$C$18)^42))</f>
        <v>3.49592514365626E-016</v>
      </c>
      <c r="AT165" s="29" t="n">
        <f aca="false">AS165*(1-MIN(1,INDEX(Tabla_Mortalidad!$B$5:$B$75,MIN(71,Cartera_Polizas!$B$167+43-49))*(1+(Cartera_Polizas!$P$167-1)*MAX(0,1-43/Supuestos!$C$20))*(1-Supuestos!$C$18)^43))</f>
        <v>6.77836843969641E-017</v>
      </c>
      <c r="AU165" s="29" t="n">
        <f aca="false">AT165*(1-MIN(1,INDEX(Tabla_Mortalidad!$B$5:$B$75,MIN(71,Cartera_Polizas!$B$167+44-49))*(1+(Cartera_Polizas!$P$167-1)*MAX(0,1-44/Supuestos!$C$20))*(1-Supuestos!$C$18)^44))</f>
        <v>1.3416014021045E-017</v>
      </c>
    </row>
    <row r="166" customFormat="false" ht="15" hidden="false" customHeight="false" outlineLevel="0" collapsed="false">
      <c r="A166" s="14" t="n">
        <f aca="false">Cartera_Polizas!A168</f>
        <v>163</v>
      </c>
      <c r="B166" s="26" t="n">
        <f aca="false">SUM(C166:AU166)+0.5</f>
        <v>3.18906529959011</v>
      </c>
      <c r="C166" s="29" t="n">
        <f aca="false">1-MIN(1,INDEX(Tabla_Mortalidad!$B$5:$B$75,MIN(71,Cartera_Polizas!$B$168+0-49))*(1+(Cartera_Polizas!$P$168-1)*MAX(0,1-0/Supuestos!$C$20))*(1-Supuestos!$C$18)^0)</f>
        <v>0.7657752</v>
      </c>
      <c r="D166" s="29" t="n">
        <f aca="false">C166*(1-MIN(1,INDEX(Tabla_Mortalidad!$B$5:$B$75,MIN(71,Cartera_Polizas!$B$168+1-49))*(1+(Cartera_Polizas!$P$168-1)*MAX(0,1-1/Supuestos!$C$20))*(1-Supuestos!$C$18)^1))</f>
        <v>0.574683085017391</v>
      </c>
      <c r="E166" s="29" t="n">
        <f aca="false">D166*(1-MIN(1,INDEX(Tabla_Mortalidad!$B$5:$B$75,MIN(71,Cartera_Polizas!$B$168+2-49))*(1+(Cartera_Polizas!$P$168-1)*MAX(0,1-2/Supuestos!$C$20))*(1-Supuestos!$C$18)^2))</f>
        <v>0.422208813233815</v>
      </c>
      <c r="F166" s="29" t="n">
        <f aca="false">E166*(1-MIN(1,INDEX(Tabla_Mortalidad!$B$5:$B$75,MIN(71,Cartera_Polizas!$B$168+3-49))*(1+(Cartera_Polizas!$P$168-1)*MAX(0,1-3/Supuestos!$C$20))*(1-Supuestos!$C$18)^3))</f>
        <v>0.303369359606318</v>
      </c>
      <c r="G166" s="29" t="n">
        <f aca="false">F166*(1-MIN(1,INDEX(Tabla_Mortalidad!$B$5:$B$75,MIN(71,Cartera_Polizas!$B$168+4-49))*(1+(Cartera_Polizas!$P$168-1)*MAX(0,1-4/Supuestos!$C$20))*(1-Supuestos!$C$18)^4))</f>
        <v>0.213000199486965</v>
      </c>
      <c r="H166" s="29" t="n">
        <f aca="false">G166*(1-MIN(1,INDEX(Tabla_Mortalidad!$B$5:$B$75,MIN(71,Cartera_Polizas!$B$168+5-49))*(1+(Cartera_Polizas!$P$168-1)*MAX(0,1-5/Supuestos!$C$20))*(1-Supuestos!$C$18)^5))</f>
        <v>0.146026889672148</v>
      </c>
      <c r="I166" s="29" t="n">
        <f aca="false">H166*(1-MIN(1,INDEX(Tabla_Mortalidad!$B$5:$B$75,MIN(71,Cartera_Polizas!$B$168+6-49))*(1+(Cartera_Polizas!$P$168-1)*MAX(0,1-6/Supuestos!$C$20))*(1-Supuestos!$C$18)^6))</f>
        <v>0.097701356772622</v>
      </c>
      <c r="J166" s="29" t="n">
        <f aca="false">I166*(1-MIN(1,INDEX(Tabla_Mortalidad!$B$5:$B$75,MIN(71,Cartera_Polizas!$B$168+7-49))*(1+(Cartera_Polizas!$P$168-1)*MAX(0,1-7/Supuestos!$C$20))*(1-Supuestos!$C$18)^7))</f>
        <v>0.0637784166897922</v>
      </c>
      <c r="K166" s="29" t="n">
        <f aca="false">J166*(1-MIN(1,INDEX(Tabla_Mortalidad!$B$5:$B$75,MIN(71,Cartera_Polizas!$B$168+8-49))*(1+(Cartera_Polizas!$P$168-1)*MAX(0,1-8/Supuestos!$C$20))*(1-Supuestos!$C$18)^8))</f>
        <v>0.0406251254613793</v>
      </c>
      <c r="L166" s="29" t="n">
        <f aca="false">K166*(1-MIN(1,INDEX(Tabla_Mortalidad!$B$5:$B$75,MIN(71,Cartera_Polizas!$B$168+9-49))*(1+(Cartera_Polizas!$P$168-1)*MAX(0,1-9/Supuestos!$C$20))*(1-Supuestos!$C$18)^9))</f>
        <v>0.0252638707828417</v>
      </c>
      <c r="M166" s="29" t="n">
        <f aca="false">L166*(1-MIN(1,INDEX(Tabla_Mortalidad!$B$5:$B$75,MIN(71,Cartera_Polizas!$B$168+10-49))*(1+(Cartera_Polizas!$P$168-1)*MAX(0,1-10/Supuestos!$C$20))*(1-Supuestos!$C$18)^10))</f>
        <v>0.0153555113359948</v>
      </c>
      <c r="N166" s="29" t="n">
        <f aca="false">M166*(1-MIN(1,INDEX(Tabla_Mortalidad!$B$5:$B$75,MIN(71,Cartera_Polizas!$B$168+11-49))*(1+(Cartera_Polizas!$P$168-1)*MAX(0,1-11/Supuestos!$C$20))*(1-Supuestos!$C$18)^11))</f>
        <v>0.00913787177566644</v>
      </c>
      <c r="O166" s="29" t="n">
        <f aca="false">N166*(1-MIN(1,INDEX(Tabla_Mortalidad!$B$5:$B$75,MIN(71,Cartera_Polizas!$B$168+12-49))*(1+(Cartera_Polizas!$P$168-1)*MAX(0,1-12/Supuestos!$C$20))*(1-Supuestos!$C$18)^12))</f>
        <v>0.00533739277814378</v>
      </c>
      <c r="P166" s="29" t="n">
        <f aca="false">O166*(1-MIN(1,INDEX(Tabla_Mortalidad!$B$5:$B$75,MIN(71,Cartera_Polizas!$B$168+13-49))*(1+(Cartera_Polizas!$P$168-1)*MAX(0,1-13/Supuestos!$C$20))*(1-Supuestos!$C$18)^13))</f>
        <v>0.0030702222072135</v>
      </c>
      <c r="Q166" s="29" t="n">
        <f aca="false">P166*(1-MIN(1,INDEX(Tabla_Mortalidad!$B$5:$B$75,MIN(71,Cartera_Polizas!$B$168+14-49))*(1+(Cartera_Polizas!$P$168-1)*MAX(0,1-14/Supuestos!$C$20))*(1-Supuestos!$C$18)^14))</f>
        <v>0.00174668131951072</v>
      </c>
      <c r="R166" s="29" t="n">
        <f aca="false">Q166*(1-MIN(1,INDEX(Tabla_Mortalidad!$B$5:$B$75,MIN(71,Cartera_Polizas!$B$168+15-49))*(1+(Cartera_Polizas!$P$168-1)*MAX(0,1-15/Supuestos!$C$20))*(1-Supuestos!$C$18)^15))</f>
        <v>0.000987892123894158</v>
      </c>
      <c r="S166" s="29" t="n">
        <f aca="false">R166*(1-MIN(1,INDEX(Tabla_Mortalidad!$B$5:$B$75,MIN(71,Cartera_Polizas!$B$168+16-49))*(1+(Cartera_Polizas!$P$168-1)*MAX(0,1-16/Supuestos!$C$20))*(1-Supuestos!$C$18)^16))</f>
        <v>0.000526547950211009</v>
      </c>
      <c r="T166" s="29" t="n">
        <f aca="false">S166*(1-MIN(1,INDEX(Tabla_Mortalidad!$B$5:$B$75,MIN(71,Cartera_Polizas!$B$168+17-49))*(1+(Cartera_Polizas!$P$168-1)*MAX(0,1-17/Supuestos!$C$20))*(1-Supuestos!$C$18)^17))</f>
        <v>0.00026307456850485</v>
      </c>
      <c r="U166" s="29" t="n">
        <f aca="false">T166*(1-MIN(1,INDEX(Tabla_Mortalidad!$B$5:$B$75,MIN(71,Cartera_Polizas!$B$168+18-49))*(1+(Cartera_Polizas!$P$168-1)*MAX(0,1-18/Supuestos!$C$20))*(1-Supuestos!$C$18)^18))</f>
        <v>0.000122526641979861</v>
      </c>
      <c r="V166" s="29" t="n">
        <f aca="false">U166*(1-MIN(1,INDEX(Tabla_Mortalidad!$B$5:$B$75,MIN(71,Cartera_Polizas!$B$168+19-49))*(1+(Cartera_Polizas!$P$168-1)*MAX(0,1-19/Supuestos!$C$20))*(1-Supuestos!$C$18)^19))</f>
        <v>5.29002168745959E-005</v>
      </c>
      <c r="W166" s="29" t="n">
        <f aca="false">V166*(1-MIN(1,INDEX(Tabla_Mortalidad!$B$5:$B$75,MIN(71,Cartera_Polizas!$B$168+20-49))*(1+(Cartera_Polizas!$P$168-1)*MAX(0,1-20/Supuestos!$C$20))*(1-Supuestos!$C$18)^20))</f>
        <v>2.10554730186587E-005</v>
      </c>
      <c r="X166" s="29" t="n">
        <f aca="false">W166*(1-MIN(1,INDEX(Tabla_Mortalidad!$B$5:$B$75,MIN(71,Cartera_Polizas!$B$168+21-49))*(1+(Cartera_Polizas!$P$168-1)*MAX(0,1-21/Supuestos!$C$20))*(1-Supuestos!$C$18)^21))</f>
        <v>7.68594930453688E-006</v>
      </c>
      <c r="Y166" s="29" t="n">
        <f aca="false">X166*(1-MIN(1,INDEX(Tabla_Mortalidad!$B$5:$B$75,MIN(71,Cartera_Polizas!$B$168+22-49))*(1+(Cartera_Polizas!$P$168-1)*MAX(0,1-22/Supuestos!$C$20))*(1-Supuestos!$C$18)^22))</f>
        <v>2.56140313315181E-006</v>
      </c>
      <c r="Z166" s="29" t="n">
        <f aca="false">Y166*(1-MIN(1,INDEX(Tabla_Mortalidad!$B$5:$B$75,MIN(71,Cartera_Polizas!$B$168+23-49))*(1+(Cartera_Polizas!$P$168-1)*MAX(0,1-23/Supuestos!$C$20))*(1-Supuestos!$C$18)^23))</f>
        <v>7.76583057283746E-007</v>
      </c>
      <c r="AA166" s="29" t="n">
        <f aca="false">Z166*(1-MIN(1,INDEX(Tabla_Mortalidad!$B$5:$B$75,MIN(71,Cartera_Polizas!$B$168+24-49))*(1+(Cartera_Polizas!$P$168-1)*MAX(0,1-24/Supuestos!$C$20))*(1-Supuestos!$C$18)^24))</f>
        <v>2.13787775944677E-007</v>
      </c>
      <c r="AB166" s="29" t="n">
        <f aca="false">AA166*(1-MIN(1,INDEX(Tabla_Mortalidad!$B$5:$B$75,MIN(71,Cartera_Polizas!$B$168+25-49))*(1+(Cartera_Polizas!$P$168-1)*MAX(0,1-25/Supuestos!$C$20))*(1-Supuestos!$C$18)^25))</f>
        <v>5.34493679473719E-008</v>
      </c>
      <c r="AC166" s="29" t="n">
        <f aca="false">AB166*(1-MIN(1,INDEX(Tabla_Mortalidad!$B$5:$B$75,MIN(71,Cartera_Polizas!$B$168+26-49))*(1+(Cartera_Polizas!$P$168-1)*MAX(0,1-26/Supuestos!$C$20))*(1-Supuestos!$C$18)^26))</f>
        <v>1.21707967418908E-008</v>
      </c>
      <c r="AD166" s="29" t="n">
        <f aca="false">AC166*(1-MIN(1,INDEX(Tabla_Mortalidad!$B$5:$B$75,MIN(71,Cartera_Polizas!$B$168+27-49))*(1+(Cartera_Polizas!$P$168-1)*MAX(0,1-27/Supuestos!$C$20))*(1-Supuestos!$C$18)^27))</f>
        <v>2.53937234885452E-009</v>
      </c>
      <c r="AE166" s="29" t="n">
        <f aca="false">AD166*(1-MIN(1,INDEX(Tabla_Mortalidad!$B$5:$B$75,MIN(71,Cartera_Polizas!$B$168+28-49))*(1+(Cartera_Polizas!$P$168-1)*MAX(0,1-28/Supuestos!$C$20))*(1-Supuestos!$C$18)^28))</f>
        <v>4.90023819019738E-010</v>
      </c>
      <c r="AF166" s="29" t="n">
        <f aca="false">AE166*(1-MIN(1,INDEX(Tabla_Mortalidad!$B$5:$B$75,MIN(71,Cartera_Polizas!$B$168+29-49))*(1+(Cartera_Polizas!$P$168-1)*MAX(0,1-29/Supuestos!$C$20))*(1-Supuestos!$C$18)^29))</f>
        <v>8.85438171452836E-011</v>
      </c>
      <c r="AG166" s="29" t="n">
        <f aca="false">AF166*(1-MIN(1,INDEX(Tabla_Mortalidad!$B$5:$B$75,MIN(71,Cartera_Polizas!$B$168+30-49))*(1+(Cartera_Polizas!$P$168-1)*MAX(0,1-30/Supuestos!$C$20))*(1-Supuestos!$C$18)^30))</f>
        <v>1.23621165816962E-011</v>
      </c>
      <c r="AH166" s="29" t="n">
        <f aca="false">AG166*(1-MIN(1,INDEX(Tabla_Mortalidad!$B$5:$B$75,MIN(71,Cartera_Polizas!$B$168+31-49))*(1+(Cartera_Polizas!$P$168-1)*MAX(0,1-31/Supuestos!$C$20))*(1-Supuestos!$C$18)^31))</f>
        <v>1.77912774462573E-012</v>
      </c>
      <c r="AI166" s="29" t="n">
        <f aca="false">AH166*(1-MIN(1,INDEX(Tabla_Mortalidad!$B$5:$B$75,MIN(71,Cartera_Polizas!$B$168+32-49))*(1+(Cartera_Polizas!$P$168-1)*MAX(0,1-32/Supuestos!$C$20))*(1-Supuestos!$C$18)^32))</f>
        <v>2.63663423286963E-013</v>
      </c>
      <c r="AJ166" s="29" t="n">
        <f aca="false">AI166*(1-MIN(1,INDEX(Tabla_Mortalidad!$B$5:$B$75,MIN(71,Cartera_Polizas!$B$168+33-49))*(1+(Cartera_Polizas!$P$168-1)*MAX(0,1-33/Supuestos!$C$20))*(1-Supuestos!$C$18)^33))</f>
        <v>4.01973739938566E-014</v>
      </c>
      <c r="AK166" s="29" t="n">
        <f aca="false">AJ166*(1-MIN(1,INDEX(Tabla_Mortalidad!$B$5:$B$75,MIN(71,Cartera_Polizas!$B$168+34-49))*(1+(Cartera_Polizas!$P$168-1)*MAX(0,1-34/Supuestos!$C$20))*(1-Supuestos!$C$18)^34))</f>
        <v>6.29872204908112E-015</v>
      </c>
      <c r="AL166" s="29" t="n">
        <f aca="false">AK166*(1-MIN(1,INDEX(Tabla_Mortalidad!$B$5:$B$75,MIN(71,Cartera_Polizas!$B$168+35-49))*(1+(Cartera_Polizas!$P$168-1)*MAX(0,1-35/Supuestos!$C$20))*(1-Supuestos!$C$18)^35))</f>
        <v>1.01353611780712E-015</v>
      </c>
      <c r="AM166" s="29" t="n">
        <f aca="false">AL166*(1-MIN(1,INDEX(Tabla_Mortalidad!$B$5:$B$75,MIN(71,Cartera_Polizas!$B$168+36-49))*(1+(Cartera_Polizas!$P$168-1)*MAX(0,1-36/Supuestos!$C$20))*(1-Supuestos!$C$18)^36))</f>
        <v>1.67341738219207E-016</v>
      </c>
      <c r="AN166" s="29" t="n">
        <f aca="false">AM166*(1-MIN(1,INDEX(Tabla_Mortalidad!$B$5:$B$75,MIN(71,Cartera_Polizas!$B$168+37-49))*(1+(Cartera_Polizas!$P$168-1)*MAX(0,1-37/Supuestos!$C$20))*(1-Supuestos!$C$18)^37))</f>
        <v>2.83278267419844E-017</v>
      </c>
      <c r="AO166" s="29" t="n">
        <f aca="false">AN166*(1-MIN(1,INDEX(Tabla_Mortalidad!$B$5:$B$75,MIN(71,Cartera_Polizas!$B$168+38-49))*(1+(Cartera_Polizas!$P$168-1)*MAX(0,1-38/Supuestos!$C$20))*(1-Supuestos!$C$18)^38))</f>
        <v>4.91303357230684E-018</v>
      </c>
      <c r="AP166" s="29" t="n">
        <f aca="false">AO166*(1-MIN(1,INDEX(Tabla_Mortalidad!$B$5:$B$75,MIN(71,Cartera_Polizas!$B$168+39-49))*(1+(Cartera_Polizas!$P$168-1)*MAX(0,1-39/Supuestos!$C$20))*(1-Supuestos!$C$18)^39))</f>
        <v>8.72396157755489E-019</v>
      </c>
      <c r="AQ166" s="29" t="n">
        <f aca="false">AP166*(1-MIN(1,INDEX(Tabla_Mortalidad!$B$5:$B$75,MIN(71,Cartera_Polizas!$B$168+40-49))*(1+(Cartera_Polizas!$P$168-1)*MAX(0,1-40/Supuestos!$C$20))*(1-Supuestos!$C$18)^40))</f>
        <v>1.58496828361301E-019</v>
      </c>
      <c r="AR166" s="29" t="n">
        <f aca="false">AQ166*(1-MIN(1,INDEX(Tabla_Mortalidad!$B$5:$B$75,MIN(71,Cartera_Polizas!$B$168+41-49))*(1+(Cartera_Polizas!$P$168-1)*MAX(0,1-41/Supuestos!$C$20))*(1-Supuestos!$C$18)^41))</f>
        <v>2.94441903138028E-020</v>
      </c>
      <c r="AS166" s="29" t="n">
        <f aca="false">AR166*(1-MIN(1,INDEX(Tabla_Mortalidad!$B$5:$B$75,MIN(71,Cartera_Polizas!$B$168+42-49))*(1+(Cartera_Polizas!$P$168-1)*MAX(0,1-42/Supuestos!$C$20))*(1-Supuestos!$C$18)^42))</f>
        <v>5.58976229727258E-021</v>
      </c>
      <c r="AT166" s="29" t="n">
        <f aca="false">AS166*(1-MIN(1,INDEX(Tabla_Mortalidad!$B$5:$B$75,MIN(71,Cartera_Polizas!$B$168+43-49))*(1+(Cartera_Polizas!$P$168-1)*MAX(0,1-43/Supuestos!$C$20))*(1-Supuestos!$C$18)^43))</f>
        <v>1.08381806772928E-021</v>
      </c>
      <c r="AU166" s="29" t="n">
        <f aca="false">AT166*(1-MIN(1,INDEX(Tabla_Mortalidad!$B$5:$B$75,MIN(71,Cartera_Polizas!$B$168+44-49))*(1+(Cartera_Polizas!$P$168-1)*MAX(0,1-44/Supuestos!$C$20))*(1-Supuestos!$C$18)^44))</f>
        <v>2.14513544406406E-022</v>
      </c>
    </row>
    <row r="167" customFormat="false" ht="15" hidden="false" customHeight="false" outlineLevel="0" collapsed="false">
      <c r="A167" s="14" t="n">
        <f aca="false">Cartera_Polizas!A169</f>
        <v>164</v>
      </c>
      <c r="B167" s="26" t="n">
        <f aca="false">SUM(C167:AU167)+0.5</f>
        <v>13.3003975595677</v>
      </c>
      <c r="C167" s="29" t="n">
        <f aca="false">1-MIN(1,INDEX(Tabla_Mortalidad!$B$5:$B$75,MIN(71,Cartera_Polizas!$B$169+0-49))*(1+(Cartera_Polizas!$P$169-1)*MAX(0,1-0/Supuestos!$C$20))*(1-Supuestos!$C$18)^0)</f>
        <v>0.975303859375</v>
      </c>
      <c r="D167" s="29" t="n">
        <f aca="false">C167*(1-MIN(1,INDEX(Tabla_Mortalidad!$B$5:$B$75,MIN(71,Cartera_Polizas!$B$169+1-49))*(1+(Cartera_Polizas!$P$169-1)*MAX(0,1-1/Supuestos!$C$20))*(1-Supuestos!$C$18)^1))</f>
        <v>0.948521314941865</v>
      </c>
      <c r="E167" s="29" t="n">
        <f aca="false">D167*(1-MIN(1,INDEX(Tabla_Mortalidad!$B$5:$B$75,MIN(71,Cartera_Polizas!$B$169+2-49))*(1+(Cartera_Polizas!$P$169-1)*MAX(0,1-2/Supuestos!$C$20))*(1-Supuestos!$C$18)^2))</f>
        <v>0.919563275568428</v>
      </c>
      <c r="F167" s="29" t="n">
        <f aca="false">E167*(1-MIN(1,INDEX(Tabla_Mortalidad!$B$5:$B$75,MIN(71,Cartera_Polizas!$B$169+3-49))*(1+(Cartera_Polizas!$P$169-1)*MAX(0,1-3/Supuestos!$C$20))*(1-Supuestos!$C$18)^3))</f>
        <v>0.888357818352963</v>
      </c>
      <c r="G167" s="29" t="n">
        <f aca="false">F167*(1-MIN(1,INDEX(Tabla_Mortalidad!$B$5:$B$75,MIN(71,Cartera_Polizas!$B$169+4-49))*(1+(Cartera_Polizas!$P$169-1)*MAX(0,1-4/Supuestos!$C$20))*(1-Supuestos!$C$18)^4))</f>
        <v>0.854856425183351</v>
      </c>
      <c r="H167" s="29" t="n">
        <f aca="false">G167*(1-MIN(1,INDEX(Tabla_Mortalidad!$B$5:$B$75,MIN(71,Cartera_Polizas!$B$169+5-49))*(1+(Cartera_Polizas!$P$169-1)*MAX(0,1-5/Supuestos!$C$20))*(1-Supuestos!$C$18)^5))</f>
        <v>0.819040266772551</v>
      </c>
      <c r="I167" s="29" t="n">
        <f aca="false">H167*(1-MIN(1,INDEX(Tabla_Mortalidad!$B$5:$B$75,MIN(71,Cartera_Polizas!$B$169+6-49))*(1+(Cartera_Polizas!$P$169-1)*MAX(0,1-6/Supuestos!$C$20))*(1-Supuestos!$C$18)^6))</f>
        <v>0.780925824567976</v>
      </c>
      <c r="J167" s="29" t="n">
        <f aca="false">I167*(1-MIN(1,INDEX(Tabla_Mortalidad!$B$5:$B$75,MIN(71,Cartera_Polizas!$B$169+7-49))*(1+(Cartera_Polizas!$P$169-1)*MAX(0,1-7/Supuestos!$C$20))*(1-Supuestos!$C$18)^7))</f>
        <v>0.740573832257465</v>
      </c>
      <c r="K167" s="29" t="n">
        <f aca="false">J167*(1-MIN(1,INDEX(Tabla_Mortalidad!$B$5:$B$75,MIN(71,Cartera_Polizas!$B$169+8-49))*(1+(Cartera_Polizas!$P$169-1)*MAX(0,1-8/Supuestos!$C$20))*(1-Supuestos!$C$18)^8))</f>
        <v>0.69809830738576</v>
      </c>
      <c r="L167" s="29" t="n">
        <f aca="false">K167*(1-MIN(1,INDEX(Tabla_Mortalidad!$B$5:$B$75,MIN(71,Cartera_Polizas!$B$169+9-49))*(1+(Cartera_Polizas!$P$169-1)*MAX(0,1-9/Supuestos!$C$20))*(1-Supuestos!$C$18)^9))</f>
        <v>0.653672478215926</v>
      </c>
      <c r="M167" s="29" t="n">
        <f aca="false">L167*(1-MIN(1,INDEX(Tabla_Mortalidad!$B$5:$B$75,MIN(71,Cartera_Polizas!$B$169+10-49))*(1+(Cartera_Polizas!$P$169-1)*MAX(0,1-10/Supuestos!$C$20))*(1-Supuestos!$C$18)^10))</f>
        <v>0.607535181923666</v>
      </c>
      <c r="N167" s="29" t="n">
        <f aca="false">M167*(1-MIN(1,INDEX(Tabla_Mortalidad!$B$5:$B$75,MIN(71,Cartera_Polizas!$B$169+11-49))*(1+(Cartera_Polizas!$P$169-1)*MAX(0,1-11/Supuestos!$C$20))*(1-Supuestos!$C$18)^11))</f>
        <v>0.559998958258505</v>
      </c>
      <c r="O167" s="29" t="n">
        <f aca="false">N167*(1-MIN(1,INDEX(Tabla_Mortalidad!$B$5:$B$75,MIN(71,Cartera_Polizas!$B$169+12-49))*(1+(Cartera_Polizas!$P$169-1)*MAX(0,1-12/Supuestos!$C$20))*(1-Supuestos!$C$18)^12))</f>
        <v>0.511449430567246</v>
      </c>
      <c r="P167" s="29" t="n">
        <f aca="false">O167*(1-MIN(1,INDEX(Tabla_Mortalidad!$B$5:$B$75,MIN(71,Cartera_Polizas!$B$169+13-49))*(1+(Cartera_Polizas!$P$169-1)*MAX(0,1-13/Supuestos!$C$20))*(1-Supuestos!$C$18)^13))</f>
        <v>0.462348612240642</v>
      </c>
      <c r="Q167" s="29" t="n">
        <f aca="false">P167*(1-MIN(1,INDEX(Tabla_Mortalidad!$B$5:$B$75,MIN(71,Cartera_Polizas!$B$169+14-49))*(1+(Cartera_Polizas!$P$169-1)*MAX(0,1-14/Supuestos!$C$20))*(1-Supuestos!$C$18)^14))</f>
        <v>0.413227695026301</v>
      </c>
      <c r="R167" s="29" t="n">
        <f aca="false">Q167*(1-MIN(1,INDEX(Tabla_Mortalidad!$B$5:$B$75,MIN(71,Cartera_Polizas!$B$169+15-49))*(1+(Cartera_Polizas!$P$169-1)*MAX(0,1-15/Supuestos!$C$20))*(1-Supuestos!$C$18)^15))</f>
        <v>0.364677740136855</v>
      </c>
      <c r="S167" s="29" t="n">
        <f aca="false">R167*(1-MIN(1,INDEX(Tabla_Mortalidad!$B$5:$B$75,MIN(71,Cartera_Polizas!$B$169+16-49))*(1+(Cartera_Polizas!$P$169-1)*MAX(0,1-16/Supuestos!$C$20))*(1-Supuestos!$C$18)^16))</f>
        <v>0.317453261558507</v>
      </c>
      <c r="T167" s="29" t="n">
        <f aca="false">S167*(1-MIN(1,INDEX(Tabla_Mortalidad!$B$5:$B$75,MIN(71,Cartera_Polizas!$B$169+17-49))*(1+(Cartera_Polizas!$P$169-1)*MAX(0,1-17/Supuestos!$C$20))*(1-Supuestos!$C$18)^17))</f>
        <v>0.272182432000715</v>
      </c>
      <c r="U167" s="29" t="n">
        <f aca="false">T167*(1-MIN(1,INDEX(Tabla_Mortalidad!$B$5:$B$75,MIN(71,Cartera_Polizas!$B$169+18-49))*(1+(Cartera_Polizas!$P$169-1)*MAX(0,1-18/Supuestos!$C$20))*(1-Supuestos!$C$18)^18))</f>
        <v>0.229479422255332</v>
      </c>
      <c r="V167" s="29" t="n">
        <f aca="false">U167*(1-MIN(1,INDEX(Tabla_Mortalidad!$B$5:$B$75,MIN(71,Cartera_Polizas!$B$169+19-49))*(1+(Cartera_Polizas!$P$169-1)*MAX(0,1-19/Supuestos!$C$20))*(1-Supuestos!$C$18)^19))</f>
        <v>0.189911822225724</v>
      </c>
      <c r="W167" s="29" t="n">
        <f aca="false">V167*(1-MIN(1,INDEX(Tabla_Mortalidad!$B$5:$B$75,MIN(71,Cartera_Polizas!$B$169+20-49))*(1+(Cartera_Polizas!$P$169-1)*MAX(0,1-20/Supuestos!$C$20))*(1-Supuestos!$C$18)^20))</f>
        <v>0.153967413517605</v>
      </c>
      <c r="X167" s="29" t="n">
        <f aca="false">W167*(1-MIN(1,INDEX(Tabla_Mortalidad!$B$5:$B$75,MIN(71,Cartera_Polizas!$B$169+21-49))*(1+(Cartera_Polizas!$P$169-1)*MAX(0,1-21/Supuestos!$C$20))*(1-Supuestos!$C$18)^21))</f>
        <v>0.122021137714317</v>
      </c>
      <c r="Y167" s="29" t="n">
        <f aca="false">X167*(1-MIN(1,INDEX(Tabla_Mortalidad!$B$5:$B$75,MIN(71,Cartera_Polizas!$B$169+22-49))*(1+(Cartera_Polizas!$P$169-1)*MAX(0,1-22/Supuestos!$C$20))*(1-Supuestos!$C$18)^22))</f>
        <v>0.0943063897887525</v>
      </c>
      <c r="Z167" s="29" t="n">
        <f aca="false">Y167*(1-MIN(1,INDEX(Tabla_Mortalidad!$B$5:$B$75,MIN(71,Cartera_Polizas!$B$169+23-49))*(1+(Cartera_Polizas!$P$169-1)*MAX(0,1-23/Supuestos!$C$20))*(1-Supuestos!$C$18)^23))</f>
        <v>0.0708960412305208</v>
      </c>
      <c r="AA167" s="29" t="n">
        <f aca="false">Z167*(1-MIN(1,INDEX(Tabla_Mortalidad!$B$5:$B$75,MIN(71,Cartera_Polizas!$B$169+24-49))*(1+(Cartera_Polizas!$P$169-1)*MAX(0,1-24/Supuestos!$C$20))*(1-Supuestos!$C$18)^24))</f>
        <v>0.051695511579747</v>
      </c>
      <c r="AB167" s="29" t="n">
        <f aca="false">AA167*(1-MIN(1,INDEX(Tabla_Mortalidad!$B$5:$B$75,MIN(71,Cartera_Polizas!$B$169+25-49))*(1+(Cartera_Polizas!$P$169-1)*MAX(0,1-25/Supuestos!$C$20))*(1-Supuestos!$C$18)^25))</f>
        <v>0.0364505175902425</v>
      </c>
      <c r="AC167" s="29" t="n">
        <f aca="false">AB167*(1-MIN(1,INDEX(Tabla_Mortalidad!$B$5:$B$75,MIN(71,Cartera_Polizas!$B$169+26-49))*(1+(Cartera_Polizas!$P$169-1)*MAX(0,1-26/Supuestos!$C$20))*(1-Supuestos!$C$18)^26))</f>
        <v>0.0247707355891172</v>
      </c>
      <c r="AD167" s="29" t="n">
        <f aca="false">AC167*(1-MIN(1,INDEX(Tabla_Mortalidad!$B$5:$B$75,MIN(71,Cartera_Polizas!$B$169+27-49))*(1+(Cartera_Polizas!$P$169-1)*MAX(0,1-27/Supuestos!$C$20))*(1-Supuestos!$C$18)^27))</f>
        <v>0.0161665015566528</v>
      </c>
      <c r="AE167" s="29" t="n">
        <f aca="false">AD167*(1-MIN(1,INDEX(Tabla_Mortalidad!$B$5:$B$75,MIN(71,Cartera_Polizas!$B$169+28-49))*(1+(Cartera_Polizas!$P$169-1)*MAX(0,1-28/Supuestos!$C$20))*(1-Supuestos!$C$18)^28))</f>
        <v>0.0100946247029623</v>
      </c>
      <c r="AF167" s="29" t="n">
        <f aca="false">AE167*(1-MIN(1,INDEX(Tabla_Mortalidad!$B$5:$B$75,MIN(71,Cartera_Polizas!$B$169+29-49))*(1+(Cartera_Polizas!$P$169-1)*MAX(0,1-29/Supuestos!$C$20))*(1-Supuestos!$C$18)^29))</f>
        <v>0.00600653166861204</v>
      </c>
      <c r="AG167" s="29" t="n">
        <f aca="false">AF167*(1-MIN(1,INDEX(Tabla_Mortalidad!$B$5:$B$75,MIN(71,Cartera_Polizas!$B$169+30-49))*(1+(Cartera_Polizas!$P$169-1)*MAX(0,1-30/Supuestos!$C$20))*(1-Supuestos!$C$18)^30))</f>
        <v>0.00339158751090666</v>
      </c>
      <c r="AH167" s="29" t="n">
        <f aca="false">AG167*(1-MIN(1,INDEX(Tabla_Mortalidad!$B$5:$B$75,MIN(71,Cartera_Polizas!$B$169+31-49))*(1+(Cartera_Polizas!$P$169-1)*MAX(0,1-31/Supuestos!$C$20))*(1-Supuestos!$C$18)^31))</f>
        <v>0.00180952012744211</v>
      </c>
      <c r="AI167" s="29" t="n">
        <f aca="false">AH167*(1-MIN(1,INDEX(Tabla_Mortalidad!$B$5:$B$75,MIN(71,Cartera_Polizas!$B$169+32-49))*(1+(Cartera_Polizas!$P$169-1)*MAX(0,1-32/Supuestos!$C$20))*(1-Supuestos!$C$18)^32))</f>
        <v>0.000908297422054833</v>
      </c>
      <c r="AJ167" s="29" t="n">
        <f aca="false">AI167*(1-MIN(1,INDEX(Tabla_Mortalidad!$B$5:$B$75,MIN(71,Cartera_Polizas!$B$169+33-49))*(1+(Cartera_Polizas!$P$169-1)*MAX(0,1-33/Supuestos!$C$20))*(1-Supuestos!$C$18)^33))</f>
        <v>0.000427131592242696</v>
      </c>
      <c r="AK167" s="29" t="n">
        <f aca="false">AJ167*(1-MIN(1,INDEX(Tabla_Mortalidad!$B$5:$B$75,MIN(71,Cartera_Polizas!$B$169+34-49))*(1+(Cartera_Polizas!$P$169-1)*MAX(0,1-34/Supuestos!$C$20))*(1-Supuestos!$C$18)^34))</f>
        <v>0.000187433193649179</v>
      </c>
      <c r="AL167" s="29" t="n">
        <f aca="false">AK167*(1-MIN(1,INDEX(Tabla_Mortalidad!$B$5:$B$75,MIN(71,Cartera_Polizas!$B$169+35-49))*(1+(Cartera_Polizas!$P$169-1)*MAX(0,1-35/Supuestos!$C$20))*(1-Supuestos!$C$18)^35))</f>
        <v>7.6484914885612E-005</v>
      </c>
      <c r="AM167" s="29" t="n">
        <f aca="false">AL167*(1-MIN(1,INDEX(Tabla_Mortalidad!$B$5:$B$75,MIN(71,Cartera_Polizas!$B$169+36-49))*(1+(Cartera_Polizas!$P$169-1)*MAX(0,1-36/Supuestos!$C$20))*(1-Supuestos!$C$18)^36))</f>
        <v>2.89451737038444E-005</v>
      </c>
      <c r="AN167" s="29" t="n">
        <f aca="false">AM167*(1-MIN(1,INDEX(Tabla_Mortalidad!$B$5:$B$75,MIN(71,Cartera_Polizas!$B$169+37-49))*(1+(Cartera_Polizas!$P$169-1)*MAX(0,1-37/Supuestos!$C$20))*(1-Supuestos!$C$18)^37))</f>
        <v>1.01426650824306E-005</v>
      </c>
      <c r="AO167" s="29" t="n">
        <f aca="false">AN167*(1-MIN(1,INDEX(Tabla_Mortalidad!$B$5:$B$75,MIN(71,Cartera_Polizas!$B$169+38-49))*(1+(Cartera_Polizas!$P$169-1)*MAX(0,1-38/Supuestos!$C$20))*(1-Supuestos!$C$18)^38))</f>
        <v>3.29034325907515E-006</v>
      </c>
      <c r="AP167" s="29" t="n">
        <f aca="false">AO167*(1-MIN(1,INDEX(Tabla_Mortalidad!$B$5:$B$75,MIN(71,Cartera_Polizas!$B$169+39-49))*(1+(Cartera_Polizas!$P$169-1)*MAX(0,1-39/Supuestos!$C$20))*(1-Supuestos!$C$18)^39))</f>
        <v>9.89860220283745E-007</v>
      </c>
      <c r="AQ167" s="29" t="n">
        <f aca="false">AP167*(1-MIN(1,INDEX(Tabla_Mortalidad!$B$5:$B$75,MIN(71,Cartera_Polizas!$B$169+40-49))*(1+(Cartera_Polizas!$P$169-1)*MAX(0,1-40/Supuestos!$C$20))*(1-Supuestos!$C$18)^40))</f>
        <v>2.77205633853788E-007</v>
      </c>
      <c r="AR167" s="29" t="n">
        <f aca="false">AQ167*(1-MIN(1,INDEX(Tabla_Mortalidad!$B$5:$B$75,MIN(71,Cartera_Polizas!$B$169+41-49))*(1+(Cartera_Polizas!$P$169-1)*MAX(0,1-41/Supuestos!$C$20))*(1-Supuestos!$C$18)^41))</f>
        <v>7.27040418946087E-008</v>
      </c>
      <c r="AS167" s="29" t="n">
        <f aca="false">AR167*(1-MIN(1,INDEX(Tabla_Mortalidad!$B$5:$B$75,MIN(71,Cartera_Polizas!$B$169+42-49))*(1+(Cartera_Polizas!$P$169-1)*MAX(0,1-42/Supuestos!$C$20))*(1-Supuestos!$C$18)^42))</f>
        <v>1.80060825214598E-008</v>
      </c>
      <c r="AT167" s="29" t="n">
        <f aca="false">AS167*(1-MIN(1,INDEX(Tabla_Mortalidad!$B$5:$B$75,MIN(71,Cartera_Polizas!$B$169+43-49))*(1+(Cartera_Polizas!$P$169-1)*MAX(0,1-43/Supuestos!$C$20))*(1-Supuestos!$C$18)^43))</f>
        <v>4.25334692779262E-009</v>
      </c>
      <c r="AU167" s="29" t="n">
        <f aca="false">AT167*(1-MIN(1,INDEX(Tabla_Mortalidad!$B$5:$B$75,MIN(71,Cartera_Polizas!$B$169+44-49))*(1+(Cartera_Polizas!$P$169-1)*MAX(0,1-44/Supuestos!$C$20))*(1-Supuestos!$C$18)^44))</f>
        <v>8.41839190762404E-010</v>
      </c>
    </row>
    <row r="168" customFormat="false" ht="15" hidden="false" customHeight="false" outlineLevel="0" collapsed="false">
      <c r="A168" s="14" t="n">
        <f aca="false">Cartera_Polizas!A170</f>
        <v>165</v>
      </c>
      <c r="B168" s="26" t="n">
        <f aca="false">SUM(C168:AU168)+0.5</f>
        <v>8.26504945432081</v>
      </c>
      <c r="C168" s="29" t="n">
        <f aca="false">1-MIN(1,INDEX(Tabla_Mortalidad!$B$5:$B$75,MIN(71,Cartera_Polizas!$B$170+0-49))*(1+(Cartera_Polizas!$P$170-1)*MAX(0,1-0/Supuestos!$C$20))*(1-Supuestos!$C$18)^0)</f>
        <v>0.9333261785</v>
      </c>
      <c r="D168" s="29" t="n">
        <f aca="false">C168*(1-MIN(1,INDEX(Tabla_Mortalidad!$B$5:$B$75,MIN(71,Cartera_Polizas!$B$170+1-49))*(1+(Cartera_Polizas!$P$170-1)*MAX(0,1-1/Supuestos!$C$20))*(1-Supuestos!$C$18)^1))</f>
        <v>0.865620834446959</v>
      </c>
      <c r="E168" s="29" t="n">
        <f aca="false">D168*(1-MIN(1,INDEX(Tabla_Mortalidad!$B$5:$B$75,MIN(71,Cartera_Polizas!$B$170+2-49))*(1+(Cartera_Polizas!$P$170-1)*MAX(0,1-2/Supuestos!$C$20))*(1-Supuestos!$C$18)^2))</f>
        <v>0.797346214229729</v>
      </c>
      <c r="F168" s="29" t="n">
        <f aca="false">E168*(1-MIN(1,INDEX(Tabla_Mortalidad!$B$5:$B$75,MIN(71,Cartera_Polizas!$B$170+3-49))*(1+(Cartera_Polizas!$P$170-1)*MAX(0,1-3/Supuestos!$C$20))*(1-Supuestos!$C$18)^3))</f>
        <v>0.729016048810371</v>
      </c>
      <c r="G168" s="29" t="n">
        <f aca="false">F168*(1-MIN(1,INDEX(Tabla_Mortalidad!$B$5:$B$75,MIN(71,Cartera_Polizas!$B$170+4-49))*(1+(Cartera_Polizas!$P$170-1)*MAX(0,1-4/Supuestos!$C$20))*(1-Supuestos!$C$18)^4))</f>
        <v>0.661187263898588</v>
      </c>
      <c r="H168" s="29" t="n">
        <f aca="false">G168*(1-MIN(1,INDEX(Tabla_Mortalidad!$B$5:$B$75,MIN(71,Cartera_Polizas!$B$170+5-49))*(1+(Cartera_Polizas!$P$170-1)*MAX(0,1-5/Supuestos!$C$20))*(1-Supuestos!$C$18)^5))</f>
        <v>0.594453061895563</v>
      </c>
      <c r="I168" s="29" t="n">
        <f aca="false">H168*(1-MIN(1,INDEX(Tabla_Mortalidad!$B$5:$B$75,MIN(71,Cartera_Polizas!$B$170+6-49))*(1+(Cartera_Polizas!$P$170-1)*MAX(0,1-6/Supuestos!$C$20))*(1-Supuestos!$C$18)^6))</f>
        <v>0.529423162825634</v>
      </c>
      <c r="J168" s="29" t="n">
        <f aca="false">I168*(1-MIN(1,INDEX(Tabla_Mortalidad!$B$5:$B$75,MIN(71,Cartera_Polizas!$B$170+7-49))*(1+(Cartera_Polizas!$P$170-1)*MAX(0,1-7/Supuestos!$C$20))*(1-Supuestos!$C$18)^7))</f>
        <v>0.466711478809437</v>
      </c>
      <c r="K168" s="29" t="n">
        <f aca="false">J168*(1-MIN(1,INDEX(Tabla_Mortalidad!$B$5:$B$75,MIN(71,Cartera_Polizas!$B$170+8-49))*(1+(Cartera_Polizas!$P$170-1)*MAX(0,1-8/Supuestos!$C$20))*(1-Supuestos!$C$18)^8))</f>
        <v>0.406912381286203</v>
      </c>
      <c r="L168" s="29" t="n">
        <f aca="false">K168*(1-MIN(1,INDEX(Tabla_Mortalidad!$B$5:$B$75,MIN(71,Cartera_Polizas!$B$170+9-49))*(1+(Cartera_Polizas!$P$170-1)*MAX(0,1-9/Supuestos!$C$20))*(1-Supuestos!$C$18)^9))</f>
        <v>0.350579752550617</v>
      </c>
      <c r="M168" s="29" t="n">
        <f aca="false">L168*(1-MIN(1,INDEX(Tabla_Mortalidad!$B$5:$B$75,MIN(71,Cartera_Polizas!$B$170+10-49))*(1+(Cartera_Polizas!$P$170-1)*MAX(0,1-10/Supuestos!$C$20))*(1-Supuestos!$C$18)^10))</f>
        <v>0.298203989861976</v>
      </c>
      <c r="N168" s="29" t="n">
        <f aca="false">M168*(1-MIN(1,INDEX(Tabla_Mortalidad!$B$5:$B$75,MIN(71,Cartera_Polizas!$B$170+11-49))*(1+(Cartera_Polizas!$P$170-1)*MAX(0,1-11/Supuestos!$C$20))*(1-Supuestos!$C$18)^11))</f>
        <v>0.250190237493419</v>
      </c>
      <c r="O168" s="29" t="n">
        <f aca="false">N168*(1-MIN(1,INDEX(Tabla_Mortalidad!$B$5:$B$75,MIN(71,Cartera_Polizas!$B$170+12-49))*(1+(Cartera_Polizas!$P$170-1)*MAX(0,1-12/Supuestos!$C$20))*(1-Supuestos!$C$18)^12))</f>
        <v>0.206838800194081</v>
      </c>
      <c r="P168" s="29" t="n">
        <f aca="false">O168*(1-MIN(1,INDEX(Tabla_Mortalidad!$B$5:$B$75,MIN(71,Cartera_Polizas!$B$170+13-49))*(1+(Cartera_Polizas!$P$170-1)*MAX(0,1-13/Supuestos!$C$20))*(1-Supuestos!$C$18)^13))</f>
        <v>0.168329300121412</v>
      </c>
      <c r="Q168" s="29" t="n">
        <f aca="false">P168*(1-MIN(1,INDEX(Tabla_Mortalidad!$B$5:$B$75,MIN(71,Cartera_Polizas!$B$170+14-49))*(1+(Cartera_Polizas!$P$170-1)*MAX(0,1-14/Supuestos!$C$20))*(1-Supuestos!$C$18)^14))</f>
        <v>0.134712364756981</v>
      </c>
      <c r="R168" s="29" t="n">
        <f aca="false">Q168*(1-MIN(1,INDEX(Tabla_Mortalidad!$B$5:$B$75,MIN(71,Cartera_Polizas!$B$170+15-49))*(1+(Cartera_Polizas!$P$170-1)*MAX(0,1-15/Supuestos!$C$20))*(1-Supuestos!$C$18)^15))</f>
        <v>0.105907860976289</v>
      </c>
      <c r="S168" s="29" t="n">
        <f aca="false">R168*(1-MIN(1,INDEX(Tabla_Mortalidad!$B$5:$B$75,MIN(71,Cartera_Polizas!$B$170+16-49))*(1+(Cartera_Polizas!$P$170-1)*MAX(0,1-16/Supuestos!$C$20))*(1-Supuestos!$C$18)^16))</f>
        <v>0.0811184861016707</v>
      </c>
      <c r="T168" s="29" t="n">
        <f aca="false">S168*(1-MIN(1,INDEX(Tabla_Mortalidad!$B$5:$B$75,MIN(71,Cartera_Polizas!$B$170+17-49))*(1+(Cartera_Polizas!$P$170-1)*MAX(0,1-17/Supuestos!$C$20))*(1-Supuestos!$C$18)^17))</f>
        <v>0.0603670521317856</v>
      </c>
      <c r="U168" s="29" t="n">
        <f aca="false">T168*(1-MIN(1,INDEX(Tabla_Mortalidad!$B$5:$B$75,MIN(71,Cartera_Polizas!$B$170+18-49))*(1+(Cartera_Polizas!$P$170-1)*MAX(0,1-18/Supuestos!$C$20))*(1-Supuestos!$C$18)^18))</f>
        <v>0.0435188832169689</v>
      </c>
      <c r="V168" s="29" t="n">
        <f aca="false">U168*(1-MIN(1,INDEX(Tabla_Mortalidad!$B$5:$B$75,MIN(71,Cartera_Polizas!$B$170+19-49))*(1+(Cartera_Polizas!$P$170-1)*MAX(0,1-19/Supuestos!$C$20))*(1-Supuestos!$C$18)^19))</f>
        <v>0.0302933351733274</v>
      </c>
      <c r="W168" s="29" t="n">
        <f aca="false">V168*(1-MIN(1,INDEX(Tabla_Mortalidad!$B$5:$B$75,MIN(71,Cartera_Polizas!$B$170+20-49))*(1+(Cartera_Polizas!$P$170-1)*MAX(0,1-20/Supuestos!$C$20))*(1-Supuestos!$C$18)^20))</f>
        <v>0.0202901192606398</v>
      </c>
      <c r="X168" s="29" t="n">
        <f aca="false">W168*(1-MIN(1,INDEX(Tabla_Mortalidad!$B$5:$B$75,MIN(71,Cartera_Polizas!$B$170+21-49))*(1+(Cartera_Polizas!$P$170-1)*MAX(0,1-21/Supuestos!$C$20))*(1-Supuestos!$C$18)^21))</f>
        <v>0.0130270626993159</v>
      </c>
      <c r="Y168" s="29" t="n">
        <f aca="false">X168*(1-MIN(1,INDEX(Tabla_Mortalidad!$B$5:$B$75,MIN(71,Cartera_Polizas!$B$170+22-49))*(1+(Cartera_Polizas!$P$170-1)*MAX(0,1-22/Supuestos!$C$20))*(1-Supuestos!$C$18)^22))</f>
        <v>0.00798492240598466</v>
      </c>
      <c r="Z168" s="29" t="n">
        <f aca="false">Y168*(1-MIN(1,INDEX(Tabla_Mortalidad!$B$5:$B$75,MIN(71,Cartera_Polizas!$B$170+23-49))*(1+(Cartera_Polizas!$P$170-1)*MAX(0,1-23/Supuestos!$C$20))*(1-Supuestos!$C$18)^23))</f>
        <v>0.00465247879798233</v>
      </c>
      <c r="AA168" s="29" t="n">
        <f aca="false">Z168*(1-MIN(1,INDEX(Tabla_Mortalidad!$B$5:$B$75,MIN(71,Cartera_Polizas!$B$170+24-49))*(1+(Cartera_Polizas!$P$170-1)*MAX(0,1-24/Supuestos!$C$20))*(1-Supuestos!$C$18)^24))</f>
        <v>0.00256518027433107</v>
      </c>
      <c r="AB168" s="29" t="n">
        <f aca="false">AA168*(1-MIN(1,INDEX(Tabla_Mortalidad!$B$5:$B$75,MIN(71,Cartera_Polizas!$B$170+25-49))*(1+(Cartera_Polizas!$P$170-1)*MAX(0,1-25/Supuestos!$C$20))*(1-Supuestos!$C$18)^25))</f>
        <v>0.00133207158859793</v>
      </c>
      <c r="AC168" s="29" t="n">
        <f aca="false">AB168*(1-MIN(1,INDEX(Tabla_Mortalidad!$B$5:$B$75,MIN(71,Cartera_Polizas!$B$170+26-49))*(1+(Cartera_Polizas!$P$170-1)*MAX(0,1-26/Supuestos!$C$20))*(1-Supuestos!$C$18)^26))</f>
        <v>0.000648383855721225</v>
      </c>
      <c r="AD168" s="29" t="n">
        <f aca="false">AC168*(1-MIN(1,INDEX(Tabla_Mortalidad!$B$5:$B$75,MIN(71,Cartera_Polizas!$B$170+27-49))*(1+(Cartera_Polizas!$P$170-1)*MAX(0,1-27/Supuestos!$C$20))*(1-Supuestos!$C$18)^27))</f>
        <v>0.000294418787554263</v>
      </c>
      <c r="AE168" s="29" t="n">
        <f aca="false">AD168*(1-MIN(1,INDEX(Tabla_Mortalidad!$B$5:$B$75,MIN(71,Cartera_Polizas!$B$170+28-49))*(1+(Cartera_Polizas!$P$170-1)*MAX(0,1-28/Supuestos!$C$20))*(1-Supuestos!$C$18)^28))</f>
        <v>0.00012415179177467</v>
      </c>
      <c r="AF168" s="29" t="n">
        <f aca="false">AE168*(1-MIN(1,INDEX(Tabla_Mortalidad!$B$5:$B$75,MIN(71,Cartera_Polizas!$B$170+29-49))*(1+(Cartera_Polizas!$P$170-1)*MAX(0,1-29/Supuestos!$C$20))*(1-Supuestos!$C$18)^29))</f>
        <v>4.84181970698054E-005</v>
      </c>
      <c r="AG168" s="29" t="n">
        <f aca="false">AF168*(1-MIN(1,INDEX(Tabla_Mortalidad!$B$5:$B$75,MIN(71,Cartera_Polizas!$B$170+30-49))*(1+(Cartera_Polizas!$P$170-1)*MAX(0,1-30/Supuestos!$C$20))*(1-Supuestos!$C$18)^30))</f>
        <v>1.74046703886654E-005</v>
      </c>
      <c r="AH168" s="29" t="n">
        <f aca="false">AG168*(1-MIN(1,INDEX(Tabla_Mortalidad!$B$5:$B$75,MIN(71,Cartera_Polizas!$B$170+31-49))*(1+(Cartera_Polizas!$P$170-1)*MAX(0,1-31/Supuestos!$C$20))*(1-Supuestos!$C$18)^31))</f>
        <v>5.7535697164807E-006</v>
      </c>
      <c r="AI168" s="29" t="n">
        <f aca="false">AH168*(1-MIN(1,INDEX(Tabla_Mortalidad!$B$5:$B$75,MIN(71,Cartera_Polizas!$B$170+32-49))*(1+(Cartera_Polizas!$P$170-1)*MAX(0,1-32/Supuestos!$C$20))*(1-Supuestos!$C$18)^32))</f>
        <v>1.74781306949892E-006</v>
      </c>
      <c r="AJ168" s="29" t="n">
        <f aca="false">AI168*(1-MIN(1,INDEX(Tabla_Mortalidad!$B$5:$B$75,MIN(71,Cartera_Polizas!$B$170+33-49))*(1+(Cartera_Polizas!$P$170-1)*MAX(0,1-33/Supuestos!$C$20))*(1-Supuestos!$C$18)^33))</f>
        <v>4.88498214543802E-007</v>
      </c>
      <c r="AK168" s="29" t="n">
        <f aca="false">AJ168*(1-MIN(1,INDEX(Tabla_Mortalidad!$B$5:$B$75,MIN(71,Cartera_Polizas!$B$170+34-49))*(1+(Cartera_Polizas!$P$170-1)*MAX(0,1-34/Supuestos!$C$20))*(1-Supuestos!$C$18)^34))</f>
        <v>1.26063566083394E-007</v>
      </c>
      <c r="AL168" s="29" t="n">
        <f aca="false">AK168*(1-MIN(1,INDEX(Tabla_Mortalidad!$B$5:$B$75,MIN(71,Cartera_Polizas!$B$170+35-49))*(1+(Cartera_Polizas!$P$170-1)*MAX(0,1-35/Supuestos!$C$20))*(1-Supuestos!$C$18)^35))</f>
        <v>3.02238001364428E-008</v>
      </c>
      <c r="AM168" s="29" t="n">
        <f aca="false">AL168*(1-MIN(1,INDEX(Tabla_Mortalidad!$B$5:$B$75,MIN(71,Cartera_Polizas!$B$170+36-49))*(1+(Cartera_Polizas!$P$170-1)*MAX(0,1-36/Supuestos!$C$20))*(1-Supuestos!$C$18)^36))</f>
        <v>6.79105586676562E-009</v>
      </c>
      <c r="AN168" s="29" t="n">
        <f aca="false">AM168*(1-MIN(1,INDEX(Tabla_Mortalidad!$B$5:$B$75,MIN(71,Cartera_Polizas!$B$170+37-49))*(1+(Cartera_Polizas!$P$170-1)*MAX(0,1-37/Supuestos!$C$20))*(1-Supuestos!$C$18)^37))</f>
        <v>1.44579781960685E-009</v>
      </c>
      <c r="AO168" s="29" t="n">
        <f aca="false">AN168*(1-MIN(1,INDEX(Tabla_Mortalidad!$B$5:$B$75,MIN(71,Cartera_Polizas!$B$170+38-49))*(1+(Cartera_Polizas!$P$170-1)*MAX(0,1-38/Supuestos!$C$20))*(1-Supuestos!$C$18)^38))</f>
        <v>2.50751788733896E-010</v>
      </c>
      <c r="AP168" s="29" t="n">
        <f aca="false">AO168*(1-MIN(1,INDEX(Tabla_Mortalidad!$B$5:$B$75,MIN(71,Cartera_Polizas!$B$170+39-49))*(1+(Cartera_Polizas!$P$170-1)*MAX(0,1-39/Supuestos!$C$20))*(1-Supuestos!$C$18)^39))</f>
        <v>4.4525422800857E-011</v>
      </c>
      <c r="AQ168" s="29" t="n">
        <f aca="false">AP168*(1-MIN(1,INDEX(Tabla_Mortalidad!$B$5:$B$75,MIN(71,Cartera_Polizas!$B$170+40-49))*(1+(Cartera_Polizas!$P$170-1)*MAX(0,1-40/Supuestos!$C$20))*(1-Supuestos!$C$18)^40))</f>
        <v>8.08937342587396E-012</v>
      </c>
      <c r="AR168" s="29" t="n">
        <f aca="false">AQ168*(1-MIN(1,INDEX(Tabla_Mortalidad!$B$5:$B$75,MIN(71,Cartera_Polizas!$B$170+41-49))*(1+(Cartera_Polizas!$P$170-1)*MAX(0,1-41/Supuestos!$C$20))*(1-Supuestos!$C$18)^41))</f>
        <v>1.50277487021947E-012</v>
      </c>
      <c r="AS168" s="29" t="n">
        <f aca="false">AR168*(1-MIN(1,INDEX(Tabla_Mortalidad!$B$5:$B$75,MIN(71,Cartera_Polizas!$B$170+42-49))*(1+(Cartera_Polizas!$P$170-1)*MAX(0,1-42/Supuestos!$C$20))*(1-Supuestos!$C$18)^42))</f>
        <v>2.85290721915476E-013</v>
      </c>
      <c r="AT168" s="29" t="n">
        <f aca="false">AS168*(1-MIN(1,INDEX(Tabla_Mortalidad!$B$5:$B$75,MIN(71,Cartera_Polizas!$B$170+43-49))*(1+(Cartera_Polizas!$P$170-1)*MAX(0,1-43/Supuestos!$C$20))*(1-Supuestos!$C$18)^43))</f>
        <v>5.53159906492613E-014</v>
      </c>
      <c r="AU168" s="29" t="n">
        <f aca="false">AT168*(1-MIN(1,INDEX(Tabla_Mortalidad!$B$5:$B$75,MIN(71,Cartera_Polizas!$B$170+44-49))*(1+(Cartera_Polizas!$P$170-1)*MAX(0,1-44/Supuestos!$C$20))*(1-Supuestos!$C$18)^44))</f>
        <v>1.09483589264989E-014</v>
      </c>
    </row>
    <row r="169" customFormat="false" ht="15" hidden="false" customHeight="false" outlineLevel="0" collapsed="false">
      <c r="A169" s="14" t="n">
        <f aca="false">Cartera_Polizas!A171</f>
        <v>166</v>
      </c>
      <c r="B169" s="26" t="n">
        <f aca="false">SUM(C169:AU169)+0.5</f>
        <v>7.76922414803749</v>
      </c>
      <c r="C169" s="29" t="n">
        <f aca="false">1-MIN(1,INDEX(Tabla_Mortalidad!$B$5:$B$75,MIN(71,Cartera_Polizas!$B$171+0-49))*(1+(Cartera_Polizas!$P$171-1)*MAX(0,1-0/Supuestos!$C$20))*(1-Supuestos!$C$18)^0)</f>
        <v>0.91727362</v>
      </c>
      <c r="D169" s="29" t="n">
        <f aca="false">C169*(1-MIN(1,INDEX(Tabla_Mortalidad!$B$5:$B$75,MIN(71,Cartera_Polizas!$B$171+1-49))*(1+(Cartera_Polizas!$P$171-1)*MAX(0,1-1/Supuestos!$C$20))*(1-Supuestos!$C$18)^1))</f>
        <v>0.836111928940975</v>
      </c>
      <c r="E169" s="29" t="n">
        <f aca="false">D169*(1-MIN(1,INDEX(Tabla_Mortalidad!$B$5:$B$75,MIN(71,Cartera_Polizas!$B$171+2-49))*(1+(Cartera_Polizas!$P$171-1)*MAX(0,1-2/Supuestos!$C$20))*(1-Supuestos!$C$18)^2))</f>
        <v>0.757107496692763</v>
      </c>
      <c r="F169" s="29" t="n">
        <f aca="false">E169*(1-MIN(1,INDEX(Tabla_Mortalidad!$B$5:$B$75,MIN(71,Cartera_Polizas!$B$171+3-49))*(1+(Cartera_Polizas!$P$171-1)*MAX(0,1-3/Supuestos!$C$20))*(1-Supuestos!$C$18)^3))</f>
        <v>0.680838517471736</v>
      </c>
      <c r="G169" s="29" t="n">
        <f aca="false">F169*(1-MIN(1,INDEX(Tabla_Mortalidad!$B$5:$B$75,MIN(71,Cartera_Polizas!$B$171+4-49))*(1+(Cartera_Polizas!$P$171-1)*MAX(0,1-4/Supuestos!$C$20))*(1-Supuestos!$C$18)^4))</f>
        <v>0.60785409141479</v>
      </c>
      <c r="H169" s="29" t="n">
        <f aca="false">G169*(1-MIN(1,INDEX(Tabla_Mortalidad!$B$5:$B$75,MIN(71,Cartera_Polizas!$B$171+5-49))*(1+(Cartera_Polizas!$P$171-1)*MAX(0,1-5/Supuestos!$C$20))*(1-Supuestos!$C$18)^5))</f>
        <v>0.538653709061116</v>
      </c>
      <c r="I169" s="29" t="n">
        <f aca="false">H169*(1-MIN(1,INDEX(Tabla_Mortalidad!$B$5:$B$75,MIN(71,Cartera_Polizas!$B$171+6-49))*(1+(Cartera_Polizas!$P$171-1)*MAX(0,1-6/Supuestos!$C$20))*(1-Supuestos!$C$18)^6))</f>
        <v>0.473670776533336</v>
      </c>
      <c r="J169" s="29" t="n">
        <f aca="false">I169*(1-MIN(1,INDEX(Tabla_Mortalidad!$B$5:$B$75,MIN(71,Cartera_Polizas!$B$171+7-49))*(1+(Cartera_Polizas!$P$171-1)*MAX(0,1-7/Supuestos!$C$20))*(1-Supuestos!$C$18)^7))</f>
        <v>0.413262163520315</v>
      </c>
      <c r="K169" s="29" t="n">
        <f aca="false">J169*(1-MIN(1,INDEX(Tabla_Mortalidad!$B$5:$B$75,MIN(71,Cartera_Polizas!$B$171+8-49))*(1+(Cartera_Polizas!$P$171-1)*MAX(0,1-8/Supuestos!$C$20))*(1-Supuestos!$C$18)^8))</f>
        <v>0.357691114878059</v>
      </c>
      <c r="L169" s="29" t="n">
        <f aca="false">K169*(1-MIN(1,INDEX(Tabla_Mortalidad!$B$5:$B$75,MIN(71,Cartera_Polizas!$B$171+9-49))*(1+(Cartera_Polizas!$P$171-1)*MAX(0,1-9/Supuestos!$C$20))*(1-Supuestos!$C$18)^9))</f>
        <v>0.307123834850109</v>
      </c>
      <c r="M169" s="29" t="n">
        <f aca="false">L169*(1-MIN(1,INDEX(Tabla_Mortalidad!$B$5:$B$75,MIN(71,Cartera_Polizas!$B$171+10-49))*(1+(Cartera_Polizas!$P$171-1)*MAX(0,1-10/Supuestos!$C$20))*(1-Supuestos!$C$18)^10))</f>
        <v>0.261622367900948</v>
      </c>
      <c r="N169" s="29" t="n">
        <f aca="false">M169*(1-MIN(1,INDEX(Tabla_Mortalidad!$B$5:$B$75,MIN(71,Cartera_Polizas!$B$171+11-49))*(1+(Cartera_Polizas!$P$171-1)*MAX(0,1-11/Supuestos!$C$20))*(1-Supuestos!$C$18)^11))</f>
        <v>0.221146510895401</v>
      </c>
      <c r="O169" s="29" t="n">
        <f aca="false">N169*(1-MIN(1,INDEX(Tabla_Mortalidad!$B$5:$B$75,MIN(71,Cartera_Polizas!$B$171+12-49))*(1+(Cartera_Polizas!$P$171-1)*MAX(0,1-12/Supuestos!$C$20))*(1-Supuestos!$C$18)^12))</f>
        <v>0.185559380173603</v>
      </c>
      <c r="P169" s="29" t="n">
        <f aca="false">O169*(1-MIN(1,INDEX(Tabla_Mortalidad!$B$5:$B$75,MIN(71,Cartera_Polizas!$B$171+13-49))*(1+(Cartera_Polizas!$P$171-1)*MAX(0,1-13/Supuestos!$C$20))*(1-Supuestos!$C$18)^13))</f>
        <v>0.154637837698732</v>
      </c>
      <c r="Q169" s="29" t="n">
        <f aca="false">P169*(1-MIN(1,INDEX(Tabla_Mortalidad!$B$5:$B$75,MIN(71,Cartera_Polizas!$B$171+14-49))*(1+(Cartera_Polizas!$P$171-1)*MAX(0,1-14/Supuestos!$C$20))*(1-Supuestos!$C$18)^14))</f>
        <v>0.128086486594956</v>
      </c>
      <c r="R169" s="29" t="n">
        <f aca="false">Q169*(1-MIN(1,INDEX(Tabla_Mortalidad!$B$5:$B$75,MIN(71,Cartera_Polizas!$B$171+15-49))*(1+(Cartera_Polizas!$P$171-1)*MAX(0,1-15/Supuestos!$C$20))*(1-Supuestos!$C$18)^15))</f>
        <v>0.105554112589273</v>
      </c>
      <c r="S169" s="29" t="n">
        <f aca="false">R169*(1-MIN(1,INDEX(Tabla_Mortalidad!$B$5:$B$75,MIN(71,Cartera_Polizas!$B$171+16-49))*(1+(Cartera_Polizas!$P$171-1)*MAX(0,1-16/Supuestos!$C$20))*(1-Supuestos!$C$18)^16))</f>
        <v>0.0851713906999991</v>
      </c>
      <c r="T169" s="29" t="n">
        <f aca="false">S169*(1-MIN(1,INDEX(Tabla_Mortalidad!$B$5:$B$75,MIN(71,Cartera_Polizas!$B$171+17-49))*(1+(Cartera_Polizas!$P$171-1)*MAX(0,1-17/Supuestos!$C$20))*(1-Supuestos!$C$18)^17))</f>
        <v>0.0671415106192552</v>
      </c>
      <c r="U169" s="29" t="n">
        <f aca="false">T169*(1-MIN(1,INDEX(Tabla_Mortalidad!$B$5:$B$75,MIN(71,Cartera_Polizas!$B$171+18-49))*(1+(Cartera_Polizas!$P$171-1)*MAX(0,1-18/Supuestos!$C$20))*(1-Supuestos!$C$18)^18))</f>
        <v>0.0515827625684774</v>
      </c>
      <c r="V169" s="29" t="n">
        <f aca="false">U169*(1-MIN(1,INDEX(Tabla_Mortalidad!$B$5:$B$75,MIN(71,Cartera_Polizas!$B$171+19-49))*(1+(Cartera_Polizas!$P$171-1)*MAX(0,1-19/Supuestos!$C$20))*(1-Supuestos!$C$18)^19))</f>
        <v>0.0385186764415638</v>
      </c>
      <c r="W169" s="29" t="n">
        <f aca="false">V169*(1-MIN(1,INDEX(Tabla_Mortalidad!$B$5:$B$75,MIN(71,Cartera_Polizas!$B$171+20-49))*(1+(Cartera_Polizas!$P$171-1)*MAX(0,1-20/Supuestos!$C$20))*(1-Supuestos!$C$18)^20))</f>
        <v>0.0278755246405023</v>
      </c>
      <c r="X169" s="29" t="n">
        <f aca="false">W169*(1-MIN(1,INDEX(Tabla_Mortalidad!$B$5:$B$75,MIN(71,Cartera_Polizas!$B$171+21-49))*(1+(Cartera_Polizas!$P$171-1)*MAX(0,1-21/Supuestos!$C$20))*(1-Supuestos!$C$18)^21))</f>
        <v>0.0194885535323864</v>
      </c>
      <c r="Y169" s="29" t="n">
        <f aca="false">X169*(1-MIN(1,INDEX(Tabla_Mortalidad!$B$5:$B$75,MIN(71,Cartera_Polizas!$B$171+22-49))*(1+(Cartera_Polizas!$P$171-1)*MAX(0,1-22/Supuestos!$C$20))*(1-Supuestos!$C$18)^22))</f>
        <v>0.0131173963348295</v>
      </c>
      <c r="Z169" s="29" t="n">
        <f aca="false">Y169*(1-MIN(1,INDEX(Tabla_Mortalidad!$B$5:$B$75,MIN(71,Cartera_Polizas!$B$171+23-49))*(1+(Cartera_Polizas!$P$171-1)*MAX(0,1-23/Supuestos!$C$20))*(1-Supuestos!$C$18)^23))</f>
        <v>0.00846872728561606</v>
      </c>
      <c r="AA169" s="29" t="n">
        <f aca="false">Z169*(1-MIN(1,INDEX(Tabla_Mortalidad!$B$5:$B$75,MIN(71,Cartera_Polizas!$B$171+24-49))*(1+(Cartera_Polizas!$P$171-1)*MAX(0,1-24/Supuestos!$C$20))*(1-Supuestos!$C$18)^24))</f>
        <v>0.00522359256432275</v>
      </c>
      <c r="AB169" s="29" t="n">
        <f aca="false">AA169*(1-MIN(1,INDEX(Tabla_Mortalidad!$B$5:$B$75,MIN(71,Cartera_Polizas!$B$171+25-49))*(1+(Cartera_Polizas!$P$171-1)*MAX(0,1-25/Supuestos!$C$20))*(1-Supuestos!$C$18)^25))</f>
        <v>0.00306531366288437</v>
      </c>
      <c r="AC169" s="29" t="n">
        <f aca="false">AB169*(1-MIN(1,INDEX(Tabla_Mortalidad!$B$5:$B$75,MIN(71,Cartera_Polizas!$B$171+26-49))*(1+(Cartera_Polizas!$P$171-1)*MAX(0,1-26/Supuestos!$C$20))*(1-Supuestos!$C$18)^26))</f>
        <v>0.00170380237677167</v>
      </c>
      <c r="AD169" s="29" t="n">
        <f aca="false">AC169*(1-MIN(1,INDEX(Tabla_Mortalidad!$B$5:$B$75,MIN(71,Cartera_Polizas!$B$171+27-49))*(1+(Cartera_Polizas!$P$171-1)*MAX(0,1-27/Supuestos!$C$20))*(1-Supuestos!$C$18)^27))</f>
        <v>0.000892936832690419</v>
      </c>
      <c r="AE169" s="29" t="n">
        <f aca="false">AD169*(1-MIN(1,INDEX(Tabla_Mortalidad!$B$5:$B$75,MIN(71,Cartera_Polizas!$B$171+28-49))*(1+(Cartera_Polizas!$P$171-1)*MAX(0,1-28/Supuestos!$C$20))*(1-Supuestos!$C$18)^28))</f>
        <v>0.000439207223426772</v>
      </c>
      <c r="AF169" s="29" t="n">
        <f aca="false">AE169*(1-MIN(1,INDEX(Tabla_Mortalidad!$B$5:$B$75,MIN(71,Cartera_Polizas!$B$171+29-49))*(1+(Cartera_Polizas!$P$171-1)*MAX(0,1-29/Supuestos!$C$20))*(1-Supuestos!$C$18)^29))</f>
        <v>0.000201827375248646</v>
      </c>
      <c r="AG169" s="29" t="n">
        <f aca="false">AF169*(1-MIN(1,INDEX(Tabla_Mortalidad!$B$5:$B$75,MIN(71,Cartera_Polizas!$B$171+30-49))*(1+(Cartera_Polizas!$P$171-1)*MAX(0,1-30/Supuestos!$C$20))*(1-Supuestos!$C$18)^30))</f>
        <v>8.62717246146941E-005</v>
      </c>
      <c r="AH169" s="29" t="n">
        <f aca="false">AG169*(1-MIN(1,INDEX(Tabla_Mortalidad!$B$5:$B$75,MIN(71,Cartera_Polizas!$B$171+31-49))*(1+(Cartera_Polizas!$P$171-1)*MAX(0,1-31/Supuestos!$C$20))*(1-Supuestos!$C$18)^31))</f>
        <v>3.41702253336364E-005</v>
      </c>
      <c r="AI169" s="29" t="n">
        <f aca="false">AH169*(1-MIN(1,INDEX(Tabla_Mortalidad!$B$5:$B$75,MIN(71,Cartera_Polizas!$B$171+32-49))*(1+(Cartera_Polizas!$P$171-1)*MAX(0,1-32/Supuestos!$C$20))*(1-Supuestos!$C$18)^32))</f>
        <v>1.25013413167095E-005</v>
      </c>
      <c r="AJ169" s="29" t="n">
        <f aca="false">AI169*(1-MIN(1,INDEX(Tabla_Mortalidad!$B$5:$B$75,MIN(71,Cartera_Polizas!$B$171+33-49))*(1+(Cartera_Polizas!$P$171-1)*MAX(0,1-33/Supuestos!$C$20))*(1-Supuestos!$C$18)^33))</f>
        <v>4.21612358516853E-006</v>
      </c>
      <c r="AK169" s="29" t="n">
        <f aca="false">AJ169*(1-MIN(1,INDEX(Tabla_Mortalidad!$B$5:$B$75,MIN(71,Cartera_Polizas!$B$171+34-49))*(1+(Cartera_Polizas!$P$171-1)*MAX(0,1-34/Supuestos!$C$20))*(1-Supuestos!$C$18)^34))</f>
        <v>1.3100495358248E-006</v>
      </c>
      <c r="AL169" s="29" t="n">
        <f aca="false">AK169*(1-MIN(1,INDEX(Tabla_Mortalidad!$B$5:$B$75,MIN(71,Cartera_Polizas!$B$171+35-49))*(1+(Cartera_Polizas!$P$171-1)*MAX(0,1-35/Supuestos!$C$20))*(1-Supuestos!$C$18)^35))</f>
        <v>3.75562624493602E-007</v>
      </c>
      <c r="AM169" s="29" t="n">
        <f aca="false">AL169*(1-MIN(1,INDEX(Tabla_Mortalidad!$B$5:$B$75,MIN(71,Cartera_Polizas!$B$171+36-49))*(1+(Cartera_Polizas!$P$171-1)*MAX(0,1-36/Supuestos!$C$20))*(1-Supuestos!$C$18)^36))</f>
        <v>9.96984808468992E-008</v>
      </c>
      <c r="AN169" s="29" t="n">
        <f aca="false">AM169*(1-MIN(1,INDEX(Tabla_Mortalidad!$B$5:$B$75,MIN(71,Cartera_Polizas!$B$171+37-49))*(1+(Cartera_Polizas!$P$171-1)*MAX(0,1-37/Supuestos!$C$20))*(1-Supuestos!$C$18)^37))</f>
        <v>2.46588206991292E-008</v>
      </c>
      <c r="AO169" s="29" t="n">
        <f aca="false">AN169*(1-MIN(1,INDEX(Tabla_Mortalidad!$B$5:$B$75,MIN(71,Cartera_Polizas!$B$171+38-49))*(1+(Cartera_Polizas!$P$171-1)*MAX(0,1-38/Supuestos!$C$20))*(1-Supuestos!$C$18)^38))</f>
        <v>5.7313514843501E-009</v>
      </c>
      <c r="AP169" s="29" t="n">
        <f aca="false">AO169*(1-MIN(1,INDEX(Tabla_Mortalidad!$B$5:$B$75,MIN(71,Cartera_Polizas!$B$171+39-49))*(1+(Cartera_Polizas!$P$171-1)*MAX(0,1-39/Supuestos!$C$20))*(1-Supuestos!$C$18)^39))</f>
        <v>1.26518840157592E-009</v>
      </c>
      <c r="AQ169" s="29" t="n">
        <f aca="false">AP169*(1-MIN(1,INDEX(Tabla_Mortalidad!$B$5:$B$75,MIN(71,Cartera_Polizas!$B$171+40-49))*(1+(Cartera_Polizas!$P$171-1)*MAX(0,1-40/Supuestos!$C$20))*(1-Supuestos!$C$18)^40))</f>
        <v>2.29859275681829E-010</v>
      </c>
      <c r="AR169" s="29" t="n">
        <f aca="false">AQ169*(1-MIN(1,INDEX(Tabla_Mortalidad!$B$5:$B$75,MIN(71,Cartera_Polizas!$B$171+41-49))*(1+(Cartera_Polizas!$P$171-1)*MAX(0,1-41/Supuestos!$C$20))*(1-Supuestos!$C$18)^41))</f>
        <v>4.27012977391612E-011</v>
      </c>
      <c r="AS169" s="29" t="n">
        <f aca="false">AR169*(1-MIN(1,INDEX(Tabla_Mortalidad!$B$5:$B$75,MIN(71,Cartera_Polizas!$B$171+42-49))*(1+(Cartera_Polizas!$P$171-1)*MAX(0,1-42/Supuestos!$C$20))*(1-Supuestos!$C$18)^42))</f>
        <v>8.10652633348457E-012</v>
      </c>
      <c r="AT169" s="29" t="n">
        <f aca="false">AS169*(1-MIN(1,INDEX(Tabla_Mortalidad!$B$5:$B$75,MIN(71,Cartera_Polizas!$B$171+43-49))*(1+(Cartera_Polizas!$P$171-1)*MAX(0,1-43/Supuestos!$C$20))*(1-Supuestos!$C$18)^43))</f>
        <v>1.57180202654427E-012</v>
      </c>
      <c r="AU169" s="29" t="n">
        <f aca="false">AT169*(1-MIN(1,INDEX(Tabla_Mortalidad!$B$5:$B$75,MIN(71,Cartera_Polizas!$B$171+44-49))*(1+(Cartera_Polizas!$P$171-1)*MAX(0,1-44/Supuestos!$C$20))*(1-Supuestos!$C$18)^44))</f>
        <v>3.11097253181612E-013</v>
      </c>
    </row>
    <row r="170" customFormat="false" ht="15" hidden="false" customHeight="false" outlineLevel="0" collapsed="false">
      <c r="A170" s="14" t="n">
        <f aca="false">Cartera_Polizas!A172</f>
        <v>167</v>
      </c>
      <c r="B170" s="26" t="n">
        <f aca="false">SUM(C170:AU170)+0.5</f>
        <v>12.8235827919063</v>
      </c>
      <c r="C170" s="29" t="n">
        <f aca="false">1-MIN(1,INDEX(Tabla_Mortalidad!$B$5:$B$75,MIN(71,Cartera_Polizas!$B$172+0-49))*(1+(Cartera_Polizas!$P$172-1)*MAX(0,1-0/Supuestos!$C$20))*(1-Supuestos!$C$18)^0)</f>
        <v>0.96379344325</v>
      </c>
      <c r="D170" s="29" t="n">
        <f aca="false">C170*(1-MIN(1,INDEX(Tabla_Mortalidad!$B$5:$B$75,MIN(71,Cartera_Polizas!$B$172+1-49))*(1+(Cartera_Polizas!$P$172-1)*MAX(0,1-1/Supuestos!$C$20))*(1-Supuestos!$C$18)^1))</f>
        <v>0.926188682801912</v>
      </c>
      <c r="E170" s="29" t="n">
        <f aca="false">D170*(1-MIN(1,INDEX(Tabla_Mortalidad!$B$5:$B$75,MIN(71,Cartera_Polizas!$B$172+2-49))*(1+(Cartera_Polizas!$P$172-1)*MAX(0,1-2/Supuestos!$C$20))*(1-Supuestos!$C$18)^2))</f>
        <v>0.887287134250533</v>
      </c>
      <c r="F170" s="29" t="n">
        <f aca="false">E170*(1-MIN(1,INDEX(Tabla_Mortalidad!$B$5:$B$75,MIN(71,Cartera_Polizas!$B$172+3-49))*(1+(Cartera_Polizas!$P$172-1)*MAX(0,1-3/Supuestos!$C$20))*(1-Supuestos!$C$18)^3))</f>
        <v>0.847212067223791</v>
      </c>
      <c r="G170" s="29" t="n">
        <f aca="false">F170*(1-MIN(1,INDEX(Tabla_Mortalidad!$B$5:$B$75,MIN(71,Cartera_Polizas!$B$172+4-49))*(1+(Cartera_Polizas!$P$172-1)*MAX(0,1-4/Supuestos!$C$20))*(1-Supuestos!$C$18)^4))</f>
        <v>0.806111390345642</v>
      </c>
      <c r="H170" s="29" t="n">
        <f aca="false">G170*(1-MIN(1,INDEX(Tabla_Mortalidad!$B$5:$B$75,MIN(71,Cartera_Polizas!$B$172+5-49))*(1+(Cartera_Polizas!$P$172-1)*MAX(0,1-5/Supuestos!$C$20))*(1-Supuestos!$C$18)^5))</f>
        <v>0.764158288466952</v>
      </c>
      <c r="I170" s="29" t="n">
        <f aca="false">H170*(1-MIN(1,INDEX(Tabla_Mortalidad!$B$5:$B$75,MIN(71,Cartera_Polizas!$B$172+6-49))*(1+(Cartera_Polizas!$P$172-1)*MAX(0,1-6/Supuestos!$C$20))*(1-Supuestos!$C$18)^6))</f>
        <v>0.721551238506017</v>
      </c>
      <c r="J170" s="29" t="n">
        <f aca="false">I170*(1-MIN(1,INDEX(Tabla_Mortalidad!$B$5:$B$75,MIN(71,Cartera_Polizas!$B$172+7-49))*(1+(Cartera_Polizas!$P$172-1)*MAX(0,1-7/Supuestos!$C$20))*(1-Supuestos!$C$18)^7))</f>
        <v>0.678512161159932</v>
      </c>
      <c r="K170" s="29" t="n">
        <f aca="false">J170*(1-MIN(1,INDEX(Tabla_Mortalidad!$B$5:$B$75,MIN(71,Cartera_Polizas!$B$172+8-49))*(1+(Cartera_Polizas!$P$172-1)*MAX(0,1-8/Supuestos!$C$20))*(1-Supuestos!$C$18)^8))</f>
        <v>0.635282243582986</v>
      </c>
      <c r="L170" s="29" t="n">
        <f aca="false">K170*(1-MIN(1,INDEX(Tabla_Mortalidad!$B$5:$B$75,MIN(71,Cartera_Polizas!$B$172+9-49))*(1+(Cartera_Polizas!$P$172-1)*MAX(0,1-9/Supuestos!$C$20))*(1-Supuestos!$C$18)^9))</f>
        <v>0.592120356811646</v>
      </c>
      <c r="M170" s="29" t="n">
        <f aca="false">L170*(1-MIN(1,INDEX(Tabla_Mortalidad!$B$5:$B$75,MIN(71,Cartera_Polizas!$B$172+10-49))*(1+(Cartera_Polizas!$P$172-1)*MAX(0,1-10/Supuestos!$C$20))*(1-Supuestos!$C$18)^10))</f>
        <v>0.549299898645113</v>
      </c>
      <c r="N170" s="29" t="n">
        <f aca="false">M170*(1-MIN(1,INDEX(Tabla_Mortalidad!$B$5:$B$75,MIN(71,Cartera_Polizas!$B$172+11-49))*(1+(Cartera_Polizas!$P$172-1)*MAX(0,1-11/Supuestos!$C$20))*(1-Supuestos!$C$18)^11))</f>
        <v>0.507101573381827</v>
      </c>
      <c r="O170" s="29" t="n">
        <f aca="false">N170*(1-MIN(1,INDEX(Tabla_Mortalidad!$B$5:$B$75,MIN(71,Cartera_Polizas!$B$172+12-49))*(1+(Cartera_Polizas!$P$172-1)*MAX(0,1-12/Supuestos!$C$20))*(1-Supuestos!$C$18)^12))</f>
        <v>0.465806990320128</v>
      </c>
      <c r="P170" s="29" t="n">
        <f aca="false">O170*(1-MIN(1,INDEX(Tabla_Mortalidad!$B$5:$B$75,MIN(71,Cartera_Polizas!$B$172+13-49))*(1+(Cartera_Polizas!$P$172-1)*MAX(0,1-13/Supuestos!$C$20))*(1-Supuestos!$C$18)^13))</f>
        <v>0.425694395257997</v>
      </c>
      <c r="Q170" s="29" t="n">
        <f aca="false">P170*(1-MIN(1,INDEX(Tabla_Mortalidad!$B$5:$B$75,MIN(71,Cartera_Polizas!$B$172+14-49))*(1+(Cartera_Polizas!$P$172-1)*MAX(0,1-14/Supuestos!$C$20))*(1-Supuestos!$C$18)^14))</f>
        <v>0.387028222180619</v>
      </c>
      <c r="R170" s="29" t="n">
        <f aca="false">Q170*(1-MIN(1,INDEX(Tabla_Mortalidad!$B$5:$B$75,MIN(71,Cartera_Polizas!$B$172+15-49))*(1+(Cartera_Polizas!$P$172-1)*MAX(0,1-15/Supuestos!$C$20))*(1-Supuestos!$C$18)^15))</f>
        <v>0.350054930136918</v>
      </c>
      <c r="S170" s="29" t="n">
        <f aca="false">R170*(1-MIN(1,INDEX(Tabla_Mortalidad!$B$5:$B$75,MIN(71,Cartera_Polizas!$B$172+16-49))*(1+(Cartera_Polizas!$P$172-1)*MAX(0,1-16/Supuestos!$C$20))*(1-Supuestos!$C$18)^16))</f>
        <v>0.313141491255712</v>
      </c>
      <c r="T170" s="29" t="n">
        <f aca="false">S170*(1-MIN(1,INDEX(Tabla_Mortalidad!$B$5:$B$75,MIN(71,Cartera_Polizas!$B$172+17-49))*(1+(Cartera_Polizas!$P$172-1)*MAX(0,1-17/Supuestos!$C$20))*(1-Supuestos!$C$18)^17))</f>
        <v>0.27671761289996</v>
      </c>
      <c r="U170" s="29" t="n">
        <f aca="false">T170*(1-MIN(1,INDEX(Tabla_Mortalidad!$B$5:$B$75,MIN(71,Cartera_Polizas!$B$172+18-49))*(1+(Cartera_Polizas!$P$172-1)*MAX(0,1-18/Supuestos!$C$20))*(1-Supuestos!$C$18)^18))</f>
        <v>0.241241103628818</v>
      </c>
      <c r="V170" s="29" t="n">
        <f aca="false">U170*(1-MIN(1,INDEX(Tabla_Mortalidad!$B$5:$B$75,MIN(71,Cartera_Polizas!$B$172+19-49))*(1+(Cartera_Polizas!$P$172-1)*MAX(0,1-19/Supuestos!$C$20))*(1-Supuestos!$C$18)^19))</f>
        <v>0.207181771516724</v>
      </c>
      <c r="W170" s="29" t="n">
        <f aca="false">V170*(1-MIN(1,INDEX(Tabla_Mortalidad!$B$5:$B$75,MIN(71,Cartera_Polizas!$B$172+20-49))*(1+(Cartera_Polizas!$P$172-1)*MAX(0,1-20/Supuestos!$C$20))*(1-Supuestos!$C$18)^20))</f>
        <v>0.175001026147493</v>
      </c>
      <c r="X170" s="29" t="n">
        <f aca="false">W170*(1-MIN(1,INDEX(Tabla_Mortalidad!$B$5:$B$75,MIN(71,Cartera_Polizas!$B$172+21-49))*(1+(Cartera_Polizas!$P$172-1)*MAX(0,1-21/Supuestos!$C$20))*(1-Supuestos!$C$18)^21))</f>
        <v>0.145127759328218</v>
      </c>
      <c r="Y170" s="29" t="n">
        <f aca="false">X170*(1-MIN(1,INDEX(Tabla_Mortalidad!$B$5:$B$75,MIN(71,Cartera_Polizas!$B$172+22-49))*(1+(Cartera_Polizas!$P$172-1)*MAX(0,1-22/Supuestos!$C$20))*(1-Supuestos!$C$18)^22))</f>
        <v>0.117933577660191</v>
      </c>
      <c r="Z170" s="29" t="n">
        <f aca="false">Y170*(1-MIN(1,INDEX(Tabla_Mortalidad!$B$5:$B$75,MIN(71,Cartera_Polizas!$B$172+23-49))*(1+(Cartera_Polizas!$P$172-1)*MAX(0,1-23/Supuestos!$C$20))*(1-Supuestos!$C$18)^23))</f>
        <v>0.0937079489010547</v>
      </c>
      <c r="AA170" s="29" t="n">
        <f aca="false">Z170*(1-MIN(1,INDEX(Tabla_Mortalidad!$B$5:$B$75,MIN(71,Cartera_Polizas!$B$172+24-49))*(1+(Cartera_Polizas!$P$172-1)*MAX(0,1-24/Supuestos!$C$20))*(1-Supuestos!$C$18)^24))</f>
        <v>0.072636303151327</v>
      </c>
      <c r="AB170" s="29" t="n">
        <f aca="false">AA170*(1-MIN(1,INDEX(Tabla_Mortalidad!$B$5:$B$75,MIN(71,Cartera_Polizas!$B$172+25-49))*(1+(Cartera_Polizas!$P$172-1)*MAX(0,1-25/Supuestos!$C$20))*(1-Supuestos!$C$18)^25))</f>
        <v>0.05478513444678</v>
      </c>
      <c r="AC170" s="29" t="n">
        <f aca="false">AB170*(1-MIN(1,INDEX(Tabla_Mortalidad!$B$5:$B$75,MIN(71,Cartera_Polizas!$B$172+26-49))*(1+(Cartera_Polizas!$P$172-1)*MAX(0,1-26/Supuestos!$C$20))*(1-Supuestos!$C$18)^26))</f>
        <v>0.0400958677134355</v>
      </c>
      <c r="AD170" s="29" t="n">
        <f aca="false">AC170*(1-MIN(1,INDEX(Tabla_Mortalidad!$B$5:$B$75,MIN(71,Cartera_Polizas!$B$172+27-49))*(1+(Cartera_Polizas!$P$172-1)*MAX(0,1-27/Supuestos!$C$20))*(1-Supuestos!$C$18)^27))</f>
        <v>0.0283895529346301</v>
      </c>
      <c r="AE170" s="29" t="n">
        <f aca="false">AD170*(1-MIN(1,INDEX(Tabla_Mortalidad!$B$5:$B$75,MIN(71,Cartera_Polizas!$B$172+28-49))*(1+(Cartera_Polizas!$P$172-1)*MAX(0,1-28/Supuestos!$C$20))*(1-Supuestos!$C$18)^28))</f>
        <v>0.0193834739324861</v>
      </c>
      <c r="AF170" s="29" t="n">
        <f aca="false">AE170*(1-MIN(1,INDEX(Tabla_Mortalidad!$B$5:$B$75,MIN(71,Cartera_Polizas!$B$172+29-49))*(1+(Cartera_Polizas!$P$172-1)*MAX(0,1-29/Supuestos!$C$20))*(1-Supuestos!$C$18)^29))</f>
        <v>0.0127176922272506</v>
      </c>
      <c r="AG170" s="29" t="n">
        <f aca="false">AF170*(1-MIN(1,INDEX(Tabla_Mortalidad!$B$5:$B$75,MIN(71,Cartera_Polizas!$B$172+30-49))*(1+(Cartera_Polizas!$P$172-1)*MAX(0,1-30/Supuestos!$C$20))*(1-Supuestos!$C$18)^30))</f>
        <v>0.0079887786342291</v>
      </c>
      <c r="AH170" s="29" t="n">
        <f aca="false">AG170*(1-MIN(1,INDEX(Tabla_Mortalidad!$B$5:$B$75,MIN(71,Cartera_Polizas!$B$172+31-49))*(1+(Cartera_Polizas!$P$172-1)*MAX(0,1-31/Supuestos!$C$20))*(1-Supuestos!$C$18)^31))</f>
        <v>0.00478577713512913</v>
      </c>
      <c r="AI170" s="29" t="n">
        <f aca="false">AH170*(1-MIN(1,INDEX(Tabla_Mortalidad!$B$5:$B$75,MIN(71,Cartera_Polizas!$B$172+32-49))*(1+(Cartera_Polizas!$P$172-1)*MAX(0,1-32/Supuestos!$C$20))*(1-Supuestos!$C$18)^32))</f>
        <v>0.00272307138295053</v>
      </c>
      <c r="AJ170" s="29" t="n">
        <f aca="false">AI170*(1-MIN(1,INDEX(Tabla_Mortalidad!$B$5:$B$75,MIN(71,Cartera_Polizas!$B$172+33-49))*(1+(Cartera_Polizas!$P$172-1)*MAX(0,1-33/Supuestos!$C$20))*(1-Supuestos!$C$18)^33))</f>
        <v>0.0014655159514665</v>
      </c>
      <c r="AK170" s="29" t="n">
        <f aca="false">AJ170*(1-MIN(1,INDEX(Tabla_Mortalidad!$B$5:$B$75,MIN(71,Cartera_Polizas!$B$172+34-49))*(1+(Cartera_Polizas!$P$172-1)*MAX(0,1-34/Supuestos!$C$20))*(1-Supuestos!$C$18)^34))</f>
        <v>0.000742903537744532</v>
      </c>
      <c r="AL170" s="29" t="n">
        <f aca="false">AK170*(1-MIN(1,INDEX(Tabla_Mortalidad!$B$5:$B$75,MIN(71,Cartera_Polizas!$B$172+35-49))*(1+(Cartera_Polizas!$P$172-1)*MAX(0,1-35/Supuestos!$C$20))*(1-Supuestos!$C$18)^35))</f>
        <v>0.000353279911012831</v>
      </c>
      <c r="AM170" s="29" t="n">
        <f aca="false">AL170*(1-MIN(1,INDEX(Tabla_Mortalidad!$B$5:$B$75,MIN(71,Cartera_Polizas!$B$172+36-49))*(1+(Cartera_Polizas!$P$172-1)*MAX(0,1-36/Supuestos!$C$20))*(1-Supuestos!$C$18)^36))</f>
        <v>0.000157003304051216</v>
      </c>
      <c r="AN170" s="29" t="n">
        <f aca="false">AM170*(1-MIN(1,INDEX(Tabla_Mortalidad!$B$5:$B$75,MIN(71,Cartera_Polizas!$B$172+37-49))*(1+(Cartera_Polizas!$P$172-1)*MAX(0,1-37/Supuestos!$C$20))*(1-Supuestos!$C$18)^37))</f>
        <v>6.4994578026594E-005</v>
      </c>
      <c r="AO170" s="29" t="n">
        <f aca="false">AN170*(1-MIN(1,INDEX(Tabla_Mortalidad!$B$5:$B$75,MIN(71,Cartera_Polizas!$B$172+38-49))*(1+(Cartera_Polizas!$P$172-1)*MAX(0,1-38/Supuestos!$C$20))*(1-Supuestos!$C$18)^38))</f>
        <v>2.49997056568355E-005</v>
      </c>
      <c r="AP170" s="29" t="n">
        <f aca="false">AO170*(1-MIN(1,INDEX(Tabla_Mortalidad!$B$5:$B$75,MIN(71,Cartera_Polizas!$B$172+39-49))*(1+(Cartera_Polizas!$P$172-1)*MAX(0,1-39/Supuestos!$C$20))*(1-Supuestos!$C$18)^39))</f>
        <v>8.92212514116829E-006</v>
      </c>
      <c r="AQ170" s="29" t="n">
        <f aca="false">AP170*(1-MIN(1,INDEX(Tabla_Mortalidad!$B$5:$B$75,MIN(71,Cartera_Polizas!$B$172+40-49))*(1+(Cartera_Polizas!$P$172-1)*MAX(0,1-40/Supuestos!$C$20))*(1-Supuestos!$C$18)^40))</f>
        <v>2.95451918875958E-006</v>
      </c>
      <c r="AR170" s="29" t="n">
        <f aca="false">AQ170*(1-MIN(1,INDEX(Tabla_Mortalidad!$B$5:$B$75,MIN(71,Cartera_Polizas!$B$172+41-49))*(1+(Cartera_Polizas!$P$172-1)*MAX(0,1-41/Supuestos!$C$20))*(1-Supuestos!$C$18)^41))</f>
        <v>9.09436819106351E-007</v>
      </c>
      <c r="AS170" s="29" t="n">
        <f aca="false">AR170*(1-MIN(1,INDEX(Tabla_Mortalidad!$B$5:$B$75,MIN(71,Cartera_Polizas!$B$172+42-49))*(1+(Cartera_Polizas!$P$172-1)*MAX(0,1-42/Supuestos!$C$20))*(1-Supuestos!$C$18)^42))</f>
        <v>2.61214608826556E-007</v>
      </c>
      <c r="AT170" s="29" t="n">
        <f aca="false">AS170*(1-MIN(1,INDEX(Tabla_Mortalidad!$B$5:$B$75,MIN(71,Cartera_Polizas!$B$172+43-49))*(1+(Cartera_Polizas!$P$172-1)*MAX(0,1-43/Supuestos!$C$20))*(1-Supuestos!$C$18)^43))</f>
        <v>7.04322280740672E-008</v>
      </c>
      <c r="AU170" s="29" t="n">
        <f aca="false">AT170*(1-MIN(1,INDEX(Tabla_Mortalidad!$B$5:$B$75,MIN(71,Cartera_Polizas!$B$172+44-49))*(1+(Cartera_Polizas!$P$172-1)*MAX(0,1-44/Supuestos!$C$20))*(1-Supuestos!$C$18)^44))</f>
        <v>1.7972002048866E-008</v>
      </c>
    </row>
    <row r="171" customFormat="false" ht="15" hidden="false" customHeight="false" outlineLevel="0" collapsed="false">
      <c r="A171" s="14" t="n">
        <f aca="false">Cartera_Polizas!A173</f>
        <v>168</v>
      </c>
      <c r="B171" s="26" t="n">
        <f aca="false">SUM(C171:AU171)+0.5</f>
        <v>5.00099134595479</v>
      </c>
      <c r="C171" s="29" t="n">
        <f aca="false">1-MIN(1,INDEX(Tabla_Mortalidad!$B$5:$B$75,MIN(71,Cartera_Polizas!$B$173+0-49))*(1+(Cartera_Polizas!$P$173-1)*MAX(0,1-0/Supuestos!$C$20))*(1-Supuestos!$C$18)^0)</f>
        <v>0.86217715</v>
      </c>
      <c r="D171" s="29" t="n">
        <f aca="false">C171*(1-MIN(1,INDEX(Tabla_Mortalidad!$B$5:$B$75,MIN(71,Cartera_Polizas!$B$173+1-49))*(1+(Cartera_Polizas!$P$173-1)*MAX(0,1-1/Supuestos!$C$20))*(1-Supuestos!$C$18)^1))</f>
        <v>0.734300756534898</v>
      </c>
      <c r="E171" s="29" t="n">
        <f aca="false">D171*(1-MIN(1,INDEX(Tabla_Mortalidad!$B$5:$B$75,MIN(71,Cartera_Polizas!$B$173+2-49))*(1+(Cartera_Polizas!$P$173-1)*MAX(0,1-2/Supuestos!$C$20))*(1-Supuestos!$C$18)^2))</f>
        <v>0.617250869168255</v>
      </c>
      <c r="F171" s="29" t="n">
        <f aca="false">E171*(1-MIN(1,INDEX(Tabla_Mortalidad!$B$5:$B$75,MIN(71,Cartera_Polizas!$B$173+3-49))*(1+(Cartera_Polizas!$P$173-1)*MAX(0,1-3/Supuestos!$C$20))*(1-Supuestos!$C$18)^3))</f>
        <v>0.511653388723117</v>
      </c>
      <c r="G171" s="29" t="n">
        <f aca="false">F171*(1-MIN(1,INDEX(Tabla_Mortalidad!$B$5:$B$75,MIN(71,Cartera_Polizas!$B$173+4-49))*(1+(Cartera_Polizas!$P$173-1)*MAX(0,1-4/Supuestos!$C$20))*(1-Supuestos!$C$18)^4))</f>
        <v>0.4178531706437</v>
      </c>
      <c r="H171" s="29" t="n">
        <f aca="false">G171*(1-MIN(1,INDEX(Tabla_Mortalidad!$B$5:$B$75,MIN(71,Cartera_Polizas!$B$173+5-49))*(1+(Cartera_Polizas!$P$173-1)*MAX(0,1-5/Supuestos!$C$20))*(1-Supuestos!$C$18)^5))</f>
        <v>0.335898269431398</v>
      </c>
      <c r="I171" s="29" t="n">
        <f aca="false">H171*(1-MIN(1,INDEX(Tabla_Mortalidad!$B$5:$B$75,MIN(71,Cartera_Polizas!$B$173+6-49))*(1+(Cartera_Polizas!$P$173-1)*MAX(0,1-6/Supuestos!$C$20))*(1-Supuestos!$C$18)^6))</f>
        <v>0.265541265433982</v>
      </c>
      <c r="J171" s="29" t="n">
        <f aca="false">I171*(1-MIN(1,INDEX(Tabla_Mortalidad!$B$5:$B$75,MIN(71,Cartera_Polizas!$B$173+7-49))*(1+(Cartera_Polizas!$P$173-1)*MAX(0,1-7/Supuestos!$C$20))*(1-Supuestos!$C$18)^7))</f>
        <v>0.20625738290689</v>
      </c>
      <c r="K171" s="29" t="n">
        <f aca="false">J171*(1-MIN(1,INDEX(Tabla_Mortalidad!$B$5:$B$75,MIN(71,Cartera_Polizas!$B$173+8-49))*(1+(Cartera_Polizas!$P$173-1)*MAX(0,1-8/Supuestos!$C$20))*(1-Supuestos!$C$18)^8))</f>
        <v>0.157278702677621</v>
      </c>
      <c r="L171" s="29" t="n">
        <f aca="false">K171*(1-MIN(1,INDEX(Tabla_Mortalidad!$B$5:$B$75,MIN(71,Cartera_Polizas!$B$173+9-49))*(1+(Cartera_Polizas!$P$173-1)*MAX(0,1-9/Supuestos!$C$20))*(1-Supuestos!$C$18)^9))</f>
        <v>0.117644884016218</v>
      </c>
      <c r="M171" s="29" t="n">
        <f aca="false">L171*(1-MIN(1,INDEX(Tabla_Mortalidad!$B$5:$B$75,MIN(71,Cartera_Polizas!$B$173+10-49))*(1+(Cartera_Polizas!$P$173-1)*MAX(0,1-10/Supuestos!$C$20))*(1-Supuestos!$C$18)^10))</f>
        <v>0.0862627704268125</v>
      </c>
      <c r="N171" s="29" t="n">
        <f aca="false">M171*(1-MIN(1,INDEX(Tabla_Mortalidad!$B$5:$B$75,MIN(71,Cartera_Polizas!$B$173+11-49))*(1+(Cartera_Polizas!$P$173-1)*MAX(0,1-11/Supuestos!$C$20))*(1-Supuestos!$C$18)^11))</f>
        <v>0.0619705739340311</v>
      </c>
      <c r="O171" s="29" t="n">
        <f aca="false">N171*(1-MIN(1,INDEX(Tabla_Mortalidad!$B$5:$B$75,MIN(71,Cartera_Polizas!$B$173+12-49))*(1+(Cartera_Polizas!$P$173-1)*MAX(0,1-12/Supuestos!$C$20))*(1-Supuestos!$C$18)^12))</f>
        <v>0.0436019410688392</v>
      </c>
      <c r="P171" s="29" t="n">
        <f aca="false">O171*(1-MIN(1,INDEX(Tabla_Mortalidad!$B$5:$B$75,MIN(71,Cartera_Polizas!$B$173+13-49))*(1+(Cartera_Polizas!$P$173-1)*MAX(0,1-13/Supuestos!$C$20))*(1-Supuestos!$C$18)^13))</f>
        <v>0.0300425712937117</v>
      </c>
      <c r="Q171" s="29" t="n">
        <f aca="false">P171*(1-MIN(1,INDEX(Tabla_Mortalidad!$B$5:$B$75,MIN(71,Cartera_Polizas!$B$173+14-49))*(1+(Cartera_Polizas!$P$173-1)*MAX(0,1-14/Supuestos!$C$20))*(1-Supuestos!$C$18)^14))</f>
        <v>0.0202751321258515</v>
      </c>
      <c r="R171" s="29" t="n">
        <f aca="false">Q171*(1-MIN(1,INDEX(Tabla_Mortalidad!$B$5:$B$75,MIN(71,Cartera_Polizas!$B$173+15-49))*(1+(Cartera_Polizas!$P$173-1)*MAX(0,1-15/Supuestos!$C$20))*(1-Supuestos!$C$18)^15))</f>
        <v>0.0134101273746823</v>
      </c>
      <c r="S171" s="29" t="n">
        <f aca="false">R171*(1-MIN(1,INDEX(Tabla_Mortalidad!$B$5:$B$75,MIN(71,Cartera_Polizas!$B$173+16-49))*(1+(Cartera_Polizas!$P$173-1)*MAX(0,1-16/Supuestos!$C$20))*(1-Supuestos!$C$18)^16))</f>
        <v>0.00848800592062093</v>
      </c>
      <c r="T171" s="29" t="n">
        <f aca="false">S171*(1-MIN(1,INDEX(Tabla_Mortalidad!$B$5:$B$75,MIN(71,Cartera_Polizas!$B$173+17-49))*(1+(Cartera_Polizas!$P$173-1)*MAX(0,1-17/Supuestos!$C$20))*(1-Supuestos!$C$18)^17))</f>
        <v>0.00511933418970086</v>
      </c>
      <c r="U171" s="29" t="n">
        <f aca="false">T171*(1-MIN(1,INDEX(Tabla_Mortalidad!$B$5:$B$75,MIN(71,Cartera_Polizas!$B$173+18-49))*(1+(Cartera_Polizas!$P$173-1)*MAX(0,1-18/Supuestos!$C$20))*(1-Supuestos!$C$18)^18))</f>
        <v>0.00292859747735806</v>
      </c>
      <c r="V171" s="29" t="n">
        <f aca="false">U171*(1-MIN(1,INDEX(Tabla_Mortalidad!$B$5:$B$75,MIN(71,Cartera_Polizas!$B$173+19-49))*(1+(Cartera_Polizas!$P$173-1)*MAX(0,1-19/Supuestos!$C$20))*(1-Supuestos!$C$18)^19))</f>
        <v>0.00158135910661912</v>
      </c>
      <c r="W171" s="29" t="n">
        <f aca="false">V171*(1-MIN(1,INDEX(Tabla_Mortalidad!$B$5:$B$75,MIN(71,Cartera_Polizas!$B$173+20-49))*(1+(Cartera_Polizas!$P$173-1)*MAX(0,1-20/Supuestos!$C$20))*(1-Supuestos!$C$18)^20))</f>
        <v>0.000801890613299162</v>
      </c>
      <c r="X171" s="29" t="n">
        <f aca="false">W171*(1-MIN(1,INDEX(Tabla_Mortalidad!$B$5:$B$75,MIN(71,Cartera_Polizas!$B$173+21-49))*(1+(Cartera_Polizas!$P$173-1)*MAX(0,1-21/Supuestos!$C$20))*(1-Supuestos!$C$18)^21))</f>
        <v>0.000379873611040985</v>
      </c>
      <c r="Y171" s="29" t="n">
        <f aca="false">X171*(1-MIN(1,INDEX(Tabla_Mortalidad!$B$5:$B$75,MIN(71,Cartera_Polizas!$B$173+22-49))*(1+(Cartera_Polizas!$P$173-1)*MAX(0,1-22/Supuestos!$C$20))*(1-Supuestos!$C$18)^22))</f>
        <v>0.000167230198378745</v>
      </c>
      <c r="Z171" s="29" t="n">
        <f aca="false">Y171*(1-MIN(1,INDEX(Tabla_Mortalidad!$B$5:$B$75,MIN(71,Cartera_Polizas!$B$173+23-49))*(1+(Cartera_Polizas!$P$173-1)*MAX(0,1-23/Supuestos!$C$20))*(1-Supuestos!$C$18)^23))</f>
        <v>6.80638652456238E-005</v>
      </c>
      <c r="AA171" s="29" t="n">
        <f aca="false">Z171*(1-MIN(1,INDEX(Tabla_Mortalidad!$B$5:$B$75,MIN(71,Cartera_Polizas!$B$173+24-49))*(1+(Cartera_Polizas!$P$173-1)*MAX(0,1-24/Supuestos!$C$20))*(1-Supuestos!$C$18)^24))</f>
        <v>2.54906173002317E-005</v>
      </c>
      <c r="AB171" s="29" t="n">
        <f aca="false">AA171*(1-MIN(1,INDEX(Tabla_Mortalidad!$B$5:$B$75,MIN(71,Cartera_Polizas!$B$173+25-49))*(1+(Cartera_Polizas!$P$173-1)*MAX(0,1-25/Supuestos!$C$20))*(1-Supuestos!$C$18)^25))</f>
        <v>8.7486114302838E-006</v>
      </c>
      <c r="AC171" s="29" t="n">
        <f aca="false">AB171*(1-MIN(1,INDEX(Tabla_Mortalidad!$B$5:$B$75,MIN(71,Cartera_Polizas!$B$173+26-49))*(1+(Cartera_Polizas!$P$173-1)*MAX(0,1-26/Supuestos!$C$20))*(1-Supuestos!$C$18)^26))</f>
        <v>2.74344738235719E-006</v>
      </c>
      <c r="AD171" s="29" t="n">
        <f aca="false">AC171*(1-MIN(1,INDEX(Tabla_Mortalidad!$B$5:$B$75,MIN(71,Cartera_Polizas!$B$173+27-49))*(1+(Cartera_Polizas!$P$173-1)*MAX(0,1-27/Supuestos!$C$20))*(1-Supuestos!$C$18)^27))</f>
        <v>7.8492556624289E-007</v>
      </c>
      <c r="AE171" s="29" t="n">
        <f aca="false">AD171*(1-MIN(1,INDEX(Tabla_Mortalidad!$B$5:$B$75,MIN(71,Cartera_Polizas!$B$173+28-49))*(1+(Cartera_Polizas!$P$173-1)*MAX(0,1-28/Supuestos!$C$20))*(1-Supuestos!$C$18)^28))</f>
        <v>2.05026492492782E-007</v>
      </c>
      <c r="AF171" s="29" t="n">
        <f aca="false">AE171*(1-MIN(1,INDEX(Tabla_Mortalidad!$B$5:$B$75,MIN(71,Cartera_Polizas!$B$173+29-49))*(1+(Cartera_Polizas!$P$173-1)*MAX(0,1-29/Supuestos!$C$20))*(1-Supuestos!$C$18)^29))</f>
        <v>4.90492253772636E-008</v>
      </c>
      <c r="AG171" s="29" t="n">
        <f aca="false">AF171*(1-MIN(1,INDEX(Tabla_Mortalidad!$B$5:$B$75,MIN(71,Cartera_Polizas!$B$173+30-49))*(1+(Cartera_Polizas!$P$173-1)*MAX(0,1-30/Supuestos!$C$20))*(1-Supuestos!$C$18)^30))</f>
        <v>1.08131855327073E-008</v>
      </c>
      <c r="AH171" s="29" t="n">
        <f aca="false">AG171*(1-MIN(1,INDEX(Tabla_Mortalidad!$B$5:$B$75,MIN(71,Cartera_Polizas!$B$173+31-49))*(1+(Cartera_Polizas!$P$173-1)*MAX(0,1-31/Supuestos!$C$20))*(1-Supuestos!$C$18)^31))</f>
        <v>2.21687025623379E-009</v>
      </c>
      <c r="AI171" s="29" t="n">
        <f aca="false">AH171*(1-MIN(1,INDEX(Tabla_Mortalidad!$B$5:$B$75,MIN(71,Cartera_Polizas!$B$173+32-49))*(1+(Cartera_Polizas!$P$173-1)*MAX(0,1-32/Supuestos!$C$20))*(1-Supuestos!$C$18)^32))</f>
        <v>4.27681148672491E-010</v>
      </c>
      <c r="AJ171" s="29" t="n">
        <f aca="false">AI171*(1-MIN(1,INDEX(Tabla_Mortalidad!$B$5:$B$75,MIN(71,Cartera_Polizas!$B$173+33-49))*(1+(Cartera_Polizas!$P$173-1)*MAX(0,1-33/Supuestos!$C$20))*(1-Supuestos!$C$18)^33))</f>
        <v>6.5203048906027E-011</v>
      </c>
      <c r="AK171" s="29" t="n">
        <f aca="false">AJ171*(1-MIN(1,INDEX(Tabla_Mortalidad!$B$5:$B$75,MIN(71,Cartera_Polizas!$B$173+34-49))*(1+(Cartera_Polizas!$P$173-1)*MAX(0,1-34/Supuestos!$C$20))*(1-Supuestos!$C$18)^34))</f>
        <v>1.02169828774007E-011</v>
      </c>
      <c r="AL171" s="29" t="n">
        <f aca="false">AK171*(1-MIN(1,INDEX(Tabla_Mortalidad!$B$5:$B$75,MIN(71,Cartera_Polizas!$B$173+35-49))*(1+(Cartera_Polizas!$P$173-1)*MAX(0,1-35/Supuestos!$C$20))*(1-Supuestos!$C$18)^35))</f>
        <v>1.64402891262255E-012</v>
      </c>
      <c r="AM171" s="29" t="n">
        <f aca="false">AL171*(1-MIN(1,INDEX(Tabla_Mortalidad!$B$5:$B$75,MIN(71,Cartera_Polizas!$B$173+36-49))*(1+(Cartera_Polizas!$P$173-1)*MAX(0,1-36/Supuestos!$C$20))*(1-Supuestos!$C$18)^36))</f>
        <v>2.71440406599548E-013</v>
      </c>
      <c r="AN171" s="29" t="n">
        <f aca="false">AM171*(1-MIN(1,INDEX(Tabla_Mortalidad!$B$5:$B$75,MIN(71,Cartera_Polizas!$B$173+37-49))*(1+(Cartera_Polizas!$P$173-1)*MAX(0,1-37/Supuestos!$C$20))*(1-Supuestos!$C$18)^37))</f>
        <v>4.59497844993893E-014</v>
      </c>
      <c r="AO171" s="29" t="n">
        <f aca="false">AN171*(1-MIN(1,INDEX(Tabla_Mortalidad!$B$5:$B$75,MIN(71,Cartera_Polizas!$B$173+38-49))*(1+(Cartera_Polizas!$P$173-1)*MAX(0,1-38/Supuestos!$C$20))*(1-Supuestos!$C$18)^38))</f>
        <v>7.96929591323638E-015</v>
      </c>
      <c r="AP171" s="29" t="n">
        <f aca="false">AO171*(1-MIN(1,INDEX(Tabla_Mortalidad!$B$5:$B$75,MIN(71,Cartera_Polizas!$B$173+39-49))*(1+(Cartera_Polizas!$P$173-1)*MAX(0,1-39/Supuestos!$C$20))*(1-Supuestos!$C$18)^39))</f>
        <v>1.41508968591467E-015</v>
      </c>
      <c r="AQ171" s="29" t="n">
        <f aca="false">AP171*(1-MIN(1,INDEX(Tabla_Mortalidad!$B$5:$B$75,MIN(71,Cartera_Polizas!$B$173+40-49))*(1+(Cartera_Polizas!$P$173-1)*MAX(0,1-40/Supuestos!$C$20))*(1-Supuestos!$C$18)^40))</f>
        <v>2.5709332287904E-016</v>
      </c>
      <c r="AR171" s="29" t="n">
        <f aca="false">AQ171*(1-MIN(1,INDEX(Tabla_Mortalidad!$B$5:$B$75,MIN(71,Cartera_Polizas!$B$173+41-49))*(1+(Cartera_Polizas!$P$173-1)*MAX(0,1-41/Supuestos!$C$20))*(1-Supuestos!$C$18)^41))</f>
        <v>4.7760606982005E-017</v>
      </c>
      <c r="AS171" s="29" t="n">
        <f aca="false">AR171*(1-MIN(1,INDEX(Tabla_Mortalidad!$B$5:$B$75,MIN(71,Cartera_Polizas!$B$173+42-49))*(1+(Cartera_Polizas!$P$173-1)*MAX(0,1-42/Supuestos!$C$20))*(1-Supuestos!$C$18)^42))</f>
        <v>9.06699886658845E-018</v>
      </c>
      <c r="AT171" s="29" t="n">
        <f aca="false">AS171*(1-MIN(1,INDEX(Tabla_Mortalidad!$B$5:$B$75,MIN(71,Cartera_Polizas!$B$173+43-49))*(1+(Cartera_Polizas!$P$173-1)*MAX(0,1-43/Supuestos!$C$20))*(1-Supuestos!$C$18)^43))</f>
        <v>1.75803132030934E-018</v>
      </c>
      <c r="AU171" s="29" t="n">
        <f aca="false">AT171*(1-MIN(1,INDEX(Tabla_Mortalidad!$B$5:$B$75,MIN(71,Cartera_Polizas!$B$173+44-49))*(1+(Cartera_Polizas!$P$173-1)*MAX(0,1-44/Supuestos!$C$20))*(1-Supuestos!$C$18)^44))</f>
        <v>3.4795648912473E-019</v>
      </c>
    </row>
    <row r="172" customFormat="false" ht="15" hidden="false" customHeight="false" outlineLevel="0" collapsed="false">
      <c r="A172" s="14" t="n">
        <f aca="false">Cartera_Polizas!A174</f>
        <v>169</v>
      </c>
      <c r="B172" s="26" t="n">
        <f aca="false">SUM(C172:AU172)+0.5</f>
        <v>4.63569804767748</v>
      </c>
      <c r="C172" s="29" t="n">
        <f aca="false">1-MIN(1,INDEX(Tabla_Mortalidad!$B$5:$B$75,MIN(71,Cartera_Polizas!$B$174+0-49))*(1+(Cartera_Polizas!$P$174-1)*MAX(0,1-0/Supuestos!$C$20))*(1-Supuestos!$C$18)^0)</f>
        <v>0.836785193</v>
      </c>
      <c r="D172" s="29" t="n">
        <f aca="false">C172*(1-MIN(1,INDEX(Tabla_Mortalidad!$B$5:$B$75,MIN(71,Cartera_Polizas!$B$174+1-49))*(1+(Cartera_Polizas!$P$174-1)*MAX(0,1-1/Supuestos!$C$20))*(1-Supuestos!$C$18)^1))</f>
        <v>0.692287536431502</v>
      </c>
      <c r="E172" s="29" t="n">
        <f aca="false">D172*(1-MIN(1,INDEX(Tabla_Mortalidad!$B$5:$B$75,MIN(71,Cartera_Polizas!$B$174+2-49))*(1+(Cartera_Polizas!$P$174-1)*MAX(0,1-2/Supuestos!$C$20))*(1-Supuestos!$C$18)^2))</f>
        <v>0.566127918445097</v>
      </c>
      <c r="F172" s="29" t="n">
        <f aca="false">E172*(1-MIN(1,INDEX(Tabla_Mortalidad!$B$5:$B$75,MIN(71,Cartera_Polizas!$B$174+3-49))*(1+(Cartera_Polizas!$P$174-1)*MAX(0,1-3/Supuestos!$C$20))*(1-Supuestos!$C$18)^3))</f>
        <v>0.45755218404115</v>
      </c>
      <c r="G172" s="29" t="n">
        <f aca="false">F172*(1-MIN(1,INDEX(Tabla_Mortalidad!$B$5:$B$75,MIN(71,Cartera_Polizas!$B$174+4-49))*(1+(Cartera_Polizas!$P$174-1)*MAX(0,1-4/Supuestos!$C$20))*(1-Supuestos!$C$18)^4))</f>
        <v>0.365486843873308</v>
      </c>
      <c r="H172" s="29" t="n">
        <f aca="false">G172*(1-MIN(1,INDEX(Tabla_Mortalidad!$B$5:$B$75,MIN(71,Cartera_Polizas!$B$174+5-49))*(1+(Cartera_Polizas!$P$174-1)*MAX(0,1-5/Supuestos!$C$20))*(1-Supuestos!$C$18)^5))</f>
        <v>0.288593942735608</v>
      </c>
      <c r="I172" s="29" t="n">
        <f aca="false">H172*(1-MIN(1,INDEX(Tabla_Mortalidad!$B$5:$B$75,MIN(71,Cartera_Polizas!$B$174+6-49))*(1+(Cartera_Polizas!$P$174-1)*MAX(0,1-6/Supuestos!$C$20))*(1-Supuestos!$C$18)^6))</f>
        <v>0.225353589908598</v>
      </c>
      <c r="J172" s="29" t="n">
        <f aca="false">I172*(1-MIN(1,INDEX(Tabla_Mortalidad!$B$5:$B$75,MIN(71,Cartera_Polizas!$B$174+7-49))*(1+(Cartera_Polizas!$P$174-1)*MAX(0,1-7/Supuestos!$C$20))*(1-Supuestos!$C$18)^7))</f>
        <v>0.17413821090719</v>
      </c>
      <c r="K172" s="29" t="n">
        <f aca="false">J172*(1-MIN(1,INDEX(Tabla_Mortalidad!$B$5:$B$75,MIN(71,Cartera_Polizas!$B$174+8-49))*(1+(Cartera_Polizas!$P$174-1)*MAX(0,1-8/Supuestos!$C$20))*(1-Supuestos!$C$18)^8))</f>
        <v>0.133291922864991</v>
      </c>
      <c r="L172" s="29" t="n">
        <f aca="false">K172*(1-MIN(1,INDEX(Tabla_Mortalidad!$B$5:$B$75,MIN(71,Cartera_Polizas!$B$174+9-49))*(1+(Cartera_Polizas!$P$174-1)*MAX(0,1-9/Supuestos!$C$20))*(1-Supuestos!$C$18)^9))</f>
        <v>0.101200510480076</v>
      </c>
      <c r="M172" s="29" t="n">
        <f aca="false">L172*(1-MIN(1,INDEX(Tabla_Mortalidad!$B$5:$B$75,MIN(71,Cartera_Polizas!$B$174+10-49))*(1+(Cartera_Polizas!$P$174-1)*MAX(0,1-10/Supuestos!$C$20))*(1-Supuestos!$C$18)^10))</f>
        <v>0.0763495476461872</v>
      </c>
      <c r="N172" s="29" t="n">
        <f aca="false">M172*(1-MIN(1,INDEX(Tabla_Mortalidad!$B$5:$B$75,MIN(71,Cartera_Polizas!$B$174+11-49))*(1+(Cartera_Polizas!$P$174-1)*MAX(0,1-11/Supuestos!$C$20))*(1-Supuestos!$C$18)^11))</f>
        <v>0.0573670369924419</v>
      </c>
      <c r="O172" s="29" t="n">
        <f aca="false">N172*(1-MIN(1,INDEX(Tabla_Mortalidad!$B$5:$B$75,MIN(71,Cartera_Polizas!$B$174+12-49))*(1+(Cartera_Polizas!$P$174-1)*MAX(0,1-12/Supuestos!$C$20))*(1-Supuestos!$C$18)^12))</f>
        <v>0.0430496366247255</v>
      </c>
      <c r="P172" s="29" t="n">
        <f aca="false">O172*(1-MIN(1,INDEX(Tabla_Mortalidad!$B$5:$B$75,MIN(71,Cartera_Polizas!$B$174+13-49))*(1+(Cartera_Polizas!$P$174-1)*MAX(0,1-13/Supuestos!$C$20))*(1-Supuestos!$C$18)^13))</f>
        <v>0.0323741117485878</v>
      </c>
      <c r="Q172" s="29" t="n">
        <f aca="false">P172*(1-MIN(1,INDEX(Tabla_Mortalidad!$B$5:$B$75,MIN(71,Cartera_Polizas!$B$174+14-49))*(1+(Cartera_Polizas!$P$174-1)*MAX(0,1-14/Supuestos!$C$20))*(1-Supuestos!$C$18)^14))</f>
        <v>0.0244950896082371</v>
      </c>
      <c r="R172" s="29" t="n">
        <f aca="false">Q172*(1-MIN(1,INDEX(Tabla_Mortalidad!$B$5:$B$75,MIN(71,Cartera_Polizas!$B$174+15-49))*(1+(Cartera_Polizas!$P$174-1)*MAX(0,1-15/Supuestos!$C$20))*(1-Supuestos!$C$18)^15))</f>
        <v>0.0187328232402132</v>
      </c>
      <c r="S172" s="29" t="n">
        <f aca="false">R172*(1-MIN(1,INDEX(Tabla_Mortalidad!$B$5:$B$75,MIN(71,Cartera_Polizas!$B$174+16-49))*(1+(Cartera_Polizas!$P$174-1)*MAX(0,1-16/Supuestos!$C$20))*(1-Supuestos!$C$18)^16))</f>
        <v>0.0139165798018033</v>
      </c>
      <c r="T172" s="29" t="n">
        <f aca="false">S172*(1-MIN(1,INDEX(Tabla_Mortalidad!$B$5:$B$75,MIN(71,Cartera_Polizas!$B$174+17-49))*(1+(Cartera_Polizas!$P$174-1)*MAX(0,1-17/Supuestos!$C$20))*(1-Supuestos!$C$18)^17))</f>
        <v>0.0100130079938404</v>
      </c>
      <c r="U172" s="29" t="n">
        <f aca="false">T172*(1-MIN(1,INDEX(Tabla_Mortalidad!$B$5:$B$75,MIN(71,Cartera_Polizas!$B$174+18-49))*(1+(Cartera_Polizas!$P$174-1)*MAX(0,1-18/Supuestos!$C$20))*(1-Supuestos!$C$18)^18))</f>
        <v>0.00695472677517146</v>
      </c>
      <c r="V172" s="29" t="n">
        <f aca="false">U172*(1-MIN(1,INDEX(Tabla_Mortalidad!$B$5:$B$75,MIN(71,Cartera_Polizas!$B$174+19-49))*(1+(Cartera_Polizas!$P$174-1)*MAX(0,1-19/Supuestos!$C$20))*(1-Supuestos!$C$18)^19))</f>
        <v>0.00464665375203919</v>
      </c>
      <c r="W172" s="29" t="n">
        <f aca="false">V172*(1-MIN(1,INDEX(Tabla_Mortalidad!$B$5:$B$75,MIN(71,Cartera_Polizas!$B$174+20-49))*(1+(Cartera_Polizas!$P$174-1)*MAX(0,1-20/Supuestos!$C$20))*(1-Supuestos!$C$18)^20))</f>
        <v>0.00297497794304609</v>
      </c>
      <c r="X172" s="29" t="n">
        <f aca="false">W172*(1-MIN(1,INDEX(Tabla_Mortalidad!$B$5:$B$75,MIN(71,Cartera_Polizas!$B$174+21-49))*(1+(Cartera_Polizas!$P$174-1)*MAX(0,1-21/Supuestos!$C$20))*(1-Supuestos!$C$18)^21))</f>
        <v>0.00181772287503707</v>
      </c>
      <c r="Y172" s="29" t="n">
        <f aca="false">X172*(1-MIN(1,INDEX(Tabla_Mortalidad!$B$5:$B$75,MIN(71,Cartera_Polizas!$B$174+22-49))*(1+(Cartera_Polizas!$P$174-1)*MAX(0,1-22/Supuestos!$C$20))*(1-Supuestos!$C$18)^22))</f>
        <v>0.00105529862607806</v>
      </c>
      <c r="Z172" s="29" t="n">
        <f aca="false">Y172*(1-MIN(1,INDEX(Tabla_Mortalidad!$B$5:$B$75,MIN(71,Cartera_Polizas!$B$174+23-49))*(1+(Cartera_Polizas!$P$174-1)*MAX(0,1-23/Supuestos!$C$20))*(1-Supuestos!$C$18)^23))</f>
        <v>0.000579467929910082</v>
      </c>
      <c r="AA172" s="29" t="n">
        <f aca="false">Z172*(1-MIN(1,INDEX(Tabla_Mortalidad!$B$5:$B$75,MIN(71,Cartera_Polizas!$B$174+24-49))*(1+(Cartera_Polizas!$P$174-1)*MAX(0,1-24/Supuestos!$C$20))*(1-Supuestos!$C$18)^24))</f>
        <v>0.000299511923390729</v>
      </c>
      <c r="AB172" s="29" t="n">
        <f aca="false">AA172*(1-MIN(1,INDEX(Tabla_Mortalidad!$B$5:$B$75,MIN(71,Cartera_Polizas!$B$174+25-49))*(1+(Cartera_Polizas!$P$174-1)*MAX(0,1-25/Supuestos!$C$20))*(1-Supuestos!$C$18)^25))</f>
        <v>0.000145014494112601</v>
      </c>
      <c r="AC172" s="29" t="n">
        <f aca="false">AB172*(1-MIN(1,INDEX(Tabla_Mortalidad!$B$5:$B$75,MIN(71,Cartera_Polizas!$B$174+26-49))*(1+(Cartera_Polizas!$P$174-1)*MAX(0,1-26/Supuestos!$C$20))*(1-Supuestos!$C$18)^26))</f>
        <v>6.54505061058627E-005</v>
      </c>
      <c r="AD172" s="29" t="n">
        <f aca="false">AC172*(1-MIN(1,INDEX(Tabla_Mortalidad!$B$5:$B$75,MIN(71,Cartera_Polizas!$B$174+27-49))*(1+(Cartera_Polizas!$P$174-1)*MAX(0,1-27/Supuestos!$C$20))*(1-Supuestos!$C$18)^27))</f>
        <v>2.74092470995798E-005</v>
      </c>
      <c r="AE172" s="29" t="n">
        <f aca="false">AD172*(1-MIN(1,INDEX(Tabla_Mortalidad!$B$5:$B$75,MIN(71,Cartera_Polizas!$B$174+28-49))*(1+(Cartera_Polizas!$P$174-1)*MAX(0,1-28/Supuestos!$C$20))*(1-Supuestos!$C$18)^28))</f>
        <v>1.06053658100872E-005</v>
      </c>
      <c r="AF172" s="29" t="n">
        <f aca="false">AE172*(1-MIN(1,INDEX(Tabla_Mortalidad!$B$5:$B$75,MIN(71,Cartera_Polizas!$B$174+29-49))*(1+(Cartera_Polizas!$P$174-1)*MAX(0,1-29/Supuestos!$C$20))*(1-Supuestos!$C$18)^29))</f>
        <v>3.77812670243112E-006</v>
      </c>
      <c r="AG172" s="29" t="n">
        <f aca="false">AF172*(1-MIN(1,INDEX(Tabla_Mortalidad!$B$5:$B$75,MIN(71,Cartera_Polizas!$B$174+30-49))*(1+(Cartera_Polizas!$P$174-1)*MAX(0,1-30/Supuestos!$C$20))*(1-Supuestos!$C$18)^30))</f>
        <v>1.23624936372851E-006</v>
      </c>
      <c r="AH172" s="29" t="n">
        <f aca="false">AG172*(1-MIN(1,INDEX(Tabla_Mortalidad!$B$5:$B$75,MIN(71,Cartera_Polizas!$B$174+31-49))*(1+(Cartera_Polizas!$P$174-1)*MAX(0,1-31/Supuestos!$C$20))*(1-Supuestos!$C$18)^31))</f>
        <v>3.71221329509308E-007</v>
      </c>
      <c r="AI172" s="29" t="n">
        <f aca="false">AH172*(1-MIN(1,INDEX(Tabla_Mortalidad!$B$5:$B$75,MIN(71,Cartera_Polizas!$B$174+32-49))*(1+(Cartera_Polizas!$P$174-1)*MAX(0,1-32/Supuestos!$C$20))*(1-Supuestos!$C$18)^32))</f>
        <v>1.02408999722706E-007</v>
      </c>
      <c r="AJ172" s="29" t="n">
        <f aca="false">AI172*(1-MIN(1,INDEX(Tabla_Mortalidad!$B$5:$B$75,MIN(71,Cartera_Polizas!$B$174+33-49))*(1+(Cartera_Polizas!$P$174-1)*MAX(0,1-33/Supuestos!$C$20))*(1-Supuestos!$C$18)^33))</f>
        <v>2.60462124508693E-008</v>
      </c>
      <c r="AK172" s="29" t="n">
        <f aca="false">AJ172*(1-MIN(1,INDEX(Tabla_Mortalidad!$B$5:$B$75,MIN(71,Cartera_Polizas!$B$174+34-49))*(1+(Cartera_Polizas!$P$174-1)*MAX(0,1-34/Supuestos!$C$20))*(1-Supuestos!$C$18)^34))</f>
        <v>6.1450862354232E-009</v>
      </c>
      <c r="AL172" s="29" t="n">
        <f aca="false">AK172*(1-MIN(1,INDEX(Tabla_Mortalidad!$B$5:$B$75,MIN(71,Cartera_Polizas!$B$174+35-49))*(1+(Cartera_Polizas!$P$174-1)*MAX(0,1-35/Supuestos!$C$20))*(1-Supuestos!$C$18)^35))</f>
        <v>1.35681233261665E-009</v>
      </c>
      <c r="AM172" s="29" t="n">
        <f aca="false">AL172*(1-MIN(1,INDEX(Tabla_Mortalidad!$B$5:$B$75,MIN(71,Cartera_Polizas!$B$174+36-49))*(1+(Cartera_Polizas!$P$174-1)*MAX(0,1-36/Supuestos!$C$20))*(1-Supuestos!$C$18)^36))</f>
        <v>2.8349516861097E-010</v>
      </c>
      <c r="AN172" s="29" t="n">
        <f aca="false">AM172*(1-MIN(1,INDEX(Tabla_Mortalidad!$B$5:$B$75,MIN(71,Cartera_Polizas!$B$174+37-49))*(1+(Cartera_Polizas!$P$174-1)*MAX(0,1-37/Supuestos!$C$20))*(1-Supuestos!$C$18)^37))</f>
        <v>4.79904302660067E-011</v>
      </c>
      <c r="AO172" s="29" t="n">
        <f aca="false">AN172*(1-MIN(1,INDEX(Tabla_Mortalidad!$B$5:$B$75,MIN(71,Cartera_Polizas!$B$174+38-49))*(1+(Cartera_Polizas!$P$174-1)*MAX(0,1-38/Supuestos!$C$20))*(1-Supuestos!$C$18)^38))</f>
        <v>8.3232150914315E-012</v>
      </c>
      <c r="AP172" s="29" t="n">
        <f aca="false">AO172*(1-MIN(1,INDEX(Tabla_Mortalidad!$B$5:$B$75,MIN(71,Cartera_Polizas!$B$174+39-49))*(1+(Cartera_Polizas!$P$174-1)*MAX(0,1-39/Supuestos!$C$20))*(1-Supuestos!$C$18)^39))</f>
        <v>1.47793430658932E-012</v>
      </c>
      <c r="AQ172" s="29" t="n">
        <f aca="false">AP172*(1-MIN(1,INDEX(Tabla_Mortalidad!$B$5:$B$75,MIN(71,Cartera_Polizas!$B$174+40-49))*(1+(Cartera_Polizas!$P$174-1)*MAX(0,1-40/Supuestos!$C$20))*(1-Supuestos!$C$18)^40))</f>
        <v>2.68510925957585E-013</v>
      </c>
      <c r="AR172" s="29" t="n">
        <f aca="false">AQ172*(1-MIN(1,INDEX(Tabla_Mortalidad!$B$5:$B$75,MIN(71,Cartera_Polizas!$B$174+41-49))*(1+(Cartera_Polizas!$P$174-1)*MAX(0,1-41/Supuestos!$C$20))*(1-Supuestos!$C$18)^41))</f>
        <v>4.98816719991913E-014</v>
      </c>
      <c r="AS172" s="29" t="n">
        <f aca="false">AR172*(1-MIN(1,INDEX(Tabla_Mortalidad!$B$5:$B$75,MIN(71,Cartera_Polizas!$B$174+42-49))*(1+(Cartera_Polizas!$P$174-1)*MAX(0,1-42/Supuestos!$C$20))*(1-Supuestos!$C$18)^42))</f>
        <v>9.46966741127497E-015</v>
      </c>
      <c r="AT172" s="29" t="n">
        <f aca="false">AS172*(1-MIN(1,INDEX(Tabla_Mortalidad!$B$5:$B$75,MIN(71,Cartera_Polizas!$B$174+43-49))*(1+(Cartera_Polizas!$P$174-1)*MAX(0,1-43/Supuestos!$C$20))*(1-Supuestos!$C$18)^43))</f>
        <v>1.83610609716532E-015</v>
      </c>
      <c r="AU172" s="29" t="n">
        <f aca="false">AT172*(1-MIN(1,INDEX(Tabla_Mortalidad!$B$5:$B$75,MIN(71,Cartera_Polizas!$B$174+44-49))*(1+(Cartera_Polizas!$P$174-1)*MAX(0,1-44/Supuestos!$C$20))*(1-Supuestos!$C$18)^44))</f>
        <v>3.63409356733039E-016</v>
      </c>
    </row>
    <row r="173" customFormat="false" ht="15" hidden="false" customHeight="false" outlineLevel="0" collapsed="false">
      <c r="A173" s="14" t="n">
        <f aca="false">Cartera_Polizas!A175</f>
        <v>170</v>
      </c>
      <c r="B173" s="26" t="n">
        <f aca="false">SUM(C173:AU173)+0.5</f>
        <v>7.16086583312611</v>
      </c>
      <c r="C173" s="29" t="n">
        <f aca="false">1-MIN(1,INDEX(Tabla_Mortalidad!$B$5:$B$75,MIN(71,Cartera_Polizas!$B$175+0-49))*(1+(Cartera_Polizas!$P$175-1)*MAX(0,1-0/Supuestos!$C$20))*(1-Supuestos!$C$18)^0)</f>
        <v>0.91437061</v>
      </c>
      <c r="D173" s="29" t="n">
        <f aca="false">C173*(1-MIN(1,INDEX(Tabla_Mortalidad!$B$5:$B$75,MIN(71,Cartera_Polizas!$B$175+1-49))*(1+(Cartera_Polizas!$P$175-1)*MAX(0,1-1/Supuestos!$C$20))*(1-Supuestos!$C$18)^1))</f>
        <v>0.829779587731766</v>
      </c>
      <c r="E173" s="29" t="n">
        <f aca="false">D173*(1-MIN(1,INDEX(Tabla_Mortalidad!$B$5:$B$75,MIN(71,Cartera_Polizas!$B$175+2-49))*(1+(Cartera_Polizas!$P$175-1)*MAX(0,1-2/Supuestos!$C$20))*(1-Supuestos!$C$18)^2))</f>
        <v>0.746925401444165</v>
      </c>
      <c r="F173" s="29" t="n">
        <f aca="false">E173*(1-MIN(1,INDEX(Tabla_Mortalidad!$B$5:$B$75,MIN(71,Cartera_Polizas!$B$175+3-49))*(1+(Cartera_Polizas!$P$175-1)*MAX(0,1-3/Supuestos!$C$20))*(1-Supuestos!$C$18)^3))</f>
        <v>0.66651235054031</v>
      </c>
      <c r="G173" s="29" t="n">
        <f aca="false">F173*(1-MIN(1,INDEX(Tabla_Mortalidad!$B$5:$B$75,MIN(71,Cartera_Polizas!$B$175+4-49))*(1+(Cartera_Polizas!$P$175-1)*MAX(0,1-4/Supuestos!$C$20))*(1-Supuestos!$C$18)^4))</f>
        <v>0.589235008814348</v>
      </c>
      <c r="H173" s="29" t="n">
        <f aca="false">G173*(1-MIN(1,INDEX(Tabla_Mortalidad!$B$5:$B$75,MIN(71,Cartera_Polizas!$B$175+5-49))*(1+(Cartera_Polizas!$P$175-1)*MAX(0,1-5/Supuestos!$C$20))*(1-Supuestos!$C$18)^5))</f>
        <v>0.515749245225296</v>
      </c>
      <c r="I173" s="29" t="n">
        <f aca="false">H173*(1-MIN(1,INDEX(Tabla_Mortalidad!$B$5:$B$75,MIN(71,Cartera_Polizas!$B$175+6-49))*(1+(Cartera_Polizas!$P$175-1)*MAX(0,1-6/Supuestos!$C$20))*(1-Supuestos!$C$18)^6))</f>
        <v>0.446654792884901</v>
      </c>
      <c r="J173" s="29" t="n">
        <f aca="false">I173*(1-MIN(1,INDEX(Tabla_Mortalidad!$B$5:$B$75,MIN(71,Cartera_Polizas!$B$175+7-49))*(1+(Cartera_Polizas!$P$175-1)*MAX(0,1-7/Supuestos!$C$20))*(1-Supuestos!$C$18)^7))</f>
        <v>0.382467969949472</v>
      </c>
      <c r="K173" s="29" t="n">
        <f aca="false">J173*(1-MIN(1,INDEX(Tabla_Mortalidad!$B$5:$B$75,MIN(71,Cartera_Polizas!$B$175+8-49))*(1+(Cartera_Polizas!$P$175-1)*MAX(0,1-8/Supuestos!$C$20))*(1-Supuestos!$C$18)^8))</f>
        <v>0.323601740637748</v>
      </c>
      <c r="L173" s="29" t="n">
        <f aca="false">K173*(1-MIN(1,INDEX(Tabla_Mortalidad!$B$5:$B$75,MIN(71,Cartera_Polizas!$B$175+9-49))*(1+(Cartera_Polizas!$P$175-1)*MAX(0,1-9/Supuestos!$C$20))*(1-Supuestos!$C$18)^9))</f>
        <v>0.270347798378329</v>
      </c>
      <c r="M173" s="29" t="n">
        <f aca="false">L173*(1-MIN(1,INDEX(Tabla_Mortalidad!$B$5:$B$75,MIN(71,Cartera_Polizas!$B$175+10-49))*(1+(Cartera_Polizas!$P$175-1)*MAX(0,1-10/Supuestos!$C$20))*(1-Supuestos!$C$18)^10))</f>
        <v>0.222864305475588</v>
      </c>
      <c r="N173" s="29" t="n">
        <f aca="false">M173*(1-MIN(1,INDEX(Tabla_Mortalidad!$B$5:$B$75,MIN(71,Cartera_Polizas!$B$175+11-49))*(1+(Cartera_Polizas!$P$175-1)*MAX(0,1-11/Supuestos!$C$20))*(1-Supuestos!$C$18)^11))</f>
        <v>0.181169838620257</v>
      </c>
      <c r="O173" s="29" t="n">
        <f aca="false">N173*(1-MIN(1,INDEX(Tabla_Mortalidad!$B$5:$B$75,MIN(71,Cartera_Polizas!$B$175+12-49))*(1+(Cartera_Polizas!$P$175-1)*MAX(0,1-12/Supuestos!$C$20))*(1-Supuestos!$C$18)^12))</f>
        <v>0.145144297340211</v>
      </c>
      <c r="P173" s="29" t="n">
        <f aca="false">O173*(1-MIN(1,INDEX(Tabla_Mortalidad!$B$5:$B$75,MIN(71,Cartera_Polizas!$B$175+13-49))*(1+(Cartera_Polizas!$P$175-1)*MAX(0,1-13/Supuestos!$C$20))*(1-Supuestos!$C$18)^13))</f>
        <v>0.114539080165617</v>
      </c>
      <c r="Q173" s="29" t="n">
        <f aca="false">P173*(1-MIN(1,INDEX(Tabla_Mortalidad!$B$5:$B$75,MIN(71,Cartera_Polizas!$B$175+14-49))*(1+(Cartera_Polizas!$P$175-1)*MAX(0,1-14/Supuestos!$C$20))*(1-Supuestos!$C$18)^14))</f>
        <v>0.0889937709629969</v>
      </c>
      <c r="R173" s="29" t="n">
        <f aca="false">Q173*(1-MIN(1,INDEX(Tabla_Mortalidad!$B$5:$B$75,MIN(71,Cartera_Polizas!$B$175+15-49))*(1+(Cartera_Polizas!$P$175-1)*MAX(0,1-15/Supuestos!$C$20))*(1-Supuestos!$C$18)^15))</f>
        <v>0.0680587255483743</v>
      </c>
      <c r="S173" s="29" t="n">
        <f aca="false">R173*(1-MIN(1,INDEX(Tabla_Mortalidad!$B$5:$B$75,MIN(71,Cartera_Polizas!$B$175+16-49))*(1+(Cartera_Polizas!$P$175-1)*MAX(0,1-16/Supuestos!$C$20))*(1-Supuestos!$C$18)^16))</f>
        <v>0.0505607015641812</v>
      </c>
      <c r="T173" s="29" t="n">
        <f aca="false">S173*(1-MIN(1,INDEX(Tabla_Mortalidad!$B$5:$B$75,MIN(71,Cartera_Polizas!$B$175+17-49))*(1+(Cartera_Polizas!$P$175-1)*MAX(0,1-17/Supuestos!$C$20))*(1-Supuestos!$C$18)^17))</f>
        <v>0.0363785295055559</v>
      </c>
      <c r="U173" s="29" t="n">
        <f aca="false">T173*(1-MIN(1,INDEX(Tabla_Mortalidad!$B$5:$B$75,MIN(71,Cartera_Polizas!$B$175+18-49))*(1+(Cartera_Polizas!$P$175-1)*MAX(0,1-18/Supuestos!$C$20))*(1-Supuestos!$C$18)^18))</f>
        <v>0.0252674054938628</v>
      </c>
      <c r="V173" s="29" t="n">
        <f aca="false">U173*(1-MIN(1,INDEX(Tabla_Mortalidad!$B$5:$B$75,MIN(71,Cartera_Polizas!$B$175+19-49))*(1+(Cartera_Polizas!$P$175-1)*MAX(0,1-19/Supuestos!$C$20))*(1-Supuestos!$C$18)^19))</f>
        <v>0.0168818831189035</v>
      </c>
      <c r="W173" s="29" t="n">
        <f aca="false">V173*(1-MIN(1,INDEX(Tabla_Mortalidad!$B$5:$B$75,MIN(71,Cartera_Polizas!$B$175+20-49))*(1+(Cartera_Polizas!$P$175-1)*MAX(0,1-20/Supuestos!$C$20))*(1-Supuestos!$C$18)^20))</f>
        <v>0.0108084726334041</v>
      </c>
      <c r="X173" s="29" t="n">
        <f aca="false">W173*(1-MIN(1,INDEX(Tabla_Mortalidad!$B$5:$B$75,MIN(71,Cartera_Polizas!$B$175+21-49))*(1+(Cartera_Polizas!$P$175-1)*MAX(0,1-21/Supuestos!$C$20))*(1-Supuestos!$C$18)^21))</f>
        <v>0.00660401802167121</v>
      </c>
      <c r="Y173" s="29" t="n">
        <f aca="false">X173*(1-MIN(1,INDEX(Tabla_Mortalidad!$B$5:$B$75,MIN(71,Cartera_Polizas!$B$175+22-49))*(1+(Cartera_Polizas!$P$175-1)*MAX(0,1-22/Supuestos!$C$20))*(1-Supuestos!$C$18)^22))</f>
        <v>0.00383403391164468</v>
      </c>
      <c r="Z173" s="29" t="n">
        <f aca="false">Y173*(1-MIN(1,INDEX(Tabla_Mortalidad!$B$5:$B$75,MIN(71,Cartera_Polizas!$B$175+23-49))*(1+(Cartera_Polizas!$P$175-1)*MAX(0,1-23/Supuestos!$C$20))*(1-Supuestos!$C$18)^23))</f>
        <v>0.00210528057090587</v>
      </c>
      <c r="AA173" s="29" t="n">
        <f aca="false">Z173*(1-MIN(1,INDEX(Tabla_Mortalidad!$B$5:$B$75,MIN(71,Cartera_Polizas!$B$175+24-49))*(1+(Cartera_Polizas!$P$175-1)*MAX(0,1-24/Supuestos!$C$20))*(1-Supuestos!$C$18)^24))</f>
        <v>0.00108816485006684</v>
      </c>
      <c r="AB173" s="29" t="n">
        <f aca="false">AA173*(1-MIN(1,INDEX(Tabla_Mortalidad!$B$5:$B$75,MIN(71,Cartera_Polizas!$B$175+25-49))*(1+(Cartera_Polizas!$P$175-1)*MAX(0,1-25/Supuestos!$C$20))*(1-Supuestos!$C$18)^25))</f>
        <v>0.000526856071227921</v>
      </c>
      <c r="AC173" s="29" t="n">
        <f aca="false">AB173*(1-MIN(1,INDEX(Tabla_Mortalidad!$B$5:$B$75,MIN(71,Cartera_Polizas!$B$175+26-49))*(1+(Cartera_Polizas!$P$175-1)*MAX(0,1-26/Supuestos!$C$20))*(1-Supuestos!$C$18)^26))</f>
        <v>0.000237789999667471</v>
      </c>
      <c r="AD173" s="29" t="n">
        <f aca="false">AC173*(1-MIN(1,INDEX(Tabla_Mortalidad!$B$5:$B$75,MIN(71,Cartera_Polizas!$B$175+27-49))*(1+(Cartera_Polizas!$P$175-1)*MAX(0,1-27/Supuestos!$C$20))*(1-Supuestos!$C$18)^27))</f>
        <v>9.95812751723078E-005</v>
      </c>
      <c r="AE173" s="29" t="n">
        <f aca="false">AD173*(1-MIN(1,INDEX(Tabla_Mortalidad!$B$5:$B$75,MIN(71,Cartera_Polizas!$B$175+28-49))*(1+(Cartera_Polizas!$P$175-1)*MAX(0,1-28/Supuestos!$C$20))*(1-Supuestos!$C$18)^28))</f>
        <v>3.85306406702967E-005</v>
      </c>
      <c r="AF173" s="29" t="n">
        <f aca="false">AE173*(1-MIN(1,INDEX(Tabla_Mortalidad!$B$5:$B$75,MIN(71,Cartera_Polizas!$B$175+29-49))*(1+(Cartera_Polizas!$P$175-1)*MAX(0,1-29/Supuestos!$C$20))*(1-Supuestos!$C$18)^29))</f>
        <v>1.37264140610562E-005</v>
      </c>
      <c r="AG173" s="29" t="n">
        <f aca="false">AF173*(1-MIN(1,INDEX(Tabla_Mortalidad!$B$5:$B$75,MIN(71,Cartera_Polizas!$B$175+30-49))*(1+(Cartera_Polizas!$P$175-1)*MAX(0,1-30/Supuestos!$C$20))*(1-Supuestos!$C$18)^30))</f>
        <v>4.49145091887353E-006</v>
      </c>
      <c r="AH173" s="29" t="n">
        <f aca="false">AG173*(1-MIN(1,INDEX(Tabla_Mortalidad!$B$5:$B$75,MIN(71,Cartera_Polizas!$B$175+31-49))*(1+(Cartera_Polizas!$P$175-1)*MAX(0,1-31/Supuestos!$C$20))*(1-Supuestos!$C$18)^31))</f>
        <v>1.34869422824325E-006</v>
      </c>
      <c r="AI173" s="29" t="n">
        <f aca="false">AH173*(1-MIN(1,INDEX(Tabla_Mortalidad!$B$5:$B$75,MIN(71,Cartera_Polizas!$B$175+32-49))*(1+(Cartera_Polizas!$P$175-1)*MAX(0,1-32/Supuestos!$C$20))*(1-Supuestos!$C$18)^32))</f>
        <v>3.72064900011934E-007</v>
      </c>
      <c r="AJ173" s="29" t="n">
        <f aca="false">AI173*(1-MIN(1,INDEX(Tabla_Mortalidad!$B$5:$B$75,MIN(71,Cartera_Polizas!$B$175+33-49))*(1+(Cartera_Polizas!$P$175-1)*MAX(0,1-33/Supuestos!$C$20))*(1-Supuestos!$C$18)^33))</f>
        <v>9.46291972137451E-008</v>
      </c>
      <c r="AK173" s="29" t="n">
        <f aca="false">AJ173*(1-MIN(1,INDEX(Tabla_Mortalidad!$B$5:$B$75,MIN(71,Cartera_Polizas!$B$175+34-49))*(1+(Cartera_Polizas!$P$175-1)*MAX(0,1-34/Supuestos!$C$20))*(1-Supuestos!$C$18)^34))</f>
        <v>2.23258786038169E-008</v>
      </c>
      <c r="AL173" s="29" t="n">
        <f aca="false">AK173*(1-MIN(1,INDEX(Tabla_Mortalidad!$B$5:$B$75,MIN(71,Cartera_Polizas!$B$175+35-49))*(1+(Cartera_Polizas!$P$175-1)*MAX(0,1-35/Supuestos!$C$20))*(1-Supuestos!$C$18)^35))</f>
        <v>4.92947149407658E-009</v>
      </c>
      <c r="AM173" s="29" t="n">
        <f aca="false">AL173*(1-MIN(1,INDEX(Tabla_Mortalidad!$B$5:$B$75,MIN(71,Cartera_Polizas!$B$175+36-49))*(1+(Cartera_Polizas!$P$175-1)*MAX(0,1-36/Supuestos!$C$20))*(1-Supuestos!$C$18)^36))</f>
        <v>1.02997394612498E-009</v>
      </c>
      <c r="AN173" s="29" t="n">
        <f aca="false">AM173*(1-MIN(1,INDEX(Tabla_Mortalidad!$B$5:$B$75,MIN(71,Cartera_Polizas!$B$175+37-49))*(1+(Cartera_Polizas!$P$175-1)*MAX(0,1-37/Supuestos!$C$20))*(1-Supuestos!$C$18)^37))</f>
        <v>1.74355327039608E-010</v>
      </c>
      <c r="AO173" s="29" t="n">
        <f aca="false">AN173*(1-MIN(1,INDEX(Tabla_Mortalidad!$B$5:$B$75,MIN(71,Cartera_Polizas!$B$175+38-49))*(1+(Cartera_Polizas!$P$175-1)*MAX(0,1-38/Supuestos!$C$20))*(1-Supuestos!$C$18)^38))</f>
        <v>3.02392973191464E-011</v>
      </c>
      <c r="AP173" s="29" t="n">
        <f aca="false">AO173*(1-MIN(1,INDEX(Tabla_Mortalidad!$B$5:$B$75,MIN(71,Cartera_Polizas!$B$175+39-49))*(1+(Cartera_Polizas!$P$175-1)*MAX(0,1-39/Supuestos!$C$20))*(1-Supuestos!$C$18)^39))</f>
        <v>5.36952300573483E-012</v>
      </c>
      <c r="AQ173" s="29" t="n">
        <f aca="false">AP173*(1-MIN(1,INDEX(Tabla_Mortalidad!$B$5:$B$75,MIN(71,Cartera_Polizas!$B$175+40-49))*(1+(Cartera_Polizas!$P$175-1)*MAX(0,1-40/Supuestos!$C$20))*(1-Supuestos!$C$18)^40))</f>
        <v>9.75534289847871E-013</v>
      </c>
      <c r="AR173" s="29" t="n">
        <f aca="false">AQ173*(1-MIN(1,INDEX(Tabla_Mortalidad!$B$5:$B$75,MIN(71,Cartera_Polizas!$B$175+41-49))*(1+(Cartera_Polizas!$P$175-1)*MAX(0,1-41/Supuestos!$C$20))*(1-Supuestos!$C$18)^41))</f>
        <v>1.81226448408443E-013</v>
      </c>
      <c r="AS173" s="29" t="n">
        <f aca="false">AR173*(1-MIN(1,INDEX(Tabla_Mortalidad!$B$5:$B$75,MIN(71,Cartera_Polizas!$B$175+42-49))*(1+(Cartera_Polizas!$P$175-1)*MAX(0,1-42/Supuestos!$C$20))*(1-Supuestos!$C$18)^42))</f>
        <v>3.44045041750477E-014</v>
      </c>
      <c r="AT173" s="29" t="n">
        <f aca="false">AS173*(1-MIN(1,INDEX(Tabla_Mortalidad!$B$5:$B$75,MIN(71,Cartera_Polizas!$B$175+43-49))*(1+(Cartera_Polizas!$P$175-1)*MAX(0,1-43/Supuestos!$C$20))*(1-Supuestos!$C$18)^43))</f>
        <v>6.67080660198705E-015</v>
      </c>
      <c r="AU173" s="29" t="n">
        <f aca="false">AT173*(1-MIN(1,INDEX(Tabla_Mortalidad!$B$5:$B$75,MIN(71,Cartera_Polizas!$B$175+44-49))*(1+(Cartera_Polizas!$P$175-1)*MAX(0,1-44/Supuestos!$C$20))*(1-Supuestos!$C$18)^44))</f>
        <v>1.32031233917326E-015</v>
      </c>
    </row>
    <row r="174" customFormat="false" ht="15" hidden="false" customHeight="false" outlineLevel="0" collapsed="false">
      <c r="A174" s="14" t="n">
        <f aca="false">Cartera_Polizas!A176</f>
        <v>171</v>
      </c>
      <c r="B174" s="26" t="n">
        <f aca="false">SUM(C174:AU174)+0.5</f>
        <v>9.15618243156597</v>
      </c>
      <c r="C174" s="29" t="n">
        <f aca="false">1-MIN(1,INDEX(Tabla_Mortalidad!$B$5:$B$75,MIN(71,Cartera_Polizas!$B$176+0-49))*(1+(Cartera_Polizas!$P$176-1)*MAX(0,1-0/Supuestos!$C$20))*(1-Supuestos!$C$18)^0)</f>
        <v>0.93771953425</v>
      </c>
      <c r="D174" s="29" t="n">
        <f aca="false">C174*(1-MIN(1,INDEX(Tabla_Mortalidad!$B$5:$B$75,MIN(71,Cartera_Polizas!$B$176+1-49))*(1+(Cartera_Polizas!$P$176-1)*MAX(0,1-1/Supuestos!$C$20))*(1-Supuestos!$C$18)^1))</f>
        <v>0.874841652187813</v>
      </c>
      <c r="E174" s="29" t="n">
        <f aca="false">D174*(1-MIN(1,INDEX(Tabla_Mortalidad!$B$5:$B$75,MIN(71,Cartera_Polizas!$B$176+2-49))*(1+(Cartera_Polizas!$P$176-1)*MAX(0,1-2/Supuestos!$C$20))*(1-Supuestos!$C$18)^2))</f>
        <v>0.811754945349145</v>
      </c>
      <c r="F174" s="29" t="n">
        <f aca="false">E174*(1-MIN(1,INDEX(Tabla_Mortalidad!$B$5:$B$75,MIN(71,Cartera_Polizas!$B$176+3-49))*(1+(Cartera_Polizas!$P$176-1)*MAX(0,1-3/Supuestos!$C$20))*(1-Supuestos!$C$18)^3))</f>
        <v>0.748875801760505</v>
      </c>
      <c r="G174" s="29" t="n">
        <f aca="false">F174*(1-MIN(1,INDEX(Tabla_Mortalidad!$B$5:$B$75,MIN(71,Cartera_Polizas!$B$176+4-49))*(1+(Cartera_Polizas!$P$176-1)*MAX(0,1-4/Supuestos!$C$20))*(1-Supuestos!$C$18)^4))</f>
        <v>0.686643795525243</v>
      </c>
      <c r="H174" s="29" t="n">
        <f aca="false">G174*(1-MIN(1,INDEX(Tabla_Mortalidad!$B$5:$B$75,MIN(71,Cartera_Polizas!$B$176+5-49))*(1+(Cartera_Polizas!$P$176-1)*MAX(0,1-5/Supuestos!$C$20))*(1-Supuestos!$C$18)^5))</f>
        <v>0.625514305251357</v>
      </c>
      <c r="I174" s="29" t="n">
        <f aca="false">H174*(1-MIN(1,INDEX(Tabla_Mortalidad!$B$5:$B$75,MIN(71,Cartera_Polizas!$B$176+6-49))*(1+(Cartera_Polizas!$P$176-1)*MAX(0,1-6/Supuestos!$C$20))*(1-Supuestos!$C$18)^6))</f>
        <v>0.56594495127209</v>
      </c>
      <c r="J174" s="29" t="n">
        <f aca="false">I174*(1-MIN(1,INDEX(Tabla_Mortalidad!$B$5:$B$75,MIN(71,Cartera_Polizas!$B$176+7-49))*(1+(Cartera_Polizas!$P$176-1)*MAX(0,1-7/Supuestos!$C$20))*(1-Supuestos!$C$18)^7))</f>
        <v>0.508383174663951</v>
      </c>
      <c r="K174" s="29" t="n">
        <f aca="false">J174*(1-MIN(1,INDEX(Tabla_Mortalidad!$B$5:$B$75,MIN(71,Cartera_Polizas!$B$176+8-49))*(1+(Cartera_Polizas!$P$176-1)*MAX(0,1-8/Supuestos!$C$20))*(1-Supuestos!$C$18)^8))</f>
        <v>0.453256789251546</v>
      </c>
      <c r="L174" s="29" t="n">
        <f aca="false">K174*(1-MIN(1,INDEX(Tabla_Mortalidad!$B$5:$B$75,MIN(71,Cartera_Polizas!$B$176+9-49))*(1+(Cartera_Polizas!$P$176-1)*MAX(0,1-9/Supuestos!$C$20))*(1-Supuestos!$C$18)^9))</f>
        <v>0.400956061996675</v>
      </c>
      <c r="M174" s="29" t="n">
        <f aca="false">L174*(1-MIN(1,INDEX(Tabla_Mortalidad!$B$5:$B$75,MIN(71,Cartera_Polizas!$B$176+10-49))*(1+(Cartera_Polizas!$P$176-1)*MAX(0,1-10/Supuestos!$C$20))*(1-Supuestos!$C$18)^10))</f>
        <v>0.351825102552808</v>
      </c>
      <c r="N174" s="29" t="n">
        <f aca="false">M174*(1-MIN(1,INDEX(Tabla_Mortalidad!$B$5:$B$75,MIN(71,Cartera_Polizas!$B$176+11-49))*(1+(Cartera_Polizas!$P$176-1)*MAX(0,1-11/Supuestos!$C$20))*(1-Supuestos!$C$18)^11))</f>
        <v>0.306147185237362</v>
      </c>
      <c r="O174" s="29" t="n">
        <f aca="false">N174*(1-MIN(1,INDEX(Tabla_Mortalidad!$B$5:$B$75,MIN(71,Cartera_Polizas!$B$176+12-49))*(1+(Cartera_Polizas!$P$176-1)*MAX(0,1-12/Supuestos!$C$20))*(1-Supuestos!$C$18)^12))</f>
        <v>0.264135903161429</v>
      </c>
      <c r="P174" s="29" t="n">
        <f aca="false">O174*(1-MIN(1,INDEX(Tabla_Mortalidad!$B$5:$B$75,MIN(71,Cartera_Polizas!$B$176+13-49))*(1+(Cartera_Polizas!$P$176-1)*MAX(0,1-13/Supuestos!$C$20))*(1-Supuestos!$C$18)^13))</f>
        <v>0.225927970677408</v>
      </c>
      <c r="Q174" s="29" t="n">
        <f aca="false">P174*(1-MIN(1,INDEX(Tabla_Mortalidad!$B$5:$B$75,MIN(71,Cartera_Polizas!$B$176+14-49))*(1+(Cartera_Polizas!$P$176-1)*MAX(0,1-14/Supuestos!$C$20))*(1-Supuestos!$C$18)^14))</f>
        <v>0.191579726614725</v>
      </c>
      <c r="R174" s="29" t="n">
        <f aca="false">Q174*(1-MIN(1,INDEX(Tabla_Mortalidad!$B$5:$B$75,MIN(71,Cartera_Polizas!$B$176+15-49))*(1+(Cartera_Polizas!$P$176-1)*MAX(0,1-15/Supuestos!$C$20))*(1-Supuestos!$C$18)^15))</f>
        <v>0.161067162692963</v>
      </c>
      <c r="S174" s="29" t="n">
        <f aca="false">R174*(1-MIN(1,INDEX(Tabla_Mortalidad!$B$5:$B$75,MIN(71,Cartera_Polizas!$B$176+16-49))*(1+(Cartera_Polizas!$P$176-1)*MAX(0,1-16/Supuestos!$C$20))*(1-Supuestos!$C$18)^16))</f>
        <v>0.132874653724377</v>
      </c>
      <c r="T174" s="29" t="n">
        <f aca="false">S174*(1-MIN(1,INDEX(Tabla_Mortalidad!$B$5:$B$75,MIN(71,Cartera_Polizas!$B$176+17-49))*(1+(Cartera_Polizas!$P$176-1)*MAX(0,1-17/Supuestos!$C$20))*(1-Supuestos!$C$18)^17))</f>
        <v>0.107344569568221</v>
      </c>
      <c r="U174" s="29" t="n">
        <f aca="false">T174*(1-MIN(1,INDEX(Tabla_Mortalidad!$B$5:$B$75,MIN(71,Cartera_Polizas!$B$176+18-49))*(1+(Cartera_Polizas!$P$176-1)*MAX(0,1-18/Supuestos!$C$20))*(1-Supuestos!$C$18)^18))</f>
        <v>0.0847344812248949</v>
      </c>
      <c r="V174" s="29" t="n">
        <f aca="false">U174*(1-MIN(1,INDEX(Tabla_Mortalidad!$B$5:$B$75,MIN(71,Cartera_Polizas!$B$176+19-49))*(1+(Cartera_Polizas!$P$176-1)*MAX(0,1-19/Supuestos!$C$20))*(1-Supuestos!$C$18)^19))</f>
        <v>0.0651970799917396</v>
      </c>
      <c r="W174" s="29" t="n">
        <f aca="false">V174*(1-MIN(1,INDEX(Tabla_Mortalidad!$B$5:$B$75,MIN(71,Cartera_Polizas!$B$176+20-49))*(1+(Cartera_Polizas!$P$176-1)*MAX(0,1-20/Supuestos!$C$20))*(1-Supuestos!$C$18)^20))</f>
        <v>0.048767530182942</v>
      </c>
      <c r="X174" s="29" t="n">
        <f aca="false">W174*(1-MIN(1,INDEX(Tabla_Mortalidad!$B$5:$B$75,MIN(71,Cartera_Polizas!$B$176+21-49))*(1+(Cartera_Polizas!$P$176-1)*MAX(0,1-21/Supuestos!$C$20))*(1-Supuestos!$C$18)^21))</f>
        <v>0.0353598777588019</v>
      </c>
      <c r="Y174" s="29" t="n">
        <f aca="false">X174*(1-MIN(1,INDEX(Tabla_Mortalidad!$B$5:$B$75,MIN(71,Cartera_Polizas!$B$176+22-49))*(1+(Cartera_Polizas!$P$176-1)*MAX(0,1-22/Supuestos!$C$20))*(1-Supuestos!$C$18)^22))</f>
        <v>0.0247742667043254</v>
      </c>
      <c r="Z174" s="29" t="n">
        <f aca="false">Y174*(1-MIN(1,INDEX(Tabla_Mortalidad!$B$5:$B$75,MIN(71,Cartera_Polizas!$B$176+23-49))*(1+(Cartera_Polizas!$P$176-1)*MAX(0,1-23/Supuestos!$C$20))*(1-Supuestos!$C$18)^23))</f>
        <v>0.0167156109591297</v>
      </c>
      <c r="AA174" s="29" t="n">
        <f aca="false">Z174*(1-MIN(1,INDEX(Tabla_Mortalidad!$B$5:$B$75,MIN(71,Cartera_Polizas!$B$176+24-49))*(1+(Cartera_Polizas!$P$176-1)*MAX(0,1-24/Supuestos!$C$20))*(1-Supuestos!$C$18)^24))</f>
        <v>0.0108213912058861</v>
      </c>
      <c r="AB174" s="29" t="n">
        <f aca="false">AA174*(1-MIN(1,INDEX(Tabla_Mortalidad!$B$5:$B$75,MIN(71,Cartera_Polizas!$B$176+25-49))*(1+(Cartera_Polizas!$P$176-1)*MAX(0,1-25/Supuestos!$C$20))*(1-Supuestos!$C$18)^25))</f>
        <v>0.00669547159662067</v>
      </c>
      <c r="AC174" s="29" t="n">
        <f aca="false">AB174*(1-MIN(1,INDEX(Tabla_Mortalidad!$B$5:$B$75,MIN(71,Cartera_Polizas!$B$176+26-49))*(1+(Cartera_Polizas!$P$176-1)*MAX(0,1-26/Supuestos!$C$20))*(1-Supuestos!$C$18)^26))</f>
        <v>0.00394287528867725</v>
      </c>
      <c r="AD174" s="29" t="n">
        <f aca="false">AC174*(1-MIN(1,INDEX(Tabla_Mortalidad!$B$5:$B$75,MIN(71,Cartera_Polizas!$B$176+27-49))*(1+(Cartera_Polizas!$P$176-1)*MAX(0,1-27/Supuestos!$C$20))*(1-Supuestos!$C$18)^27))</f>
        <v>0.00220033653190399</v>
      </c>
      <c r="AE174" s="29" t="n">
        <f aca="false">AD174*(1-MIN(1,INDEX(Tabla_Mortalidad!$B$5:$B$75,MIN(71,Cartera_Polizas!$B$176+28-49))*(1+(Cartera_Polizas!$P$176-1)*MAX(0,1-28/Supuestos!$C$20))*(1-Supuestos!$C$18)^28))</f>
        <v>0.00115839867695606</v>
      </c>
      <c r="AF174" s="29" t="n">
        <f aca="false">AE174*(1-MIN(1,INDEX(Tabla_Mortalidad!$B$5:$B$75,MIN(71,Cartera_Polizas!$B$176+29-49))*(1+(Cartera_Polizas!$P$176-1)*MAX(0,1-29/Supuestos!$C$20))*(1-Supuestos!$C$18)^29))</f>
        <v>0.000572722556288319</v>
      </c>
      <c r="AG174" s="29" t="n">
        <f aca="false">AF174*(1-MIN(1,INDEX(Tabla_Mortalidad!$B$5:$B$75,MIN(71,Cartera_Polizas!$B$176+30-49))*(1+(Cartera_Polizas!$P$176-1)*MAX(0,1-30/Supuestos!$C$20))*(1-Supuestos!$C$18)^30))</f>
        <v>0.00026472892076205</v>
      </c>
      <c r="AH174" s="29" t="n">
        <f aca="false">AG174*(1-MIN(1,INDEX(Tabla_Mortalidad!$B$5:$B$75,MIN(71,Cartera_Polizas!$B$176+31-49))*(1+(Cartera_Polizas!$P$176-1)*MAX(0,1-31/Supuestos!$C$20))*(1-Supuestos!$C$18)^31))</f>
        <v>0.000113917030009458</v>
      </c>
      <c r="AI174" s="29" t="n">
        <f aca="false">AH174*(1-MIN(1,INDEX(Tabla_Mortalidad!$B$5:$B$75,MIN(71,Cartera_Polizas!$B$176+32-49))*(1+(Cartera_Polizas!$P$176-1)*MAX(0,1-32/Supuestos!$C$20))*(1-Supuestos!$C$18)^32))</f>
        <v>4.54638740858026E-005</v>
      </c>
      <c r="AJ174" s="29" t="n">
        <f aca="false">AI174*(1-MIN(1,INDEX(Tabla_Mortalidad!$B$5:$B$75,MIN(71,Cartera_Polizas!$B$176+33-49))*(1+(Cartera_Polizas!$P$176-1)*MAX(0,1-33/Supuestos!$C$20))*(1-Supuestos!$C$18)^33))</f>
        <v>1.67773305268438E-005</v>
      </c>
      <c r="AK174" s="29" t="n">
        <f aca="false">AJ174*(1-MIN(1,INDEX(Tabla_Mortalidad!$B$5:$B$75,MIN(71,Cartera_Polizas!$B$176+34-49))*(1+(Cartera_Polizas!$P$176-1)*MAX(0,1-34/Supuestos!$C$20))*(1-Supuestos!$C$18)^34))</f>
        <v>5.71381232642324E-006</v>
      </c>
      <c r="AL174" s="29" t="n">
        <f aca="false">AK174*(1-MIN(1,INDEX(Tabla_Mortalidad!$B$5:$B$75,MIN(71,Cartera_Polizas!$B$176+35-49))*(1+(Cartera_Polizas!$P$176-1)*MAX(0,1-35/Supuestos!$C$20))*(1-Supuestos!$C$18)^35))</f>
        <v>1.79510890555202E-006</v>
      </c>
      <c r="AM174" s="29" t="n">
        <f aca="false">AL174*(1-MIN(1,INDEX(Tabla_Mortalidad!$B$5:$B$75,MIN(71,Cartera_Polizas!$B$176+36-49))*(1+(Cartera_Polizas!$P$176-1)*MAX(0,1-36/Supuestos!$C$20))*(1-Supuestos!$C$18)^36))</f>
        <v>5.21021016411018E-007</v>
      </c>
      <c r="AN174" s="29" t="n">
        <f aca="false">AM174*(1-MIN(1,INDEX(Tabla_Mortalidad!$B$5:$B$75,MIN(71,Cartera_Polizas!$B$176+37-49))*(1+(Cartera_Polizas!$P$176-1)*MAX(0,1-37/Supuestos!$C$20))*(1-Supuestos!$C$18)^37))</f>
        <v>1.40226038144948E-007</v>
      </c>
      <c r="AO174" s="29" t="n">
        <f aca="false">AN174*(1-MIN(1,INDEX(Tabla_Mortalidad!$B$5:$B$75,MIN(71,Cartera_Polizas!$B$176+38-49))*(1+(Cartera_Polizas!$P$176-1)*MAX(0,1-38/Supuestos!$C$20))*(1-Supuestos!$C$18)^38))</f>
        <v>3.52103790687402E-008</v>
      </c>
      <c r="AP174" s="29" t="n">
        <f aca="false">AO174*(1-MIN(1,INDEX(Tabla_Mortalidad!$B$5:$B$75,MIN(71,Cartera_Polizas!$B$176+39-49))*(1+(Cartera_Polizas!$P$176-1)*MAX(0,1-39/Supuestos!$C$20))*(1-Supuestos!$C$18)^39))</f>
        <v>8.31894102610995E-009</v>
      </c>
      <c r="AQ174" s="29" t="n">
        <f aca="false">AP174*(1-MIN(1,INDEX(Tabla_Mortalidad!$B$5:$B$75,MIN(71,Cartera_Polizas!$B$176+40-49))*(1+(Cartera_Polizas!$P$176-1)*MAX(0,1-40/Supuestos!$C$20))*(1-Supuestos!$C$18)^40))</f>
        <v>1.86880816250198E-009</v>
      </c>
      <c r="AR174" s="29" t="n">
        <f aca="false">AQ174*(1-MIN(1,INDEX(Tabla_Mortalidad!$B$5:$B$75,MIN(71,Cartera_Polizas!$B$176+41-49))*(1+(Cartera_Polizas!$P$176-1)*MAX(0,1-41/Supuestos!$C$20))*(1-Supuestos!$C$18)^41))</f>
        <v>3.47171257403732E-010</v>
      </c>
      <c r="AS174" s="29" t="n">
        <f aca="false">AR174*(1-MIN(1,INDEX(Tabla_Mortalidad!$B$5:$B$75,MIN(71,Cartera_Polizas!$B$176+42-49))*(1+(Cartera_Polizas!$P$176-1)*MAX(0,1-42/Supuestos!$C$20))*(1-Supuestos!$C$18)^42))</f>
        <v>6.59079018526239E-011</v>
      </c>
      <c r="AT174" s="29" t="n">
        <f aca="false">AS174*(1-MIN(1,INDEX(Tabla_Mortalidad!$B$5:$B$75,MIN(71,Cartera_Polizas!$B$176+43-49))*(1+(Cartera_Polizas!$P$176-1)*MAX(0,1-43/Supuestos!$C$20))*(1-Supuestos!$C$18)^43))</f>
        <v>1.27791077750938E-011</v>
      </c>
      <c r="AU174" s="29" t="n">
        <f aca="false">AT174*(1-MIN(1,INDEX(Tabla_Mortalidad!$B$5:$B$75,MIN(71,Cartera_Polizas!$B$176+44-49))*(1+(Cartera_Polizas!$P$176-1)*MAX(0,1-44/Supuestos!$C$20))*(1-Supuestos!$C$18)^44))</f>
        <v>2.52929138645024E-012</v>
      </c>
    </row>
    <row r="175" customFormat="false" ht="15" hidden="false" customHeight="false" outlineLevel="0" collapsed="false">
      <c r="A175" s="14" t="n">
        <f aca="false">Cartera_Polizas!A177</f>
        <v>172</v>
      </c>
      <c r="B175" s="26" t="n">
        <f aca="false">SUM(C175:AU175)+0.5</f>
        <v>6.76271153011043</v>
      </c>
      <c r="C175" s="29" t="n">
        <f aca="false">1-MIN(1,INDEX(Tabla_Mortalidad!$B$5:$B$75,MIN(71,Cartera_Polizas!$B$177+0-49))*(1+(Cartera_Polizas!$P$177-1)*MAX(0,1-0/Supuestos!$C$20))*(1-Supuestos!$C$18)^0)</f>
        <v>0.9116896625</v>
      </c>
      <c r="D175" s="29" t="n">
        <f aca="false">C175*(1-MIN(1,INDEX(Tabla_Mortalidad!$B$5:$B$75,MIN(71,Cartera_Polizas!$B$177+1-49))*(1+(Cartera_Polizas!$P$177-1)*MAX(0,1-1/Supuestos!$C$20))*(1-Supuestos!$C$18)^1))</f>
        <v>0.824015736805563</v>
      </c>
      <c r="E175" s="29" t="n">
        <f aca="false">D175*(1-MIN(1,INDEX(Tabla_Mortalidad!$B$5:$B$75,MIN(71,Cartera_Polizas!$B$177+2-49))*(1+(Cartera_Polizas!$P$177-1)*MAX(0,1-2/Supuestos!$C$20))*(1-Supuestos!$C$18)^2))</f>
        <v>0.737786905571321</v>
      </c>
      <c r="F175" s="29" t="n">
        <f aca="false">E175*(1-MIN(1,INDEX(Tabla_Mortalidad!$B$5:$B$75,MIN(71,Cartera_Polizas!$B$177+3-49))*(1+(Cartera_Polizas!$P$177-1)*MAX(0,1-3/Supuestos!$C$20))*(1-Supuestos!$C$18)^3))</f>
        <v>0.653838095828755</v>
      </c>
      <c r="G175" s="29" t="n">
        <f aca="false">F175*(1-MIN(1,INDEX(Tabla_Mortalidad!$B$5:$B$75,MIN(71,Cartera_Polizas!$B$177+4-49))*(1+(Cartera_Polizas!$P$177-1)*MAX(0,1-4/Supuestos!$C$20))*(1-Supuestos!$C$18)^4))</f>
        <v>0.573012267620394</v>
      </c>
      <c r="H175" s="29" t="n">
        <f aca="false">G175*(1-MIN(1,INDEX(Tabla_Mortalidad!$B$5:$B$75,MIN(71,Cartera_Polizas!$B$177+5-49))*(1+(Cartera_Polizas!$P$177-1)*MAX(0,1-5/Supuestos!$C$20))*(1-Supuestos!$C$18)^5))</f>
        <v>0.496126679566689</v>
      </c>
      <c r="I175" s="29" t="n">
        <f aca="false">H175*(1-MIN(1,INDEX(Tabla_Mortalidad!$B$5:$B$75,MIN(71,Cartera_Polizas!$B$177+6-49))*(1+(Cartera_Polizas!$P$177-1)*MAX(0,1-6/Supuestos!$C$20))*(1-Supuestos!$C$18)^6))</f>
        <v>0.423942128903951</v>
      </c>
      <c r="J175" s="29" t="n">
        <f aca="false">I175*(1-MIN(1,INDEX(Tabla_Mortalidad!$B$5:$B$75,MIN(71,Cartera_Polizas!$B$177+7-49))*(1+(Cartera_Polizas!$P$177-1)*MAX(0,1-7/Supuestos!$C$20))*(1-Supuestos!$C$18)^7))</f>
        <v>0.357129134162078</v>
      </c>
      <c r="K175" s="29" t="n">
        <f aca="false">J175*(1-MIN(1,INDEX(Tabla_Mortalidad!$B$5:$B$75,MIN(71,Cartera_Polizas!$B$177+8-49))*(1+(Cartera_Polizas!$P$177-1)*MAX(0,1-8/Supuestos!$C$20))*(1-Supuestos!$C$18)^8))</f>
        <v>0.296235656254159</v>
      </c>
      <c r="L175" s="29" t="n">
        <f aca="false">K175*(1-MIN(1,INDEX(Tabla_Mortalidad!$B$5:$B$75,MIN(71,Cartera_Polizas!$B$177+9-49))*(1+(Cartera_Polizas!$P$177-1)*MAX(0,1-9/Supuestos!$C$20))*(1-Supuestos!$C$18)^9))</f>
        <v>0.241658066913925</v>
      </c>
      <c r="M175" s="29" t="n">
        <f aca="false">L175*(1-MIN(1,INDEX(Tabla_Mortalidad!$B$5:$B$75,MIN(71,Cartera_Polizas!$B$177+10-49))*(1+(Cartera_Polizas!$P$177-1)*MAX(0,1-10/Supuestos!$C$20))*(1-Supuestos!$C$18)^10))</f>
        <v>0.193617959894228</v>
      </c>
      <c r="N175" s="29" t="n">
        <f aca="false">M175*(1-MIN(1,INDEX(Tabla_Mortalidad!$B$5:$B$75,MIN(71,Cartera_Polizas!$B$177+11-49))*(1+(Cartera_Polizas!$P$177-1)*MAX(0,1-11/Supuestos!$C$20))*(1-Supuestos!$C$18)^11))</f>
        <v>0.152150187862489</v>
      </c>
      <c r="O175" s="29" t="n">
        <f aca="false">N175*(1-MIN(1,INDEX(Tabla_Mortalidad!$B$5:$B$75,MIN(71,Cartera_Polizas!$B$177+12-49))*(1+(Cartera_Polizas!$P$177-1)*MAX(0,1-12/Supuestos!$C$20))*(1-Supuestos!$C$18)^12))</f>
        <v>0.117101328234242</v>
      </c>
      <c r="P175" s="29" t="n">
        <f aca="false">O175*(1-MIN(1,INDEX(Tabla_Mortalidad!$B$5:$B$75,MIN(71,Cartera_Polizas!$B$177+13-49))*(1+(Cartera_Polizas!$P$177-1)*MAX(0,1-13/Supuestos!$C$20))*(1-Supuestos!$C$18)^13))</f>
        <v>0.0881404885432436</v>
      </c>
      <c r="Q175" s="29" t="n">
        <f aca="false">P175*(1-MIN(1,INDEX(Tabla_Mortalidad!$B$5:$B$75,MIN(71,Cartera_Polizas!$B$177+14-49))*(1+(Cartera_Polizas!$P$177-1)*MAX(0,1-14/Supuestos!$C$20))*(1-Supuestos!$C$18)^14))</f>
        <v>0.0647837590788724</v>
      </c>
      <c r="R175" s="29" t="n">
        <f aca="false">Q175*(1-MIN(1,INDEX(Tabla_Mortalidad!$B$5:$B$75,MIN(71,Cartera_Polizas!$B$177+15-49))*(1+(Cartera_Polizas!$P$177-1)*MAX(0,1-15/Supuestos!$C$20))*(1-Supuestos!$C$18)^15))</f>
        <v>0.0464289597250951</v>
      </c>
      <c r="S175" s="29" t="n">
        <f aca="false">R175*(1-MIN(1,INDEX(Tabla_Mortalidad!$B$5:$B$75,MIN(71,Cartera_Polizas!$B$177+16-49))*(1+(Cartera_Polizas!$P$177-1)*MAX(0,1-16/Supuestos!$C$20))*(1-Supuestos!$C$18)^16))</f>
        <v>0.0321052455447912</v>
      </c>
      <c r="T175" s="29" t="n">
        <f aca="false">S175*(1-MIN(1,INDEX(Tabla_Mortalidad!$B$5:$B$75,MIN(71,Cartera_Polizas!$B$177+17-49))*(1+(Cartera_Polizas!$P$177-1)*MAX(0,1-17/Supuestos!$C$20))*(1-Supuestos!$C$18)^17))</f>
        <v>0.0213430889638837</v>
      </c>
      <c r="U175" s="29" t="n">
        <f aca="false">T175*(1-MIN(1,INDEX(Tabla_Mortalidad!$B$5:$B$75,MIN(71,Cartera_Polizas!$B$177+18-49))*(1+(Cartera_Polizas!$P$177-1)*MAX(0,1-18/Supuestos!$C$20))*(1-Supuestos!$C$18)^18))</f>
        <v>0.0135873557966894</v>
      </c>
      <c r="V175" s="29" t="n">
        <f aca="false">U175*(1-MIN(1,INDEX(Tabla_Mortalidad!$B$5:$B$75,MIN(71,Cartera_Polizas!$B$177+19-49))*(1+(Cartera_Polizas!$P$177-1)*MAX(0,1-19/Supuestos!$C$20))*(1-Supuestos!$C$18)^19))</f>
        <v>0.0082486728758866</v>
      </c>
      <c r="W175" s="29" t="n">
        <f aca="false">V175*(1-MIN(1,INDEX(Tabla_Mortalidad!$B$5:$B$75,MIN(71,Cartera_Polizas!$B$177+20-49))*(1+(Cartera_Polizas!$P$177-1)*MAX(0,1-20/Supuestos!$C$20))*(1-Supuestos!$C$18)^20))</f>
        <v>0.00475399663554805</v>
      </c>
      <c r="X175" s="29" t="n">
        <f aca="false">W175*(1-MIN(1,INDEX(Tabla_Mortalidad!$B$5:$B$75,MIN(71,Cartera_Polizas!$B$177+21-49))*(1+(Cartera_Polizas!$P$177-1)*MAX(0,1-21/Supuestos!$C$20))*(1-Supuestos!$C$18)^21))</f>
        <v>0.00258883765308397</v>
      </c>
      <c r="Y175" s="29" t="n">
        <f aca="false">X175*(1-MIN(1,INDEX(Tabla_Mortalidad!$B$5:$B$75,MIN(71,Cartera_Polizas!$B$177+22-49))*(1+(Cartera_Polizas!$P$177-1)*MAX(0,1-22/Supuestos!$C$20))*(1-Supuestos!$C$18)^22))</f>
        <v>0.0013255011657404</v>
      </c>
      <c r="Z175" s="29" t="n">
        <f aca="false">Y175*(1-MIN(1,INDEX(Tabla_Mortalidad!$B$5:$B$75,MIN(71,Cartera_Polizas!$B$177+23-49))*(1+(Cartera_Polizas!$P$177-1)*MAX(0,1-23/Supuestos!$C$20))*(1-Supuestos!$C$18)^23))</f>
        <v>0.00063487807627292</v>
      </c>
      <c r="AA175" s="29" t="n">
        <f aca="false">Z175*(1-MIN(1,INDEX(Tabla_Mortalidad!$B$5:$B$75,MIN(71,Cartera_Polizas!$B$177+24-49))*(1+(Cartera_Polizas!$P$177-1)*MAX(0,1-24/Supuestos!$C$20))*(1-Supuestos!$C$18)^24))</f>
        <v>0.000283034764348104</v>
      </c>
      <c r="AB175" s="29" t="n">
        <f aca="false">AA175*(1-MIN(1,INDEX(Tabla_Mortalidad!$B$5:$B$75,MIN(71,Cartera_Polizas!$B$177+25-49))*(1+(Cartera_Polizas!$P$177-1)*MAX(0,1-25/Supuestos!$C$20))*(1-Supuestos!$C$18)^25))</f>
        <v>0.000116871317257273</v>
      </c>
      <c r="AC175" s="29" t="n">
        <f aca="false">AB175*(1-MIN(1,INDEX(Tabla_Mortalidad!$B$5:$B$75,MIN(71,Cartera_Polizas!$B$177+26-49))*(1+(Cartera_Polizas!$P$177-1)*MAX(0,1-26/Supuestos!$C$20))*(1-Supuestos!$C$18)^26))</f>
        <v>4.44987003975306E-005</v>
      </c>
      <c r="AD175" s="29" t="n">
        <f aca="false">AC175*(1-MIN(1,INDEX(Tabla_Mortalidad!$B$5:$B$75,MIN(71,Cartera_Polizas!$B$177+27-49))*(1+(Cartera_Polizas!$P$177-1)*MAX(0,1-27/Supuestos!$C$20))*(1-Supuestos!$C$18)^27))</f>
        <v>1.55638909938061E-005</v>
      </c>
      <c r="AE175" s="29" t="n">
        <f aca="false">AD175*(1-MIN(1,INDEX(Tabla_Mortalidad!$B$5:$B$75,MIN(71,Cartera_Polizas!$B$177+28-49))*(1+(Cartera_Polizas!$P$177-1)*MAX(0,1-28/Supuestos!$C$20))*(1-Supuestos!$C$18)^28))</f>
        <v>4.98719333318099E-006</v>
      </c>
      <c r="AF175" s="29" t="n">
        <f aca="false">AE175*(1-MIN(1,INDEX(Tabla_Mortalidad!$B$5:$B$75,MIN(71,Cartera_Polizas!$B$177+29-49))*(1+(Cartera_Polizas!$P$177-1)*MAX(0,1-29/Supuestos!$C$20))*(1-Supuestos!$C$18)^29))</f>
        <v>1.4623960561734E-006</v>
      </c>
      <c r="AG175" s="29" t="n">
        <f aca="false">AF175*(1-MIN(1,INDEX(Tabla_Mortalidad!$B$5:$B$75,MIN(71,Cartera_Polizas!$B$177+30-49))*(1+(Cartera_Polizas!$P$177-1)*MAX(0,1-30/Supuestos!$C$20))*(1-Supuestos!$C$18)^30))</f>
        <v>3.92762278899269E-007</v>
      </c>
      <c r="AH175" s="29" t="n">
        <f aca="false">AG175*(1-MIN(1,INDEX(Tabla_Mortalidad!$B$5:$B$75,MIN(71,Cartera_Polizas!$B$177+31-49))*(1+(Cartera_Polizas!$P$177-1)*MAX(0,1-31/Supuestos!$C$20))*(1-Supuestos!$C$18)^31))</f>
        <v>9.69424663855729E-008</v>
      </c>
      <c r="AI175" s="29" t="n">
        <f aca="false">AH175*(1-MIN(1,INDEX(Tabla_Mortalidad!$B$5:$B$75,MIN(71,Cartera_Polizas!$B$177+32-49))*(1+(Cartera_Polizas!$P$177-1)*MAX(0,1-32/Supuestos!$C$20))*(1-Supuestos!$C$18)^32))</f>
        <v>2.21253477369245E-008</v>
      </c>
      <c r="AJ175" s="29" t="n">
        <f aca="false">AI175*(1-MIN(1,INDEX(Tabla_Mortalidad!$B$5:$B$75,MIN(71,Cartera_Polizas!$B$177+33-49))*(1+(Cartera_Polizas!$P$177-1)*MAX(0,1-33/Supuestos!$C$20))*(1-Supuestos!$C$18)^33))</f>
        <v>4.71149180679282E-009</v>
      </c>
      <c r="AK175" s="29" t="n">
        <f aca="false">AJ175*(1-MIN(1,INDEX(Tabla_Mortalidad!$B$5:$B$75,MIN(71,Cartera_Polizas!$B$177+34-49))*(1+(Cartera_Polizas!$P$177-1)*MAX(0,1-34/Supuestos!$C$20))*(1-Supuestos!$C$18)^34))</f>
        <v>9.46876785618285E-010</v>
      </c>
      <c r="AL175" s="29" t="n">
        <f aca="false">AK175*(1-MIN(1,INDEX(Tabla_Mortalidad!$B$5:$B$75,MIN(71,Cartera_Polizas!$B$177+35-49))*(1+(Cartera_Polizas!$P$177-1)*MAX(0,1-35/Supuestos!$C$20))*(1-Supuestos!$C$18)^35))</f>
        <v>1.52363259381677E-010</v>
      </c>
      <c r="AM175" s="29" t="n">
        <f aca="false">AL175*(1-MIN(1,INDEX(Tabla_Mortalidad!$B$5:$B$75,MIN(71,Cartera_Polizas!$B$177+36-49))*(1+(Cartera_Polizas!$P$177-1)*MAX(0,1-36/Supuestos!$C$20))*(1-Supuestos!$C$18)^36))</f>
        <v>2.51562151735041E-011</v>
      </c>
      <c r="AN175" s="29" t="n">
        <f aca="false">AM175*(1-MIN(1,INDEX(Tabla_Mortalidad!$B$5:$B$75,MIN(71,Cartera_Polizas!$B$177+37-49))*(1+(Cartera_Polizas!$P$177-1)*MAX(0,1-37/Supuestos!$C$20))*(1-Supuestos!$C$18)^37))</f>
        <v>4.25847677036565E-012</v>
      </c>
      <c r="AO175" s="29" t="n">
        <f aca="false">AN175*(1-MIN(1,INDEX(Tabla_Mortalidad!$B$5:$B$75,MIN(71,Cartera_Polizas!$B$177+38-49))*(1+(Cartera_Polizas!$P$177-1)*MAX(0,1-38/Supuestos!$C$20))*(1-Supuestos!$C$18)^38))</f>
        <v>7.3856845886052E-013</v>
      </c>
      <c r="AP175" s="29" t="n">
        <f aca="false">AO175*(1-MIN(1,INDEX(Tabla_Mortalidad!$B$5:$B$75,MIN(71,Cartera_Polizas!$B$177+39-49))*(1+(Cartera_Polizas!$P$177-1)*MAX(0,1-39/Supuestos!$C$20))*(1-Supuestos!$C$18)^39))</f>
        <v>1.31145915505474E-013</v>
      </c>
      <c r="AQ175" s="29" t="n">
        <f aca="false">AP175*(1-MIN(1,INDEX(Tabla_Mortalidad!$B$5:$B$75,MIN(71,Cartera_Polizas!$B$177+40-49))*(1+(Cartera_Polizas!$P$177-1)*MAX(0,1-40/Supuestos!$C$20))*(1-Supuestos!$C$18)^40))</f>
        <v>2.38265740574051E-014</v>
      </c>
      <c r="AR175" s="29" t="n">
        <f aca="false">AQ175*(1-MIN(1,INDEX(Tabla_Mortalidad!$B$5:$B$75,MIN(71,Cartera_Polizas!$B$177+41-49))*(1+(Cartera_Polizas!$P$177-1)*MAX(0,1-41/Supuestos!$C$20))*(1-Supuestos!$C$18)^41))</f>
        <v>4.42629791602471E-015</v>
      </c>
      <c r="AS175" s="29" t="n">
        <f aca="false">AR175*(1-MIN(1,INDEX(Tabla_Mortalidad!$B$5:$B$75,MIN(71,Cartera_Polizas!$B$177+42-49))*(1+(Cartera_Polizas!$P$177-1)*MAX(0,1-42/Supuestos!$C$20))*(1-Supuestos!$C$18)^42))</f>
        <v>8.40300002948038E-016</v>
      </c>
      <c r="AT175" s="29" t="n">
        <f aca="false">AS175*(1-MIN(1,INDEX(Tabla_Mortalidad!$B$5:$B$75,MIN(71,Cartera_Polizas!$B$177+43-49))*(1+(Cartera_Polizas!$P$177-1)*MAX(0,1-43/Supuestos!$C$20))*(1-Supuestos!$C$18)^43))</f>
        <v>1.62928632216155E-016</v>
      </c>
      <c r="AU175" s="29" t="n">
        <f aca="false">AT175*(1-MIN(1,INDEX(Tabla_Mortalidad!$B$5:$B$75,MIN(71,Cartera_Polizas!$B$177+44-49))*(1+(Cartera_Polizas!$P$177-1)*MAX(0,1-44/Supuestos!$C$20))*(1-Supuestos!$C$18)^44))</f>
        <v>3.22474771574901E-017</v>
      </c>
    </row>
    <row r="176" customFormat="false" ht="15" hidden="false" customHeight="false" outlineLevel="0" collapsed="false">
      <c r="A176" s="14" t="n">
        <f aca="false">Cartera_Polizas!A178</f>
        <v>173</v>
      </c>
      <c r="B176" s="26" t="n">
        <f aca="false">SUM(C176:AU176)+0.5</f>
        <v>6.06682698592083</v>
      </c>
      <c r="C176" s="29" t="n">
        <f aca="false">1-MIN(1,INDEX(Tabla_Mortalidad!$B$5:$B$75,MIN(71,Cartera_Polizas!$B$178+0-49))*(1+(Cartera_Polizas!$P$178-1)*MAX(0,1-0/Supuestos!$C$20))*(1-Supuestos!$C$18)^0)</f>
        <v>0.87826061125</v>
      </c>
      <c r="D176" s="29" t="n">
        <f aca="false">C176*(1-MIN(1,INDEX(Tabla_Mortalidad!$B$5:$B$75,MIN(71,Cartera_Polizas!$B$178+1-49))*(1+(Cartera_Polizas!$P$178-1)*MAX(0,1-1/Supuestos!$C$20))*(1-Supuestos!$C$18)^1))</f>
        <v>0.765114707145683</v>
      </c>
      <c r="E176" s="29" t="n">
        <f aca="false">D176*(1-MIN(1,INDEX(Tabla_Mortalidad!$B$5:$B$75,MIN(71,Cartera_Polizas!$B$178+2-49))*(1+(Cartera_Polizas!$P$178-1)*MAX(0,1-2/Supuestos!$C$20))*(1-Supuestos!$C$18)^2))</f>
        <v>0.661062350743928</v>
      </c>
      <c r="F176" s="29" t="n">
        <f aca="false">E176*(1-MIN(1,INDEX(Tabla_Mortalidad!$B$5:$B$75,MIN(71,Cartera_Polizas!$B$178+3-49))*(1+(Cartera_Polizas!$P$178-1)*MAX(0,1-3/Supuestos!$C$20))*(1-Supuestos!$C$18)^3))</f>
        <v>0.566418973355541</v>
      </c>
      <c r="G176" s="29" t="n">
        <f aca="false">F176*(1-MIN(1,INDEX(Tabla_Mortalidad!$B$5:$B$75,MIN(71,Cartera_Polizas!$B$178+4-49))*(1+(Cartera_Polizas!$P$178-1)*MAX(0,1-4/Supuestos!$C$20))*(1-Supuestos!$C$18)^4))</f>
        <v>0.481309313711957</v>
      </c>
      <c r="H176" s="29" t="n">
        <f aca="false">G176*(1-MIN(1,INDEX(Tabla_Mortalidad!$B$5:$B$75,MIN(71,Cartera_Polizas!$B$178+5-49))*(1+(Cartera_Polizas!$P$178-1)*MAX(0,1-5/Supuestos!$C$20))*(1-Supuestos!$C$18)^5))</f>
        <v>0.405663374995442</v>
      </c>
      <c r="I176" s="29" t="n">
        <f aca="false">H176*(1-MIN(1,INDEX(Tabla_Mortalidad!$B$5:$B$75,MIN(71,Cartera_Polizas!$B$178+6-49))*(1+(Cartera_Polizas!$P$178-1)*MAX(0,1-6/Supuestos!$C$20))*(1-Supuestos!$C$18)^6))</f>
        <v>0.339226556227387</v>
      </c>
      <c r="J176" s="29" t="n">
        <f aca="false">I176*(1-MIN(1,INDEX(Tabla_Mortalidad!$B$5:$B$75,MIN(71,Cartera_Polizas!$B$178+7-49))*(1+(Cartera_Polizas!$P$178-1)*MAX(0,1-7/Supuestos!$C$20))*(1-Supuestos!$C$18)^7))</f>
        <v>0.281582673436752</v>
      </c>
      <c r="K176" s="29" t="n">
        <f aca="false">J176*(1-MIN(1,INDEX(Tabla_Mortalidad!$B$5:$B$75,MIN(71,Cartera_Polizas!$B$178+8-49))*(1+(Cartera_Polizas!$P$178-1)*MAX(0,1-8/Supuestos!$C$20))*(1-Supuestos!$C$18)^8))</f>
        <v>0.232174525327985</v>
      </c>
      <c r="L176" s="29" t="n">
        <f aca="false">K176*(1-MIN(1,INDEX(Tabla_Mortalidad!$B$5:$B$75,MIN(71,Cartera_Polizas!$B$178+9-49))*(1+(Cartera_Polizas!$P$178-1)*MAX(0,1-9/Supuestos!$C$20))*(1-Supuestos!$C$18)^9))</f>
        <v>0.190340275699911</v>
      </c>
      <c r="M176" s="29" t="n">
        <f aca="false">L176*(1-MIN(1,INDEX(Tabla_Mortalidad!$B$5:$B$75,MIN(71,Cartera_Polizas!$B$178+10-49))*(1+(Cartera_Polizas!$P$178-1)*MAX(0,1-10/Supuestos!$C$20))*(1-Supuestos!$C$18)^10))</f>
        <v>0.155345050683527</v>
      </c>
      <c r="N176" s="29" t="n">
        <f aca="false">M176*(1-MIN(1,INDEX(Tabla_Mortalidad!$B$5:$B$75,MIN(71,Cartera_Polizas!$B$178+11-49))*(1+(Cartera_Polizas!$P$178-1)*MAX(0,1-11/Supuestos!$C$20))*(1-Supuestos!$C$18)^11))</f>
        <v>0.126417226738895</v>
      </c>
      <c r="O176" s="29" t="n">
        <f aca="false">N176*(1-MIN(1,INDEX(Tabla_Mortalidad!$B$5:$B$75,MIN(71,Cartera_Polizas!$B$178+12-49))*(1+(Cartera_Polizas!$P$178-1)*MAX(0,1-12/Supuestos!$C$20))*(1-Supuestos!$C$18)^12))</f>
        <v>0.102781625418323</v>
      </c>
      <c r="P176" s="29" t="n">
        <f aca="false">O176*(1-MIN(1,INDEX(Tabla_Mortalidad!$B$5:$B$75,MIN(71,Cartera_Polizas!$B$178+13-49))*(1+(Cartera_Polizas!$P$178-1)*MAX(0,1-13/Supuestos!$C$20))*(1-Supuestos!$C$18)^13))</f>
        <v>0.083688910661236</v>
      </c>
      <c r="Q176" s="29" t="n">
        <f aca="false">P176*(1-MIN(1,INDEX(Tabla_Mortalidad!$B$5:$B$75,MIN(71,Cartera_Polizas!$B$178+14-49))*(1+(Cartera_Polizas!$P$178-1)*MAX(0,1-14/Supuestos!$C$20))*(1-Supuestos!$C$18)^14))</f>
        <v>0.0684392796002653</v>
      </c>
      <c r="R176" s="29" t="n">
        <f aca="false">Q176*(1-MIN(1,INDEX(Tabla_Mortalidad!$B$5:$B$75,MIN(71,Cartera_Polizas!$B$178+15-49))*(1+(Cartera_Polizas!$P$178-1)*MAX(0,1-15/Supuestos!$C$20))*(1-Supuestos!$C$18)^15))</f>
        <v>0.0563997625081207</v>
      </c>
      <c r="S176" s="29" t="n">
        <f aca="false">R176*(1-MIN(1,INDEX(Tabla_Mortalidad!$B$5:$B$75,MIN(71,Cartera_Polizas!$B$178+16-49))*(1+(Cartera_Polizas!$P$178-1)*MAX(0,1-16/Supuestos!$C$20))*(1-Supuestos!$C$18)^16))</f>
        <v>0.045508849348751</v>
      </c>
      <c r="T176" s="29" t="n">
        <f aca="false">S176*(1-MIN(1,INDEX(Tabla_Mortalidad!$B$5:$B$75,MIN(71,Cartera_Polizas!$B$178+17-49))*(1+(Cartera_Polizas!$P$178-1)*MAX(0,1-17/Supuestos!$C$20))*(1-Supuestos!$C$18)^17))</f>
        <v>0.0358751086099065</v>
      </c>
      <c r="U176" s="29" t="n">
        <f aca="false">T176*(1-MIN(1,INDEX(Tabla_Mortalidad!$B$5:$B$75,MIN(71,Cartera_Polizas!$B$178+18-49))*(1+(Cartera_Polizas!$P$178-1)*MAX(0,1-18/Supuestos!$C$20))*(1-Supuestos!$C$18)^18))</f>
        <v>0.0275617452225217</v>
      </c>
      <c r="V176" s="29" t="n">
        <f aca="false">U176*(1-MIN(1,INDEX(Tabla_Mortalidad!$B$5:$B$75,MIN(71,Cartera_Polizas!$B$178+19-49))*(1+(Cartera_Polizas!$P$178-1)*MAX(0,1-19/Supuestos!$C$20))*(1-Supuestos!$C$18)^19))</f>
        <v>0.0205813316993593</v>
      </c>
      <c r="W176" s="29" t="n">
        <f aca="false">V176*(1-MIN(1,INDEX(Tabla_Mortalidad!$B$5:$B$75,MIN(71,Cartera_Polizas!$B$178+20-49))*(1+(Cartera_Polizas!$P$178-1)*MAX(0,1-20/Supuestos!$C$20))*(1-Supuestos!$C$18)^20))</f>
        <v>0.0148944738480362</v>
      </c>
      <c r="X176" s="29" t="n">
        <f aca="false">W176*(1-MIN(1,INDEX(Tabla_Mortalidad!$B$5:$B$75,MIN(71,Cartera_Polizas!$B$178+21-49))*(1+(Cartera_Polizas!$P$178-1)*MAX(0,1-21/Supuestos!$C$20))*(1-Supuestos!$C$18)^21))</f>
        <v>0.0104131403683943</v>
      </c>
      <c r="Y176" s="29" t="n">
        <f aca="false">X176*(1-MIN(1,INDEX(Tabla_Mortalidad!$B$5:$B$75,MIN(71,Cartera_Polizas!$B$178+22-49))*(1+(Cartera_Polizas!$P$178-1)*MAX(0,1-22/Supuestos!$C$20))*(1-Supuestos!$C$18)^22))</f>
        <v>0.00700889827844059</v>
      </c>
      <c r="Z176" s="29" t="n">
        <f aca="false">Y176*(1-MIN(1,INDEX(Tabla_Mortalidad!$B$5:$B$75,MIN(71,Cartera_Polizas!$B$178+23-49))*(1+(Cartera_Polizas!$P$178-1)*MAX(0,1-23/Supuestos!$C$20))*(1-Supuestos!$C$18)^23))</f>
        <v>0.00452501750939194</v>
      </c>
      <c r="AA176" s="29" t="n">
        <f aca="false">Z176*(1-MIN(1,INDEX(Tabla_Mortalidad!$B$5:$B$75,MIN(71,Cartera_Polizas!$B$178+24-49))*(1+(Cartera_Polizas!$P$178-1)*MAX(0,1-24/Supuestos!$C$20))*(1-Supuestos!$C$18)^24))</f>
        <v>0.00279107438677789</v>
      </c>
      <c r="AB176" s="29" t="n">
        <f aca="false">AA176*(1-MIN(1,INDEX(Tabla_Mortalidad!$B$5:$B$75,MIN(71,Cartera_Polizas!$B$178+25-49))*(1+(Cartera_Polizas!$P$178-1)*MAX(0,1-25/Supuestos!$C$20))*(1-Supuestos!$C$18)^25))</f>
        <v>0.00163786098294711</v>
      </c>
      <c r="AC176" s="29" t="n">
        <f aca="false">AB176*(1-MIN(1,INDEX(Tabla_Mortalidad!$B$5:$B$75,MIN(71,Cartera_Polizas!$B$178+26-49))*(1+(Cartera_Polizas!$P$178-1)*MAX(0,1-26/Supuestos!$C$20))*(1-Supuestos!$C$18)^26))</f>
        <v>0.000910377123671254</v>
      </c>
      <c r="AD176" s="29" t="n">
        <f aca="false">AC176*(1-MIN(1,INDEX(Tabla_Mortalidad!$B$5:$B$75,MIN(71,Cartera_Polizas!$B$178+27-49))*(1+(Cartera_Polizas!$P$178-1)*MAX(0,1-27/Supuestos!$C$20))*(1-Supuestos!$C$18)^27))</f>
        <v>0.000477114761927441</v>
      </c>
      <c r="AE176" s="29" t="n">
        <f aca="false">AD176*(1-MIN(1,INDEX(Tabla_Mortalidad!$B$5:$B$75,MIN(71,Cartera_Polizas!$B$178+28-49))*(1+(Cartera_Polizas!$P$178-1)*MAX(0,1-28/Supuestos!$C$20))*(1-Supuestos!$C$18)^28))</f>
        <v>0.00023467757423635</v>
      </c>
      <c r="AF176" s="29" t="n">
        <f aca="false">AE176*(1-MIN(1,INDEX(Tabla_Mortalidad!$B$5:$B$75,MIN(71,Cartera_Polizas!$B$178+29-49))*(1+(Cartera_Polizas!$P$178-1)*MAX(0,1-29/Supuestos!$C$20))*(1-Supuestos!$C$18)^29))</f>
        <v>0.000107840573450265</v>
      </c>
      <c r="AG176" s="29" t="n">
        <f aca="false">AF176*(1-MIN(1,INDEX(Tabla_Mortalidad!$B$5:$B$75,MIN(71,Cartera_Polizas!$B$178+30-49))*(1+(Cartera_Polizas!$P$178-1)*MAX(0,1-30/Supuestos!$C$20))*(1-Supuestos!$C$18)^30))</f>
        <v>4.60967806945424E-005</v>
      </c>
      <c r="AH176" s="29" t="n">
        <f aca="false">AG176*(1-MIN(1,INDEX(Tabla_Mortalidad!$B$5:$B$75,MIN(71,Cartera_Polizas!$B$178+31-49))*(1+(Cartera_Polizas!$P$178-1)*MAX(0,1-31/Supuestos!$C$20))*(1-Supuestos!$C$18)^31))</f>
        <v>1.82578636340307E-005</v>
      </c>
      <c r="AI176" s="29" t="n">
        <f aca="false">AH176*(1-MIN(1,INDEX(Tabla_Mortalidad!$B$5:$B$75,MIN(71,Cartera_Polizas!$B$178+32-49))*(1+(Cartera_Polizas!$P$178-1)*MAX(0,1-32/Supuestos!$C$20))*(1-Supuestos!$C$18)^32))</f>
        <v>6.67972724131479E-006</v>
      </c>
      <c r="AJ176" s="29" t="n">
        <f aca="false">AI176*(1-MIN(1,INDEX(Tabla_Mortalidad!$B$5:$B$75,MIN(71,Cartera_Polizas!$B$178+33-49))*(1+(Cartera_Polizas!$P$178-1)*MAX(0,1-33/Supuestos!$C$20))*(1-Supuestos!$C$18)^33))</f>
        <v>2.25276271170658E-006</v>
      </c>
      <c r="AK176" s="29" t="n">
        <f aca="false">AJ176*(1-MIN(1,INDEX(Tabla_Mortalidad!$B$5:$B$75,MIN(71,Cartera_Polizas!$B$178+34-49))*(1+(Cartera_Polizas!$P$178-1)*MAX(0,1-34/Supuestos!$C$20))*(1-Supuestos!$C$18)^34))</f>
        <v>6.99986773437203E-007</v>
      </c>
      <c r="AL176" s="29" t="n">
        <f aca="false">AK176*(1-MIN(1,INDEX(Tabla_Mortalidad!$B$5:$B$75,MIN(71,Cartera_Polizas!$B$178+35-49))*(1+(Cartera_Polizas!$P$178-1)*MAX(0,1-35/Supuestos!$C$20))*(1-Supuestos!$C$18)^35))</f>
        <v>2.00670938429341E-007</v>
      </c>
      <c r="AM176" s="29" t="n">
        <f aca="false">AL176*(1-MIN(1,INDEX(Tabla_Mortalidad!$B$5:$B$75,MIN(71,Cartera_Polizas!$B$178+36-49))*(1+(Cartera_Polizas!$P$178-1)*MAX(0,1-36/Supuestos!$C$20))*(1-Supuestos!$C$18)^36))</f>
        <v>5.32709764143949E-008</v>
      </c>
      <c r="AN176" s="29" t="n">
        <f aca="false">AM176*(1-MIN(1,INDEX(Tabla_Mortalidad!$B$5:$B$75,MIN(71,Cartera_Polizas!$B$178+37-49))*(1+(Cartera_Polizas!$P$178-1)*MAX(0,1-37/Supuestos!$C$20))*(1-Supuestos!$C$18)^37))</f>
        <v>1.31757218837398E-008</v>
      </c>
      <c r="AO176" s="29" t="n">
        <f aca="false">AN176*(1-MIN(1,INDEX(Tabla_Mortalidad!$B$5:$B$75,MIN(71,Cartera_Polizas!$B$178+38-49))*(1+(Cartera_Polizas!$P$178-1)*MAX(0,1-38/Supuestos!$C$20))*(1-Supuestos!$C$18)^38))</f>
        <v>3.06238056138764E-009</v>
      </c>
      <c r="AP176" s="29" t="n">
        <f aca="false">AO176*(1-MIN(1,INDEX(Tabla_Mortalidad!$B$5:$B$75,MIN(71,Cartera_Polizas!$B$178+39-49))*(1+(Cartera_Polizas!$P$178-1)*MAX(0,1-39/Supuestos!$C$20))*(1-Supuestos!$C$18)^39))</f>
        <v>6.76016534330302E-010</v>
      </c>
      <c r="AQ176" s="29" t="n">
        <f aca="false">AP176*(1-MIN(1,INDEX(Tabla_Mortalidad!$B$5:$B$75,MIN(71,Cartera_Polizas!$B$178+40-49))*(1+(Cartera_Polizas!$P$178-1)*MAX(0,1-40/Supuestos!$C$20))*(1-Supuestos!$C$18)^40))</f>
        <v>1.228186021438E-010</v>
      </c>
      <c r="AR176" s="29" t="n">
        <f aca="false">AQ176*(1-MIN(1,INDEX(Tabla_Mortalidad!$B$5:$B$75,MIN(71,Cartera_Polizas!$B$178+41-49))*(1+(Cartera_Polizas!$P$178-1)*MAX(0,1-41/Supuestos!$C$20))*(1-Supuestos!$C$18)^41))</f>
        <v>2.28161934405007E-011</v>
      </c>
      <c r="AS176" s="29" t="n">
        <f aca="false">AR176*(1-MIN(1,INDEX(Tabla_Mortalidad!$B$5:$B$75,MIN(71,Cartera_Polizas!$B$178+42-49))*(1+(Cartera_Polizas!$P$178-1)*MAX(0,1-42/Supuestos!$C$20))*(1-Supuestos!$C$18)^42))</f>
        <v>4.33148599101406E-012</v>
      </c>
      <c r="AT176" s="29" t="n">
        <f aca="false">AS176*(1-MIN(1,INDEX(Tabla_Mortalidad!$B$5:$B$75,MIN(71,Cartera_Polizas!$B$178+43-49))*(1+(Cartera_Polizas!$P$178-1)*MAX(0,1-43/Supuestos!$C$20))*(1-Supuestos!$C$18)^43))</f>
        <v>8.39846585152276E-013</v>
      </c>
      <c r="AU176" s="29" t="n">
        <f aca="false">AT176*(1-MIN(1,INDEX(Tabla_Mortalidad!$B$5:$B$75,MIN(71,Cartera_Polizas!$B$178+44-49))*(1+(Cartera_Polizas!$P$178-1)*MAX(0,1-44/Supuestos!$C$20))*(1-Supuestos!$C$18)^44))</f>
        <v>1.66225746832291E-013</v>
      </c>
    </row>
    <row r="177" customFormat="false" ht="15" hidden="false" customHeight="false" outlineLevel="0" collapsed="false">
      <c r="A177" s="14" t="n">
        <f aca="false">Cartera_Polizas!A179</f>
        <v>174</v>
      </c>
      <c r="B177" s="26" t="n">
        <f aca="false">SUM(C177:AU177)+0.5</f>
        <v>9.26018757892311</v>
      </c>
      <c r="C177" s="29" t="n">
        <f aca="false">1-MIN(1,INDEX(Tabla_Mortalidad!$B$5:$B$75,MIN(71,Cartera_Polizas!$B$179+0-49))*(1+(Cartera_Polizas!$P$179-1)*MAX(0,1-0/Supuestos!$C$20))*(1-Supuestos!$C$18)^0)</f>
        <v>0.9501694778125</v>
      </c>
      <c r="D177" s="29" t="n">
        <f aca="false">C177*(1-MIN(1,INDEX(Tabla_Mortalidad!$B$5:$B$75,MIN(71,Cartera_Polizas!$B$179+1-49))*(1+(Cartera_Polizas!$P$179-1)*MAX(0,1-1/Supuestos!$C$20))*(1-Supuestos!$C$18)^1))</f>
        <v>0.897785036751921</v>
      </c>
      <c r="E177" s="29" t="n">
        <f aca="false">D177*(1-MIN(1,INDEX(Tabla_Mortalidad!$B$5:$B$75,MIN(71,Cartera_Polizas!$B$179+2-49))*(1+(Cartera_Polizas!$P$179-1)*MAX(0,1-2/Supuestos!$C$20))*(1-Supuestos!$C$18)^2))</f>
        <v>0.843042338812281</v>
      </c>
      <c r="F177" s="29" t="n">
        <f aca="false">E177*(1-MIN(1,INDEX(Tabla_Mortalidad!$B$5:$B$75,MIN(71,Cartera_Polizas!$B$179+3-49))*(1+(Cartera_Polizas!$P$179-1)*MAX(0,1-3/Supuestos!$C$20))*(1-Supuestos!$C$18)^3))</f>
        <v>0.786210506959075</v>
      </c>
      <c r="G177" s="29" t="n">
        <f aca="false">F177*(1-MIN(1,INDEX(Tabla_Mortalidad!$B$5:$B$75,MIN(71,Cartera_Polizas!$B$179+4-49))*(1+(Cartera_Polizas!$P$179-1)*MAX(0,1-4/Supuestos!$C$20))*(1-Supuestos!$C$18)^4))</f>
        <v>0.727637648940149</v>
      </c>
      <c r="H177" s="29" t="n">
        <f aca="false">G177*(1-MIN(1,INDEX(Tabla_Mortalidad!$B$5:$B$75,MIN(71,Cartera_Polizas!$B$179+5-49))*(1+(Cartera_Polizas!$P$179-1)*MAX(0,1-5/Supuestos!$C$20))*(1-Supuestos!$C$18)^5))</f>
        <v>0.667758062181336</v>
      </c>
      <c r="I177" s="29" t="n">
        <f aca="false">H177*(1-MIN(1,INDEX(Tabla_Mortalidad!$B$5:$B$75,MIN(71,Cartera_Polizas!$B$179+6-49))*(1+(Cartera_Polizas!$P$179-1)*MAX(0,1-6/Supuestos!$C$20))*(1-Supuestos!$C$18)^6))</f>
        <v>0.607087992527711</v>
      </c>
      <c r="J177" s="29" t="n">
        <f aca="false">I177*(1-MIN(1,INDEX(Tabla_Mortalidad!$B$5:$B$75,MIN(71,Cartera_Polizas!$B$179+7-49))*(1+(Cartera_Polizas!$P$179-1)*MAX(0,1-7/Supuestos!$C$20))*(1-Supuestos!$C$18)^7))</f>
        <v>0.54622618903761</v>
      </c>
      <c r="K177" s="29" t="n">
        <f aca="false">J177*(1-MIN(1,INDEX(Tabla_Mortalidad!$B$5:$B$75,MIN(71,Cartera_Polizas!$B$179+8-49))*(1+(Cartera_Polizas!$P$179-1)*MAX(0,1-8/Supuestos!$C$20))*(1-Supuestos!$C$18)^8))</f>
        <v>0.485841262710079</v>
      </c>
      <c r="L177" s="29" t="n">
        <f aca="false">K177*(1-MIN(1,INDEX(Tabla_Mortalidad!$B$5:$B$75,MIN(71,Cartera_Polizas!$B$179+9-49))*(1+(Cartera_Polizas!$P$179-1)*MAX(0,1-9/Supuestos!$C$20))*(1-Supuestos!$C$18)^9))</f>
        <v>0.426656860863722</v>
      </c>
      <c r="M177" s="29" t="n">
        <f aca="false">L177*(1-MIN(1,INDEX(Tabla_Mortalidad!$B$5:$B$75,MIN(71,Cartera_Polizas!$B$179+10-49))*(1+(Cartera_Polizas!$P$179-1)*MAX(0,1-10/Supuestos!$C$20))*(1-Supuestos!$C$18)^10))</f>
        <v>0.369428772487627</v>
      </c>
      <c r="N177" s="29" t="n">
        <f aca="false">M177*(1-MIN(1,INDEX(Tabla_Mortalidad!$B$5:$B$75,MIN(71,Cartera_Polizas!$B$179+11-49))*(1+(Cartera_Polizas!$P$179-1)*MAX(0,1-11/Supuestos!$C$20))*(1-Supuestos!$C$18)^11))</f>
        <v>0.314915701325124</v>
      </c>
      <c r="O177" s="29" t="n">
        <f aca="false">N177*(1-MIN(1,INDEX(Tabla_Mortalidad!$B$5:$B$75,MIN(71,Cartera_Polizas!$B$179+12-49))*(1+(Cartera_Polizas!$P$179-1)*MAX(0,1-12/Supuestos!$C$20))*(1-Supuestos!$C$18)^12))</f>
        <v>0.263843777237708</v>
      </c>
      <c r="P177" s="29" t="n">
        <f aca="false">O177*(1-MIN(1,INDEX(Tabla_Mortalidad!$B$5:$B$75,MIN(71,Cartera_Polizas!$B$179+13-49))*(1+(Cartera_Polizas!$P$179-1)*MAX(0,1-13/Supuestos!$C$20))*(1-Supuestos!$C$18)^13))</f>
        <v>0.216866254319548</v>
      </c>
      <c r="Q177" s="29" t="n">
        <f aca="false">P177*(1-MIN(1,INDEX(Tabla_Mortalidad!$B$5:$B$75,MIN(71,Cartera_Polizas!$B$179+14-49))*(1+(Cartera_Polizas!$P$179-1)*MAX(0,1-14/Supuestos!$C$20))*(1-Supuestos!$C$18)^14))</f>
        <v>0.174523807277843</v>
      </c>
      <c r="R177" s="29" t="n">
        <f aca="false">Q177*(1-MIN(1,INDEX(Tabla_Mortalidad!$B$5:$B$75,MIN(71,Cartera_Polizas!$B$179+15-49))*(1+(Cartera_Polizas!$P$179-1)*MAX(0,1-15/Supuestos!$C$20))*(1-Supuestos!$C$18)^15))</f>
        <v>0.137206730440656</v>
      </c>
      <c r="S177" s="29" t="n">
        <f aca="false">R177*(1-MIN(1,INDEX(Tabla_Mortalidad!$B$5:$B$75,MIN(71,Cartera_Polizas!$B$179+16-49))*(1+(Cartera_Polizas!$P$179-1)*MAX(0,1-16/Supuestos!$C$20))*(1-Supuestos!$C$18)^16))</f>
        <v>0.105091370496076</v>
      </c>
      <c r="T177" s="29" t="n">
        <f aca="false">S177*(1-MIN(1,INDEX(Tabla_Mortalidad!$B$5:$B$75,MIN(71,Cartera_Polizas!$B$179+17-49))*(1+(Cartera_Polizas!$P$179-1)*MAX(0,1-17/Supuestos!$C$20))*(1-Supuestos!$C$18)^17))</f>
        <v>0.0782072810553445</v>
      </c>
      <c r="U177" s="29" t="n">
        <f aca="false">T177*(1-MIN(1,INDEX(Tabla_Mortalidad!$B$5:$B$75,MIN(71,Cartera_Polizas!$B$179+18-49))*(1+(Cartera_Polizas!$P$179-1)*MAX(0,1-18/Supuestos!$C$20))*(1-Supuestos!$C$18)^18))</f>
        <v>0.0563799856175539</v>
      </c>
      <c r="V177" s="29" t="n">
        <f aca="false">U177*(1-MIN(1,INDEX(Tabla_Mortalidad!$B$5:$B$75,MIN(71,Cartera_Polizas!$B$179+19-49))*(1+(Cartera_Polizas!$P$179-1)*MAX(0,1-19/Supuestos!$C$20))*(1-Supuestos!$C$18)^19))</f>
        <v>0.0392459014369647</v>
      </c>
      <c r="W177" s="29" t="n">
        <f aca="false">V177*(1-MIN(1,INDEX(Tabla_Mortalidad!$B$5:$B$75,MIN(71,Cartera_Polizas!$B$179+20-49))*(1+(Cartera_Polizas!$P$179-1)*MAX(0,1-20/Supuestos!$C$20))*(1-Supuestos!$C$18)^20))</f>
        <v>0.0262864427469332</v>
      </c>
      <c r="X177" s="29" t="n">
        <f aca="false">W177*(1-MIN(1,INDEX(Tabla_Mortalidad!$B$5:$B$75,MIN(71,Cartera_Polizas!$B$179+21-49))*(1+(Cartera_Polizas!$P$179-1)*MAX(0,1-21/Supuestos!$C$20))*(1-Supuestos!$C$18)^21))</f>
        <v>0.0168769406136787</v>
      </c>
      <c r="Y177" s="29" t="n">
        <f aca="false">X177*(1-MIN(1,INDEX(Tabla_Mortalidad!$B$5:$B$75,MIN(71,Cartera_Polizas!$B$179+22-49))*(1+(Cartera_Polizas!$P$179-1)*MAX(0,1-22/Supuestos!$C$20))*(1-Supuestos!$C$18)^22))</f>
        <v>0.0103447004410067</v>
      </c>
      <c r="Z177" s="29" t="n">
        <f aca="false">Y177*(1-MIN(1,INDEX(Tabla_Mortalidad!$B$5:$B$75,MIN(71,Cartera_Polizas!$B$179+23-49))*(1+(Cartera_Polizas!$P$179-1)*MAX(0,1-23/Supuestos!$C$20))*(1-Supuestos!$C$18)^23))</f>
        <v>0.00602742231248111</v>
      </c>
      <c r="AA177" s="29" t="n">
        <f aca="false">Z177*(1-MIN(1,INDEX(Tabla_Mortalidad!$B$5:$B$75,MIN(71,Cartera_Polizas!$B$179+24-49))*(1+(Cartera_Polizas!$P$179-1)*MAX(0,1-24/Supuestos!$C$20))*(1-Supuestos!$C$18)^24))</f>
        <v>0.00332326604642342</v>
      </c>
      <c r="AB177" s="29" t="n">
        <f aca="false">AA177*(1-MIN(1,INDEX(Tabla_Mortalidad!$B$5:$B$75,MIN(71,Cartera_Polizas!$B$179+25-49))*(1+(Cartera_Polizas!$P$179-1)*MAX(0,1-25/Supuestos!$C$20))*(1-Supuestos!$C$18)^25))</f>
        <v>0.00172573769028658</v>
      </c>
      <c r="AC177" s="29" t="n">
        <f aca="false">AB177*(1-MIN(1,INDEX(Tabla_Mortalidad!$B$5:$B$75,MIN(71,Cartera_Polizas!$B$179+26-49))*(1+(Cartera_Polizas!$P$179-1)*MAX(0,1-26/Supuestos!$C$20))*(1-Supuestos!$C$18)^26))</f>
        <v>0.000840000242606477</v>
      </c>
      <c r="AD177" s="29" t="n">
        <f aca="false">AC177*(1-MIN(1,INDEX(Tabla_Mortalidad!$B$5:$B$75,MIN(71,Cartera_Polizas!$B$179+27-49))*(1+(Cartera_Polizas!$P$179-1)*MAX(0,1-27/Supuestos!$C$20))*(1-Supuestos!$C$18)^27))</f>
        <v>0.000381428147525959</v>
      </c>
      <c r="AE177" s="29" t="n">
        <f aca="false">AD177*(1-MIN(1,INDEX(Tabla_Mortalidad!$B$5:$B$75,MIN(71,Cartera_Polizas!$B$179+28-49))*(1+(Cartera_Polizas!$P$179-1)*MAX(0,1-28/Supuestos!$C$20))*(1-Supuestos!$C$18)^28))</f>
        <v>0.000160842276208046</v>
      </c>
      <c r="AF177" s="29" t="n">
        <f aca="false">AE177*(1-MIN(1,INDEX(Tabla_Mortalidad!$B$5:$B$75,MIN(71,Cartera_Polizas!$B$179+29-49))*(1+(Cartera_Polizas!$P$179-1)*MAX(0,1-29/Supuestos!$C$20))*(1-Supuestos!$C$18)^29))</f>
        <v>6.27271899605895E-005</v>
      </c>
      <c r="AG177" s="29" t="n">
        <f aca="false">AF177*(1-MIN(1,INDEX(Tabla_Mortalidad!$B$5:$B$75,MIN(71,Cartera_Polizas!$B$179+30-49))*(1+(Cartera_Polizas!$P$179-1)*MAX(0,1-30/Supuestos!$C$20))*(1-Supuestos!$C$18)^30))</f>
        <v>2.25482593682138E-005</v>
      </c>
      <c r="AH177" s="29" t="n">
        <f aca="false">AG177*(1-MIN(1,INDEX(Tabla_Mortalidad!$B$5:$B$75,MIN(71,Cartera_Polizas!$B$179+31-49))*(1+(Cartera_Polizas!$P$179-1)*MAX(0,1-31/Supuestos!$C$20))*(1-Supuestos!$C$18)^31))</f>
        <v>7.45391779121507E-006</v>
      </c>
      <c r="AI177" s="29" t="n">
        <f aca="false">AH177*(1-MIN(1,INDEX(Tabla_Mortalidad!$B$5:$B$75,MIN(71,Cartera_Polizas!$B$179+32-49))*(1+(Cartera_Polizas!$P$179-1)*MAX(0,1-32/Supuestos!$C$20))*(1-Supuestos!$C$18)^32))</f>
        <v>2.26434293428969E-006</v>
      </c>
      <c r="AJ177" s="29" t="n">
        <f aca="false">AI177*(1-MIN(1,INDEX(Tabla_Mortalidad!$B$5:$B$75,MIN(71,Cartera_Polizas!$B$179+33-49))*(1+(Cartera_Polizas!$P$179-1)*MAX(0,1-33/Supuestos!$C$20))*(1-Supuestos!$C$18)^33))</f>
        <v>6.32863719706881E-007</v>
      </c>
      <c r="AK177" s="29" t="n">
        <f aca="false">AJ177*(1-MIN(1,INDEX(Tabla_Mortalidad!$B$5:$B$75,MIN(71,Cartera_Polizas!$B$179+34-49))*(1+(Cartera_Polizas!$P$179-1)*MAX(0,1-34/Supuestos!$C$20))*(1-Supuestos!$C$18)^34))</f>
        <v>1.6331903572167E-007</v>
      </c>
      <c r="AL177" s="29" t="n">
        <f aca="false">AK177*(1-MIN(1,INDEX(Tabla_Mortalidad!$B$5:$B$75,MIN(71,Cartera_Polizas!$B$179+35-49))*(1+(Cartera_Polizas!$P$179-1)*MAX(0,1-35/Supuestos!$C$20))*(1-Supuestos!$C$18)^35))</f>
        <v>3.91558167636075E-008</v>
      </c>
      <c r="AM177" s="29" t="n">
        <f aca="false">AL177*(1-MIN(1,INDEX(Tabla_Mortalidad!$B$5:$B$75,MIN(71,Cartera_Polizas!$B$179+36-49))*(1+(Cartera_Polizas!$P$179-1)*MAX(0,1-36/Supuestos!$C$20))*(1-Supuestos!$C$18)^36))</f>
        <v>8.79801143304519E-009</v>
      </c>
      <c r="AN177" s="29" t="n">
        <f aca="false">AM177*(1-MIN(1,INDEX(Tabla_Mortalidad!$B$5:$B$75,MIN(71,Cartera_Polizas!$B$179+37-49))*(1+(Cartera_Polizas!$P$179-1)*MAX(0,1-37/Supuestos!$C$20))*(1-Supuestos!$C$18)^37))</f>
        <v>1.87307334769889E-009</v>
      </c>
      <c r="AO177" s="29" t="n">
        <f aca="false">AN177*(1-MIN(1,INDEX(Tabla_Mortalidad!$B$5:$B$75,MIN(71,Cartera_Polizas!$B$179+38-49))*(1+(Cartera_Polizas!$P$179-1)*MAX(0,1-38/Supuestos!$C$20))*(1-Supuestos!$C$18)^38))</f>
        <v>3.24856273813583E-010</v>
      </c>
      <c r="AP177" s="29" t="n">
        <f aca="false">AO177*(1-MIN(1,INDEX(Tabla_Mortalidad!$B$5:$B$75,MIN(71,Cartera_Polizas!$B$179+39-49))*(1+(Cartera_Polizas!$P$179-1)*MAX(0,1-39/Supuestos!$C$20))*(1-Supuestos!$C$18)^39))</f>
        <v>5.76839870777978E-011</v>
      </c>
      <c r="AQ177" s="29" t="n">
        <f aca="false">AP177*(1-MIN(1,INDEX(Tabla_Mortalidad!$B$5:$B$75,MIN(71,Cartera_Polizas!$B$179+40-49))*(1+(Cartera_Polizas!$P$179-1)*MAX(0,1-40/Supuestos!$C$20))*(1-Supuestos!$C$18)^40))</f>
        <v>1.04800197912239E-011</v>
      </c>
      <c r="AR177" s="29" t="n">
        <f aca="false">AQ177*(1-MIN(1,INDEX(Tabla_Mortalidad!$B$5:$B$75,MIN(71,Cartera_Polizas!$B$179+41-49))*(1+(Cartera_Polizas!$P$179-1)*MAX(0,1-41/Supuestos!$C$20))*(1-Supuestos!$C$18)^41))</f>
        <v>1.94688878266891E-012</v>
      </c>
      <c r="AS177" s="29" t="n">
        <f aca="false">AR177*(1-MIN(1,INDEX(Tabla_Mortalidad!$B$5:$B$75,MIN(71,Cartera_Polizas!$B$179+42-49))*(1+(Cartera_Polizas!$P$179-1)*MAX(0,1-42/Supuestos!$C$20))*(1-Supuestos!$C$18)^42))</f>
        <v>3.69602471603508E-013</v>
      </c>
      <c r="AT177" s="29" t="n">
        <f aca="false">AS177*(1-MIN(1,INDEX(Tabla_Mortalidad!$B$5:$B$75,MIN(71,Cartera_Polizas!$B$179+43-49))*(1+(Cartera_Polizas!$P$179-1)*MAX(0,1-43/Supuestos!$C$20))*(1-Supuestos!$C$18)^43))</f>
        <v>7.16634832212342E-014</v>
      </c>
      <c r="AU177" s="29" t="n">
        <f aca="false">AT177*(1-MIN(1,INDEX(Tabla_Mortalidad!$B$5:$B$75,MIN(71,Cartera_Polizas!$B$179+44-49))*(1+(Cartera_Polizas!$P$179-1)*MAX(0,1-44/Supuestos!$C$20))*(1-Supuestos!$C$18)^44))</f>
        <v>1.4183919098621E-014</v>
      </c>
    </row>
    <row r="178" customFormat="false" ht="15" hidden="false" customHeight="false" outlineLevel="0" collapsed="false">
      <c r="A178" s="14" t="n">
        <f aca="false">Cartera_Polizas!A180</f>
        <v>175</v>
      </c>
      <c r="B178" s="26" t="n">
        <f aca="false">SUM(C178:AU178)+0.5</f>
        <v>11.8239850252805</v>
      </c>
      <c r="C178" s="29" t="n">
        <f aca="false">1-MIN(1,INDEX(Tabla_Mortalidad!$B$5:$B$75,MIN(71,Cartera_Polizas!$B$180+0-49))*(1+(Cartera_Polizas!$P$180-1)*MAX(0,1-0/Supuestos!$C$20))*(1-Supuestos!$C$18)^0)</f>
        <v>0.9644880915625</v>
      </c>
      <c r="D178" s="29" t="n">
        <f aca="false">C178*(1-MIN(1,INDEX(Tabla_Mortalidad!$B$5:$B$75,MIN(71,Cartera_Polizas!$B$180+1-49))*(1+(Cartera_Polizas!$P$180-1)*MAX(0,1-1/Supuestos!$C$20))*(1-Supuestos!$C$18)^1))</f>
        <v>0.92700116298242</v>
      </c>
      <c r="E178" s="29" t="n">
        <f aca="false">D178*(1-MIN(1,INDEX(Tabla_Mortalidad!$B$5:$B$75,MIN(71,Cartera_Polizas!$B$180+2-49))*(1+(Cartera_Polizas!$P$180-1)*MAX(0,1-2/Supuestos!$C$20))*(1-Supuestos!$C$18)^2))</f>
        <v>0.887581105007762</v>
      </c>
      <c r="F178" s="29" t="n">
        <f aca="false">E178*(1-MIN(1,INDEX(Tabla_Mortalidad!$B$5:$B$75,MIN(71,Cartera_Polizas!$B$180+3-49))*(1+(Cartera_Polizas!$P$180-1)*MAX(0,1-3/Supuestos!$C$20))*(1-Supuestos!$C$18)^3))</f>
        <v>0.846302553400331</v>
      </c>
      <c r="G178" s="29" t="n">
        <f aca="false">F178*(1-MIN(1,INDEX(Tabla_Mortalidad!$B$5:$B$75,MIN(71,Cartera_Polizas!$B$180+4-49))*(1+(Cartera_Polizas!$P$180-1)*MAX(0,1-4/Supuestos!$C$20))*(1-Supuestos!$C$18)^4))</f>
        <v>0.803276595070302</v>
      </c>
      <c r="H178" s="29" t="n">
        <f aca="false">G178*(1-MIN(1,INDEX(Tabla_Mortalidad!$B$5:$B$75,MIN(71,Cartera_Polizas!$B$180+5-49))*(1+(Cartera_Polizas!$P$180-1)*MAX(0,1-5/Supuestos!$C$20))*(1-Supuestos!$C$18)^5))</f>
        <v>0.758652631409576</v>
      </c>
      <c r="I178" s="29" t="n">
        <f aca="false">H178*(1-MIN(1,INDEX(Tabla_Mortalidad!$B$5:$B$75,MIN(71,Cartera_Polizas!$B$180+6-49))*(1+(Cartera_Polizas!$P$180-1)*MAX(0,1-6/Supuestos!$C$20))*(1-Supuestos!$C$18)^6))</f>
        <v>0.71262313044157</v>
      </c>
      <c r="J178" s="29" t="n">
        <f aca="false">I178*(1-MIN(1,INDEX(Tabla_Mortalidad!$B$5:$B$75,MIN(71,Cartera_Polizas!$B$180+7-49))*(1+(Cartera_Polizas!$P$180-1)*MAX(0,1-7/Supuestos!$C$20))*(1-Supuestos!$C$18)^7))</f>
        <v>0.665427132387467</v>
      </c>
      <c r="K178" s="29" t="n">
        <f aca="false">J178*(1-MIN(1,INDEX(Tabla_Mortalidad!$B$5:$B$75,MIN(71,Cartera_Polizas!$B$180+8-49))*(1+(Cartera_Polizas!$P$180-1)*MAX(0,1-8/Supuestos!$C$20))*(1-Supuestos!$C$18)^8))</f>
        <v>0.617349174531384</v>
      </c>
      <c r="L178" s="29" t="n">
        <f aca="false">K178*(1-MIN(1,INDEX(Tabla_Mortalidad!$B$5:$B$75,MIN(71,Cartera_Polizas!$B$180+9-49))*(1+(Cartera_Polizas!$P$180-1)*MAX(0,1-9/Supuestos!$C$20))*(1-Supuestos!$C$18)^9))</f>
        <v>0.568718153900677</v>
      </c>
      <c r="M178" s="29" t="n">
        <f aca="false">L178*(1-MIN(1,INDEX(Tabla_Mortalidad!$B$5:$B$75,MIN(71,Cartera_Polizas!$B$180+10-49))*(1+(Cartera_Polizas!$P$180-1)*MAX(0,1-10/Supuestos!$C$20))*(1-Supuestos!$C$18)^10))</f>
        <v>0.5199075048931</v>
      </c>
      <c r="N178" s="29" t="n">
        <f aca="false">M178*(1-MIN(1,INDEX(Tabla_Mortalidad!$B$5:$B$75,MIN(71,Cartera_Polizas!$B$180+11-49))*(1+(Cartera_Polizas!$P$180-1)*MAX(0,1-11/Supuestos!$C$20))*(1-Supuestos!$C$18)^11))</f>
        <v>0.471326259947582</v>
      </c>
      <c r="O178" s="29" t="n">
        <f aca="false">N178*(1-MIN(1,INDEX(Tabla_Mortalidad!$B$5:$B$75,MIN(71,Cartera_Polizas!$B$180+12-49))*(1+(Cartera_Polizas!$P$180-1)*MAX(0,1-12/Supuestos!$C$20))*(1-Supuestos!$C$18)^12))</f>
        <v>0.42341508103022</v>
      </c>
      <c r="P178" s="29" t="n">
        <f aca="false">O178*(1-MIN(1,INDEX(Tabla_Mortalidad!$B$5:$B$75,MIN(71,Cartera_Polizas!$B$180+13-49))*(1+(Cartera_Polizas!$P$180-1)*MAX(0,1-13/Supuestos!$C$20))*(1-Supuestos!$C$18)^13))</f>
        <v>0.376633199423314</v>
      </c>
      <c r="Q178" s="29" t="n">
        <f aca="false">P178*(1-MIN(1,INDEX(Tabla_Mortalidad!$B$5:$B$75,MIN(71,Cartera_Polizas!$B$180+14-49))*(1+(Cartera_Polizas!$P$180-1)*MAX(0,1-14/Supuestos!$C$20))*(1-Supuestos!$C$18)^14))</f>
        <v>0.331446007701196</v>
      </c>
      <c r="R178" s="29" t="n">
        <f aca="false">Q178*(1-MIN(1,INDEX(Tabla_Mortalidad!$B$5:$B$75,MIN(71,Cartera_Polizas!$B$180+15-49))*(1+(Cartera_Polizas!$P$180-1)*MAX(0,1-15/Supuestos!$C$20))*(1-Supuestos!$C$18)^15))</f>
        <v>0.288309237179877</v>
      </c>
      <c r="S178" s="29" t="n">
        <f aca="false">R178*(1-MIN(1,INDEX(Tabla_Mortalidad!$B$5:$B$75,MIN(71,Cartera_Polizas!$B$180+16-49))*(1+(Cartera_Polizas!$P$180-1)*MAX(0,1-16/Supuestos!$C$20))*(1-Supuestos!$C$18)^16))</f>
        <v>0.246987922025495</v>
      </c>
      <c r="T178" s="29" t="n">
        <f aca="false">S178*(1-MIN(1,INDEX(Tabla_Mortalidad!$B$5:$B$75,MIN(71,Cartera_Polizas!$B$180+17-49))*(1+(Cartera_Polizas!$P$180-1)*MAX(0,1-17/Supuestos!$C$20))*(1-Supuestos!$C$18)^17))</f>
        <v>0.208042982762729</v>
      </c>
      <c r="U178" s="29" t="n">
        <f aca="false">T178*(1-MIN(1,INDEX(Tabla_Mortalidad!$B$5:$B$75,MIN(71,Cartera_Polizas!$B$180+18-49))*(1+(Cartera_Polizas!$P$180-1)*MAX(0,1-18/Supuestos!$C$20))*(1-Supuestos!$C$18)^18))</f>
        <v>0.171991265857363</v>
      </c>
      <c r="V178" s="29" t="n">
        <f aca="false">U178*(1-MIN(1,INDEX(Tabla_Mortalidad!$B$5:$B$75,MIN(71,Cartera_Polizas!$B$180+19-49))*(1+(Cartera_Polizas!$P$180-1)*MAX(0,1-19/Supuestos!$C$20))*(1-Supuestos!$C$18)^19))</f>
        <v>0.139275080877854</v>
      </c>
      <c r="W178" s="29" t="n">
        <f aca="false">V178*(1-MIN(1,INDEX(Tabla_Mortalidad!$B$5:$B$75,MIN(71,Cartera_Polizas!$B$180+20-49))*(1+(Cartera_Polizas!$P$180-1)*MAX(0,1-20/Supuestos!$C$20))*(1-Supuestos!$C$18)^20))</f>
        <v>0.110232061729958</v>
      </c>
      <c r="X178" s="29" t="n">
        <f aca="false">W178*(1-MIN(1,INDEX(Tabla_Mortalidad!$B$5:$B$75,MIN(71,Cartera_Polizas!$B$180+21-49))*(1+(Cartera_Polizas!$P$180-1)*MAX(0,1-21/Supuestos!$C$20))*(1-Supuestos!$C$18)^21))</f>
        <v>0.085069160524133</v>
      </c>
      <c r="Y178" s="29" t="n">
        <f aca="false">X178*(1-MIN(1,INDEX(Tabla_Mortalidad!$B$5:$B$75,MIN(71,Cartera_Polizas!$B$180+22-49))*(1+(Cartera_Polizas!$P$180-1)*MAX(0,1-22/Supuestos!$C$20))*(1-Supuestos!$C$18)^22))</f>
        <v>0.0638457181353148</v>
      </c>
      <c r="Z178" s="29" t="n">
        <f aca="false">Y178*(1-MIN(1,INDEX(Tabla_Mortalidad!$B$5:$B$75,MIN(71,Cartera_Polizas!$B$180+23-49))*(1+(Cartera_Polizas!$P$180-1)*MAX(0,1-23/Supuestos!$C$20))*(1-Supuestos!$C$18)^23))</f>
        <v>0.0464677130794218</v>
      </c>
      <c r="AA178" s="29" t="n">
        <f aca="false">Z178*(1-MIN(1,INDEX(Tabla_Mortalidad!$B$5:$B$75,MIN(71,Cartera_Polizas!$B$180+24-49))*(1+(Cartera_Polizas!$P$180-1)*MAX(0,1-24/Supuestos!$C$20))*(1-Supuestos!$C$18)^24))</f>
        <v>0.032695534724408</v>
      </c>
      <c r="AB178" s="29" t="n">
        <f aca="false">AA178*(1-MIN(1,INDEX(Tabla_Mortalidad!$B$5:$B$75,MIN(71,Cartera_Polizas!$B$180+25-49))*(1+(Cartera_Polizas!$P$180-1)*MAX(0,1-25/Supuestos!$C$20))*(1-Supuestos!$C$18)^25))</f>
        <v>0.0221663098506187</v>
      </c>
      <c r="AC178" s="29" t="n">
        <f aca="false">AB178*(1-MIN(1,INDEX(Tabla_Mortalidad!$B$5:$B$75,MIN(71,Cartera_Polizas!$B$180+26-49))*(1+(Cartera_Polizas!$P$180-1)*MAX(0,1-26/Supuestos!$C$20))*(1-Supuestos!$C$18)^26))</f>
        <v>0.0144280442850911</v>
      </c>
      <c r="AD178" s="29" t="n">
        <f aca="false">AC178*(1-MIN(1,INDEX(Tabla_Mortalidad!$B$5:$B$75,MIN(71,Cartera_Polizas!$B$180+27-49))*(1+(Cartera_Polizas!$P$180-1)*MAX(0,1-27/Supuestos!$C$20))*(1-Supuestos!$C$18)^27))</f>
        <v>0.00898187304580262</v>
      </c>
      <c r="AE178" s="29" t="n">
        <f aca="false">AD178*(1-MIN(1,INDEX(Tabla_Mortalidad!$B$5:$B$75,MIN(71,Cartera_Polizas!$B$180+28-49))*(1+(Cartera_Polizas!$P$180-1)*MAX(0,1-28/Supuestos!$C$20))*(1-Supuestos!$C$18)^28))</f>
        <v>0.00532614041935575</v>
      </c>
      <c r="AF178" s="29" t="n">
        <f aca="false">AE178*(1-MIN(1,INDEX(Tabla_Mortalidad!$B$5:$B$75,MIN(71,Cartera_Polizas!$B$180+29-49))*(1+(Cartera_Polizas!$P$180-1)*MAX(0,1-29/Supuestos!$C$20))*(1-Supuestos!$C$18)^29))</f>
        <v>0.00299575272100893</v>
      </c>
      <c r="AG178" s="29" t="n">
        <f aca="false">AF178*(1-MIN(1,INDEX(Tabla_Mortalidad!$B$5:$B$75,MIN(71,Cartera_Polizas!$B$180+30-49))*(1+(Cartera_Polizas!$P$180-1)*MAX(0,1-30/Supuestos!$C$20))*(1-Supuestos!$C$18)^30))</f>
        <v>0.0015913074135124</v>
      </c>
      <c r="AH178" s="29" t="n">
        <f aca="false">AG178*(1-MIN(1,INDEX(Tabla_Mortalidad!$B$5:$B$75,MIN(71,Cartera_Polizas!$B$180+31-49))*(1+(Cartera_Polizas!$P$180-1)*MAX(0,1-31/Supuestos!$C$20))*(1-Supuestos!$C$18)^31))</f>
        <v>0.000794781862048721</v>
      </c>
      <c r="AI178" s="29" t="n">
        <f aca="false">AH178*(1-MIN(1,INDEX(Tabla_Mortalidad!$B$5:$B$75,MIN(71,Cartera_Polizas!$B$180+32-49))*(1+(Cartera_Polizas!$P$180-1)*MAX(0,1-32/Supuestos!$C$20))*(1-Supuestos!$C$18)^32))</f>
        <v>0.000371634572625091</v>
      </c>
      <c r="AJ178" s="29" t="n">
        <f aca="false">AI178*(1-MIN(1,INDEX(Tabla_Mortalidad!$B$5:$B$75,MIN(71,Cartera_Polizas!$B$180+33-49))*(1+(Cartera_Polizas!$P$180-1)*MAX(0,1-33/Supuestos!$C$20))*(1-Supuestos!$C$18)^33))</f>
        <v>0.000162032068848618</v>
      </c>
      <c r="AK178" s="29" t="n">
        <f aca="false">AJ178*(1-MIN(1,INDEX(Tabla_Mortalidad!$B$5:$B$75,MIN(71,Cartera_Polizas!$B$180+34-49))*(1+(Cartera_Polizas!$P$180-1)*MAX(0,1-34/Supuestos!$C$20))*(1-Supuestos!$C$18)^34))</f>
        <v>6.56376342496664E-005</v>
      </c>
      <c r="AL178" s="29" t="n">
        <f aca="false">AK178*(1-MIN(1,INDEX(Tabla_Mortalidad!$B$5:$B$75,MIN(71,Cartera_Polizas!$B$180+35-49))*(1+(Cartera_Polizas!$P$180-1)*MAX(0,1-35/Supuestos!$C$20))*(1-Supuestos!$C$18)^35))</f>
        <v>2.46350845137336E-005</v>
      </c>
      <c r="AM178" s="29" t="n">
        <f aca="false">AL178*(1-MIN(1,INDEX(Tabla_Mortalidad!$B$5:$B$75,MIN(71,Cartera_Polizas!$B$180+36-49))*(1+(Cartera_Polizas!$P$180-1)*MAX(0,1-36/Supuestos!$C$20))*(1-Supuestos!$C$18)^36))</f>
        <v>8.55195304275019E-006</v>
      </c>
      <c r="AN178" s="29" t="n">
        <f aca="false">AM178*(1-MIN(1,INDEX(Tabla_Mortalidad!$B$5:$B$75,MIN(71,Cartera_Polizas!$B$180+37-49))*(1+(Cartera_Polizas!$P$180-1)*MAX(0,1-37/Supuestos!$C$20))*(1-Supuestos!$C$18)^37))</f>
        <v>2.74527303891502E-006</v>
      </c>
      <c r="AO178" s="29" t="n">
        <f aca="false">AN178*(1-MIN(1,INDEX(Tabla_Mortalidad!$B$5:$B$75,MIN(71,Cartera_Polizas!$B$180+38-49))*(1+(Cartera_Polizas!$P$180-1)*MAX(0,1-38/Supuestos!$C$20))*(1-Supuestos!$C$18)^38))</f>
        <v>8.16237217064597E-007</v>
      </c>
      <c r="AP178" s="29" t="n">
        <f aca="false">AO178*(1-MIN(1,INDEX(Tabla_Mortalidad!$B$5:$B$75,MIN(71,Cartera_Polizas!$B$180+39-49))*(1+(Cartera_Polizas!$P$180-1)*MAX(0,1-39/Supuestos!$C$20))*(1-Supuestos!$C$18)^39))</f>
        <v>2.25630305285374E-007</v>
      </c>
      <c r="AQ178" s="29" t="n">
        <f aca="false">AP178*(1-MIN(1,INDEX(Tabla_Mortalidad!$B$5:$B$75,MIN(71,Cartera_Polizas!$B$180+40-49))*(1+(Cartera_Polizas!$P$180-1)*MAX(0,1-40/Supuestos!$C$20))*(1-Supuestos!$C$18)^40))</f>
        <v>5.83406867298632E-008</v>
      </c>
      <c r="AR178" s="29" t="n">
        <f aca="false">AQ178*(1-MIN(1,INDEX(Tabla_Mortalidad!$B$5:$B$75,MIN(71,Cartera_Polizas!$B$180+41-49))*(1+(Cartera_Polizas!$P$180-1)*MAX(0,1-41/Supuestos!$C$20))*(1-Supuestos!$C$18)^41))</f>
        <v>1.42282523954649E-008</v>
      </c>
      <c r="AS178" s="29" t="n">
        <f aca="false">AR178*(1-MIN(1,INDEX(Tabla_Mortalidad!$B$5:$B$75,MIN(71,Cartera_Polizas!$B$180+42-49))*(1+(Cartera_Polizas!$P$180-1)*MAX(0,1-42/Supuestos!$C$20))*(1-Supuestos!$C$18)^42))</f>
        <v>3.30634884406228E-009</v>
      </c>
      <c r="AT178" s="29" t="n">
        <f aca="false">AS178*(1-MIN(1,INDEX(Tabla_Mortalidad!$B$5:$B$75,MIN(71,Cartera_Polizas!$B$180+43-49))*(1+(Cartera_Polizas!$P$180-1)*MAX(0,1-43/Supuestos!$C$20))*(1-Supuestos!$C$18)^43))</f>
        <v>6.41079248961806E-010</v>
      </c>
      <c r="AU178" s="29" t="n">
        <f aca="false">AT178*(1-MIN(1,INDEX(Tabla_Mortalidad!$B$5:$B$75,MIN(71,Cartera_Polizas!$B$180+44-49))*(1+(Cartera_Polizas!$P$180-1)*MAX(0,1-44/Supuestos!$C$20))*(1-Supuestos!$C$18)^44))</f>
        <v>1.26884932107022E-010</v>
      </c>
    </row>
    <row r="179" customFormat="false" ht="15" hidden="false" customHeight="false" outlineLevel="0" collapsed="false">
      <c r="A179" s="14" t="n">
        <f aca="false">Cartera_Polizas!A181</f>
        <v>176</v>
      </c>
      <c r="B179" s="26" t="n">
        <f aca="false">SUM(C179:AU179)+0.5</f>
        <v>11.8239850252805</v>
      </c>
      <c r="C179" s="29" t="n">
        <f aca="false">1-MIN(1,INDEX(Tabla_Mortalidad!$B$5:$B$75,MIN(71,Cartera_Polizas!$B$181+0-49))*(1+(Cartera_Polizas!$P$181-1)*MAX(0,1-0/Supuestos!$C$20))*(1-Supuestos!$C$18)^0)</f>
        <v>0.9644880915625</v>
      </c>
      <c r="D179" s="29" t="n">
        <f aca="false">C179*(1-MIN(1,INDEX(Tabla_Mortalidad!$B$5:$B$75,MIN(71,Cartera_Polizas!$B$181+1-49))*(1+(Cartera_Polizas!$P$181-1)*MAX(0,1-1/Supuestos!$C$20))*(1-Supuestos!$C$18)^1))</f>
        <v>0.92700116298242</v>
      </c>
      <c r="E179" s="29" t="n">
        <f aca="false">D179*(1-MIN(1,INDEX(Tabla_Mortalidad!$B$5:$B$75,MIN(71,Cartera_Polizas!$B$181+2-49))*(1+(Cartera_Polizas!$P$181-1)*MAX(0,1-2/Supuestos!$C$20))*(1-Supuestos!$C$18)^2))</f>
        <v>0.887581105007762</v>
      </c>
      <c r="F179" s="29" t="n">
        <f aca="false">E179*(1-MIN(1,INDEX(Tabla_Mortalidad!$B$5:$B$75,MIN(71,Cartera_Polizas!$B$181+3-49))*(1+(Cartera_Polizas!$P$181-1)*MAX(0,1-3/Supuestos!$C$20))*(1-Supuestos!$C$18)^3))</f>
        <v>0.846302553400331</v>
      </c>
      <c r="G179" s="29" t="n">
        <f aca="false">F179*(1-MIN(1,INDEX(Tabla_Mortalidad!$B$5:$B$75,MIN(71,Cartera_Polizas!$B$181+4-49))*(1+(Cartera_Polizas!$P$181-1)*MAX(0,1-4/Supuestos!$C$20))*(1-Supuestos!$C$18)^4))</f>
        <v>0.803276595070302</v>
      </c>
      <c r="H179" s="29" t="n">
        <f aca="false">G179*(1-MIN(1,INDEX(Tabla_Mortalidad!$B$5:$B$75,MIN(71,Cartera_Polizas!$B$181+5-49))*(1+(Cartera_Polizas!$P$181-1)*MAX(0,1-5/Supuestos!$C$20))*(1-Supuestos!$C$18)^5))</f>
        <v>0.758652631409576</v>
      </c>
      <c r="I179" s="29" t="n">
        <f aca="false">H179*(1-MIN(1,INDEX(Tabla_Mortalidad!$B$5:$B$75,MIN(71,Cartera_Polizas!$B$181+6-49))*(1+(Cartera_Polizas!$P$181-1)*MAX(0,1-6/Supuestos!$C$20))*(1-Supuestos!$C$18)^6))</f>
        <v>0.71262313044157</v>
      </c>
      <c r="J179" s="29" t="n">
        <f aca="false">I179*(1-MIN(1,INDEX(Tabla_Mortalidad!$B$5:$B$75,MIN(71,Cartera_Polizas!$B$181+7-49))*(1+(Cartera_Polizas!$P$181-1)*MAX(0,1-7/Supuestos!$C$20))*(1-Supuestos!$C$18)^7))</f>
        <v>0.665427132387467</v>
      </c>
      <c r="K179" s="29" t="n">
        <f aca="false">J179*(1-MIN(1,INDEX(Tabla_Mortalidad!$B$5:$B$75,MIN(71,Cartera_Polizas!$B$181+8-49))*(1+(Cartera_Polizas!$P$181-1)*MAX(0,1-8/Supuestos!$C$20))*(1-Supuestos!$C$18)^8))</f>
        <v>0.617349174531384</v>
      </c>
      <c r="L179" s="29" t="n">
        <f aca="false">K179*(1-MIN(1,INDEX(Tabla_Mortalidad!$B$5:$B$75,MIN(71,Cartera_Polizas!$B$181+9-49))*(1+(Cartera_Polizas!$P$181-1)*MAX(0,1-9/Supuestos!$C$20))*(1-Supuestos!$C$18)^9))</f>
        <v>0.568718153900677</v>
      </c>
      <c r="M179" s="29" t="n">
        <f aca="false">L179*(1-MIN(1,INDEX(Tabla_Mortalidad!$B$5:$B$75,MIN(71,Cartera_Polizas!$B$181+10-49))*(1+(Cartera_Polizas!$P$181-1)*MAX(0,1-10/Supuestos!$C$20))*(1-Supuestos!$C$18)^10))</f>
        <v>0.5199075048931</v>
      </c>
      <c r="N179" s="29" t="n">
        <f aca="false">M179*(1-MIN(1,INDEX(Tabla_Mortalidad!$B$5:$B$75,MIN(71,Cartera_Polizas!$B$181+11-49))*(1+(Cartera_Polizas!$P$181-1)*MAX(0,1-11/Supuestos!$C$20))*(1-Supuestos!$C$18)^11))</f>
        <v>0.471326259947582</v>
      </c>
      <c r="O179" s="29" t="n">
        <f aca="false">N179*(1-MIN(1,INDEX(Tabla_Mortalidad!$B$5:$B$75,MIN(71,Cartera_Polizas!$B$181+12-49))*(1+(Cartera_Polizas!$P$181-1)*MAX(0,1-12/Supuestos!$C$20))*(1-Supuestos!$C$18)^12))</f>
        <v>0.42341508103022</v>
      </c>
      <c r="P179" s="29" t="n">
        <f aca="false">O179*(1-MIN(1,INDEX(Tabla_Mortalidad!$B$5:$B$75,MIN(71,Cartera_Polizas!$B$181+13-49))*(1+(Cartera_Polizas!$P$181-1)*MAX(0,1-13/Supuestos!$C$20))*(1-Supuestos!$C$18)^13))</f>
        <v>0.376633199423314</v>
      </c>
      <c r="Q179" s="29" t="n">
        <f aca="false">P179*(1-MIN(1,INDEX(Tabla_Mortalidad!$B$5:$B$75,MIN(71,Cartera_Polizas!$B$181+14-49))*(1+(Cartera_Polizas!$P$181-1)*MAX(0,1-14/Supuestos!$C$20))*(1-Supuestos!$C$18)^14))</f>
        <v>0.331446007701196</v>
      </c>
      <c r="R179" s="29" t="n">
        <f aca="false">Q179*(1-MIN(1,INDEX(Tabla_Mortalidad!$B$5:$B$75,MIN(71,Cartera_Polizas!$B$181+15-49))*(1+(Cartera_Polizas!$P$181-1)*MAX(0,1-15/Supuestos!$C$20))*(1-Supuestos!$C$18)^15))</f>
        <v>0.288309237179877</v>
      </c>
      <c r="S179" s="29" t="n">
        <f aca="false">R179*(1-MIN(1,INDEX(Tabla_Mortalidad!$B$5:$B$75,MIN(71,Cartera_Polizas!$B$181+16-49))*(1+(Cartera_Polizas!$P$181-1)*MAX(0,1-16/Supuestos!$C$20))*(1-Supuestos!$C$18)^16))</f>
        <v>0.246987922025495</v>
      </c>
      <c r="T179" s="29" t="n">
        <f aca="false">S179*(1-MIN(1,INDEX(Tabla_Mortalidad!$B$5:$B$75,MIN(71,Cartera_Polizas!$B$181+17-49))*(1+(Cartera_Polizas!$P$181-1)*MAX(0,1-17/Supuestos!$C$20))*(1-Supuestos!$C$18)^17))</f>
        <v>0.208042982762729</v>
      </c>
      <c r="U179" s="29" t="n">
        <f aca="false">T179*(1-MIN(1,INDEX(Tabla_Mortalidad!$B$5:$B$75,MIN(71,Cartera_Polizas!$B$181+18-49))*(1+(Cartera_Polizas!$P$181-1)*MAX(0,1-18/Supuestos!$C$20))*(1-Supuestos!$C$18)^18))</f>
        <v>0.171991265857363</v>
      </c>
      <c r="V179" s="29" t="n">
        <f aca="false">U179*(1-MIN(1,INDEX(Tabla_Mortalidad!$B$5:$B$75,MIN(71,Cartera_Polizas!$B$181+19-49))*(1+(Cartera_Polizas!$P$181-1)*MAX(0,1-19/Supuestos!$C$20))*(1-Supuestos!$C$18)^19))</f>
        <v>0.139275080877854</v>
      </c>
      <c r="W179" s="29" t="n">
        <f aca="false">V179*(1-MIN(1,INDEX(Tabla_Mortalidad!$B$5:$B$75,MIN(71,Cartera_Polizas!$B$181+20-49))*(1+(Cartera_Polizas!$P$181-1)*MAX(0,1-20/Supuestos!$C$20))*(1-Supuestos!$C$18)^20))</f>
        <v>0.110232061729958</v>
      </c>
      <c r="X179" s="29" t="n">
        <f aca="false">W179*(1-MIN(1,INDEX(Tabla_Mortalidad!$B$5:$B$75,MIN(71,Cartera_Polizas!$B$181+21-49))*(1+(Cartera_Polizas!$P$181-1)*MAX(0,1-21/Supuestos!$C$20))*(1-Supuestos!$C$18)^21))</f>
        <v>0.085069160524133</v>
      </c>
      <c r="Y179" s="29" t="n">
        <f aca="false">X179*(1-MIN(1,INDEX(Tabla_Mortalidad!$B$5:$B$75,MIN(71,Cartera_Polizas!$B$181+22-49))*(1+(Cartera_Polizas!$P$181-1)*MAX(0,1-22/Supuestos!$C$20))*(1-Supuestos!$C$18)^22))</f>
        <v>0.0638457181353148</v>
      </c>
      <c r="Z179" s="29" t="n">
        <f aca="false">Y179*(1-MIN(1,INDEX(Tabla_Mortalidad!$B$5:$B$75,MIN(71,Cartera_Polizas!$B$181+23-49))*(1+(Cartera_Polizas!$P$181-1)*MAX(0,1-23/Supuestos!$C$20))*(1-Supuestos!$C$18)^23))</f>
        <v>0.0464677130794218</v>
      </c>
      <c r="AA179" s="29" t="n">
        <f aca="false">Z179*(1-MIN(1,INDEX(Tabla_Mortalidad!$B$5:$B$75,MIN(71,Cartera_Polizas!$B$181+24-49))*(1+(Cartera_Polizas!$P$181-1)*MAX(0,1-24/Supuestos!$C$20))*(1-Supuestos!$C$18)^24))</f>
        <v>0.032695534724408</v>
      </c>
      <c r="AB179" s="29" t="n">
        <f aca="false">AA179*(1-MIN(1,INDEX(Tabla_Mortalidad!$B$5:$B$75,MIN(71,Cartera_Polizas!$B$181+25-49))*(1+(Cartera_Polizas!$P$181-1)*MAX(0,1-25/Supuestos!$C$20))*(1-Supuestos!$C$18)^25))</f>
        <v>0.0221663098506187</v>
      </c>
      <c r="AC179" s="29" t="n">
        <f aca="false">AB179*(1-MIN(1,INDEX(Tabla_Mortalidad!$B$5:$B$75,MIN(71,Cartera_Polizas!$B$181+26-49))*(1+(Cartera_Polizas!$P$181-1)*MAX(0,1-26/Supuestos!$C$20))*(1-Supuestos!$C$18)^26))</f>
        <v>0.0144280442850911</v>
      </c>
      <c r="AD179" s="29" t="n">
        <f aca="false">AC179*(1-MIN(1,INDEX(Tabla_Mortalidad!$B$5:$B$75,MIN(71,Cartera_Polizas!$B$181+27-49))*(1+(Cartera_Polizas!$P$181-1)*MAX(0,1-27/Supuestos!$C$20))*(1-Supuestos!$C$18)^27))</f>
        <v>0.00898187304580262</v>
      </c>
      <c r="AE179" s="29" t="n">
        <f aca="false">AD179*(1-MIN(1,INDEX(Tabla_Mortalidad!$B$5:$B$75,MIN(71,Cartera_Polizas!$B$181+28-49))*(1+(Cartera_Polizas!$P$181-1)*MAX(0,1-28/Supuestos!$C$20))*(1-Supuestos!$C$18)^28))</f>
        <v>0.00532614041935575</v>
      </c>
      <c r="AF179" s="29" t="n">
        <f aca="false">AE179*(1-MIN(1,INDEX(Tabla_Mortalidad!$B$5:$B$75,MIN(71,Cartera_Polizas!$B$181+29-49))*(1+(Cartera_Polizas!$P$181-1)*MAX(0,1-29/Supuestos!$C$20))*(1-Supuestos!$C$18)^29))</f>
        <v>0.00299575272100893</v>
      </c>
      <c r="AG179" s="29" t="n">
        <f aca="false">AF179*(1-MIN(1,INDEX(Tabla_Mortalidad!$B$5:$B$75,MIN(71,Cartera_Polizas!$B$181+30-49))*(1+(Cartera_Polizas!$P$181-1)*MAX(0,1-30/Supuestos!$C$20))*(1-Supuestos!$C$18)^30))</f>
        <v>0.0015913074135124</v>
      </c>
      <c r="AH179" s="29" t="n">
        <f aca="false">AG179*(1-MIN(1,INDEX(Tabla_Mortalidad!$B$5:$B$75,MIN(71,Cartera_Polizas!$B$181+31-49))*(1+(Cartera_Polizas!$P$181-1)*MAX(0,1-31/Supuestos!$C$20))*(1-Supuestos!$C$18)^31))</f>
        <v>0.000794781862048721</v>
      </c>
      <c r="AI179" s="29" t="n">
        <f aca="false">AH179*(1-MIN(1,INDEX(Tabla_Mortalidad!$B$5:$B$75,MIN(71,Cartera_Polizas!$B$181+32-49))*(1+(Cartera_Polizas!$P$181-1)*MAX(0,1-32/Supuestos!$C$20))*(1-Supuestos!$C$18)^32))</f>
        <v>0.000371634572625091</v>
      </c>
      <c r="AJ179" s="29" t="n">
        <f aca="false">AI179*(1-MIN(1,INDEX(Tabla_Mortalidad!$B$5:$B$75,MIN(71,Cartera_Polizas!$B$181+33-49))*(1+(Cartera_Polizas!$P$181-1)*MAX(0,1-33/Supuestos!$C$20))*(1-Supuestos!$C$18)^33))</f>
        <v>0.000162032068848618</v>
      </c>
      <c r="AK179" s="29" t="n">
        <f aca="false">AJ179*(1-MIN(1,INDEX(Tabla_Mortalidad!$B$5:$B$75,MIN(71,Cartera_Polizas!$B$181+34-49))*(1+(Cartera_Polizas!$P$181-1)*MAX(0,1-34/Supuestos!$C$20))*(1-Supuestos!$C$18)^34))</f>
        <v>6.56376342496664E-005</v>
      </c>
      <c r="AL179" s="29" t="n">
        <f aca="false">AK179*(1-MIN(1,INDEX(Tabla_Mortalidad!$B$5:$B$75,MIN(71,Cartera_Polizas!$B$181+35-49))*(1+(Cartera_Polizas!$P$181-1)*MAX(0,1-35/Supuestos!$C$20))*(1-Supuestos!$C$18)^35))</f>
        <v>2.46350845137336E-005</v>
      </c>
      <c r="AM179" s="29" t="n">
        <f aca="false">AL179*(1-MIN(1,INDEX(Tabla_Mortalidad!$B$5:$B$75,MIN(71,Cartera_Polizas!$B$181+36-49))*(1+(Cartera_Polizas!$P$181-1)*MAX(0,1-36/Supuestos!$C$20))*(1-Supuestos!$C$18)^36))</f>
        <v>8.55195304275019E-006</v>
      </c>
      <c r="AN179" s="29" t="n">
        <f aca="false">AM179*(1-MIN(1,INDEX(Tabla_Mortalidad!$B$5:$B$75,MIN(71,Cartera_Polizas!$B$181+37-49))*(1+(Cartera_Polizas!$P$181-1)*MAX(0,1-37/Supuestos!$C$20))*(1-Supuestos!$C$18)^37))</f>
        <v>2.74527303891502E-006</v>
      </c>
      <c r="AO179" s="29" t="n">
        <f aca="false">AN179*(1-MIN(1,INDEX(Tabla_Mortalidad!$B$5:$B$75,MIN(71,Cartera_Polizas!$B$181+38-49))*(1+(Cartera_Polizas!$P$181-1)*MAX(0,1-38/Supuestos!$C$20))*(1-Supuestos!$C$18)^38))</f>
        <v>8.16237217064597E-007</v>
      </c>
      <c r="AP179" s="29" t="n">
        <f aca="false">AO179*(1-MIN(1,INDEX(Tabla_Mortalidad!$B$5:$B$75,MIN(71,Cartera_Polizas!$B$181+39-49))*(1+(Cartera_Polizas!$P$181-1)*MAX(0,1-39/Supuestos!$C$20))*(1-Supuestos!$C$18)^39))</f>
        <v>2.25630305285374E-007</v>
      </c>
      <c r="AQ179" s="29" t="n">
        <f aca="false">AP179*(1-MIN(1,INDEX(Tabla_Mortalidad!$B$5:$B$75,MIN(71,Cartera_Polizas!$B$181+40-49))*(1+(Cartera_Polizas!$P$181-1)*MAX(0,1-40/Supuestos!$C$20))*(1-Supuestos!$C$18)^40))</f>
        <v>5.83406867298632E-008</v>
      </c>
      <c r="AR179" s="29" t="n">
        <f aca="false">AQ179*(1-MIN(1,INDEX(Tabla_Mortalidad!$B$5:$B$75,MIN(71,Cartera_Polizas!$B$181+41-49))*(1+(Cartera_Polizas!$P$181-1)*MAX(0,1-41/Supuestos!$C$20))*(1-Supuestos!$C$18)^41))</f>
        <v>1.42282523954649E-008</v>
      </c>
      <c r="AS179" s="29" t="n">
        <f aca="false">AR179*(1-MIN(1,INDEX(Tabla_Mortalidad!$B$5:$B$75,MIN(71,Cartera_Polizas!$B$181+42-49))*(1+(Cartera_Polizas!$P$181-1)*MAX(0,1-42/Supuestos!$C$20))*(1-Supuestos!$C$18)^42))</f>
        <v>3.30634884406228E-009</v>
      </c>
      <c r="AT179" s="29" t="n">
        <f aca="false">AS179*(1-MIN(1,INDEX(Tabla_Mortalidad!$B$5:$B$75,MIN(71,Cartera_Polizas!$B$181+43-49))*(1+(Cartera_Polizas!$P$181-1)*MAX(0,1-43/Supuestos!$C$20))*(1-Supuestos!$C$18)^43))</f>
        <v>6.41079248961806E-010</v>
      </c>
      <c r="AU179" s="29" t="n">
        <f aca="false">AT179*(1-MIN(1,INDEX(Tabla_Mortalidad!$B$5:$B$75,MIN(71,Cartera_Polizas!$B$181+44-49))*(1+(Cartera_Polizas!$P$181-1)*MAX(0,1-44/Supuestos!$C$20))*(1-Supuestos!$C$18)^44))</f>
        <v>1.26884932107022E-010</v>
      </c>
    </row>
    <row r="180" customFormat="false" ht="15" hidden="false" customHeight="false" outlineLevel="0" collapsed="false">
      <c r="A180" s="14" t="n">
        <f aca="false">Cartera_Polizas!A182</f>
        <v>177</v>
      </c>
      <c r="B180" s="26" t="n">
        <f aca="false">SUM(C180:AU180)+0.5</f>
        <v>2.92386783498215</v>
      </c>
      <c r="C180" s="29" t="n">
        <f aca="false">1-MIN(1,INDEX(Tabla_Mortalidad!$B$5:$B$75,MIN(71,Cartera_Polizas!$B$182+0-49))*(1+(Cartera_Polizas!$P$182-1)*MAX(0,1-0/Supuestos!$C$20))*(1-Supuestos!$C$18)^0)</f>
        <v>0.74235272</v>
      </c>
      <c r="D180" s="29" t="n">
        <f aca="false">C180*(1-MIN(1,INDEX(Tabla_Mortalidad!$B$5:$B$75,MIN(71,Cartera_Polizas!$B$182+1-49))*(1+(Cartera_Polizas!$P$182-1)*MAX(0,1-1/Supuestos!$C$20))*(1-Supuestos!$C$18)^1))</f>
        <v>0.539204471095719</v>
      </c>
      <c r="E180" s="29" t="n">
        <f aca="false">D180*(1-MIN(1,INDEX(Tabla_Mortalidad!$B$5:$B$75,MIN(71,Cartera_Polizas!$B$182+2-49))*(1+(Cartera_Polizas!$P$182-1)*MAX(0,1-2/Supuestos!$C$20))*(1-Supuestos!$C$18)^2))</f>
        <v>0.382835914313541</v>
      </c>
      <c r="F180" s="29" t="n">
        <f aca="false">E180*(1-MIN(1,INDEX(Tabla_Mortalidad!$B$5:$B$75,MIN(71,Cartera_Polizas!$B$182+3-49))*(1+(Cartera_Polizas!$P$182-1)*MAX(0,1-3/Supuestos!$C$20))*(1-Supuestos!$C$18)^3))</f>
        <v>0.265474342115123</v>
      </c>
      <c r="G180" s="29" t="n">
        <f aca="false">F180*(1-MIN(1,INDEX(Tabla_Mortalidad!$B$5:$B$75,MIN(71,Cartera_Polizas!$B$182+4-49))*(1+(Cartera_Polizas!$P$182-1)*MAX(0,1-4/Supuestos!$C$20))*(1-Supuestos!$C$18)^4))</f>
        <v>0.179676880599716</v>
      </c>
      <c r="H180" s="29" t="n">
        <f aca="false">G180*(1-MIN(1,INDEX(Tabla_Mortalidad!$B$5:$B$75,MIN(71,Cartera_Polizas!$B$182+5-49))*(1+(Cartera_Polizas!$P$182-1)*MAX(0,1-5/Supuestos!$C$20))*(1-Supuestos!$C$18)^5))</f>
        <v>0.118639572208053</v>
      </c>
      <c r="I180" s="29" t="n">
        <f aca="false">H180*(1-MIN(1,INDEX(Tabla_Mortalidad!$B$5:$B$75,MIN(71,Cartera_Polizas!$B$182+6-49))*(1+(Cartera_Polizas!$P$182-1)*MAX(0,1-6/Supuestos!$C$20))*(1-Supuestos!$C$18)^6))</f>
        <v>0.0764147625449713</v>
      </c>
      <c r="J180" s="29" t="n">
        <f aca="false">I180*(1-MIN(1,INDEX(Tabla_Mortalidad!$B$5:$B$75,MIN(71,Cartera_Polizas!$B$182+7-49))*(1+(Cartera_Polizas!$P$182-1)*MAX(0,1-7/Supuestos!$C$20))*(1-Supuestos!$C$18)^7))</f>
        <v>0.0480232437536599</v>
      </c>
      <c r="K180" s="29" t="n">
        <f aca="false">J180*(1-MIN(1,INDEX(Tabla_Mortalidad!$B$5:$B$75,MIN(71,Cartera_Polizas!$B$182+8-49))*(1+(Cartera_Polizas!$P$182-1)*MAX(0,1-8/Supuestos!$C$20))*(1-Supuestos!$C$18)^8))</f>
        <v>0.0294701593419449</v>
      </c>
      <c r="L180" s="29" t="n">
        <f aca="false">K180*(1-MIN(1,INDEX(Tabla_Mortalidad!$B$5:$B$75,MIN(71,Cartera_Polizas!$B$182+9-49))*(1+(Cartera_Polizas!$P$182-1)*MAX(0,1-9/Supuestos!$C$20))*(1-Supuestos!$C$18)^9))</f>
        <v>0.0176833557541776</v>
      </c>
      <c r="M180" s="29" t="n">
        <f aca="false">L180*(1-MIN(1,INDEX(Tabla_Mortalidad!$B$5:$B$75,MIN(71,Cartera_Polizas!$B$182+10-49))*(1+(Cartera_Polizas!$P$182-1)*MAX(0,1-10/Supuestos!$C$20))*(1-Supuestos!$C$18)^10))</f>
        <v>0.0103969879970853</v>
      </c>
      <c r="N180" s="29" t="n">
        <f aca="false">M180*(1-MIN(1,INDEX(Tabla_Mortalidad!$B$5:$B$75,MIN(71,Cartera_Polizas!$B$182+11-49))*(1+(Cartera_Polizas!$P$182-1)*MAX(0,1-11/Supuestos!$C$20))*(1-Supuestos!$C$18)^11))</f>
        <v>0.00600732028627488</v>
      </c>
      <c r="O180" s="29" t="n">
        <f aca="false">N180*(1-MIN(1,INDEX(Tabla_Mortalidad!$B$5:$B$75,MIN(71,Cartera_Polizas!$B$182+12-49))*(1+(Cartera_Polizas!$P$182-1)*MAX(0,1-12/Supuestos!$C$20))*(1-Supuestos!$C$18)^12))</f>
        <v>0.00342419182851218</v>
      </c>
      <c r="P180" s="29" t="n">
        <f aca="false">O180*(1-MIN(1,INDEX(Tabla_Mortalidad!$B$5:$B$75,MIN(71,Cartera_Polizas!$B$182+13-49))*(1+(Cartera_Polizas!$P$182-1)*MAX(0,1-13/Supuestos!$C$20))*(1-Supuestos!$C$18)^13))</f>
        <v>0.00193481993404515</v>
      </c>
      <c r="Q180" s="29" t="n">
        <f aca="false">P180*(1-MIN(1,INDEX(Tabla_Mortalidad!$B$5:$B$75,MIN(71,Cartera_Polizas!$B$182+14-49))*(1+(Cartera_Polizas!$P$182-1)*MAX(0,1-14/Supuestos!$C$20))*(1-Supuestos!$C$18)^14))</f>
        <v>0.00109008579912571</v>
      </c>
      <c r="R180" s="29" t="n">
        <f aca="false">Q180*(1-MIN(1,INDEX(Tabla_Mortalidad!$B$5:$B$75,MIN(71,Cartera_Polizas!$B$182+15-49))*(1+(Cartera_Polizas!$P$182-1)*MAX(0,1-15/Supuestos!$C$20))*(1-Supuestos!$C$18)^15))</f>
        <v>0.000616533287037623</v>
      </c>
      <c r="S180" s="29" t="n">
        <f aca="false">R180*(1-MIN(1,INDEX(Tabla_Mortalidad!$B$5:$B$75,MIN(71,Cartera_Polizas!$B$182+16-49))*(1+(Cartera_Polizas!$P$182-1)*MAX(0,1-16/Supuestos!$C$20))*(1-Supuestos!$C$18)^16))</f>
        <v>0.0003286131457824</v>
      </c>
      <c r="T180" s="29" t="n">
        <f aca="false">S180*(1-MIN(1,INDEX(Tabla_Mortalidad!$B$5:$B$75,MIN(71,Cartera_Polizas!$B$182+17-49))*(1+(Cartera_Polizas!$P$182-1)*MAX(0,1-17/Supuestos!$C$20))*(1-Supuestos!$C$18)^17))</f>
        <v>0.000164182125288082</v>
      </c>
      <c r="U180" s="29" t="n">
        <f aca="false">T180*(1-MIN(1,INDEX(Tabla_Mortalidad!$B$5:$B$75,MIN(71,Cartera_Polizas!$B$182+18-49))*(1+(Cartera_Polizas!$P$182-1)*MAX(0,1-18/Supuestos!$C$20))*(1-Supuestos!$C$18)^18))</f>
        <v>7.64676137225884E-005</v>
      </c>
      <c r="V180" s="29" t="n">
        <f aca="false">U180*(1-MIN(1,INDEX(Tabla_Mortalidad!$B$5:$B$75,MIN(71,Cartera_Polizas!$B$182+19-49))*(1+(Cartera_Polizas!$P$182-1)*MAX(0,1-19/Supuestos!$C$20))*(1-Supuestos!$C$18)^19))</f>
        <v>3.30144798261313E-005</v>
      </c>
      <c r="W180" s="29" t="n">
        <f aca="false">V180*(1-MIN(1,INDEX(Tabla_Mortalidad!$B$5:$B$75,MIN(71,Cartera_Polizas!$B$182+20-49))*(1+(Cartera_Polizas!$P$182-1)*MAX(0,1-20/Supuestos!$C$20))*(1-Supuestos!$C$18)^20))</f>
        <v>1.31405035796362E-005</v>
      </c>
      <c r="X180" s="29" t="n">
        <f aca="false">W180*(1-MIN(1,INDEX(Tabla_Mortalidad!$B$5:$B$75,MIN(71,Cartera_Polizas!$B$182+21-49))*(1+(Cartera_Polizas!$P$182-1)*MAX(0,1-21/Supuestos!$C$20))*(1-Supuestos!$C$18)^21))</f>
        <v>4.79672170079812E-006</v>
      </c>
      <c r="Y180" s="29" t="n">
        <f aca="false">X180*(1-MIN(1,INDEX(Tabla_Mortalidad!$B$5:$B$75,MIN(71,Cartera_Polizas!$B$182+22-49))*(1+(Cartera_Polizas!$P$182-1)*MAX(0,1-22/Supuestos!$C$20))*(1-Supuestos!$C$18)^22))</f>
        <v>1.59854528132643E-006</v>
      </c>
      <c r="Z180" s="29" t="n">
        <f aca="false">Y180*(1-MIN(1,INDEX(Tabla_Mortalidad!$B$5:$B$75,MIN(71,Cartera_Polizas!$B$182+23-49))*(1+(Cartera_Polizas!$P$182-1)*MAX(0,1-23/Supuestos!$C$20))*(1-Supuestos!$C$18)^23))</f>
        <v>4.84657477658129E-007</v>
      </c>
      <c r="AA180" s="29" t="n">
        <f aca="false">Z180*(1-MIN(1,INDEX(Tabla_Mortalidad!$B$5:$B$75,MIN(71,Cartera_Polizas!$B$182+24-49))*(1+(Cartera_Polizas!$P$182-1)*MAX(0,1-24/Supuestos!$C$20))*(1-Supuestos!$C$18)^24))</f>
        <v>1.33422746313702E-007</v>
      </c>
      <c r="AB180" s="29" t="n">
        <f aca="false">AA180*(1-MIN(1,INDEX(Tabla_Mortalidad!$B$5:$B$75,MIN(71,Cartera_Polizas!$B$182+25-49))*(1+(Cartera_Polizas!$P$182-1)*MAX(0,1-25/Supuestos!$C$20))*(1-Supuestos!$C$18)^25))</f>
        <v>3.33571993476154E-008</v>
      </c>
      <c r="AC180" s="29" t="n">
        <f aca="false">AB180*(1-MIN(1,INDEX(Tabla_Mortalidad!$B$5:$B$75,MIN(71,Cartera_Polizas!$B$182+26-49))*(1+(Cartera_Polizas!$P$182-1)*MAX(0,1-26/Supuestos!$C$20))*(1-Supuestos!$C$18)^26))</f>
        <v>7.59566873715524E-009</v>
      </c>
      <c r="AD180" s="29" t="n">
        <f aca="false">AC180*(1-MIN(1,INDEX(Tabla_Mortalidad!$B$5:$B$75,MIN(71,Cartera_Polizas!$B$182+27-49))*(1+(Cartera_Polizas!$P$182-1)*MAX(0,1-27/Supuestos!$C$20))*(1-Supuestos!$C$18)^27))</f>
        <v>1.58479609603555E-009</v>
      </c>
      <c r="AE180" s="29" t="n">
        <f aca="false">AD180*(1-MIN(1,INDEX(Tabla_Mortalidad!$B$5:$B$75,MIN(71,Cartera_Polizas!$B$182+28-49))*(1+(Cartera_Polizas!$P$182-1)*MAX(0,1-28/Supuestos!$C$20))*(1-Supuestos!$C$18)^28))</f>
        <v>3.05818812155382E-010</v>
      </c>
      <c r="AF180" s="29" t="n">
        <f aca="false">AE180*(1-MIN(1,INDEX(Tabla_Mortalidad!$B$5:$B$75,MIN(71,Cartera_Polizas!$B$182+29-49))*(1+(Cartera_Polizas!$P$182-1)*MAX(0,1-29/Supuestos!$C$20))*(1-Supuestos!$C$18)^29))</f>
        <v>5.52592831859531E-011</v>
      </c>
      <c r="AG180" s="29" t="n">
        <f aca="false">AF180*(1-MIN(1,INDEX(Tabla_Mortalidad!$B$5:$B$75,MIN(71,Cartera_Polizas!$B$182+30-49))*(1+(Cartera_Polizas!$P$182-1)*MAX(0,1-30/Supuestos!$C$20))*(1-Supuestos!$C$18)^30))</f>
        <v>7.71506947622149E-012</v>
      </c>
      <c r="AH180" s="29" t="n">
        <f aca="false">AG180*(1-MIN(1,INDEX(Tabla_Mortalidad!$B$5:$B$75,MIN(71,Cartera_Polizas!$B$182+31-49))*(1+(Cartera_Polizas!$P$182-1)*MAX(0,1-31/Supuestos!$C$20))*(1-Supuestos!$C$18)^31))</f>
        <v>1.11033527844125E-012</v>
      </c>
      <c r="AI180" s="29" t="n">
        <f aca="false">AH180*(1-MIN(1,INDEX(Tabla_Mortalidad!$B$5:$B$75,MIN(71,Cartera_Polizas!$B$182+32-49))*(1+(Cartera_Polizas!$P$182-1)*MAX(0,1-32/Supuestos!$C$20))*(1-Supuestos!$C$18)^32))</f>
        <v>1.64549623485124E-013</v>
      </c>
      <c r="AJ180" s="29" t="n">
        <f aca="false">AI180*(1-MIN(1,INDEX(Tabla_Mortalidad!$B$5:$B$75,MIN(71,Cartera_Polizas!$B$182+33-49))*(1+(Cartera_Polizas!$P$182-1)*MAX(0,1-33/Supuestos!$C$20))*(1-Supuestos!$C$18)^33))</f>
        <v>2.50867665803643E-014</v>
      </c>
      <c r="AK180" s="29" t="n">
        <f aca="false">AJ180*(1-MIN(1,INDEX(Tabla_Mortalidad!$B$5:$B$75,MIN(71,Cartera_Polizas!$B$182+34-49))*(1+(Cartera_Polizas!$P$182-1)*MAX(0,1-34/Supuestos!$C$20))*(1-Supuestos!$C$18)^34))</f>
        <v>3.93096747623468E-015</v>
      </c>
      <c r="AL180" s="29" t="n">
        <f aca="false">AK180*(1-MIN(1,INDEX(Tabla_Mortalidad!$B$5:$B$75,MIN(71,Cartera_Polizas!$B$182+35-49))*(1+(Cartera_Polizas!$P$182-1)*MAX(0,1-35/Supuestos!$C$20))*(1-Supuestos!$C$18)^35))</f>
        <v>6.3253743918898E-016</v>
      </c>
      <c r="AM180" s="29" t="n">
        <f aca="false">AL180*(1-MIN(1,INDEX(Tabla_Mortalidad!$B$5:$B$75,MIN(71,Cartera_Polizas!$B$182+36-49))*(1+(Cartera_Polizas!$P$182-1)*MAX(0,1-36/Supuestos!$C$20))*(1-Supuestos!$C$18)^36))</f>
        <v>1.04436253136816E-016</v>
      </c>
      <c r="AN180" s="29" t="n">
        <f aca="false">AM180*(1-MIN(1,INDEX(Tabla_Mortalidad!$B$5:$B$75,MIN(71,Cartera_Polizas!$B$182+37-49))*(1+(Cartera_Polizas!$P$182-1)*MAX(0,1-37/Supuestos!$C$20))*(1-Supuestos!$C$18)^37))</f>
        <v>1.76791045433409E-017</v>
      </c>
      <c r="AO180" s="29" t="n">
        <f aca="false">AN180*(1-MIN(1,INDEX(Tabla_Mortalidad!$B$5:$B$75,MIN(71,Cartera_Polizas!$B$182+38-49))*(1+(Cartera_Polizas!$P$182-1)*MAX(0,1-38/Supuestos!$C$20))*(1-Supuestos!$C$18)^38))</f>
        <v>3.06617358757793E-018</v>
      </c>
      <c r="AP180" s="29" t="n">
        <f aca="false">AO180*(1-MIN(1,INDEX(Tabla_Mortalidad!$B$5:$B$75,MIN(71,Cartera_Polizas!$B$182+39-49))*(1+(Cartera_Polizas!$P$182-1)*MAX(0,1-39/Supuestos!$C$20))*(1-Supuestos!$C$18)^39))</f>
        <v>5.44453445604766E-019</v>
      </c>
      <c r="AQ180" s="29" t="n">
        <f aca="false">AP180*(1-MIN(1,INDEX(Tabla_Mortalidad!$B$5:$B$75,MIN(71,Cartera_Polizas!$B$182+40-49))*(1+(Cartera_Polizas!$P$182-1)*MAX(0,1-40/Supuestos!$C$20))*(1-Supuestos!$C$18)^40))</f>
        <v>9.89162361062619E-020</v>
      </c>
      <c r="AR180" s="29" t="n">
        <f aca="false">AQ180*(1-MIN(1,INDEX(Tabla_Mortalidad!$B$5:$B$75,MIN(71,Cartera_Polizas!$B$182+41-49))*(1+(Cartera_Polizas!$P$182-1)*MAX(0,1-41/Supuestos!$C$20))*(1-Supuestos!$C$18)^41))</f>
        <v>1.83758155361862E-020</v>
      </c>
      <c r="AS180" s="29" t="n">
        <f aca="false">AR180*(1-MIN(1,INDEX(Tabla_Mortalidad!$B$5:$B$75,MIN(71,Cartera_Polizas!$B$182+42-49))*(1+(Cartera_Polizas!$P$182-1)*MAX(0,1-42/Supuestos!$C$20))*(1-Supuestos!$C$18)^42))</f>
        <v>3.48851300616875E-021</v>
      </c>
      <c r="AT180" s="29" t="n">
        <f aca="false">AS180*(1-MIN(1,INDEX(Tabla_Mortalidad!$B$5:$B$75,MIN(71,Cartera_Polizas!$B$182+43-49))*(1+(Cartera_Polizas!$P$182-1)*MAX(0,1-43/Supuestos!$C$20))*(1-Supuestos!$C$18)^43))</f>
        <v>6.76399679363666E-022</v>
      </c>
      <c r="AU180" s="29" t="n">
        <f aca="false">AT180*(1-MIN(1,INDEX(Tabla_Mortalidad!$B$5:$B$75,MIN(71,Cartera_Polizas!$B$182+44-49))*(1+(Cartera_Polizas!$P$182-1)*MAX(0,1-44/Supuestos!$C$20))*(1-Supuestos!$C$18)^44))</f>
        <v>1.33875690926292E-022</v>
      </c>
    </row>
    <row r="181" customFormat="false" ht="15" hidden="false" customHeight="false" outlineLevel="0" collapsed="false">
      <c r="A181" s="14" t="n">
        <f aca="false">Cartera_Polizas!A183</f>
        <v>178</v>
      </c>
      <c r="B181" s="26" t="n">
        <f aca="false">SUM(C181:AU181)+0.5</f>
        <v>7.98763156449242</v>
      </c>
      <c r="C181" s="29" t="n">
        <f aca="false">1-MIN(1,INDEX(Tabla_Mortalidad!$B$5:$B$75,MIN(71,Cartera_Polizas!$B$183+0-49))*(1+(Cartera_Polizas!$P$183-1)*MAX(0,1-0/Supuestos!$C$20))*(1-Supuestos!$C$18)^0)</f>
        <v>0.921409939</v>
      </c>
      <c r="D181" s="29" t="n">
        <f aca="false">C181*(1-MIN(1,INDEX(Tabla_Mortalidad!$B$5:$B$75,MIN(71,Cartera_Polizas!$B$183+1-49))*(1+(Cartera_Polizas!$P$183-1)*MAX(0,1-1/Supuestos!$C$20))*(1-Supuestos!$C$18)^1))</f>
        <v>0.843823932443802</v>
      </c>
      <c r="E181" s="29" t="n">
        <f aca="false">D181*(1-MIN(1,INDEX(Tabla_Mortalidad!$B$5:$B$75,MIN(71,Cartera_Polizas!$B$183+2-49))*(1+(Cartera_Polizas!$P$183-1)*MAX(0,1-2/Supuestos!$C$20))*(1-Supuestos!$C$18)^2))</f>
        <v>0.767804108532261</v>
      </c>
      <c r="F181" s="29" t="n">
        <f aca="false">E181*(1-MIN(1,INDEX(Tabla_Mortalidad!$B$5:$B$75,MIN(71,Cartera_Polizas!$B$183+3-49))*(1+(Cartera_Polizas!$P$183-1)*MAX(0,1-3/Supuestos!$C$20))*(1-Supuestos!$C$18)^3))</f>
        <v>0.693911731782448</v>
      </c>
      <c r="G181" s="29" t="n">
        <f aca="false">F181*(1-MIN(1,INDEX(Tabla_Mortalidad!$B$5:$B$75,MIN(71,Cartera_Polizas!$B$183+4-49))*(1+(Cartera_Polizas!$P$183-1)*MAX(0,1-4/Supuestos!$C$20))*(1-Supuestos!$C$18)^4))</f>
        <v>0.622693967147969</v>
      </c>
      <c r="H181" s="29" t="n">
        <f aca="false">G181*(1-MIN(1,INDEX(Tabla_Mortalidad!$B$5:$B$75,MIN(71,Cartera_Polizas!$B$183+5-49))*(1+(Cartera_Polizas!$P$183-1)*MAX(0,1-5/Supuestos!$C$20))*(1-Supuestos!$C$18)^5))</f>
        <v>0.55466438375494</v>
      </c>
      <c r="I181" s="29" t="n">
        <f aca="false">H181*(1-MIN(1,INDEX(Tabla_Mortalidad!$B$5:$B$75,MIN(71,Cartera_Polizas!$B$183+6-49))*(1+(Cartera_Polizas!$P$183-1)*MAX(0,1-6/Supuestos!$C$20))*(1-Supuestos!$C$18)^6))</f>
        <v>0.490286530766524</v>
      </c>
      <c r="J181" s="29" t="n">
        <f aca="false">I181*(1-MIN(1,INDEX(Tabla_Mortalidad!$B$5:$B$75,MIN(71,Cartera_Polizas!$B$183+7-49))*(1+(Cartera_Polizas!$P$183-1)*MAX(0,1-7/Supuestos!$C$20))*(1-Supuestos!$C$18)^7))</f>
        <v>0.429962619872507</v>
      </c>
      <c r="K181" s="29" t="n">
        <f aca="false">J181*(1-MIN(1,INDEX(Tabla_Mortalidad!$B$5:$B$75,MIN(71,Cartera_Polizas!$B$183+8-49))*(1+(Cartera_Polizas!$P$183-1)*MAX(0,1-8/Supuestos!$C$20))*(1-Supuestos!$C$18)^8))</f>
        <v>0.374014762213131</v>
      </c>
      <c r="L181" s="29" t="n">
        <f aca="false">K181*(1-MIN(1,INDEX(Tabla_Mortalidad!$B$5:$B$75,MIN(71,Cartera_Polizas!$B$183+9-49))*(1+(Cartera_Polizas!$P$183-1)*MAX(0,1-9/Supuestos!$C$20))*(1-Supuestos!$C$18)^9))</f>
        <v>0.322678904321624</v>
      </c>
      <c r="M181" s="29" t="n">
        <f aca="false">L181*(1-MIN(1,INDEX(Tabla_Mortalidad!$B$5:$B$75,MIN(71,Cartera_Polizas!$B$183+10-49))*(1+(Cartera_Polizas!$P$183-1)*MAX(0,1-10/Supuestos!$C$20))*(1-Supuestos!$C$18)^10))</f>
        <v>0.27609434886104</v>
      </c>
      <c r="N181" s="29" t="n">
        <f aca="false">M181*(1-MIN(1,INDEX(Tabla_Mortalidad!$B$5:$B$75,MIN(71,Cartera_Polizas!$B$183+11-49))*(1+(Cartera_Polizas!$P$183-1)*MAX(0,1-11/Supuestos!$C$20))*(1-Supuestos!$C$18)^11))</f>
        <v>0.234301769318704</v>
      </c>
      <c r="O181" s="29" t="n">
        <f aca="false">N181*(1-MIN(1,INDEX(Tabla_Mortalidad!$B$5:$B$75,MIN(71,Cartera_Polizas!$B$183+12-49))*(1+(Cartera_Polizas!$P$183-1)*MAX(0,1-12/Supuestos!$C$20))*(1-Supuestos!$C$18)^12))</f>
        <v>0.197244655403762</v>
      </c>
      <c r="P181" s="29" t="n">
        <f aca="false">O181*(1-MIN(1,INDEX(Tabla_Mortalidad!$B$5:$B$75,MIN(71,Cartera_Polizas!$B$183+13-49))*(1+(Cartera_Polizas!$P$183-1)*MAX(0,1-13/Supuestos!$C$20))*(1-Supuestos!$C$18)^13))</f>
        <v>0.164775741992086</v>
      </c>
      <c r="Q181" s="29" t="n">
        <f aca="false">P181*(1-MIN(1,INDEX(Tabla_Mortalidad!$B$5:$B$75,MIN(71,Cartera_Polizas!$B$183+14-49))*(1+(Cartera_Polizas!$P$183-1)*MAX(0,1-14/Supuestos!$C$20))*(1-Supuestos!$C$18)^14))</f>
        <v>0.136667459212026</v>
      </c>
      <c r="R181" s="29" t="n">
        <f aca="false">Q181*(1-MIN(1,INDEX(Tabla_Mortalidad!$B$5:$B$75,MIN(71,Cartera_Polizas!$B$183+15-49))*(1+(Cartera_Polizas!$P$183-1)*MAX(0,1-15/Supuestos!$C$20))*(1-Supuestos!$C$18)^15))</f>
        <v>0.112625560747671</v>
      </c>
      <c r="S181" s="29" t="n">
        <f aca="false">R181*(1-MIN(1,INDEX(Tabla_Mortalidad!$B$5:$B$75,MIN(71,Cartera_Polizas!$B$183+16-49))*(1+(Cartera_Polizas!$P$183-1)*MAX(0,1-16/Supuestos!$C$20))*(1-Supuestos!$C$18)^16))</f>
        <v>0.0908773272963054</v>
      </c>
      <c r="T181" s="29" t="n">
        <f aca="false">S181*(1-MIN(1,INDEX(Tabla_Mortalidad!$B$5:$B$75,MIN(71,Cartera_Polizas!$B$183+17-49))*(1+(Cartera_Polizas!$P$183-1)*MAX(0,1-17/Supuestos!$C$20))*(1-Supuestos!$C$18)^17))</f>
        <v>0.0716395609554662</v>
      </c>
      <c r="U181" s="29" t="n">
        <f aca="false">T181*(1-MIN(1,INDEX(Tabla_Mortalidad!$B$5:$B$75,MIN(71,Cartera_Polizas!$B$183+18-49))*(1+(Cartera_Polizas!$P$183-1)*MAX(0,1-18/Supuestos!$C$20))*(1-Supuestos!$C$18)^18))</f>
        <v>0.0550384766323086</v>
      </c>
      <c r="V181" s="29" t="n">
        <f aca="false">U181*(1-MIN(1,INDEX(Tabla_Mortalidad!$B$5:$B$75,MIN(71,Cartera_Polizas!$B$183+19-49))*(1+(Cartera_Polizas!$P$183-1)*MAX(0,1-19/Supuestos!$C$20))*(1-Supuestos!$C$18)^19))</f>
        <v>0.0410991805726206</v>
      </c>
      <c r="W181" s="29" t="n">
        <f aca="false">V181*(1-MIN(1,INDEX(Tabla_Mortalidad!$B$5:$B$75,MIN(71,Cartera_Polizas!$B$183+20-49))*(1+(Cartera_Polizas!$P$183-1)*MAX(0,1-20/Supuestos!$C$20))*(1-Supuestos!$C$18)^20))</f>
        <v>0.0297430059024641</v>
      </c>
      <c r="X181" s="29" t="n">
        <f aca="false">W181*(1-MIN(1,INDEX(Tabla_Mortalidad!$B$5:$B$75,MIN(71,Cartera_Polizas!$B$183+21-49))*(1+(Cartera_Polizas!$P$183-1)*MAX(0,1-21/Supuestos!$C$20))*(1-Supuestos!$C$18)^21))</f>
        <v>0.0207941615528213</v>
      </c>
      <c r="Y181" s="29" t="n">
        <f aca="false">X181*(1-MIN(1,INDEX(Tabla_Mortalidad!$B$5:$B$75,MIN(71,Cartera_Polizas!$B$183+22-49))*(1+(Cartera_Polizas!$P$183-1)*MAX(0,1-22/Supuestos!$C$20))*(1-Supuestos!$C$18)^22))</f>
        <v>0.0139961777094203</v>
      </c>
      <c r="Z181" s="29" t="n">
        <f aca="false">Y181*(1-MIN(1,INDEX(Tabla_Mortalidad!$B$5:$B$75,MIN(71,Cartera_Polizas!$B$183+23-49))*(1+(Cartera_Polizas!$P$183-1)*MAX(0,1-23/Supuestos!$C$20))*(1-Supuestos!$C$18)^23))</f>
        <v>0.00903607766637172</v>
      </c>
      <c r="AA181" s="29" t="n">
        <f aca="false">Z181*(1-MIN(1,INDEX(Tabla_Mortalidad!$B$5:$B$75,MIN(71,Cartera_Polizas!$B$183+24-49))*(1+(Cartera_Polizas!$P$183-1)*MAX(0,1-24/Supuestos!$C$20))*(1-Supuestos!$C$18)^24))</f>
        <v>0.00557353974414452</v>
      </c>
      <c r="AB181" s="29" t="n">
        <f aca="false">AA181*(1-MIN(1,INDEX(Tabla_Mortalidad!$B$5:$B$75,MIN(71,Cartera_Polizas!$B$183+25-49))*(1+(Cartera_Polizas!$P$183-1)*MAX(0,1-25/Supuestos!$C$20))*(1-Supuestos!$C$18)^25))</f>
        <v>0.00327067000689214</v>
      </c>
      <c r="AC181" s="29" t="n">
        <f aca="false">AB181*(1-MIN(1,INDEX(Tabla_Mortalidad!$B$5:$B$75,MIN(71,Cartera_Polizas!$B$183+26-49))*(1+(Cartera_Polizas!$P$183-1)*MAX(0,1-26/Supuestos!$C$20))*(1-Supuestos!$C$18)^26))</f>
        <v>0.00181794620199977</v>
      </c>
      <c r="AD181" s="29" t="n">
        <f aca="false">AC181*(1-MIN(1,INDEX(Tabla_Mortalidad!$B$5:$B$75,MIN(71,Cartera_Polizas!$B$183+27-49))*(1+(Cartera_Polizas!$P$183-1)*MAX(0,1-27/Supuestos!$C$20))*(1-Supuestos!$C$18)^27))</f>
        <v>0.000952757870129908</v>
      </c>
      <c r="AE181" s="29" t="n">
        <f aca="false">AD181*(1-MIN(1,INDEX(Tabla_Mortalidad!$B$5:$B$75,MIN(71,Cartera_Polizas!$B$183+28-49))*(1+(Cartera_Polizas!$P$183-1)*MAX(0,1-28/Supuestos!$C$20))*(1-Supuestos!$C$18)^28))</f>
        <v>0.000468631288819107</v>
      </c>
      <c r="AF181" s="29" t="n">
        <f aca="false">AE181*(1-MIN(1,INDEX(Tabla_Mortalidad!$B$5:$B$75,MIN(71,Cartera_Polizas!$B$183+29-49))*(1+(Cartera_Polizas!$P$183-1)*MAX(0,1-29/Supuestos!$C$20))*(1-Supuestos!$C$18)^29))</f>
        <v>0.000215348514179253</v>
      </c>
      <c r="AG181" s="29" t="n">
        <f aca="false">AF181*(1-MIN(1,INDEX(Tabla_Mortalidad!$B$5:$B$75,MIN(71,Cartera_Polizas!$B$183+30-49))*(1+(Cartera_Polizas!$P$183-1)*MAX(0,1-30/Supuestos!$C$20))*(1-Supuestos!$C$18)^30))</f>
        <v>9.20513765219799E-005</v>
      </c>
      <c r="AH181" s="29" t="n">
        <f aca="false">AG181*(1-MIN(1,INDEX(Tabla_Mortalidad!$B$5:$B$75,MIN(71,Cartera_Polizas!$B$183+31-49))*(1+(Cartera_Polizas!$P$183-1)*MAX(0,1-31/Supuestos!$C$20))*(1-Supuestos!$C$18)^31))</f>
        <v>3.64594111462995E-005</v>
      </c>
      <c r="AI181" s="29" t="n">
        <f aca="false">AH181*(1-MIN(1,INDEX(Tabla_Mortalidad!$B$5:$B$75,MIN(71,Cartera_Polizas!$B$183+32-49))*(1+(Cartera_Polizas!$P$183-1)*MAX(0,1-32/Supuestos!$C$20))*(1-Supuestos!$C$18)^32))</f>
        <v>1.33388509585701E-005</v>
      </c>
      <c r="AJ181" s="29" t="n">
        <f aca="false">AI181*(1-MIN(1,INDEX(Tabla_Mortalidad!$B$5:$B$75,MIN(71,Cartera_Polizas!$B$183+33-49))*(1+(Cartera_Polizas!$P$183-1)*MAX(0,1-33/Supuestos!$C$20))*(1-Supuestos!$C$18)^33))</f>
        <v>4.49857680873863E-006</v>
      </c>
      <c r="AK181" s="29" t="n">
        <f aca="false">AJ181*(1-MIN(1,INDEX(Tabla_Mortalidad!$B$5:$B$75,MIN(71,Cartera_Polizas!$B$183+34-49))*(1+(Cartera_Polizas!$P$183-1)*MAX(0,1-34/Supuestos!$C$20))*(1-Supuestos!$C$18)^34))</f>
        <v>1.39781444758685E-006</v>
      </c>
      <c r="AL181" s="29" t="n">
        <f aca="false">AK181*(1-MIN(1,INDEX(Tabla_Mortalidad!$B$5:$B$75,MIN(71,Cartera_Polizas!$B$183+35-49))*(1+(Cartera_Polizas!$P$183-1)*MAX(0,1-35/Supuestos!$C$20))*(1-Supuestos!$C$18)^35))</f>
        <v>4.00722910191542E-007</v>
      </c>
      <c r="AM181" s="29" t="n">
        <f aca="false">AL181*(1-MIN(1,INDEX(Tabla_Mortalidad!$B$5:$B$75,MIN(71,Cartera_Polizas!$B$183+36-49))*(1+(Cartera_Polizas!$P$183-1)*MAX(0,1-36/Supuestos!$C$20))*(1-Supuestos!$C$18)^36))</f>
        <v>1.06377639256608E-007</v>
      </c>
      <c r="AN181" s="29" t="n">
        <f aca="false">AM181*(1-MIN(1,INDEX(Tabla_Mortalidad!$B$5:$B$75,MIN(71,Cartera_Polizas!$B$183+37-49))*(1+(Cartera_Polizas!$P$183-1)*MAX(0,1-37/Supuestos!$C$20))*(1-Supuestos!$C$18)^37))</f>
        <v>2.63108034399595E-008</v>
      </c>
      <c r="AO181" s="29" t="n">
        <f aca="false">AN181*(1-MIN(1,INDEX(Tabla_Mortalidad!$B$5:$B$75,MIN(71,Cartera_Polizas!$B$183+38-49))*(1+(Cartera_Polizas!$P$183-1)*MAX(0,1-38/Supuestos!$C$20))*(1-Supuestos!$C$18)^38))</f>
        <v>6.1153152533114E-009</v>
      </c>
      <c r="AP181" s="29" t="n">
        <f aca="false">AO181*(1-MIN(1,INDEX(Tabla_Mortalidad!$B$5:$B$75,MIN(71,Cartera_Polizas!$B$183+39-49))*(1+(Cartera_Polizas!$P$183-1)*MAX(0,1-39/Supuestos!$C$20))*(1-Supuestos!$C$18)^39))</f>
        <v>1.34994790523604E-009</v>
      </c>
      <c r="AQ181" s="29" t="n">
        <f aca="false">AP181*(1-MIN(1,INDEX(Tabla_Mortalidad!$B$5:$B$75,MIN(71,Cartera_Polizas!$B$183+40-49))*(1+(Cartera_Polizas!$P$183-1)*MAX(0,1-40/Supuestos!$C$20))*(1-Supuestos!$C$18)^40))</f>
        <v>2.45258372048978E-010</v>
      </c>
      <c r="AR181" s="29" t="n">
        <f aca="false">AQ181*(1-MIN(1,INDEX(Tabla_Mortalidad!$B$5:$B$75,MIN(71,Cartera_Polizas!$B$183+41-49))*(1+(Cartera_Polizas!$P$183-1)*MAX(0,1-41/Supuestos!$C$20))*(1-Supuestos!$C$18)^41))</f>
        <v>4.5562010655519E-011</v>
      </c>
      <c r="AS181" s="29" t="n">
        <f aca="false">AR181*(1-MIN(1,INDEX(Tabla_Mortalidad!$B$5:$B$75,MIN(71,Cartera_Polizas!$B$183+42-49))*(1+(Cartera_Polizas!$P$183-1)*MAX(0,1-42/Supuestos!$C$20))*(1-Supuestos!$C$18)^42))</f>
        <v>8.64961157484309E-012</v>
      </c>
      <c r="AT181" s="29" t="n">
        <f aca="false">AS181*(1-MIN(1,INDEX(Tabla_Mortalidad!$B$5:$B$75,MIN(71,Cartera_Polizas!$B$183+43-49))*(1+(Cartera_Polizas!$P$183-1)*MAX(0,1-43/Supuestos!$C$20))*(1-Supuestos!$C$18)^43))</f>
        <v>1.67710267540883E-012</v>
      </c>
      <c r="AU181" s="29" t="n">
        <f aca="false">AT181*(1-MIN(1,INDEX(Tabla_Mortalidad!$B$5:$B$75,MIN(71,Cartera_Polizas!$B$183+44-49))*(1+(Cartera_Polizas!$P$183-1)*MAX(0,1-44/Supuestos!$C$20))*(1-Supuestos!$C$18)^44))</f>
        <v>3.31938772703018E-013</v>
      </c>
    </row>
    <row r="182" customFormat="false" ht="15" hidden="false" customHeight="false" outlineLevel="0" collapsed="false">
      <c r="A182" s="14" t="n">
        <f aca="false">Cartera_Polizas!A184</f>
        <v>179</v>
      </c>
      <c r="B182" s="26" t="n">
        <f aca="false">SUM(C182:AU182)+0.5</f>
        <v>3.81562477404585</v>
      </c>
      <c r="C182" s="29" t="n">
        <f aca="false">1-MIN(1,INDEX(Tabla_Mortalidad!$B$5:$B$75,MIN(71,Cartera_Polizas!$B$184+0-49))*(1+(Cartera_Polizas!$P$184-1)*MAX(0,1-0/Supuestos!$C$20))*(1-Supuestos!$C$18)^0)</f>
        <v>0.797896525</v>
      </c>
      <c r="D182" s="29" t="n">
        <f aca="false">C182*(1-MIN(1,INDEX(Tabla_Mortalidad!$B$5:$B$75,MIN(71,Cartera_Polizas!$B$184+1-49))*(1+(Cartera_Polizas!$P$184-1)*MAX(0,1-1/Supuestos!$C$20))*(1-Supuestos!$C$18)^1))</f>
        <v>0.627753496963431</v>
      </c>
      <c r="E182" s="29" t="n">
        <f aca="false">D182*(1-MIN(1,INDEX(Tabla_Mortalidad!$B$5:$B$75,MIN(71,Cartera_Polizas!$B$184+2-49))*(1+(Cartera_Polizas!$P$184-1)*MAX(0,1-2/Supuestos!$C$20))*(1-Supuestos!$C$18)^2))</f>
        <v>0.486909519727111</v>
      </c>
      <c r="F182" s="29" t="n">
        <f aca="false">E182*(1-MIN(1,INDEX(Tabla_Mortalidad!$B$5:$B$75,MIN(71,Cartera_Polizas!$B$184+3-49))*(1+(Cartera_Polizas!$P$184-1)*MAX(0,1-3/Supuestos!$C$20))*(1-Supuestos!$C$18)^3))</f>
        <v>0.372326352342142</v>
      </c>
      <c r="G182" s="29" t="n">
        <f aca="false">F182*(1-MIN(1,INDEX(Tabla_Mortalidad!$B$5:$B$75,MIN(71,Cartera_Polizas!$B$184+4-49))*(1+(Cartera_Polizas!$P$184-1)*MAX(0,1-4/Supuestos!$C$20))*(1-Supuestos!$C$18)^4))</f>
        <v>0.280740503633595</v>
      </c>
      <c r="H182" s="29" t="n">
        <f aca="false">G182*(1-MIN(1,INDEX(Tabla_Mortalidad!$B$5:$B$75,MIN(71,Cartera_Polizas!$B$184+5-49))*(1+(Cartera_Polizas!$P$184-1)*MAX(0,1-5/Supuestos!$C$20))*(1-Supuestos!$C$18)^5))</f>
        <v>0.208835364025726</v>
      </c>
      <c r="I182" s="29" t="n">
        <f aca="false">H182*(1-MIN(1,INDEX(Tabla_Mortalidad!$B$5:$B$75,MIN(71,Cartera_Polizas!$B$184+6-49))*(1+(Cartera_Polizas!$P$184-1)*MAX(0,1-6/Supuestos!$C$20))*(1-Supuestos!$C$18)^6))</f>
        <v>0.153382106710748</v>
      </c>
      <c r="J182" s="29" t="n">
        <f aca="false">I182*(1-MIN(1,INDEX(Tabla_Mortalidad!$B$5:$B$75,MIN(71,Cartera_Polizas!$B$184+7-49))*(1+(Cartera_Polizas!$P$184-1)*MAX(0,1-7/Supuestos!$C$20))*(1-Supuestos!$C$18)^7))</f>
        <v>0.111363903137343</v>
      </c>
      <c r="K182" s="29" t="n">
        <f aca="false">J182*(1-MIN(1,INDEX(Tabla_Mortalidad!$B$5:$B$75,MIN(71,Cartera_Polizas!$B$184+8-49))*(1+(Cartera_Polizas!$P$184-1)*MAX(0,1-8/Supuestos!$C$20))*(1-Supuestos!$C$18)^8))</f>
        <v>0.0800653851498488</v>
      </c>
      <c r="L182" s="29" t="n">
        <f aca="false">K182*(1-MIN(1,INDEX(Tabla_Mortalidad!$B$5:$B$75,MIN(71,Cartera_Polizas!$B$184+9-49))*(1+(Cartera_Polizas!$P$184-1)*MAX(0,1-9/Supuestos!$C$20))*(1-Supuestos!$C$18)^9))</f>
        <v>0.0571273549878969</v>
      </c>
      <c r="M182" s="29" t="n">
        <f aca="false">L182*(1-MIN(1,INDEX(Tabla_Mortalidad!$B$5:$B$75,MIN(71,Cartera_Polizas!$B$184+10-49))*(1+(Cartera_Polizas!$P$184-1)*MAX(0,1-10/Supuestos!$C$20))*(1-Supuestos!$C$18)^10))</f>
        <v>0.0405675116724617</v>
      </c>
      <c r="N182" s="29" t="n">
        <f aca="false">M182*(1-MIN(1,INDEX(Tabla_Mortalidad!$B$5:$B$75,MIN(71,Cartera_Polizas!$B$184+11-49))*(1+(Cartera_Polizas!$P$184-1)*MAX(0,1-11/Supuestos!$C$20))*(1-Supuestos!$C$18)^11))</f>
        <v>0.0287723282313514</v>
      </c>
      <c r="O182" s="29" t="n">
        <f aca="false">N182*(1-MIN(1,INDEX(Tabla_Mortalidad!$B$5:$B$75,MIN(71,Cartera_Polizas!$B$184+12-49))*(1+(Cartera_Polizas!$P$184-1)*MAX(0,1-12/Supuestos!$C$20))*(1-Supuestos!$C$18)^12))</f>
        <v>0.0204679460550864</v>
      </c>
      <c r="P182" s="29" t="n">
        <f aca="false">O182*(1-MIN(1,INDEX(Tabla_Mortalidad!$B$5:$B$75,MIN(71,Cartera_Polizas!$B$184+13-49))*(1+(Cartera_Polizas!$P$184-1)*MAX(0,1-13/Supuestos!$C$20))*(1-Supuestos!$C$18)^13))</f>
        <v>0.0146769624425047</v>
      </c>
      <c r="Q182" s="29" t="n">
        <f aca="false">P182*(1-MIN(1,INDEX(Tabla_Mortalidad!$B$5:$B$75,MIN(71,Cartera_Polizas!$B$184+14-49))*(1+(Cartera_Polizas!$P$184-1)*MAX(0,1-14/Supuestos!$C$20))*(1-Supuestos!$C$18)^14))</f>
        <v>0.0106691315910182</v>
      </c>
      <c r="R182" s="29" t="n">
        <f aca="false">Q182*(1-MIN(1,INDEX(Tabla_Mortalidad!$B$5:$B$75,MIN(71,Cartera_Polizas!$B$184+15-49))*(1+(Cartera_Polizas!$P$184-1)*MAX(0,1-15/Supuestos!$C$20))*(1-Supuestos!$C$18)^15))</f>
        <v>0.00791229397420878</v>
      </c>
      <c r="S182" s="29" t="n">
        <f aca="false">R182*(1-MIN(1,INDEX(Tabla_Mortalidad!$B$5:$B$75,MIN(71,Cartera_Polizas!$B$184+16-49))*(1+(Cartera_Polizas!$P$184-1)*MAX(0,1-16/Supuestos!$C$20))*(1-Supuestos!$C$18)^16))</f>
        <v>0.00568175923004317</v>
      </c>
      <c r="T182" s="29" t="n">
        <f aca="false">S182*(1-MIN(1,INDEX(Tabla_Mortalidad!$B$5:$B$75,MIN(71,Cartera_Polizas!$B$184+17-49))*(1+(Cartera_Polizas!$P$184-1)*MAX(0,1-17/Supuestos!$C$20))*(1-Supuestos!$C$18)^17))</f>
        <v>0.00393765433827642</v>
      </c>
      <c r="U182" s="29" t="n">
        <f aca="false">T182*(1-MIN(1,INDEX(Tabla_Mortalidad!$B$5:$B$75,MIN(71,Cartera_Polizas!$B$184+18-49))*(1+(Cartera_Polizas!$P$184-1)*MAX(0,1-18/Supuestos!$C$20))*(1-Supuestos!$C$18)^18))</f>
        <v>0.00262429374651756</v>
      </c>
      <c r="V182" s="29" t="n">
        <f aca="false">U182*(1-MIN(1,INDEX(Tabla_Mortalidad!$B$5:$B$75,MIN(71,Cartera_Polizas!$B$184+19-49))*(1+(Cartera_Polizas!$P$184-1)*MAX(0,1-19/Supuestos!$C$20))*(1-Supuestos!$C$18)^19))</f>
        <v>0.00167543599334301</v>
      </c>
      <c r="W182" s="29" t="n">
        <f aca="false">V182*(1-MIN(1,INDEX(Tabla_Mortalidad!$B$5:$B$75,MIN(71,Cartera_Polizas!$B$184+20-49))*(1+(Cartera_Polizas!$P$184-1)*MAX(0,1-20/Supuestos!$C$20))*(1-Supuestos!$C$18)^20))</f>
        <v>0.0010204227186399</v>
      </c>
      <c r="X182" s="29" t="n">
        <f aca="false">W182*(1-MIN(1,INDEX(Tabla_Mortalidad!$B$5:$B$75,MIN(71,Cartera_Polizas!$B$184+21-49))*(1+(Cartera_Polizas!$P$184-1)*MAX(0,1-21/Supuestos!$C$20))*(1-Supuestos!$C$18)^21))</f>
        <v>0.000590266637998687</v>
      </c>
      <c r="Y182" s="29" t="n">
        <f aca="false">X182*(1-MIN(1,INDEX(Tabla_Mortalidad!$B$5:$B$75,MIN(71,Cartera_Polizas!$B$184+22-49))*(1+(Cartera_Polizas!$P$184-1)*MAX(0,1-22/Supuestos!$C$20))*(1-Supuestos!$C$18)^22))</f>
        <v>0.000322779909414038</v>
      </c>
      <c r="Z182" s="29" t="n">
        <f aca="false">Y182*(1-MIN(1,INDEX(Tabla_Mortalidad!$B$5:$B$75,MIN(71,Cartera_Polizas!$B$184+23-49))*(1+(Cartera_Polizas!$P$184-1)*MAX(0,1-23/Supuestos!$C$20))*(1-Supuestos!$C$18)^23))</f>
        <v>0.000166052917176366</v>
      </c>
      <c r="AA182" s="29" t="n">
        <f aca="false">Z182*(1-MIN(1,INDEX(Tabla_Mortalidad!$B$5:$B$75,MIN(71,Cartera_Polizas!$B$184+24-49))*(1+(Cartera_Polizas!$P$184-1)*MAX(0,1-24/Supuestos!$C$20))*(1-Supuestos!$C$18)^24))</f>
        <v>7.99673053856631E-005</v>
      </c>
      <c r="AB182" s="29" t="n">
        <f aca="false">AA182*(1-MIN(1,INDEX(Tabla_Mortalidad!$B$5:$B$75,MIN(71,Cartera_Polizas!$B$184+25-49))*(1+(Cartera_Polizas!$P$184-1)*MAX(0,1-25/Supuestos!$C$20))*(1-Supuestos!$C$18)^25))</f>
        <v>3.58717808889291E-005</v>
      </c>
      <c r="AC182" s="29" t="n">
        <f aca="false">AB182*(1-MIN(1,INDEX(Tabla_Mortalidad!$B$5:$B$75,MIN(71,Cartera_Polizas!$B$184+26-49))*(1+(Cartera_Polizas!$P$184-1)*MAX(0,1-26/Supuestos!$C$20))*(1-Supuestos!$C$18)^26))</f>
        <v>1.49175497519079E-005</v>
      </c>
      <c r="AD182" s="29" t="n">
        <f aca="false">AC182*(1-MIN(1,INDEX(Tabla_Mortalidad!$B$5:$B$75,MIN(71,Cartera_Polizas!$B$184+27-49))*(1+(Cartera_Polizas!$P$184-1)*MAX(0,1-27/Supuestos!$C$20))*(1-Supuestos!$C$18)^27))</f>
        <v>5.72603871800004E-006</v>
      </c>
      <c r="AE182" s="29" t="n">
        <f aca="false">AD182*(1-MIN(1,INDEX(Tabla_Mortalidad!$B$5:$B$75,MIN(71,Cartera_Polizas!$B$184+28-49))*(1+(Cartera_Polizas!$P$184-1)*MAX(0,1-28/Supuestos!$C$20))*(1-Supuestos!$C$18)^28))</f>
        <v>2.02135906946567E-006</v>
      </c>
      <c r="AF182" s="29" t="n">
        <f aca="false">AE182*(1-MIN(1,INDEX(Tabla_Mortalidad!$B$5:$B$75,MIN(71,Cartera_Polizas!$B$184+29-49))*(1+(Cartera_Polizas!$P$184-1)*MAX(0,1-29/Supuestos!$C$20))*(1-Supuestos!$C$18)^29))</f>
        <v>6.54579564837934E-007</v>
      </c>
      <c r="AG182" s="29" t="n">
        <f aca="false">AF182*(1-MIN(1,INDEX(Tabla_Mortalidad!$B$5:$B$75,MIN(71,Cartera_Polizas!$B$184+30-49))*(1+(Cartera_Polizas!$P$184-1)*MAX(0,1-30/Supuestos!$C$20))*(1-Supuestos!$C$18)^30))</f>
        <v>1.9425572876105E-007</v>
      </c>
      <c r="AH182" s="29" t="n">
        <f aca="false">AG182*(1-MIN(1,INDEX(Tabla_Mortalidad!$B$5:$B$75,MIN(71,Cartera_Polizas!$B$184+31-49))*(1+(Cartera_Polizas!$P$184-1)*MAX(0,1-31/Supuestos!$C$20))*(1-Supuestos!$C$18)^31))</f>
        <v>5.28825517789947E-008</v>
      </c>
      <c r="AI182" s="29" t="n">
        <f aca="false">AH182*(1-MIN(1,INDEX(Tabla_Mortalidad!$B$5:$B$75,MIN(71,Cartera_Polizas!$B$184+32-49))*(1+(Cartera_Polizas!$P$184-1)*MAX(0,1-32/Supuestos!$C$20))*(1-Supuestos!$C$18)^32))</f>
        <v>1.32517398197394E-008</v>
      </c>
      <c r="AJ182" s="29" t="n">
        <f aca="false">AI182*(1-MIN(1,INDEX(Tabla_Mortalidad!$B$5:$B$75,MIN(71,Cartera_Polizas!$B$184+33-49))*(1+(Cartera_Polizas!$P$184-1)*MAX(0,1-33/Supuestos!$C$20))*(1-Supuestos!$C$18)^33))</f>
        <v>3.07560399172316E-009</v>
      </c>
      <c r="AK182" s="29" t="n">
        <f aca="false">AJ182*(1-MIN(1,INDEX(Tabla_Mortalidad!$B$5:$B$75,MIN(71,Cartera_Polizas!$B$184+34-49))*(1+(Cartera_Polizas!$P$184-1)*MAX(0,1-34/Supuestos!$C$20))*(1-Supuestos!$C$18)^34))</f>
        <v>6.67039171879902E-010</v>
      </c>
      <c r="AL182" s="29" t="n">
        <f aca="false">AK182*(1-MIN(1,INDEX(Tabla_Mortalidad!$B$5:$B$75,MIN(71,Cartera_Polizas!$B$184+35-49))*(1+(Cartera_Polizas!$P$184-1)*MAX(0,1-35/Supuestos!$C$20))*(1-Supuestos!$C$18)^35))</f>
        <v>1.36720949923601E-010</v>
      </c>
      <c r="AM182" s="29" t="n">
        <f aca="false">AL182*(1-MIN(1,INDEX(Tabla_Mortalidad!$B$5:$B$75,MIN(71,Cartera_Polizas!$B$184+36-49))*(1+(Cartera_Polizas!$P$184-1)*MAX(0,1-36/Supuestos!$C$20))*(1-Supuestos!$C$18)^36))</f>
        <v>2.25735630030608E-011</v>
      </c>
      <c r="AN182" s="29" t="n">
        <f aca="false">AM182*(1-MIN(1,INDEX(Tabla_Mortalidad!$B$5:$B$75,MIN(71,Cartera_Polizas!$B$184+37-49))*(1+(Cartera_Polizas!$P$184-1)*MAX(0,1-37/Supuestos!$C$20))*(1-Supuestos!$C$18)^37))</f>
        <v>3.82128205733302E-012</v>
      </c>
      <c r="AO182" s="29" t="n">
        <f aca="false">AN182*(1-MIN(1,INDEX(Tabla_Mortalidad!$B$5:$B$75,MIN(71,Cartera_Polizas!$B$184+38-49))*(1+(Cartera_Polizas!$P$184-1)*MAX(0,1-38/Supuestos!$C$20))*(1-Supuestos!$C$18)^38))</f>
        <v>6.62743641011685E-013</v>
      </c>
      <c r="AP182" s="29" t="n">
        <f aca="false">AO182*(1-MIN(1,INDEX(Tabla_Mortalidad!$B$5:$B$75,MIN(71,Cartera_Polizas!$B$184+39-49))*(1+(Cartera_Polizas!$P$184-1)*MAX(0,1-39/Supuestos!$C$20))*(1-Supuestos!$C$18)^39))</f>
        <v>1.17681875665263E-013</v>
      </c>
      <c r="AQ182" s="29" t="n">
        <f aca="false">AP182*(1-MIN(1,INDEX(Tabla_Mortalidad!$B$5:$B$75,MIN(71,Cartera_Polizas!$B$184+40-49))*(1+(Cartera_Polizas!$P$184-1)*MAX(0,1-40/Supuestos!$C$20))*(1-Supuestos!$C$18)^40))</f>
        <v>2.13804289286897E-014</v>
      </c>
      <c r="AR182" s="29" t="n">
        <f aca="false">AQ182*(1-MIN(1,INDEX(Tabla_Mortalidad!$B$5:$B$75,MIN(71,Cartera_Polizas!$B$184+41-49))*(1+(Cartera_Polizas!$P$184-1)*MAX(0,1-41/Supuestos!$C$20))*(1-Supuestos!$C$18)^41))</f>
        <v>3.97187391618987E-015</v>
      </c>
      <c r="AS182" s="29" t="n">
        <f aca="false">AR182*(1-MIN(1,INDEX(Tabla_Mortalidad!$B$5:$B$75,MIN(71,Cartera_Polizas!$B$184+42-49))*(1+(Cartera_Polizas!$P$184-1)*MAX(0,1-42/Supuestos!$C$20))*(1-Supuestos!$C$18)^42))</f>
        <v>7.5403095923581E-016</v>
      </c>
      <c r="AT182" s="29" t="n">
        <f aca="false">AS182*(1-MIN(1,INDEX(Tabla_Mortalidad!$B$5:$B$75,MIN(71,Cartera_Polizas!$B$184+43-49))*(1+(Cartera_Polizas!$P$184-1)*MAX(0,1-43/Supuestos!$C$20))*(1-Supuestos!$C$18)^43))</f>
        <v>1.46201633233271E-016</v>
      </c>
      <c r="AU182" s="29" t="n">
        <f aca="false">AT182*(1-MIN(1,INDEX(Tabla_Mortalidad!$B$5:$B$75,MIN(71,Cartera_Polizas!$B$184+44-49))*(1+(Cartera_Polizas!$P$184-1)*MAX(0,1-44/Supuestos!$C$20))*(1-Supuestos!$C$18)^44))</f>
        <v>2.89368035804954E-017</v>
      </c>
    </row>
    <row r="183" customFormat="false" ht="15" hidden="false" customHeight="false" outlineLevel="0" collapsed="false">
      <c r="A183" s="14" t="n">
        <f aca="false">Cartera_Polizas!A185</f>
        <v>180</v>
      </c>
      <c r="B183" s="26" t="n">
        <f aca="false">SUM(C183:AU183)+0.5</f>
        <v>9.05192472491636</v>
      </c>
      <c r="C183" s="29" t="n">
        <f aca="false">1-MIN(1,INDEX(Tabla_Mortalidad!$B$5:$B$75,MIN(71,Cartera_Polizas!$B$185+0-49))*(1+(Cartera_Polizas!$P$185-1)*MAX(0,1-0/Supuestos!$C$20))*(1-Supuestos!$C$18)^0)</f>
        <v>0.95069823</v>
      </c>
      <c r="D183" s="29" t="n">
        <f aca="false">C183*(1-MIN(1,INDEX(Tabla_Mortalidad!$B$5:$B$75,MIN(71,Cartera_Polizas!$B$185+1-49))*(1+(Cartera_Polizas!$P$185-1)*MAX(0,1-1/Supuestos!$C$20))*(1-Supuestos!$C$18)^1))</f>
        <v>0.898433130613079</v>
      </c>
      <c r="E183" s="29" t="n">
        <f aca="false">D183*(1-MIN(1,INDEX(Tabla_Mortalidad!$B$5:$B$75,MIN(71,Cartera_Polizas!$B$185+2-49))*(1+(Cartera_Polizas!$P$185-1)*MAX(0,1-2/Supuestos!$C$20))*(1-Supuestos!$C$18)^2))</f>
        <v>0.843380825294451</v>
      </c>
      <c r="F183" s="29" t="n">
        <f aca="false">E183*(1-MIN(1,INDEX(Tabla_Mortalidad!$B$5:$B$75,MIN(71,Cartera_Polizas!$B$185+3-49))*(1+(Cartera_Polizas!$P$185-1)*MAX(0,1-3/Supuestos!$C$20))*(1-Supuestos!$C$18)^3))</f>
        <v>0.78580508271374</v>
      </c>
      <c r="G183" s="29" t="n">
        <f aca="false">F183*(1-MIN(1,INDEX(Tabla_Mortalidad!$B$5:$B$75,MIN(71,Cartera_Polizas!$B$185+4-49))*(1+(Cartera_Polizas!$P$185-1)*MAX(0,1-4/Supuestos!$C$20))*(1-Supuestos!$C$18)^4))</f>
        <v>0.726070429503032</v>
      </c>
      <c r="H183" s="29" t="n">
        <f aca="false">G183*(1-MIN(1,INDEX(Tabla_Mortalidad!$B$5:$B$75,MIN(71,Cartera_Polizas!$B$185+5-49))*(1+(Cartera_Polizas!$P$185-1)*MAX(0,1-5/Supuestos!$C$20))*(1-Supuestos!$C$18)^5))</f>
        <v>0.664644636686967</v>
      </c>
      <c r="I183" s="29" t="n">
        <f aca="false">H183*(1-MIN(1,INDEX(Tabla_Mortalidad!$B$5:$B$75,MIN(71,Cartera_Polizas!$B$185+6-49))*(1+(Cartera_Polizas!$P$185-1)*MAX(0,1-6/Supuestos!$C$20))*(1-Supuestos!$C$18)^6))</f>
        <v>0.602106118252354</v>
      </c>
      <c r="J183" s="29" t="n">
        <f aca="false">I183*(1-MIN(1,INDEX(Tabla_Mortalidad!$B$5:$B$75,MIN(71,Cartera_Polizas!$B$185+7-49))*(1+(Cartera_Polizas!$P$185-1)*MAX(0,1-7/Supuestos!$C$20))*(1-Supuestos!$C$18)^7))</f>
        <v>0.539137819693078</v>
      </c>
      <c r="K183" s="29" t="n">
        <f aca="false">J183*(1-MIN(1,INDEX(Tabla_Mortalidad!$B$5:$B$75,MIN(71,Cartera_Polizas!$B$185+8-49))*(1+(Cartera_Polizas!$P$185-1)*MAX(0,1-8/Supuestos!$C$20))*(1-Supuestos!$C$18)^8))</f>
        <v>0.476517745845142</v>
      </c>
      <c r="L183" s="29" t="n">
        <f aca="false">K183*(1-MIN(1,INDEX(Tabla_Mortalidad!$B$5:$B$75,MIN(71,Cartera_Polizas!$B$185+9-49))*(1+(Cartera_Polizas!$P$185-1)*MAX(0,1-9/Supuestos!$C$20))*(1-Supuestos!$C$18)^9))</f>
        <v>0.415099300706199</v>
      </c>
      <c r="M183" s="29" t="n">
        <f aca="false">L183*(1-MIN(1,INDEX(Tabla_Mortalidad!$B$5:$B$75,MIN(71,Cartera_Polizas!$B$185+10-49))*(1+(Cartera_Polizas!$P$185-1)*MAX(0,1-10/Supuestos!$C$20))*(1-Supuestos!$C$18)^10))</f>
        <v>0.355782178962729</v>
      </c>
      <c r="N183" s="29" t="n">
        <f aca="false">M183*(1-MIN(1,INDEX(Tabla_Mortalidad!$B$5:$B$75,MIN(71,Cartera_Polizas!$B$185+11-49))*(1+(Cartera_Polizas!$P$185-1)*MAX(0,1-11/Supuestos!$C$20))*(1-Supuestos!$C$18)^11))</f>
        <v>0.299472898535948</v>
      </c>
      <c r="O183" s="29" t="n">
        <f aca="false">N183*(1-MIN(1,INDEX(Tabla_Mortalidad!$B$5:$B$75,MIN(71,Cartera_Polizas!$B$185+12-49))*(1+(Cartera_Polizas!$P$185-1)*MAX(0,1-12/Supuestos!$C$20))*(1-Supuestos!$C$18)^12))</f>
        <v>0.247035695340996</v>
      </c>
      <c r="P183" s="29" t="n">
        <f aca="false">O183*(1-MIN(1,INDEX(Tabla_Mortalidad!$B$5:$B$75,MIN(71,Cartera_Polizas!$B$185+13-49))*(1+(Cartera_Polizas!$P$185-1)*MAX(0,1-13/Supuestos!$C$20))*(1-Supuestos!$C$18)^13))</f>
        <v>0.199239355392019</v>
      </c>
      <c r="Q183" s="29" t="n">
        <f aca="false">P183*(1-MIN(1,INDEX(Tabla_Mortalidad!$B$5:$B$75,MIN(71,Cartera_Polizas!$B$185+14-49))*(1+(Cartera_Polizas!$P$185-1)*MAX(0,1-14/Supuestos!$C$20))*(1-Supuestos!$C$18)^14))</f>
        <v>0.156701767761391</v>
      </c>
      <c r="R183" s="29" t="n">
        <f aca="false">Q183*(1-MIN(1,INDEX(Tabla_Mortalidad!$B$5:$B$75,MIN(71,Cartera_Polizas!$B$185+15-49))*(1+(Cartera_Polizas!$P$185-1)*MAX(0,1-15/Supuestos!$C$20))*(1-Supuestos!$C$18)^15))</f>
        <v>0.119838978499428</v>
      </c>
      <c r="S183" s="29" t="n">
        <f aca="false">R183*(1-MIN(1,INDEX(Tabla_Mortalidad!$B$5:$B$75,MIN(71,Cartera_Polizas!$B$185+16-49))*(1+(Cartera_Polizas!$P$185-1)*MAX(0,1-16/Supuestos!$C$20))*(1-Supuestos!$C$18)^16))</f>
        <v>0.0890281558880973</v>
      </c>
      <c r="T183" s="29" t="n">
        <f aca="false">S183*(1-MIN(1,INDEX(Tabla_Mortalidad!$B$5:$B$75,MIN(71,Cartera_Polizas!$B$185+17-49))*(1+(Cartera_Polizas!$P$185-1)*MAX(0,1-17/Supuestos!$C$20))*(1-Supuestos!$C$18)^17))</f>
        <v>0.0640559425721019</v>
      </c>
      <c r="U183" s="29" t="n">
        <f aca="false">T183*(1-MIN(1,INDEX(Tabla_Mortalidad!$B$5:$B$75,MIN(71,Cartera_Polizas!$B$185+18-49))*(1+(Cartera_Polizas!$P$185-1)*MAX(0,1-18/Supuestos!$C$20))*(1-Supuestos!$C$18)^18))</f>
        <v>0.044491283657128</v>
      </c>
      <c r="V183" s="29" t="n">
        <f aca="false">U183*(1-MIN(1,INDEX(Tabla_Mortalidad!$B$5:$B$75,MIN(71,Cartera_Polizas!$B$185+19-49))*(1+(Cartera_Polizas!$P$185-1)*MAX(0,1-19/Supuestos!$C$20))*(1-Supuestos!$C$18)^19))</f>
        <v>0.0297259111424024</v>
      </c>
      <c r="W183" s="29" t="n">
        <f aca="false">V183*(1-MIN(1,INDEX(Tabla_Mortalidad!$B$5:$B$75,MIN(71,Cartera_Polizas!$B$185+20-49))*(1+(Cartera_Polizas!$P$185-1)*MAX(0,1-20/Supuestos!$C$20))*(1-Supuestos!$C$18)^20))</f>
        <v>0.0190317451449413</v>
      </c>
      <c r="X183" s="29" t="n">
        <f aca="false">W183*(1-MIN(1,INDEX(Tabla_Mortalidad!$B$5:$B$75,MIN(71,Cartera_Polizas!$B$185+21-49))*(1+(Cartera_Polizas!$P$185-1)*MAX(0,1-21/Supuestos!$C$20))*(1-Supuestos!$C$18)^21))</f>
        <v>0.0116284689043489</v>
      </c>
      <c r="Y183" s="29" t="n">
        <f aca="false">X183*(1-MIN(1,INDEX(Tabla_Mortalidad!$B$5:$B$75,MIN(71,Cartera_Polizas!$B$185+22-49))*(1+(Cartera_Polizas!$P$185-1)*MAX(0,1-22/Supuestos!$C$20))*(1-Supuestos!$C$18)^22))</f>
        <v>0.00675103307917641</v>
      </c>
      <c r="Z183" s="29" t="n">
        <f aca="false">Y183*(1-MIN(1,INDEX(Tabla_Mortalidad!$B$5:$B$75,MIN(71,Cartera_Polizas!$B$185+23-49))*(1+(Cartera_Polizas!$P$185-1)*MAX(0,1-23/Supuestos!$C$20))*(1-Supuestos!$C$18)^23))</f>
        <v>0.0037070143620707</v>
      </c>
      <c r="AA183" s="29" t="n">
        <f aca="false">Z183*(1-MIN(1,INDEX(Tabla_Mortalidad!$B$5:$B$75,MIN(71,Cartera_Polizas!$B$185+24-49))*(1+(Cartera_Polizas!$P$185-1)*MAX(0,1-24/Supuestos!$C$20))*(1-Supuestos!$C$18)^24))</f>
        <v>0.00191605944748856</v>
      </c>
      <c r="AB183" s="29" t="n">
        <f aca="false">AA183*(1-MIN(1,INDEX(Tabla_Mortalidad!$B$5:$B$75,MIN(71,Cartera_Polizas!$B$185+25-49))*(1+(Cartera_Polizas!$P$185-1)*MAX(0,1-25/Supuestos!$C$20))*(1-Supuestos!$C$18)^25))</f>
        <v>0.000927697262672058</v>
      </c>
      <c r="AC183" s="29" t="n">
        <f aca="false">AB183*(1-MIN(1,INDEX(Tabla_Mortalidad!$B$5:$B$75,MIN(71,Cartera_Polizas!$B$185+26-49))*(1+(Cartera_Polizas!$P$185-1)*MAX(0,1-26/Supuestos!$C$20))*(1-Supuestos!$C$18)^26))</f>
        <v>0.000418704735181597</v>
      </c>
      <c r="AD183" s="29" t="n">
        <f aca="false">AC183*(1-MIN(1,INDEX(Tabla_Mortalidad!$B$5:$B$75,MIN(71,Cartera_Polizas!$B$185+27-49))*(1+(Cartera_Polizas!$P$185-1)*MAX(0,1-27/Supuestos!$C$20))*(1-Supuestos!$C$18)^27))</f>
        <v>0.000175344427891727</v>
      </c>
      <c r="AE183" s="29" t="n">
        <f aca="false">AD183*(1-MIN(1,INDEX(Tabla_Mortalidad!$B$5:$B$75,MIN(71,Cartera_Polizas!$B$185+28-49))*(1+(Cartera_Polizas!$P$185-1)*MAX(0,1-28/Supuestos!$C$20))*(1-Supuestos!$C$18)^28))</f>
        <v>6.7845417051997E-005</v>
      </c>
      <c r="AF183" s="29" t="n">
        <f aca="false">AE183*(1-MIN(1,INDEX(Tabla_Mortalidad!$B$5:$B$75,MIN(71,Cartera_Polizas!$B$185+29-49))*(1+(Cartera_Polizas!$P$185-1)*MAX(0,1-29/Supuestos!$C$20))*(1-Supuestos!$C$18)^29))</f>
        <v>2.41697067684285E-005</v>
      </c>
      <c r="AG183" s="29" t="n">
        <f aca="false">AF183*(1-MIN(1,INDEX(Tabla_Mortalidad!$B$5:$B$75,MIN(71,Cartera_Polizas!$B$185+30-49))*(1+(Cartera_Polizas!$P$185-1)*MAX(0,1-30/Supuestos!$C$20))*(1-Supuestos!$C$18)^30))</f>
        <v>7.90862429117255E-006</v>
      </c>
      <c r="AH183" s="29" t="n">
        <f aca="false">AG183*(1-MIN(1,INDEX(Tabla_Mortalidad!$B$5:$B$75,MIN(71,Cartera_Polizas!$B$185+31-49))*(1+(Cartera_Polizas!$P$185-1)*MAX(0,1-31/Supuestos!$C$20))*(1-Supuestos!$C$18)^31))</f>
        <v>2.37480407278367E-006</v>
      </c>
      <c r="AI183" s="29" t="n">
        <f aca="false">AH183*(1-MIN(1,INDEX(Tabla_Mortalidad!$B$5:$B$75,MIN(71,Cartera_Polizas!$B$185+32-49))*(1+(Cartera_Polizas!$P$185-1)*MAX(0,1-32/Supuestos!$C$20))*(1-Supuestos!$C$18)^32))</f>
        <v>6.55138297017184E-007</v>
      </c>
      <c r="AJ183" s="29" t="n">
        <f aca="false">AI183*(1-MIN(1,INDEX(Tabla_Mortalidad!$B$5:$B$75,MIN(71,Cartera_Polizas!$B$185+33-49))*(1+(Cartera_Polizas!$P$185-1)*MAX(0,1-33/Supuestos!$C$20))*(1-Supuestos!$C$18)^33))</f>
        <v>1.66624723559593E-007</v>
      </c>
      <c r="AK183" s="29" t="n">
        <f aca="false">AJ183*(1-MIN(1,INDEX(Tabla_Mortalidad!$B$5:$B$75,MIN(71,Cartera_Polizas!$B$185+34-49))*(1+(Cartera_Polizas!$P$185-1)*MAX(0,1-34/Supuestos!$C$20))*(1-Supuestos!$C$18)^34))</f>
        <v>3.93117923444212E-008</v>
      </c>
      <c r="AL183" s="29" t="n">
        <f aca="false">AK183*(1-MIN(1,INDEX(Tabla_Mortalidad!$B$5:$B$75,MIN(71,Cartera_Polizas!$B$185+35-49))*(1+(Cartera_Polizas!$P$185-1)*MAX(0,1-35/Supuestos!$C$20))*(1-Supuestos!$C$18)^35))</f>
        <v>8.67989847932578E-009</v>
      </c>
      <c r="AM183" s="29" t="n">
        <f aca="false">AL183*(1-MIN(1,INDEX(Tabla_Mortalidad!$B$5:$B$75,MIN(71,Cartera_Polizas!$B$185+36-49))*(1+(Cartera_Polizas!$P$185-1)*MAX(0,1-36/Supuestos!$C$20))*(1-Supuestos!$C$18)^36))</f>
        <v>1.8135958995722E-009</v>
      </c>
      <c r="AN183" s="29" t="n">
        <f aca="false">AM183*(1-MIN(1,INDEX(Tabla_Mortalidad!$B$5:$B$75,MIN(71,Cartera_Polizas!$B$185+37-49))*(1+(Cartera_Polizas!$P$185-1)*MAX(0,1-37/Supuestos!$C$20))*(1-Supuestos!$C$18)^37))</f>
        <v>3.07007868866262E-010</v>
      </c>
      <c r="AO183" s="29" t="n">
        <f aca="false">AN183*(1-MIN(1,INDEX(Tabla_Mortalidad!$B$5:$B$75,MIN(71,Cartera_Polizas!$B$185+38-49))*(1+(Cartera_Polizas!$P$185-1)*MAX(0,1-38/Supuestos!$C$20))*(1-Supuestos!$C$18)^38))</f>
        <v>5.32458765877309E-011</v>
      </c>
      <c r="AP183" s="29" t="n">
        <f aca="false">AO183*(1-MIN(1,INDEX(Tabla_Mortalidad!$B$5:$B$75,MIN(71,Cartera_Polizas!$B$185+39-49))*(1+(Cartera_Polizas!$P$185-1)*MAX(0,1-39/Supuestos!$C$20))*(1-Supuestos!$C$18)^39))</f>
        <v>9.45474877543912E-012</v>
      </c>
      <c r="AQ183" s="29" t="n">
        <f aca="false">AP183*(1-MIN(1,INDEX(Tabla_Mortalidad!$B$5:$B$75,MIN(71,Cartera_Polizas!$B$185+40-49))*(1+(Cartera_Polizas!$P$185-1)*MAX(0,1-40/Supuestos!$C$20))*(1-Supuestos!$C$18)^40))</f>
        <v>1.7177376132828E-012</v>
      </c>
      <c r="AR183" s="29" t="n">
        <f aca="false">AQ183*(1-MIN(1,INDEX(Tabla_Mortalidad!$B$5:$B$75,MIN(71,Cartera_Polizas!$B$185+41-49))*(1+(Cartera_Polizas!$P$185-1)*MAX(0,1-41/Supuestos!$C$20))*(1-Supuestos!$C$18)^41))</f>
        <v>3.19106657953953E-013</v>
      </c>
      <c r="AS183" s="29" t="n">
        <f aca="false">AR183*(1-MIN(1,INDEX(Tabla_Mortalidad!$B$5:$B$75,MIN(71,Cartera_Polizas!$B$185+42-49))*(1+(Cartera_Polizas!$P$185-1)*MAX(0,1-42/Supuestos!$C$20))*(1-Supuestos!$C$18)^42))</f>
        <v>6.05800447025193E-014</v>
      </c>
      <c r="AT183" s="29" t="n">
        <f aca="false">AS183*(1-MIN(1,INDEX(Tabla_Mortalidad!$B$5:$B$75,MIN(71,Cartera_Polizas!$B$185+43-49))*(1+(Cartera_Polizas!$P$185-1)*MAX(0,1-43/Supuestos!$C$20))*(1-Supuestos!$C$18)^43))</f>
        <v>1.17460713892028E-014</v>
      </c>
      <c r="AU183" s="29" t="n">
        <f aca="false">AT183*(1-MIN(1,INDEX(Tabla_Mortalidad!$B$5:$B$75,MIN(71,Cartera_Polizas!$B$185+44-49))*(1+(Cartera_Polizas!$P$185-1)*MAX(0,1-44/Supuestos!$C$20))*(1-Supuestos!$C$18)^44))</f>
        <v>2.3248287526961E-015</v>
      </c>
    </row>
    <row r="184" customFormat="false" ht="15" hidden="false" customHeight="false" outlineLevel="0" collapsed="false">
      <c r="A184" s="14" t="n">
        <f aca="false">Cartera_Polizas!A186</f>
        <v>181</v>
      </c>
      <c r="B184" s="26" t="n">
        <f aca="false">SUM(C184:AU184)+0.5</f>
        <v>7.15904155560467</v>
      </c>
      <c r="C184" s="29" t="n">
        <f aca="false">1-MIN(1,INDEX(Tabla_Mortalidad!$B$5:$B$75,MIN(71,Cartera_Polizas!$B$186+0-49))*(1+(Cartera_Polizas!$P$186-1)*MAX(0,1-0/Supuestos!$C$20))*(1-Supuestos!$C$18)^0)</f>
        <v>0.90787071</v>
      </c>
      <c r="D184" s="29" t="n">
        <f aca="false">C184*(1-MIN(1,INDEX(Tabla_Mortalidad!$B$5:$B$75,MIN(71,Cartera_Polizas!$B$186+1-49))*(1+(Cartera_Polizas!$P$186-1)*MAX(0,1-1/Supuestos!$C$20))*(1-Supuestos!$C$18)^1))</f>
        <v>0.818433044319765</v>
      </c>
      <c r="E184" s="29" t="n">
        <f aca="false">D184*(1-MIN(1,INDEX(Tabla_Mortalidad!$B$5:$B$75,MIN(71,Cartera_Polizas!$B$186+2-49))*(1+(Cartera_Polizas!$P$186-1)*MAX(0,1-2/Supuestos!$C$20))*(1-Supuestos!$C$18)^2))</f>
        <v>0.732355515976103</v>
      </c>
      <c r="F184" s="29" t="n">
        <f aca="false">E184*(1-MIN(1,INDEX(Tabla_Mortalidad!$B$5:$B$75,MIN(71,Cartera_Polizas!$B$186+3-49))*(1+(Cartera_Polizas!$P$186-1)*MAX(0,1-3/Supuestos!$C$20))*(1-Supuestos!$C$18)^3))</f>
        <v>0.650267610436683</v>
      </c>
      <c r="G184" s="29" t="n">
        <f aca="false">F184*(1-MIN(1,INDEX(Tabla_Mortalidad!$B$5:$B$75,MIN(71,Cartera_Polizas!$B$186+4-49))*(1+(Cartera_Polizas!$P$186-1)*MAX(0,1-4/Supuestos!$C$20))*(1-Supuestos!$C$18)^4))</f>
        <v>0.572735552417977</v>
      </c>
      <c r="H184" s="29" t="n">
        <f aca="false">G184*(1-MIN(1,INDEX(Tabla_Mortalidad!$B$5:$B$75,MIN(71,Cartera_Polizas!$B$186+5-49))*(1+(Cartera_Polizas!$P$186-1)*MAX(0,1-5/Supuestos!$C$20))*(1-Supuestos!$C$18)^5))</f>
        <v>0.500242946257768</v>
      </c>
      <c r="I184" s="29" t="n">
        <f aca="false">H184*(1-MIN(1,INDEX(Tabla_Mortalidad!$B$5:$B$75,MIN(71,Cartera_Polizas!$B$186+6-49))*(1+(Cartera_Polizas!$P$186-1)*MAX(0,1-6/Supuestos!$C$20))*(1-Supuestos!$C$18)^6))</f>
        <v>0.433178515087024</v>
      </c>
      <c r="J184" s="29" t="n">
        <f aca="false">I184*(1-MIN(1,INDEX(Tabla_Mortalidad!$B$5:$B$75,MIN(71,Cartera_Polizas!$B$186+7-49))*(1+(Cartera_Polizas!$P$186-1)*MAX(0,1-7/Supuestos!$C$20))*(1-Supuestos!$C$18)^7))</f>
        <v>0.371816882581834</v>
      </c>
      <c r="K184" s="29" t="n">
        <f aca="false">J184*(1-MIN(1,INDEX(Tabla_Mortalidad!$B$5:$B$75,MIN(71,Cartera_Polizas!$B$186+8-49))*(1+(Cartera_Polizas!$P$186-1)*MAX(0,1-8/Supuestos!$C$20))*(1-Supuestos!$C$18)^8))</f>
        <v>0.316315178042703</v>
      </c>
      <c r="L184" s="29" t="n">
        <f aca="false">K184*(1-MIN(1,INDEX(Tabla_Mortalidad!$B$5:$B$75,MIN(71,Cartera_Polizas!$B$186+9-49))*(1+(Cartera_Polizas!$P$186-1)*MAX(0,1-9/Supuestos!$C$20))*(1-Supuestos!$C$18)^9))</f>
        <v>0.266706093382899</v>
      </c>
      <c r="M184" s="29" t="n">
        <f aca="false">L184*(1-MIN(1,INDEX(Tabla_Mortalidad!$B$5:$B$75,MIN(71,Cartera_Polizas!$B$186+10-49))*(1+(Cartera_Polizas!$P$186-1)*MAX(0,1-10/Supuestos!$C$20))*(1-Supuestos!$C$18)^10))</f>
        <v>0.222901566145514</v>
      </c>
      <c r="N184" s="29" t="n">
        <f aca="false">M184*(1-MIN(1,INDEX(Tabla_Mortalidad!$B$5:$B$75,MIN(71,Cartera_Polizas!$B$186+11-49))*(1+(Cartera_Polizas!$P$186-1)*MAX(0,1-11/Supuestos!$C$20))*(1-Supuestos!$C$18)^11))</f>
        <v>0.184701006393358</v>
      </c>
      <c r="O184" s="29" t="n">
        <f aca="false">N184*(1-MIN(1,INDEX(Tabla_Mortalidad!$B$5:$B$75,MIN(71,Cartera_Polizas!$B$186+12-49))*(1+(Cartera_Polizas!$P$186-1)*MAX(0,1-12/Supuestos!$C$20))*(1-Supuestos!$C$18)^12))</f>
        <v>0.15180525539192</v>
      </c>
      <c r="P184" s="29" t="n">
        <f aca="false">O184*(1-MIN(1,INDEX(Tabla_Mortalidad!$B$5:$B$75,MIN(71,Cartera_Polizas!$B$186+13-49))*(1+(Cartera_Polizas!$P$186-1)*MAX(0,1-13/Supuestos!$C$20))*(1-Supuestos!$C$18)^13))</f>
        <v>0.123834660786677</v>
      </c>
      <c r="Q184" s="29" t="n">
        <f aca="false">P184*(1-MIN(1,INDEX(Tabla_Mortalidad!$B$5:$B$75,MIN(71,Cartera_Polizas!$B$186+14-49))*(1+(Cartera_Polizas!$P$186-1)*MAX(0,1-14/Supuestos!$C$20))*(1-Supuestos!$C$18)^14))</f>
        <v>0.100349823188597</v>
      </c>
      <c r="R184" s="29" t="n">
        <f aca="false">Q184*(1-MIN(1,INDEX(Tabla_Mortalidad!$B$5:$B$75,MIN(71,Cartera_Polizas!$B$186+15-49))*(1+(Cartera_Polizas!$P$186-1)*MAX(0,1-15/Supuestos!$C$20))*(1-Supuestos!$C$18)^15))</f>
        <v>0.0808746848735047</v>
      </c>
      <c r="S184" s="29" t="n">
        <f aca="false">R184*(1-MIN(1,INDEX(Tabla_Mortalidad!$B$5:$B$75,MIN(71,Cartera_Polizas!$B$186+16-49))*(1+(Cartera_Polizas!$P$186-1)*MAX(0,1-16/Supuestos!$C$20))*(1-Supuestos!$C$18)^16))</f>
        <v>0.0636683401214724</v>
      </c>
      <c r="T184" s="29" t="n">
        <f aca="false">S184*(1-MIN(1,INDEX(Tabla_Mortalidad!$B$5:$B$75,MIN(71,Cartera_Polizas!$B$186+17-49))*(1+(Cartera_Polizas!$P$186-1)*MAX(0,1-17/Supuestos!$C$20))*(1-Supuestos!$C$18)^17))</f>
        <v>0.0488402919984641</v>
      </c>
      <c r="U184" s="29" t="n">
        <f aca="false">T184*(1-MIN(1,INDEX(Tabla_Mortalidad!$B$5:$B$75,MIN(71,Cartera_Polizas!$B$186+18-49))*(1+(Cartera_Polizas!$P$186-1)*MAX(0,1-18/Supuestos!$C$20))*(1-Supuestos!$C$18)^18))</f>
        <v>0.0364086181289627</v>
      </c>
      <c r="V184" s="29" t="n">
        <f aca="false">U184*(1-MIN(1,INDEX(Tabla_Mortalidad!$B$5:$B$75,MIN(71,Cartera_Polizas!$B$186+19-49))*(1+(Cartera_Polizas!$P$186-1)*MAX(0,1-19/Supuestos!$C$20))*(1-Supuestos!$C$18)^19))</f>
        <v>0.0262979462658009</v>
      </c>
      <c r="W184" s="29" t="n">
        <f aca="false">V184*(1-MIN(1,INDEX(Tabla_Mortalidad!$B$5:$B$75,MIN(71,Cartera_Polizas!$B$186+20-49))*(1+(Cartera_Polizas!$P$186-1)*MAX(0,1-20/Supuestos!$C$20))*(1-Supuestos!$C$18)^20))</f>
        <v>0.0183458642626126</v>
      </c>
      <c r="X184" s="29" t="n">
        <f aca="false">W184*(1-MIN(1,INDEX(Tabla_Mortalidad!$B$5:$B$75,MIN(71,Cartera_Polizas!$B$186+21-49))*(1+(Cartera_Polizas!$P$186-1)*MAX(0,1-21/Supuestos!$C$20))*(1-Supuestos!$C$18)^21))</f>
        <v>0.0123181340020657</v>
      </c>
      <c r="Y184" s="29" t="n">
        <f aca="false">X184*(1-MIN(1,INDEX(Tabla_Mortalidad!$B$5:$B$75,MIN(71,Cartera_Polizas!$B$186+22-49))*(1+(Cartera_Polizas!$P$186-1)*MAX(0,1-22/Supuestos!$C$20))*(1-Supuestos!$C$18)^22))</f>
        <v>0.00793077844621528</v>
      </c>
      <c r="Z184" s="29" t="n">
        <f aca="false">Y184*(1-MIN(1,INDEX(Tabla_Mortalidad!$B$5:$B$75,MIN(71,Cartera_Polizas!$B$186+23-49))*(1+(Cartera_Polizas!$P$186-1)*MAX(0,1-23/Supuestos!$C$20))*(1-Supuestos!$C$18)^23))</f>
        <v>0.00487650919214709</v>
      </c>
      <c r="AA184" s="29" t="n">
        <f aca="false">Z184*(1-MIN(1,INDEX(Tabla_Mortalidad!$B$5:$B$75,MIN(71,Cartera_Polizas!$B$186+24-49))*(1+(Cartera_Polizas!$P$186-1)*MAX(0,1-24/Supuestos!$C$20))*(1-Supuestos!$C$18)^24))</f>
        <v>0.00285151287969919</v>
      </c>
      <c r="AB184" s="29" t="n">
        <f aca="false">AA184*(1-MIN(1,INDEX(Tabla_Mortalidad!$B$5:$B$75,MIN(71,Cartera_Polizas!$B$186+25-49))*(1+(Cartera_Polizas!$P$186-1)*MAX(0,1-25/Supuestos!$C$20))*(1-Supuestos!$C$18)^25))</f>
        <v>0.00157860029094819</v>
      </c>
      <c r="AC184" s="29" t="n">
        <f aca="false">AB184*(1-MIN(1,INDEX(Tabla_Mortalidad!$B$5:$B$75,MIN(71,Cartera_Polizas!$B$186+26-49))*(1+(Cartera_Polizas!$P$186-1)*MAX(0,1-26/Supuestos!$C$20))*(1-Supuestos!$C$18)^26))</f>
        <v>0.000823545053388402</v>
      </c>
      <c r="AD184" s="29" t="n">
        <f aca="false">AC184*(1-MIN(1,INDEX(Tabla_Mortalidad!$B$5:$B$75,MIN(71,Cartera_Polizas!$B$186+27-49))*(1+(Cartera_Polizas!$P$186-1)*MAX(0,1-27/Supuestos!$C$20))*(1-Supuestos!$C$18)^27))</f>
        <v>0.000402972753058622</v>
      </c>
      <c r="AE184" s="29" t="n">
        <f aca="false">AD184*(1-MIN(1,INDEX(Tabla_Mortalidad!$B$5:$B$75,MIN(71,Cartera_Polizas!$B$186+28-49))*(1+(Cartera_Polizas!$P$186-1)*MAX(0,1-28/Supuestos!$C$20))*(1-Supuestos!$C$18)^28))</f>
        <v>0.00018408222183476</v>
      </c>
      <c r="AF184" s="29" t="n">
        <f aca="false">AE184*(1-MIN(1,INDEX(Tabla_Mortalidad!$B$5:$B$75,MIN(71,Cartera_Polizas!$B$186+29-49))*(1+(Cartera_Polizas!$P$186-1)*MAX(0,1-29/Supuestos!$C$20))*(1-Supuestos!$C$18)^29))</f>
        <v>7.8156878167457E-005</v>
      </c>
      <c r="AG184" s="29" t="n">
        <f aca="false">AF184*(1-MIN(1,INDEX(Tabla_Mortalidad!$B$5:$B$75,MIN(71,Cartera_Polizas!$B$186+30-49))*(1+(Cartera_Polizas!$P$186-1)*MAX(0,1-30/Supuestos!$C$20))*(1-Supuestos!$C$18)^30))</f>
        <v>3.07189335057465E-005</v>
      </c>
      <c r="AH184" s="29" t="n">
        <f aca="false">AG184*(1-MIN(1,INDEX(Tabla_Mortalidad!$B$5:$B$75,MIN(71,Cartera_Polizas!$B$186+31-49))*(1+(Cartera_Polizas!$P$186-1)*MAX(0,1-31/Supuestos!$C$20))*(1-Supuestos!$C$18)^31))</f>
        <v>1.11407788253793E-005</v>
      </c>
      <c r="AI184" s="29" t="n">
        <f aca="false">AH184*(1-MIN(1,INDEX(Tabla_Mortalidad!$B$5:$B$75,MIN(71,Cartera_Polizas!$B$186+32-49))*(1+(Cartera_Polizas!$P$186-1)*MAX(0,1-32/Supuestos!$C$20))*(1-Supuestos!$C$18)^32))</f>
        <v>3.72016578884387E-006</v>
      </c>
      <c r="AJ184" s="29" t="n">
        <f aca="false">AI184*(1-MIN(1,INDEX(Tabla_Mortalidad!$B$5:$B$75,MIN(71,Cartera_Polizas!$B$186+33-49))*(1+(Cartera_Polizas!$P$186-1)*MAX(0,1-33/Supuestos!$C$20))*(1-Supuestos!$C$18)^33))</f>
        <v>1.14305815427739E-006</v>
      </c>
      <c r="AK184" s="29" t="n">
        <f aca="false">AJ184*(1-MIN(1,INDEX(Tabla_Mortalidad!$B$5:$B$75,MIN(71,Cartera_Polizas!$B$186+34-49))*(1+(Cartera_Polizas!$P$186-1)*MAX(0,1-34/Supuestos!$C$20))*(1-Supuestos!$C$18)^34))</f>
        <v>3.23592509933103E-007</v>
      </c>
      <c r="AL184" s="29" t="n">
        <f aca="false">AK184*(1-MIN(1,INDEX(Tabla_Mortalidad!$B$5:$B$75,MIN(71,Cartera_Polizas!$B$186+35-49))*(1+(Cartera_Polizas!$P$186-1)*MAX(0,1-35/Supuestos!$C$20))*(1-Supuestos!$C$18)^35))</f>
        <v>8.47078458343944E-008</v>
      </c>
      <c r="AM184" s="29" t="n">
        <f aca="false">AL184*(1-MIN(1,INDEX(Tabla_Mortalidad!$B$5:$B$75,MIN(71,Cartera_Polizas!$B$186+36-49))*(1+(Cartera_Polizas!$P$186-1)*MAX(0,1-36/Supuestos!$C$20))*(1-Supuestos!$C$18)^36))</f>
        <v>2.06307419652087E-008</v>
      </c>
      <c r="AN184" s="29" t="n">
        <f aca="false">AM184*(1-MIN(1,INDEX(Tabla_Mortalidad!$B$5:$B$75,MIN(71,Cartera_Polizas!$B$186+37-49))*(1+(Cartera_Polizas!$P$186-1)*MAX(0,1-37/Supuestos!$C$20))*(1-Supuestos!$C$18)^37))</f>
        <v>4.71554520338204E-009</v>
      </c>
      <c r="AO184" s="29" t="n">
        <f aca="false">AN184*(1-MIN(1,INDEX(Tabla_Mortalidad!$B$5:$B$75,MIN(71,Cartera_Polizas!$B$186+38-49))*(1+(Cartera_Polizas!$P$186-1)*MAX(0,1-38/Supuestos!$C$20))*(1-Supuestos!$C$18)^38))</f>
        <v>1.02248518334454E-009</v>
      </c>
      <c r="AP184" s="29" t="n">
        <f aca="false">AO184*(1-MIN(1,INDEX(Tabla_Mortalidad!$B$5:$B$75,MIN(71,Cartera_Polizas!$B$186+39-49))*(1+(Cartera_Polizas!$P$186-1)*MAX(0,1-39/Supuestos!$C$20))*(1-Supuestos!$C$18)^39))</f>
        <v>1.81560360250676E-010</v>
      </c>
      <c r="AQ184" s="29" t="n">
        <f aca="false">AP184*(1-MIN(1,INDEX(Tabla_Mortalidad!$B$5:$B$75,MIN(71,Cartera_Polizas!$B$186+40-49))*(1+(Cartera_Polizas!$P$186-1)*MAX(0,1-40/Supuestos!$C$20))*(1-Supuestos!$C$18)^40))</f>
        <v>3.29858642774225E-011</v>
      </c>
      <c r="AR184" s="29" t="n">
        <f aca="false">AQ184*(1-MIN(1,INDEX(Tabla_Mortalidad!$B$5:$B$75,MIN(71,Cartera_Polizas!$B$186+41-49))*(1+(Cartera_Polizas!$P$186-1)*MAX(0,1-41/Supuestos!$C$20))*(1-Supuestos!$C$18)^41))</f>
        <v>6.1278328121223E-012</v>
      </c>
      <c r="AS184" s="29" t="n">
        <f aca="false">AR184*(1-MIN(1,INDEX(Tabla_Mortalidad!$B$5:$B$75,MIN(71,Cartera_Polizas!$B$186+42-49))*(1+(Cartera_Polizas!$P$186-1)*MAX(0,1-42/Supuestos!$C$20))*(1-Supuestos!$C$18)^42))</f>
        <v>1.16332384936168E-012</v>
      </c>
      <c r="AT184" s="29" t="n">
        <f aca="false">AS184*(1-MIN(1,INDEX(Tabla_Mortalidad!$B$5:$B$75,MIN(71,Cartera_Polizas!$B$186+43-49))*(1+(Cartera_Polizas!$P$186-1)*MAX(0,1-43/Supuestos!$C$20))*(1-Supuestos!$C$18)^43))</f>
        <v>2.25560827009364E-013</v>
      </c>
      <c r="AU184" s="29" t="n">
        <f aca="false">AT184*(1-MIN(1,INDEX(Tabla_Mortalidad!$B$5:$B$75,MIN(71,Cartera_Polizas!$B$186+44-49))*(1+(Cartera_Polizas!$P$186-1)*MAX(0,1-44/Supuestos!$C$20))*(1-Supuestos!$C$18)^44))</f>
        <v>4.46438880488425E-014</v>
      </c>
    </row>
    <row r="185" customFormat="false" ht="15" hidden="false" customHeight="false" outlineLevel="0" collapsed="false">
      <c r="A185" s="14" t="n">
        <f aca="false">Cartera_Polizas!A187</f>
        <v>182</v>
      </c>
      <c r="B185" s="26" t="n">
        <f aca="false">SUM(C185:AU185)+0.5</f>
        <v>9.21453185671789</v>
      </c>
      <c r="C185" s="29" t="n">
        <f aca="false">1-MIN(1,INDEX(Tabla_Mortalidad!$B$5:$B$75,MIN(71,Cartera_Polizas!$B$187+0-49))*(1+(Cartera_Polizas!$P$187-1)*MAX(0,1-0/Supuestos!$C$20))*(1-Supuestos!$C$18)^0)</f>
        <v>0.942091534</v>
      </c>
      <c r="D185" s="29" t="n">
        <f aca="false">C185*(1-MIN(1,INDEX(Tabla_Mortalidad!$B$5:$B$75,MIN(71,Cartera_Polizas!$B$187+1-49))*(1+(Cartera_Polizas!$P$187-1)*MAX(0,1-1/Supuestos!$C$20))*(1-Supuestos!$C$18)^1))</f>
        <v>0.882914789010764</v>
      </c>
      <c r="E185" s="29" t="n">
        <f aca="false">D185*(1-MIN(1,INDEX(Tabla_Mortalidad!$B$5:$B$75,MIN(71,Cartera_Polizas!$B$187+2-49))*(1+(Cartera_Polizas!$P$187-1)*MAX(0,1-2/Supuestos!$C$20))*(1-Supuestos!$C$18)^2))</f>
        <v>0.822799983096696</v>
      </c>
      <c r="F185" s="29" t="n">
        <f aca="false">E185*(1-MIN(1,INDEX(Tabla_Mortalidad!$B$5:$B$75,MIN(71,Cartera_Polizas!$B$187+3-49))*(1+(Cartera_Polizas!$P$187-1)*MAX(0,1-3/Supuestos!$C$20))*(1-Supuestos!$C$18)^3))</f>
        <v>0.762122694331024</v>
      </c>
      <c r="G185" s="29" t="n">
        <f aca="false">F185*(1-MIN(1,INDEX(Tabla_Mortalidad!$B$5:$B$75,MIN(71,Cartera_Polizas!$B$187+4-49))*(1+(Cartera_Polizas!$P$187-1)*MAX(0,1-4/Supuestos!$C$20))*(1-Supuestos!$C$18)^4))</f>
        <v>0.701301789955582</v>
      </c>
      <c r="H185" s="29" t="n">
        <f aca="false">G185*(1-MIN(1,INDEX(Tabla_Mortalidad!$B$5:$B$75,MIN(71,Cartera_Polizas!$B$187+5-49))*(1+(Cartera_Polizas!$P$187-1)*MAX(0,1-5/Supuestos!$C$20))*(1-Supuestos!$C$18)^5))</f>
        <v>0.640790747792699</v>
      </c>
      <c r="I185" s="29" t="n">
        <f aca="false">H185*(1-MIN(1,INDEX(Tabla_Mortalidad!$B$5:$B$75,MIN(71,Cartera_Polizas!$B$187+6-49))*(1+(Cartera_Polizas!$P$187-1)*MAX(0,1-6/Supuestos!$C$20))*(1-Supuestos!$C$18)^6))</f>
        <v>0.581068896396485</v>
      </c>
      <c r="J185" s="29" t="n">
        <f aca="false">I185*(1-MIN(1,INDEX(Tabla_Mortalidad!$B$5:$B$75,MIN(71,Cartera_Polizas!$B$187+7-49))*(1+(Cartera_Polizas!$P$187-1)*MAX(0,1-7/Supuestos!$C$20))*(1-Supuestos!$C$18)^7))</f>
        <v>0.522634345426567</v>
      </c>
      <c r="K185" s="29" t="n">
        <f aca="false">J185*(1-MIN(1,INDEX(Tabla_Mortalidad!$B$5:$B$75,MIN(71,Cartera_Polizas!$B$187+8-49))*(1+(Cartera_Polizas!$P$187-1)*MAX(0,1-8/Supuestos!$C$20))*(1-Supuestos!$C$18)^8))</f>
        <v>0.465986293048287</v>
      </c>
      <c r="L185" s="29" t="n">
        <f aca="false">K185*(1-MIN(1,INDEX(Tabla_Mortalidad!$B$5:$B$75,MIN(71,Cartera_Polizas!$B$187+9-49))*(1+(Cartera_Polizas!$P$187-1)*MAX(0,1-9/Supuestos!$C$20))*(1-Supuestos!$C$18)^9))</f>
        <v>0.411614733935186</v>
      </c>
      <c r="M185" s="29" t="n">
        <f aca="false">L185*(1-MIN(1,INDEX(Tabla_Mortalidad!$B$5:$B$75,MIN(71,Cartera_Polizas!$B$187+10-49))*(1+(Cartera_Polizas!$P$187-1)*MAX(0,1-10/Supuestos!$C$20))*(1-Supuestos!$C$18)^10))</f>
        <v>0.359981185515601</v>
      </c>
      <c r="N185" s="29" t="n">
        <f aca="false">M185*(1-MIN(1,INDEX(Tabla_Mortalidad!$B$5:$B$75,MIN(71,Cartera_Polizas!$B$187+11-49))*(1+(Cartera_Polizas!$P$187-1)*MAX(0,1-11/Supuestos!$C$20))*(1-Supuestos!$C$18)^11))</f>
        <v>0.311502919079022</v>
      </c>
      <c r="O185" s="29" t="n">
        <f aca="false">N185*(1-MIN(1,INDEX(Tabla_Mortalidad!$B$5:$B$75,MIN(71,Cartera_Polizas!$B$187+12-49))*(1+(Cartera_Polizas!$P$187-1)*MAX(0,1-12/Supuestos!$C$20))*(1-Supuestos!$C$18)^12))</f>
        <v>0.266536437171064</v>
      </c>
      <c r="P185" s="29" t="n">
        <f aca="false">O185*(1-MIN(1,INDEX(Tabla_Mortalidad!$B$5:$B$75,MIN(71,Cartera_Polizas!$B$187+13-49))*(1+(Cartera_Polizas!$P$187-1)*MAX(0,1-13/Supuestos!$C$20))*(1-Supuestos!$C$18)^13))</f>
        <v>0.225362881185496</v>
      </c>
      <c r="Q185" s="29" t="n">
        <f aca="false">P185*(1-MIN(1,INDEX(Tabla_Mortalidad!$B$5:$B$75,MIN(71,Cartera_Polizas!$B$187+14-49))*(1+(Cartera_Polizas!$P$187-1)*MAX(0,1-14/Supuestos!$C$20))*(1-Supuestos!$C$18)^14))</f>
        <v>0.188175897310515</v>
      </c>
      <c r="R185" s="29" t="n">
        <f aca="false">Q185*(1-MIN(1,INDEX(Tabla_Mortalidad!$B$5:$B$75,MIN(71,Cartera_Polizas!$B$187+15-49))*(1+(Cartera_Polizas!$P$187-1)*MAX(0,1-15/Supuestos!$C$20))*(1-Supuestos!$C$18)^15))</f>
        <v>0.15507287598662</v>
      </c>
      <c r="S185" s="29" t="n">
        <f aca="false">R185*(1-MIN(1,INDEX(Tabla_Mortalidad!$B$5:$B$75,MIN(71,Cartera_Polizas!$B$187+16-49))*(1+(Cartera_Polizas!$P$187-1)*MAX(0,1-16/Supuestos!$C$20))*(1-Supuestos!$C$18)^16))</f>
        <v>0.125127976387072</v>
      </c>
      <c r="T185" s="29" t="n">
        <f aca="false">S185*(1-MIN(1,INDEX(Tabla_Mortalidad!$B$5:$B$75,MIN(71,Cartera_Polizas!$B$187+17-49))*(1+(Cartera_Polizas!$P$187-1)*MAX(0,1-17/Supuestos!$C$20))*(1-Supuestos!$C$18)^17))</f>
        <v>0.0986397108971783</v>
      </c>
      <c r="U185" s="29" t="n">
        <f aca="false">T185*(1-MIN(1,INDEX(Tabla_Mortalidad!$B$5:$B$75,MIN(71,Cartera_Polizas!$B$187+18-49))*(1+(Cartera_Polizas!$P$187-1)*MAX(0,1-18/Supuestos!$C$20))*(1-Supuestos!$C$18)^18))</f>
        <v>0.0757818634121289</v>
      </c>
      <c r="V185" s="29" t="n">
        <f aca="false">U185*(1-MIN(1,INDEX(Tabla_Mortalidad!$B$5:$B$75,MIN(71,Cartera_Polizas!$B$187+19-49))*(1+(Cartera_Polizas!$P$187-1)*MAX(0,1-19/Supuestos!$C$20))*(1-Supuestos!$C$18)^19))</f>
        <v>0.0565890024411839</v>
      </c>
      <c r="W185" s="29" t="n">
        <f aca="false">V185*(1-MIN(1,INDEX(Tabla_Mortalidad!$B$5:$B$75,MIN(71,Cartera_Polizas!$B$187+20-49))*(1+(Cartera_Polizas!$P$187-1)*MAX(0,1-20/Supuestos!$C$20))*(1-Supuestos!$C$18)^20))</f>
        <v>0.0409528124447316</v>
      </c>
      <c r="X185" s="29" t="n">
        <f aca="false">W185*(1-MIN(1,INDEX(Tabla_Mortalidad!$B$5:$B$75,MIN(71,Cartera_Polizas!$B$187+21-49))*(1+(Cartera_Polizas!$P$187-1)*MAX(0,1-21/Supuestos!$C$20))*(1-Supuestos!$C$18)^21))</f>
        <v>0.0286312486643319</v>
      </c>
      <c r="Y185" s="29" t="n">
        <f aca="false">X185*(1-MIN(1,INDEX(Tabla_Mortalidad!$B$5:$B$75,MIN(71,Cartera_Polizas!$B$187+22-49))*(1+(Cartera_Polizas!$P$187-1)*MAX(0,1-22/Supuestos!$C$20))*(1-Supuestos!$C$18)^22))</f>
        <v>0.0192711806788008</v>
      </c>
      <c r="Z185" s="29" t="n">
        <f aca="false">Y185*(1-MIN(1,INDEX(Tabla_Mortalidad!$B$5:$B$75,MIN(71,Cartera_Polizas!$B$187+23-49))*(1+(Cartera_Polizas!$P$187-1)*MAX(0,1-23/Supuestos!$C$20))*(1-Supuestos!$C$18)^23))</f>
        <v>0.0124416743593589</v>
      </c>
      <c r="AA185" s="29" t="n">
        <f aca="false">Z185*(1-MIN(1,INDEX(Tabla_Mortalidad!$B$5:$B$75,MIN(71,Cartera_Polizas!$B$187+24-49))*(1+(Cartera_Polizas!$P$187-1)*MAX(0,1-24/Supuestos!$C$20))*(1-Supuestos!$C$18)^24))</f>
        <v>0.00767414458860387</v>
      </c>
      <c r="AB185" s="29" t="n">
        <f aca="false">AA185*(1-MIN(1,INDEX(Tabla_Mortalidad!$B$5:$B$75,MIN(71,Cartera_Polizas!$B$187+25-49))*(1+(Cartera_Polizas!$P$187-1)*MAX(0,1-25/Supuestos!$C$20))*(1-Supuestos!$C$18)^25))</f>
        <v>0.00450334898228179</v>
      </c>
      <c r="AC185" s="29" t="n">
        <f aca="false">AB185*(1-MIN(1,INDEX(Tabla_Mortalidad!$B$5:$B$75,MIN(71,Cartera_Polizas!$B$187+26-49))*(1+(Cartera_Polizas!$P$187-1)*MAX(0,1-26/Supuestos!$C$20))*(1-Supuestos!$C$18)^26))</f>
        <v>0.00250310980972306</v>
      </c>
      <c r="AD185" s="29" t="n">
        <f aca="false">AC185*(1-MIN(1,INDEX(Tabla_Mortalidad!$B$5:$B$75,MIN(71,Cartera_Polizas!$B$187+27-49))*(1+(Cartera_Polizas!$P$187-1)*MAX(0,1-27/Supuestos!$C$20))*(1-Supuestos!$C$18)^27))</f>
        <v>0.00131184166417556</v>
      </c>
      <c r="AE185" s="29" t="n">
        <f aca="false">AD185*(1-MIN(1,INDEX(Tabla_Mortalidad!$B$5:$B$75,MIN(71,Cartera_Polizas!$B$187+28-49))*(1+(Cartera_Polizas!$P$187-1)*MAX(0,1-28/Supuestos!$C$20))*(1-Supuestos!$C$18)^28))</f>
        <v>0.000645253184552936</v>
      </c>
      <c r="AF185" s="29" t="n">
        <f aca="false">AE185*(1-MIN(1,INDEX(Tabla_Mortalidad!$B$5:$B$75,MIN(71,Cartera_Polizas!$B$187+29-49))*(1+(Cartera_Polizas!$P$187-1)*MAX(0,1-29/Supuestos!$C$20))*(1-Supuestos!$C$18)^29))</f>
        <v>0.000296510962622777</v>
      </c>
      <c r="AG185" s="29" t="n">
        <f aca="false">AF185*(1-MIN(1,INDEX(Tabla_Mortalidad!$B$5:$B$75,MIN(71,Cartera_Polizas!$B$187+30-49))*(1+(Cartera_Polizas!$P$187-1)*MAX(0,1-30/Supuestos!$C$20))*(1-Supuestos!$C$18)^30))</f>
        <v>0.000126744511645735</v>
      </c>
      <c r="AH185" s="29" t="n">
        <f aca="false">AG185*(1-MIN(1,INDEX(Tabla_Mortalidad!$B$5:$B$75,MIN(71,Cartera_Polizas!$B$187+31-49))*(1+(Cartera_Polizas!$P$187-1)*MAX(0,1-31/Supuestos!$C$20))*(1-Supuestos!$C$18)^31))</f>
        <v>5.02005557681735E-005</v>
      </c>
      <c r="AI185" s="29" t="n">
        <f aca="false">AH185*(1-MIN(1,INDEX(Tabla_Mortalidad!$B$5:$B$75,MIN(71,Cartera_Polizas!$B$187+32-49))*(1+(Cartera_Polizas!$P$187-1)*MAX(0,1-32/Supuestos!$C$20))*(1-Supuestos!$C$18)^32))</f>
        <v>1.83661148212762E-005</v>
      </c>
      <c r="AJ185" s="29" t="n">
        <f aca="false">AI185*(1-MIN(1,INDEX(Tabla_Mortalidad!$B$5:$B$75,MIN(71,Cartera_Polizas!$B$187+33-49))*(1+(Cartera_Polizas!$P$187-1)*MAX(0,1-33/Supuestos!$C$20))*(1-Supuestos!$C$18)^33))</f>
        <v>6.194040135709E-006</v>
      </c>
      <c r="AK185" s="29" t="n">
        <f aca="false">AJ185*(1-MIN(1,INDEX(Tabla_Mortalidad!$B$5:$B$75,MIN(71,Cartera_Polizas!$B$187+34-49))*(1+(Cartera_Polizas!$P$187-1)*MAX(0,1-34/Supuestos!$C$20))*(1-Supuestos!$C$18)^34))</f>
        <v>1.92463509210473E-006</v>
      </c>
      <c r="AL185" s="29" t="n">
        <f aca="false">AK185*(1-MIN(1,INDEX(Tabla_Mortalidad!$B$5:$B$75,MIN(71,Cartera_Polizas!$B$187+35-49))*(1+(Cartera_Polizas!$P$187-1)*MAX(0,1-35/Supuestos!$C$20))*(1-Supuestos!$C$18)^35))</f>
        <v>5.51750896906547E-007</v>
      </c>
      <c r="AM185" s="29" t="n">
        <f aca="false">AL185*(1-MIN(1,INDEX(Tabla_Mortalidad!$B$5:$B$75,MIN(71,Cartera_Polizas!$B$187+36-49))*(1+(Cartera_Polizas!$P$187-1)*MAX(0,1-36/Supuestos!$C$20))*(1-Supuestos!$C$18)^36))</f>
        <v>1.46470182706996E-007</v>
      </c>
      <c r="AN185" s="29" t="n">
        <f aca="false">AM185*(1-MIN(1,INDEX(Tabla_Mortalidad!$B$5:$B$75,MIN(71,Cartera_Polizas!$B$187+37-49))*(1+(Cartera_Polizas!$P$187-1)*MAX(0,1-37/Supuestos!$C$20))*(1-Supuestos!$C$18)^37))</f>
        <v>3.62270512294655E-008</v>
      </c>
      <c r="AO185" s="29" t="n">
        <f aca="false">AN185*(1-MIN(1,INDEX(Tabla_Mortalidad!$B$5:$B$75,MIN(71,Cartera_Polizas!$B$187+38-49))*(1+(Cartera_Polizas!$P$187-1)*MAX(0,1-38/Supuestos!$C$20))*(1-Supuestos!$C$18)^38))</f>
        <v>8.42010923275648E-009</v>
      </c>
      <c r="AP185" s="29" t="n">
        <f aca="false">AO185*(1-MIN(1,INDEX(Tabla_Mortalidad!$B$5:$B$75,MIN(71,Cartera_Polizas!$B$187+39-49))*(1+(Cartera_Polizas!$P$187-1)*MAX(0,1-39/Supuestos!$C$20))*(1-Supuestos!$C$18)^39))</f>
        <v>1.8587281848574E-009</v>
      </c>
      <c r="AQ185" s="29" t="n">
        <f aca="false">AP185*(1-MIN(1,INDEX(Tabla_Mortalidad!$B$5:$B$75,MIN(71,Cartera_Polizas!$B$187+40-49))*(1+(Cartera_Polizas!$P$187-1)*MAX(0,1-40/Supuestos!$C$20))*(1-Supuestos!$C$18)^40))</f>
        <v>3.37693511676636E-010</v>
      </c>
      <c r="AR185" s="29" t="n">
        <f aca="false">AQ185*(1-MIN(1,INDEX(Tabla_Mortalidad!$B$5:$B$75,MIN(71,Cartera_Polizas!$B$187+41-49))*(1+(Cartera_Polizas!$P$187-1)*MAX(0,1-41/Supuestos!$C$20))*(1-Supuestos!$C$18)^41))</f>
        <v>6.27338233095583E-011</v>
      </c>
      <c r="AS185" s="29" t="n">
        <f aca="false">AR185*(1-MIN(1,INDEX(Tabla_Mortalidad!$B$5:$B$75,MIN(71,Cartera_Polizas!$B$187+42-49))*(1+(Cartera_Polizas!$P$187-1)*MAX(0,1-42/Supuestos!$C$20))*(1-Supuestos!$C$18)^42))</f>
        <v>1.19095535167474E-011</v>
      </c>
      <c r="AT185" s="29" t="n">
        <f aca="false">AS185*(1-MIN(1,INDEX(Tabla_Mortalidad!$B$5:$B$75,MIN(71,Cartera_Polizas!$B$187+43-49))*(1+(Cartera_Polizas!$P$187-1)*MAX(0,1-43/Supuestos!$C$20))*(1-Supuestos!$C$18)^43))</f>
        <v>2.30918393190668E-012</v>
      </c>
      <c r="AU185" s="29" t="n">
        <f aca="false">AT185*(1-MIN(1,INDEX(Tabla_Mortalidad!$B$5:$B$75,MIN(71,Cartera_Polizas!$B$187+44-49))*(1+(Cartera_Polizas!$P$187-1)*MAX(0,1-44/Supuestos!$C$20))*(1-Supuestos!$C$18)^44))</f>
        <v>4.57042786671232E-013</v>
      </c>
    </row>
    <row r="186" customFormat="false" ht="15" hidden="false" customHeight="false" outlineLevel="0" collapsed="false">
      <c r="A186" s="14" t="n">
        <f aca="false">Cartera_Polizas!A188</f>
        <v>183</v>
      </c>
      <c r="B186" s="26" t="n">
        <f aca="false">SUM(C186:AU186)+0.5</f>
        <v>6.23070247110097</v>
      </c>
      <c r="C186" s="29" t="n">
        <f aca="false">1-MIN(1,INDEX(Tabla_Mortalidad!$B$5:$B$75,MIN(71,Cartera_Polizas!$B$188+0-49))*(1+(Cartera_Polizas!$P$188-1)*MAX(0,1-0/Supuestos!$C$20))*(1-Supuestos!$C$18)^0)</f>
        <v>0.9007822</v>
      </c>
      <c r="D186" s="29" t="n">
        <f aca="false">C186*(1-MIN(1,INDEX(Tabla_Mortalidad!$B$5:$B$75,MIN(71,Cartera_Polizas!$B$188+1-49))*(1+(Cartera_Polizas!$P$188-1)*MAX(0,1-1/Supuestos!$C$20))*(1-Supuestos!$C$18)^1))</f>
        <v>0.803557222343157</v>
      </c>
      <c r="E186" s="29" t="n">
        <f aca="false">D186*(1-MIN(1,INDEX(Tabla_Mortalidad!$B$5:$B$75,MIN(71,Cartera_Polizas!$B$188+2-49))*(1+(Cartera_Polizas!$P$188-1)*MAX(0,1-2/Supuestos!$C$20))*(1-Supuestos!$C$18)^2))</f>
        <v>0.709278818257755</v>
      </c>
      <c r="F186" s="29" t="n">
        <f aca="false">E186*(1-MIN(1,INDEX(Tabla_Mortalidad!$B$5:$B$75,MIN(71,Cartera_Polizas!$B$188+3-49))*(1+(Cartera_Polizas!$P$188-1)*MAX(0,1-3/Supuestos!$C$20))*(1-Supuestos!$C$18)^3))</f>
        <v>0.618898233473647</v>
      </c>
      <c r="G186" s="29" t="n">
        <f aca="false">F186*(1-MIN(1,INDEX(Tabla_Mortalidad!$B$5:$B$75,MIN(71,Cartera_Polizas!$B$188+4-49))*(1+(Cartera_Polizas!$P$188-1)*MAX(0,1-4/Supuestos!$C$20))*(1-Supuestos!$C$18)^4))</f>
        <v>0.533324534488625</v>
      </c>
      <c r="H186" s="29" t="n">
        <f aca="false">G186*(1-MIN(1,INDEX(Tabla_Mortalidad!$B$5:$B$75,MIN(71,Cartera_Polizas!$B$188+5-49))*(1+(Cartera_Polizas!$P$188-1)*MAX(0,1-5/Supuestos!$C$20))*(1-Supuestos!$C$18)^5))</f>
        <v>0.453388924322234</v>
      </c>
      <c r="I186" s="29" t="n">
        <f aca="false">H186*(1-MIN(1,INDEX(Tabla_Mortalidad!$B$5:$B$75,MIN(71,Cartera_Polizas!$B$188+6-49))*(1+(Cartera_Polizas!$P$188-1)*MAX(0,1-6/Supuestos!$C$20))*(1-Supuestos!$C$18)^6))</f>
        <v>0.379806469713246</v>
      </c>
      <c r="J186" s="29" t="n">
        <f aca="false">I186*(1-MIN(1,INDEX(Tabla_Mortalidad!$B$5:$B$75,MIN(71,Cartera_Polizas!$B$188+7-49))*(1+(Cartera_Polizas!$P$188-1)*MAX(0,1-7/Supuestos!$C$20))*(1-Supuestos!$C$18)^7))</f>
        <v>0.313140613284139</v>
      </c>
      <c r="K186" s="29" t="n">
        <f aca="false">J186*(1-MIN(1,INDEX(Tabla_Mortalidad!$B$5:$B$75,MIN(71,Cartera_Polizas!$B$188+8-49))*(1+(Cartera_Polizas!$P$188-1)*MAX(0,1-8/Supuestos!$C$20))*(1-Supuestos!$C$18)^8))</f>
        <v>0.253772535434042</v>
      </c>
      <c r="L186" s="29" t="n">
        <f aca="false">K186*(1-MIN(1,INDEX(Tabla_Mortalidad!$B$5:$B$75,MIN(71,Cartera_Polizas!$B$188+9-49))*(1+(Cartera_Polizas!$P$188-1)*MAX(0,1-9/Supuestos!$C$20))*(1-Supuestos!$C$18)^9))</f>
        <v>0.201878329364852</v>
      </c>
      <c r="M186" s="29" t="n">
        <f aca="false">L186*(1-MIN(1,INDEX(Tabla_Mortalidad!$B$5:$B$75,MIN(71,Cartera_Polizas!$B$188+10-49))*(1+(Cartera_Polizas!$P$188-1)*MAX(0,1-10/Supuestos!$C$20))*(1-Supuestos!$C$18)^10))</f>
        <v>0.157419802677362</v>
      </c>
      <c r="N186" s="29" t="n">
        <f aca="false">M186*(1-MIN(1,INDEX(Tabla_Mortalidad!$B$5:$B$75,MIN(71,Cartera_Polizas!$B$188+11-49))*(1+(Cartera_Polizas!$P$188-1)*MAX(0,1-11/Supuestos!$C$20))*(1-Supuestos!$C$18)^11))</f>
        <v>0.120147766385899</v>
      </c>
      <c r="O186" s="29" t="n">
        <f aca="false">N186*(1-MIN(1,INDEX(Tabla_Mortalidad!$B$5:$B$75,MIN(71,Cartera_Polizas!$B$188+12-49))*(1+(Cartera_Polizas!$P$188-1)*MAX(0,1-12/Supuestos!$C$20))*(1-Supuestos!$C$18)^12))</f>
        <v>0.0896194829747753</v>
      </c>
      <c r="P186" s="29" t="n">
        <f aca="false">O186*(1-MIN(1,INDEX(Tabla_Mortalidad!$B$5:$B$75,MIN(71,Cartera_Polizas!$B$188+13-49))*(1+(Cartera_Polizas!$P$188-1)*MAX(0,1-13/Supuestos!$C$20))*(1-Supuestos!$C$18)^13))</f>
        <v>0.0652310511185098</v>
      </c>
      <c r="Q186" s="29" t="n">
        <f aca="false">P186*(1-MIN(1,INDEX(Tabla_Mortalidad!$B$5:$B$75,MIN(71,Cartera_Polizas!$B$188+14-49))*(1+(Cartera_Polizas!$P$188-1)*MAX(0,1-14/Supuestos!$C$20))*(1-Supuestos!$C$18)^14))</f>
        <v>0.0462603972905861</v>
      </c>
      <c r="R186" s="29" t="n">
        <f aca="false">Q186*(1-MIN(1,INDEX(Tabla_Mortalidad!$B$5:$B$75,MIN(71,Cartera_Polizas!$B$188+15-49))*(1+(Cartera_Polizas!$P$188-1)*MAX(0,1-15/Supuestos!$C$20))*(1-Supuestos!$C$18)^15))</f>
        <v>0.0319169688591599</v>
      </c>
      <c r="S186" s="29" t="n">
        <f aca="false">R186*(1-MIN(1,INDEX(Tabla_Mortalidad!$B$5:$B$75,MIN(71,Cartera_Polizas!$B$188+16-49))*(1+(Cartera_Polizas!$P$188-1)*MAX(0,1-16/Supuestos!$C$20))*(1-Supuestos!$C$18)^16))</f>
        <v>0.0211641613907059</v>
      </c>
      <c r="T186" s="29" t="n">
        <f aca="false">S186*(1-MIN(1,INDEX(Tabla_Mortalidad!$B$5:$B$75,MIN(71,Cartera_Polizas!$B$188+17-49))*(1+(Cartera_Polizas!$P$188-1)*MAX(0,1-17/Supuestos!$C$20))*(1-Supuestos!$C$18)^17))</f>
        <v>0.0134348008053689</v>
      </c>
      <c r="U186" s="29" t="n">
        <f aca="false">T186*(1-MIN(1,INDEX(Tabla_Mortalidad!$B$5:$B$75,MIN(71,Cartera_Polizas!$B$188+18-49))*(1+(Cartera_Polizas!$P$188-1)*MAX(0,1-18/Supuestos!$C$20))*(1-Supuestos!$C$18)^18))</f>
        <v>0.00812953276758736</v>
      </c>
      <c r="V186" s="29" t="n">
        <f aca="false">U186*(1-MIN(1,INDEX(Tabla_Mortalidad!$B$5:$B$75,MIN(71,Cartera_Polizas!$B$188+19-49))*(1+(Cartera_Polizas!$P$188-1)*MAX(0,1-19/Supuestos!$C$20))*(1-Supuestos!$C$18)^19))</f>
        <v>0.00466802451240112</v>
      </c>
      <c r="W186" s="29" t="n">
        <f aca="false">V186*(1-MIN(1,INDEX(Tabla_Mortalidad!$B$5:$B$75,MIN(71,Cartera_Polizas!$B$188+20-49))*(1+(Cartera_Polizas!$P$188-1)*MAX(0,1-20/Supuestos!$C$20))*(1-Supuestos!$C$18)^20))</f>
        <v>0.00253133721469559</v>
      </c>
      <c r="X186" s="29" t="n">
        <f aca="false">W186*(1-MIN(1,INDEX(Tabla_Mortalidad!$B$5:$B$75,MIN(71,Cartera_Polizas!$B$188+21-49))*(1+(Cartera_Polizas!$P$188-1)*MAX(0,1-21/Supuestos!$C$20))*(1-Supuestos!$C$18)^21))</f>
        <v>0.00128985315925122</v>
      </c>
      <c r="Y186" s="29" t="n">
        <f aca="false">X186*(1-MIN(1,INDEX(Tabla_Mortalidad!$B$5:$B$75,MIN(71,Cartera_Polizas!$B$188+22-49))*(1+(Cartera_Polizas!$P$188-1)*MAX(0,1-22/Supuestos!$C$20))*(1-Supuestos!$C$18)^22))</f>
        <v>0.000614426542678176</v>
      </c>
      <c r="Z186" s="29" t="n">
        <f aca="false">Y186*(1-MIN(1,INDEX(Tabla_Mortalidad!$B$5:$B$75,MIN(71,Cartera_Polizas!$B$188+23-49))*(1+(Cartera_Polizas!$P$188-1)*MAX(0,1-23/Supuestos!$C$20))*(1-Supuestos!$C$18)^23))</f>
        <v>0.000272206171737495</v>
      </c>
      <c r="AA186" s="29" t="n">
        <f aca="false">Z186*(1-MIN(1,INDEX(Tabla_Mortalidad!$B$5:$B$75,MIN(71,Cartera_Polizas!$B$188+24-49))*(1+(Cartera_Polizas!$P$188-1)*MAX(0,1-24/Supuestos!$C$20))*(1-Supuestos!$C$18)^24))</f>
        <v>0.000111596905419189</v>
      </c>
      <c r="AB186" s="29" t="n">
        <f aca="false">AA186*(1-MIN(1,INDEX(Tabla_Mortalidad!$B$5:$B$75,MIN(71,Cartera_Polizas!$B$188+25-49))*(1+(Cartera_Polizas!$P$188-1)*MAX(0,1-25/Supuestos!$C$20))*(1-Supuestos!$C$18)^25))</f>
        <v>4.21432019942017E-005</v>
      </c>
      <c r="AC186" s="29" t="n">
        <f aca="false">AB186*(1-MIN(1,INDEX(Tabla_Mortalidad!$B$5:$B$75,MIN(71,Cartera_Polizas!$B$188+26-49))*(1+(Cartera_Polizas!$P$188-1)*MAX(0,1-26/Supuestos!$C$20))*(1-Supuestos!$C$18)^26))</f>
        <v>1.46023261409081E-005</v>
      </c>
      <c r="AD186" s="29" t="n">
        <f aca="false">AC186*(1-MIN(1,INDEX(Tabla_Mortalidad!$B$5:$B$75,MIN(71,Cartera_Polizas!$B$188+27-49))*(1+(Cartera_Polizas!$P$188-1)*MAX(0,1-27/Supuestos!$C$20))*(1-Supuestos!$C$18)^27))</f>
        <v>4.62921008323648E-006</v>
      </c>
      <c r="AE186" s="29" t="n">
        <f aca="false">AD186*(1-MIN(1,INDEX(Tabla_Mortalidad!$B$5:$B$75,MIN(71,Cartera_Polizas!$B$188+28-49))*(1+(Cartera_Polizas!$P$188-1)*MAX(0,1-28/Supuestos!$C$20))*(1-Supuestos!$C$18)^28))</f>
        <v>1.34098339709279E-006</v>
      </c>
      <c r="AF186" s="29" t="n">
        <f aca="false">AE186*(1-MIN(1,INDEX(Tabla_Mortalidad!$B$5:$B$75,MIN(71,Cartera_Polizas!$B$188+29-49))*(1+(Cartera_Polizas!$P$188-1)*MAX(0,1-29/Supuestos!$C$20))*(1-Supuestos!$C$18)^29))</f>
        <v>3.55225144316616E-007</v>
      </c>
      <c r="AG186" s="29" t="n">
        <f aca="false">AF186*(1-MIN(1,INDEX(Tabla_Mortalidad!$B$5:$B$75,MIN(71,Cartera_Polizas!$B$188+30-49))*(1+(Cartera_Polizas!$P$188-1)*MAX(0,1-30/Supuestos!$C$20))*(1-Supuestos!$C$18)^30))</f>
        <v>8.63330059650021E-008</v>
      </c>
      <c r="AH186" s="29" t="n">
        <f aca="false">AG186*(1-MIN(1,INDEX(Tabla_Mortalidad!$B$5:$B$75,MIN(71,Cartera_Polizas!$B$188+31-49))*(1+(Cartera_Polizas!$P$188-1)*MAX(0,1-31/Supuestos!$C$20))*(1-Supuestos!$C$18)^31))</f>
        <v>1.93691126632179E-008</v>
      </c>
      <c r="AI186" s="29" t="n">
        <f aca="false">AH186*(1-MIN(1,INDEX(Tabla_Mortalidad!$B$5:$B$75,MIN(71,Cartera_Polizas!$B$188+32-49))*(1+(Cartera_Polizas!$P$188-1)*MAX(0,1-32/Supuestos!$C$20))*(1-Supuestos!$C$18)^32))</f>
        <v>4.04795835748162E-009</v>
      </c>
      <c r="AJ186" s="29" t="n">
        <f aca="false">AI186*(1-MIN(1,INDEX(Tabla_Mortalidad!$B$5:$B$75,MIN(71,Cartera_Polizas!$B$188+33-49))*(1+(Cartera_Polizas!$P$188-1)*MAX(0,1-33/Supuestos!$C$20))*(1-Supuestos!$C$18)^33))</f>
        <v>7.97271870169876E-010</v>
      </c>
      <c r="AK186" s="29" t="n">
        <f aca="false">AJ186*(1-MIN(1,INDEX(Tabla_Mortalidad!$B$5:$B$75,MIN(71,Cartera_Polizas!$B$188+34-49))*(1+(Cartera_Polizas!$P$188-1)*MAX(0,1-34/Supuestos!$C$20))*(1-Supuestos!$C$18)^34))</f>
        <v>1.24928407226766E-010</v>
      </c>
      <c r="AL186" s="29" t="n">
        <f aca="false">AK186*(1-MIN(1,INDEX(Tabla_Mortalidad!$B$5:$B$75,MIN(71,Cartera_Polizas!$B$188+35-49))*(1+(Cartera_Polizas!$P$188-1)*MAX(0,1-35/Supuestos!$C$20))*(1-Supuestos!$C$18)^35))</f>
        <v>2.01024036110491E-011</v>
      </c>
      <c r="AM186" s="29" t="n">
        <f aca="false">AL186*(1-MIN(1,INDEX(Tabla_Mortalidad!$B$5:$B$75,MIN(71,Cartera_Polizas!$B$188+36-49))*(1+(Cartera_Polizas!$P$188-1)*MAX(0,1-36/Supuestos!$C$20))*(1-Supuestos!$C$18)^36))</f>
        <v>3.31904418950092E-012</v>
      </c>
      <c r="AN186" s="29" t="n">
        <f aca="false">AM186*(1-MIN(1,INDEX(Tabla_Mortalidad!$B$5:$B$75,MIN(71,Cartera_Polizas!$B$188+37-49))*(1+(Cartera_Polizas!$P$188-1)*MAX(0,1-37/Supuestos!$C$20))*(1-Supuestos!$C$18)^37))</f>
        <v>5.61852110236897E-013</v>
      </c>
      <c r="AO186" s="29" t="n">
        <f aca="false">AN186*(1-MIN(1,INDEX(Tabla_Mortalidad!$B$5:$B$75,MIN(71,Cartera_Polizas!$B$188+38-49))*(1+(Cartera_Polizas!$P$188-1)*MAX(0,1-38/Supuestos!$C$20))*(1-Supuestos!$C$18)^38))</f>
        <v>9.74447600731109E-014</v>
      </c>
      <c r="AP186" s="29" t="n">
        <f aca="false">AO186*(1-MIN(1,INDEX(Tabla_Mortalidad!$B$5:$B$75,MIN(71,Cartera_Polizas!$B$188+39-49))*(1+(Cartera_Polizas!$P$188-1)*MAX(0,1-39/Supuestos!$C$20))*(1-Supuestos!$C$18)^39))</f>
        <v>1.73030436348661E-014</v>
      </c>
      <c r="AQ186" s="29" t="n">
        <f aca="false">AP186*(1-MIN(1,INDEX(Tabla_Mortalidad!$B$5:$B$75,MIN(71,Cartera_Polizas!$B$188+40-49))*(1+(Cartera_Polizas!$P$188-1)*MAX(0,1-40/Supuestos!$C$20))*(1-Supuestos!$C$18)^40))</f>
        <v>3.14361487352186E-015</v>
      </c>
      <c r="AR186" s="29" t="n">
        <f aca="false">AQ186*(1-MIN(1,INDEX(Tabla_Mortalidad!$B$5:$B$75,MIN(71,Cartera_Polizas!$B$188+41-49))*(1+(Cartera_Polizas!$P$188-1)*MAX(0,1-41/Supuestos!$C$20))*(1-Supuestos!$C$18)^41))</f>
        <v>5.83993986291518E-016</v>
      </c>
      <c r="AS186" s="29" t="n">
        <f aca="false">AR186*(1-MIN(1,INDEX(Tabla_Mortalidad!$B$5:$B$75,MIN(71,Cartera_Polizas!$B$188+42-49))*(1+(Cartera_Polizas!$P$188-1)*MAX(0,1-42/Supuestos!$C$20))*(1-Supuestos!$C$18)^42))</f>
        <v>1.10866949697577E-016</v>
      </c>
      <c r="AT186" s="29" t="n">
        <f aca="false">AS186*(1-MIN(1,INDEX(Tabla_Mortalidad!$B$5:$B$75,MIN(71,Cartera_Polizas!$B$188+43-49))*(1+(Cartera_Polizas!$P$188-1)*MAX(0,1-43/Supuestos!$C$20))*(1-Supuestos!$C$18)^43))</f>
        <v>2.14963708304549E-017</v>
      </c>
      <c r="AU186" s="29" t="n">
        <f aca="false">AT186*(1-MIN(1,INDEX(Tabla_Mortalidad!$B$5:$B$75,MIN(71,Cartera_Polizas!$B$188+44-49))*(1+(Cartera_Polizas!$P$188-1)*MAX(0,1-44/Supuestos!$C$20))*(1-Supuestos!$C$18)^44))</f>
        <v>4.25464645406443E-018</v>
      </c>
    </row>
    <row r="187" customFormat="false" ht="15" hidden="false" customHeight="false" outlineLevel="0" collapsed="false">
      <c r="A187" s="14" t="n">
        <f aca="false">Cartera_Polizas!A189</f>
        <v>184</v>
      </c>
      <c r="B187" s="26" t="n">
        <f aca="false">SUM(C187:AU187)+0.5</f>
        <v>7.15904155560467</v>
      </c>
      <c r="C187" s="29" t="n">
        <f aca="false">1-MIN(1,INDEX(Tabla_Mortalidad!$B$5:$B$75,MIN(71,Cartera_Polizas!$B$189+0-49))*(1+(Cartera_Polizas!$P$189-1)*MAX(0,1-0/Supuestos!$C$20))*(1-Supuestos!$C$18)^0)</f>
        <v>0.90787071</v>
      </c>
      <c r="D187" s="29" t="n">
        <f aca="false">C187*(1-MIN(1,INDEX(Tabla_Mortalidad!$B$5:$B$75,MIN(71,Cartera_Polizas!$B$189+1-49))*(1+(Cartera_Polizas!$P$189-1)*MAX(0,1-1/Supuestos!$C$20))*(1-Supuestos!$C$18)^1))</f>
        <v>0.818433044319765</v>
      </c>
      <c r="E187" s="29" t="n">
        <f aca="false">D187*(1-MIN(1,INDEX(Tabla_Mortalidad!$B$5:$B$75,MIN(71,Cartera_Polizas!$B$189+2-49))*(1+(Cartera_Polizas!$P$189-1)*MAX(0,1-2/Supuestos!$C$20))*(1-Supuestos!$C$18)^2))</f>
        <v>0.732355515976103</v>
      </c>
      <c r="F187" s="29" t="n">
        <f aca="false">E187*(1-MIN(1,INDEX(Tabla_Mortalidad!$B$5:$B$75,MIN(71,Cartera_Polizas!$B$189+3-49))*(1+(Cartera_Polizas!$P$189-1)*MAX(0,1-3/Supuestos!$C$20))*(1-Supuestos!$C$18)^3))</f>
        <v>0.650267610436683</v>
      </c>
      <c r="G187" s="29" t="n">
        <f aca="false">F187*(1-MIN(1,INDEX(Tabla_Mortalidad!$B$5:$B$75,MIN(71,Cartera_Polizas!$B$189+4-49))*(1+(Cartera_Polizas!$P$189-1)*MAX(0,1-4/Supuestos!$C$20))*(1-Supuestos!$C$18)^4))</f>
        <v>0.572735552417977</v>
      </c>
      <c r="H187" s="29" t="n">
        <f aca="false">G187*(1-MIN(1,INDEX(Tabla_Mortalidad!$B$5:$B$75,MIN(71,Cartera_Polizas!$B$189+5-49))*(1+(Cartera_Polizas!$P$189-1)*MAX(0,1-5/Supuestos!$C$20))*(1-Supuestos!$C$18)^5))</f>
        <v>0.500242946257768</v>
      </c>
      <c r="I187" s="29" t="n">
        <f aca="false">H187*(1-MIN(1,INDEX(Tabla_Mortalidad!$B$5:$B$75,MIN(71,Cartera_Polizas!$B$189+6-49))*(1+(Cartera_Polizas!$P$189-1)*MAX(0,1-6/Supuestos!$C$20))*(1-Supuestos!$C$18)^6))</f>
        <v>0.433178515087024</v>
      </c>
      <c r="J187" s="29" t="n">
        <f aca="false">I187*(1-MIN(1,INDEX(Tabla_Mortalidad!$B$5:$B$75,MIN(71,Cartera_Polizas!$B$189+7-49))*(1+(Cartera_Polizas!$P$189-1)*MAX(0,1-7/Supuestos!$C$20))*(1-Supuestos!$C$18)^7))</f>
        <v>0.371816882581834</v>
      </c>
      <c r="K187" s="29" t="n">
        <f aca="false">J187*(1-MIN(1,INDEX(Tabla_Mortalidad!$B$5:$B$75,MIN(71,Cartera_Polizas!$B$189+8-49))*(1+(Cartera_Polizas!$P$189-1)*MAX(0,1-8/Supuestos!$C$20))*(1-Supuestos!$C$18)^8))</f>
        <v>0.316315178042703</v>
      </c>
      <c r="L187" s="29" t="n">
        <f aca="false">K187*(1-MIN(1,INDEX(Tabla_Mortalidad!$B$5:$B$75,MIN(71,Cartera_Polizas!$B$189+9-49))*(1+(Cartera_Polizas!$P$189-1)*MAX(0,1-9/Supuestos!$C$20))*(1-Supuestos!$C$18)^9))</f>
        <v>0.266706093382899</v>
      </c>
      <c r="M187" s="29" t="n">
        <f aca="false">L187*(1-MIN(1,INDEX(Tabla_Mortalidad!$B$5:$B$75,MIN(71,Cartera_Polizas!$B$189+10-49))*(1+(Cartera_Polizas!$P$189-1)*MAX(0,1-10/Supuestos!$C$20))*(1-Supuestos!$C$18)^10))</f>
        <v>0.222901566145514</v>
      </c>
      <c r="N187" s="29" t="n">
        <f aca="false">M187*(1-MIN(1,INDEX(Tabla_Mortalidad!$B$5:$B$75,MIN(71,Cartera_Polizas!$B$189+11-49))*(1+(Cartera_Polizas!$P$189-1)*MAX(0,1-11/Supuestos!$C$20))*(1-Supuestos!$C$18)^11))</f>
        <v>0.184701006393358</v>
      </c>
      <c r="O187" s="29" t="n">
        <f aca="false">N187*(1-MIN(1,INDEX(Tabla_Mortalidad!$B$5:$B$75,MIN(71,Cartera_Polizas!$B$189+12-49))*(1+(Cartera_Polizas!$P$189-1)*MAX(0,1-12/Supuestos!$C$20))*(1-Supuestos!$C$18)^12))</f>
        <v>0.15180525539192</v>
      </c>
      <c r="P187" s="29" t="n">
        <f aca="false">O187*(1-MIN(1,INDEX(Tabla_Mortalidad!$B$5:$B$75,MIN(71,Cartera_Polizas!$B$189+13-49))*(1+(Cartera_Polizas!$P$189-1)*MAX(0,1-13/Supuestos!$C$20))*(1-Supuestos!$C$18)^13))</f>
        <v>0.123834660786677</v>
      </c>
      <c r="Q187" s="29" t="n">
        <f aca="false">P187*(1-MIN(1,INDEX(Tabla_Mortalidad!$B$5:$B$75,MIN(71,Cartera_Polizas!$B$189+14-49))*(1+(Cartera_Polizas!$P$189-1)*MAX(0,1-14/Supuestos!$C$20))*(1-Supuestos!$C$18)^14))</f>
        <v>0.100349823188597</v>
      </c>
      <c r="R187" s="29" t="n">
        <f aca="false">Q187*(1-MIN(1,INDEX(Tabla_Mortalidad!$B$5:$B$75,MIN(71,Cartera_Polizas!$B$189+15-49))*(1+(Cartera_Polizas!$P$189-1)*MAX(0,1-15/Supuestos!$C$20))*(1-Supuestos!$C$18)^15))</f>
        <v>0.0808746848735047</v>
      </c>
      <c r="S187" s="29" t="n">
        <f aca="false">R187*(1-MIN(1,INDEX(Tabla_Mortalidad!$B$5:$B$75,MIN(71,Cartera_Polizas!$B$189+16-49))*(1+(Cartera_Polizas!$P$189-1)*MAX(0,1-16/Supuestos!$C$20))*(1-Supuestos!$C$18)^16))</f>
        <v>0.0636683401214724</v>
      </c>
      <c r="T187" s="29" t="n">
        <f aca="false">S187*(1-MIN(1,INDEX(Tabla_Mortalidad!$B$5:$B$75,MIN(71,Cartera_Polizas!$B$189+17-49))*(1+(Cartera_Polizas!$P$189-1)*MAX(0,1-17/Supuestos!$C$20))*(1-Supuestos!$C$18)^17))</f>
        <v>0.0488402919984641</v>
      </c>
      <c r="U187" s="29" t="n">
        <f aca="false">T187*(1-MIN(1,INDEX(Tabla_Mortalidad!$B$5:$B$75,MIN(71,Cartera_Polizas!$B$189+18-49))*(1+(Cartera_Polizas!$P$189-1)*MAX(0,1-18/Supuestos!$C$20))*(1-Supuestos!$C$18)^18))</f>
        <v>0.0364086181289627</v>
      </c>
      <c r="V187" s="29" t="n">
        <f aca="false">U187*(1-MIN(1,INDEX(Tabla_Mortalidad!$B$5:$B$75,MIN(71,Cartera_Polizas!$B$189+19-49))*(1+(Cartera_Polizas!$P$189-1)*MAX(0,1-19/Supuestos!$C$20))*(1-Supuestos!$C$18)^19))</f>
        <v>0.0262979462658009</v>
      </c>
      <c r="W187" s="29" t="n">
        <f aca="false">V187*(1-MIN(1,INDEX(Tabla_Mortalidad!$B$5:$B$75,MIN(71,Cartera_Polizas!$B$189+20-49))*(1+(Cartera_Polizas!$P$189-1)*MAX(0,1-20/Supuestos!$C$20))*(1-Supuestos!$C$18)^20))</f>
        <v>0.0183458642626126</v>
      </c>
      <c r="X187" s="29" t="n">
        <f aca="false">W187*(1-MIN(1,INDEX(Tabla_Mortalidad!$B$5:$B$75,MIN(71,Cartera_Polizas!$B$189+21-49))*(1+(Cartera_Polizas!$P$189-1)*MAX(0,1-21/Supuestos!$C$20))*(1-Supuestos!$C$18)^21))</f>
        <v>0.0123181340020657</v>
      </c>
      <c r="Y187" s="29" t="n">
        <f aca="false">X187*(1-MIN(1,INDEX(Tabla_Mortalidad!$B$5:$B$75,MIN(71,Cartera_Polizas!$B$189+22-49))*(1+(Cartera_Polizas!$P$189-1)*MAX(0,1-22/Supuestos!$C$20))*(1-Supuestos!$C$18)^22))</f>
        <v>0.00793077844621528</v>
      </c>
      <c r="Z187" s="29" t="n">
        <f aca="false">Y187*(1-MIN(1,INDEX(Tabla_Mortalidad!$B$5:$B$75,MIN(71,Cartera_Polizas!$B$189+23-49))*(1+(Cartera_Polizas!$P$189-1)*MAX(0,1-23/Supuestos!$C$20))*(1-Supuestos!$C$18)^23))</f>
        <v>0.00487650919214709</v>
      </c>
      <c r="AA187" s="29" t="n">
        <f aca="false">Z187*(1-MIN(1,INDEX(Tabla_Mortalidad!$B$5:$B$75,MIN(71,Cartera_Polizas!$B$189+24-49))*(1+(Cartera_Polizas!$P$189-1)*MAX(0,1-24/Supuestos!$C$20))*(1-Supuestos!$C$18)^24))</f>
        <v>0.00285151287969919</v>
      </c>
      <c r="AB187" s="29" t="n">
        <f aca="false">AA187*(1-MIN(1,INDEX(Tabla_Mortalidad!$B$5:$B$75,MIN(71,Cartera_Polizas!$B$189+25-49))*(1+(Cartera_Polizas!$P$189-1)*MAX(0,1-25/Supuestos!$C$20))*(1-Supuestos!$C$18)^25))</f>
        <v>0.00157860029094819</v>
      </c>
      <c r="AC187" s="29" t="n">
        <f aca="false">AB187*(1-MIN(1,INDEX(Tabla_Mortalidad!$B$5:$B$75,MIN(71,Cartera_Polizas!$B$189+26-49))*(1+(Cartera_Polizas!$P$189-1)*MAX(0,1-26/Supuestos!$C$20))*(1-Supuestos!$C$18)^26))</f>
        <v>0.000823545053388402</v>
      </c>
      <c r="AD187" s="29" t="n">
        <f aca="false">AC187*(1-MIN(1,INDEX(Tabla_Mortalidad!$B$5:$B$75,MIN(71,Cartera_Polizas!$B$189+27-49))*(1+(Cartera_Polizas!$P$189-1)*MAX(0,1-27/Supuestos!$C$20))*(1-Supuestos!$C$18)^27))</f>
        <v>0.000402972753058622</v>
      </c>
      <c r="AE187" s="29" t="n">
        <f aca="false">AD187*(1-MIN(1,INDEX(Tabla_Mortalidad!$B$5:$B$75,MIN(71,Cartera_Polizas!$B$189+28-49))*(1+(Cartera_Polizas!$P$189-1)*MAX(0,1-28/Supuestos!$C$20))*(1-Supuestos!$C$18)^28))</f>
        <v>0.00018408222183476</v>
      </c>
      <c r="AF187" s="29" t="n">
        <f aca="false">AE187*(1-MIN(1,INDEX(Tabla_Mortalidad!$B$5:$B$75,MIN(71,Cartera_Polizas!$B$189+29-49))*(1+(Cartera_Polizas!$P$189-1)*MAX(0,1-29/Supuestos!$C$20))*(1-Supuestos!$C$18)^29))</f>
        <v>7.8156878167457E-005</v>
      </c>
      <c r="AG187" s="29" t="n">
        <f aca="false">AF187*(1-MIN(1,INDEX(Tabla_Mortalidad!$B$5:$B$75,MIN(71,Cartera_Polizas!$B$189+30-49))*(1+(Cartera_Polizas!$P$189-1)*MAX(0,1-30/Supuestos!$C$20))*(1-Supuestos!$C$18)^30))</f>
        <v>3.07189335057465E-005</v>
      </c>
      <c r="AH187" s="29" t="n">
        <f aca="false">AG187*(1-MIN(1,INDEX(Tabla_Mortalidad!$B$5:$B$75,MIN(71,Cartera_Polizas!$B$189+31-49))*(1+(Cartera_Polizas!$P$189-1)*MAX(0,1-31/Supuestos!$C$20))*(1-Supuestos!$C$18)^31))</f>
        <v>1.11407788253793E-005</v>
      </c>
      <c r="AI187" s="29" t="n">
        <f aca="false">AH187*(1-MIN(1,INDEX(Tabla_Mortalidad!$B$5:$B$75,MIN(71,Cartera_Polizas!$B$189+32-49))*(1+(Cartera_Polizas!$P$189-1)*MAX(0,1-32/Supuestos!$C$20))*(1-Supuestos!$C$18)^32))</f>
        <v>3.72016578884387E-006</v>
      </c>
      <c r="AJ187" s="29" t="n">
        <f aca="false">AI187*(1-MIN(1,INDEX(Tabla_Mortalidad!$B$5:$B$75,MIN(71,Cartera_Polizas!$B$189+33-49))*(1+(Cartera_Polizas!$P$189-1)*MAX(0,1-33/Supuestos!$C$20))*(1-Supuestos!$C$18)^33))</f>
        <v>1.14305815427739E-006</v>
      </c>
      <c r="AK187" s="29" t="n">
        <f aca="false">AJ187*(1-MIN(1,INDEX(Tabla_Mortalidad!$B$5:$B$75,MIN(71,Cartera_Polizas!$B$189+34-49))*(1+(Cartera_Polizas!$P$189-1)*MAX(0,1-34/Supuestos!$C$20))*(1-Supuestos!$C$18)^34))</f>
        <v>3.23592509933103E-007</v>
      </c>
      <c r="AL187" s="29" t="n">
        <f aca="false">AK187*(1-MIN(1,INDEX(Tabla_Mortalidad!$B$5:$B$75,MIN(71,Cartera_Polizas!$B$189+35-49))*(1+(Cartera_Polizas!$P$189-1)*MAX(0,1-35/Supuestos!$C$20))*(1-Supuestos!$C$18)^35))</f>
        <v>8.47078458343944E-008</v>
      </c>
      <c r="AM187" s="29" t="n">
        <f aca="false">AL187*(1-MIN(1,INDEX(Tabla_Mortalidad!$B$5:$B$75,MIN(71,Cartera_Polizas!$B$189+36-49))*(1+(Cartera_Polizas!$P$189-1)*MAX(0,1-36/Supuestos!$C$20))*(1-Supuestos!$C$18)^36))</f>
        <v>2.06307419652087E-008</v>
      </c>
      <c r="AN187" s="29" t="n">
        <f aca="false">AM187*(1-MIN(1,INDEX(Tabla_Mortalidad!$B$5:$B$75,MIN(71,Cartera_Polizas!$B$189+37-49))*(1+(Cartera_Polizas!$P$189-1)*MAX(0,1-37/Supuestos!$C$20))*(1-Supuestos!$C$18)^37))</f>
        <v>4.71554520338204E-009</v>
      </c>
      <c r="AO187" s="29" t="n">
        <f aca="false">AN187*(1-MIN(1,INDEX(Tabla_Mortalidad!$B$5:$B$75,MIN(71,Cartera_Polizas!$B$189+38-49))*(1+(Cartera_Polizas!$P$189-1)*MAX(0,1-38/Supuestos!$C$20))*(1-Supuestos!$C$18)^38))</f>
        <v>1.02248518334454E-009</v>
      </c>
      <c r="AP187" s="29" t="n">
        <f aca="false">AO187*(1-MIN(1,INDEX(Tabla_Mortalidad!$B$5:$B$75,MIN(71,Cartera_Polizas!$B$189+39-49))*(1+(Cartera_Polizas!$P$189-1)*MAX(0,1-39/Supuestos!$C$20))*(1-Supuestos!$C$18)^39))</f>
        <v>1.81560360250676E-010</v>
      </c>
      <c r="AQ187" s="29" t="n">
        <f aca="false">AP187*(1-MIN(1,INDEX(Tabla_Mortalidad!$B$5:$B$75,MIN(71,Cartera_Polizas!$B$189+40-49))*(1+(Cartera_Polizas!$P$189-1)*MAX(0,1-40/Supuestos!$C$20))*(1-Supuestos!$C$18)^40))</f>
        <v>3.29858642774225E-011</v>
      </c>
      <c r="AR187" s="29" t="n">
        <f aca="false">AQ187*(1-MIN(1,INDEX(Tabla_Mortalidad!$B$5:$B$75,MIN(71,Cartera_Polizas!$B$189+41-49))*(1+(Cartera_Polizas!$P$189-1)*MAX(0,1-41/Supuestos!$C$20))*(1-Supuestos!$C$18)^41))</f>
        <v>6.1278328121223E-012</v>
      </c>
      <c r="AS187" s="29" t="n">
        <f aca="false">AR187*(1-MIN(1,INDEX(Tabla_Mortalidad!$B$5:$B$75,MIN(71,Cartera_Polizas!$B$189+42-49))*(1+(Cartera_Polizas!$P$189-1)*MAX(0,1-42/Supuestos!$C$20))*(1-Supuestos!$C$18)^42))</f>
        <v>1.16332384936168E-012</v>
      </c>
      <c r="AT187" s="29" t="n">
        <f aca="false">AS187*(1-MIN(1,INDEX(Tabla_Mortalidad!$B$5:$B$75,MIN(71,Cartera_Polizas!$B$189+43-49))*(1+(Cartera_Polizas!$P$189-1)*MAX(0,1-43/Supuestos!$C$20))*(1-Supuestos!$C$18)^43))</f>
        <v>2.25560827009364E-013</v>
      </c>
      <c r="AU187" s="29" t="n">
        <f aca="false">AT187*(1-MIN(1,INDEX(Tabla_Mortalidad!$B$5:$B$75,MIN(71,Cartera_Polizas!$B$189+44-49))*(1+(Cartera_Polizas!$P$189-1)*MAX(0,1-44/Supuestos!$C$20))*(1-Supuestos!$C$18)^44))</f>
        <v>4.46438880488425E-014</v>
      </c>
    </row>
    <row r="188" customFormat="false" ht="15" hidden="false" customHeight="false" outlineLevel="0" collapsed="false">
      <c r="A188" s="14" t="n">
        <f aca="false">Cartera_Polizas!A190</f>
        <v>185</v>
      </c>
      <c r="B188" s="26" t="n">
        <f aca="false">SUM(C188:AU188)+0.5</f>
        <v>8.91621854754342</v>
      </c>
      <c r="C188" s="29" t="n">
        <f aca="false">1-MIN(1,INDEX(Tabla_Mortalidad!$B$5:$B$75,MIN(71,Cartera_Polizas!$B$190+0-49))*(1+(Cartera_Polizas!$P$190-1)*MAX(0,1-0/Supuestos!$C$20))*(1-Supuestos!$C$18)^0)</f>
        <v>0.944632753125</v>
      </c>
      <c r="D188" s="29" t="n">
        <f aca="false">C188*(1-MIN(1,INDEX(Tabla_Mortalidad!$B$5:$B$75,MIN(71,Cartera_Polizas!$B$190+1-49))*(1+(Cartera_Polizas!$P$190-1)*MAX(0,1-1/Supuestos!$C$20))*(1-Supuestos!$C$18)^1))</f>
        <v>0.887147320260543</v>
      </c>
      <c r="E188" s="29" t="n">
        <f aca="false">D188*(1-MIN(1,INDEX(Tabla_Mortalidad!$B$5:$B$75,MIN(71,Cartera_Polizas!$B$190+2-49))*(1+(Cartera_Polizas!$P$190-1)*MAX(0,1-2/Supuestos!$C$20))*(1-Supuestos!$C$18)^2))</f>
        <v>0.827833706594648</v>
      </c>
      <c r="F188" s="29" t="n">
        <f aca="false">E188*(1-MIN(1,INDEX(Tabla_Mortalidad!$B$5:$B$75,MIN(71,Cartera_Polizas!$B$190+3-49))*(1+(Cartera_Polizas!$P$190-1)*MAX(0,1-3/Supuestos!$C$20))*(1-Supuestos!$C$18)^3))</f>
        <v>0.767051538553272</v>
      </c>
      <c r="G188" s="29" t="n">
        <f aca="false">F188*(1-MIN(1,INDEX(Tabla_Mortalidad!$B$5:$B$75,MIN(71,Cartera_Polizas!$B$190+4-49))*(1+(Cartera_Polizas!$P$190-1)*MAX(0,1-4/Supuestos!$C$20))*(1-Supuestos!$C$18)^4))</f>
        <v>0.705230924990691</v>
      </c>
      <c r="H188" s="29" t="n">
        <f aca="false">G188*(1-MIN(1,INDEX(Tabla_Mortalidad!$B$5:$B$75,MIN(71,Cartera_Polizas!$B$190+5-49))*(1+(Cartera_Polizas!$P$190-1)*MAX(0,1-5/Supuestos!$C$20))*(1-Supuestos!$C$18)^5))</f>
        <v>0.642874598830087</v>
      </c>
      <c r="I188" s="29" t="n">
        <f aca="false">H188*(1-MIN(1,INDEX(Tabla_Mortalidad!$B$5:$B$75,MIN(71,Cartera_Polizas!$B$190+6-49))*(1+(Cartera_Polizas!$P$190-1)*MAX(0,1-6/Supuestos!$C$20))*(1-Supuestos!$C$18)^6))</f>
        <v>0.580547766961817</v>
      </c>
      <c r="J188" s="29" t="n">
        <f aca="false">I188*(1-MIN(1,INDEX(Tabla_Mortalidad!$B$5:$B$75,MIN(71,Cartera_Polizas!$B$190+7-49))*(1+(Cartera_Polizas!$P$190-1)*MAX(0,1-7/Supuestos!$C$20))*(1-Supuestos!$C$18)^7))</f>
        <v>0.518873275349181</v>
      </c>
      <c r="K188" s="29" t="n">
        <f aca="false">J188*(1-MIN(1,INDEX(Tabla_Mortalidad!$B$5:$B$75,MIN(71,Cartera_Polizas!$B$190+8-49))*(1+(Cartera_Polizas!$P$190-1)*MAX(0,1-8/Supuestos!$C$20))*(1-Supuestos!$C$18)^8))</f>
        <v>0.458513798800667</v>
      </c>
      <c r="L188" s="29" t="n">
        <f aca="false">K188*(1-MIN(1,INDEX(Tabla_Mortalidad!$B$5:$B$75,MIN(71,Cartera_Polizas!$B$190+9-49))*(1+(Cartera_Polizas!$P$190-1)*MAX(0,1-9/Supuestos!$C$20))*(1-Supuestos!$C$18)^9))</f>
        <v>0.400153253060359</v>
      </c>
      <c r="M188" s="29" t="n">
        <f aca="false">L188*(1-MIN(1,INDEX(Tabla_Mortalidad!$B$5:$B$75,MIN(71,Cartera_Polizas!$B$190+10-49))*(1+(Cartera_Polizas!$P$190-1)*MAX(0,1-10/Supuestos!$C$20))*(1-Supuestos!$C$18)^10))</f>
        <v>0.344472047664522</v>
      </c>
      <c r="N188" s="29" t="n">
        <f aca="false">M188*(1-MIN(1,INDEX(Tabla_Mortalidad!$B$5:$B$75,MIN(71,Cartera_Polizas!$B$190+11-49))*(1+(Cartera_Polizas!$P$190-1)*MAX(0,1-11/Supuestos!$C$20))*(1-Supuestos!$C$18)^11))</f>
        <v>0.292118671111358</v>
      </c>
      <c r="O188" s="29" t="n">
        <f aca="false">N188*(1-MIN(1,INDEX(Tabla_Mortalidad!$B$5:$B$75,MIN(71,Cartera_Polizas!$B$190+12-49))*(1+(Cartera_Polizas!$P$190-1)*MAX(0,1-12/Supuestos!$C$20))*(1-Supuestos!$C$18)^12))</f>
        <v>0.243678259419319</v>
      </c>
      <c r="P188" s="29" t="n">
        <f aca="false">O188*(1-MIN(1,INDEX(Tabla_Mortalidad!$B$5:$B$75,MIN(71,Cartera_Polizas!$B$190+13-49))*(1+(Cartera_Polizas!$P$190-1)*MAX(0,1-13/Supuestos!$C$20))*(1-Supuestos!$C$18)^13))</f>
        <v>0.199639933807581</v>
      </c>
      <c r="Q188" s="29" t="n">
        <f aca="false">P188*(1-MIN(1,INDEX(Tabla_Mortalidad!$B$5:$B$75,MIN(71,Cartera_Polizas!$B$190+14-49))*(1+(Cartera_Polizas!$P$190-1)*MAX(0,1-14/Supuestos!$C$20))*(1-Supuestos!$C$18)^14))</f>
        <v>0.160368015030672</v>
      </c>
      <c r="R188" s="29" t="n">
        <f aca="false">Q188*(1-MIN(1,INDEX(Tabla_Mortalidad!$B$5:$B$75,MIN(71,Cartera_Polizas!$B$190+15-49))*(1+(Cartera_Polizas!$P$190-1)*MAX(0,1-15/Supuestos!$C$20))*(1-Supuestos!$C$18)^15))</f>
        <v>0.126077761841321</v>
      </c>
      <c r="S188" s="29" t="n">
        <f aca="false">R188*(1-MIN(1,INDEX(Tabla_Mortalidad!$B$5:$B$75,MIN(71,Cartera_Polizas!$B$190+16-49))*(1+(Cartera_Polizas!$P$190-1)*MAX(0,1-16/Supuestos!$C$20))*(1-Supuestos!$C$18)^16))</f>
        <v>0.0965673093326349</v>
      </c>
      <c r="T188" s="29" t="n">
        <f aca="false">S188*(1-MIN(1,INDEX(Tabla_Mortalidad!$B$5:$B$75,MIN(71,Cartera_Polizas!$B$190+17-49))*(1+(Cartera_Polizas!$P$190-1)*MAX(0,1-17/Supuestos!$C$20))*(1-Supuestos!$C$18)^17))</f>
        <v>0.0718638139942971</v>
      </c>
      <c r="U188" s="29" t="n">
        <f aca="false">T188*(1-MIN(1,INDEX(Tabla_Mortalidad!$B$5:$B$75,MIN(71,Cartera_Polizas!$B$190+18-49))*(1+(Cartera_Polizas!$P$190-1)*MAX(0,1-18/Supuestos!$C$20))*(1-Supuestos!$C$18)^18))</f>
        <v>0.0518069512805823</v>
      </c>
      <c r="V188" s="29" t="n">
        <f aca="false">U188*(1-MIN(1,INDEX(Tabla_Mortalidad!$B$5:$B$75,MIN(71,Cartera_Polizas!$B$190+19-49))*(1+(Cartera_Polizas!$P$190-1)*MAX(0,1-19/Supuestos!$C$20))*(1-Supuestos!$C$18)^19))</f>
        <v>0.0360626289885807</v>
      </c>
      <c r="W188" s="29" t="n">
        <f aca="false">V188*(1-MIN(1,INDEX(Tabla_Mortalidad!$B$5:$B$75,MIN(71,Cartera_Polizas!$B$190+20-49))*(1+(Cartera_Polizas!$P$190-1)*MAX(0,1-20/Supuestos!$C$20))*(1-Supuestos!$C$18)^20))</f>
        <v>0.0241543243371488</v>
      </c>
      <c r="X188" s="29" t="n">
        <f aca="false">W188*(1-MIN(1,INDEX(Tabla_Mortalidad!$B$5:$B$75,MIN(71,Cartera_Polizas!$B$190+21-49))*(1+(Cartera_Polizas!$P$190-1)*MAX(0,1-21/Supuestos!$C$20))*(1-Supuestos!$C$18)^21))</f>
        <v>0.0155080358847397</v>
      </c>
      <c r="Y188" s="29" t="n">
        <f aca="false">X188*(1-MIN(1,INDEX(Tabla_Mortalidad!$B$5:$B$75,MIN(71,Cartera_Polizas!$B$190+22-49))*(1+(Cartera_Polizas!$P$190-1)*MAX(0,1-22/Supuestos!$C$20))*(1-Supuestos!$C$18)^22))</f>
        <v>0.00950563193461677</v>
      </c>
      <c r="Z188" s="29" t="n">
        <f aca="false">Y188*(1-MIN(1,INDEX(Tabla_Mortalidad!$B$5:$B$75,MIN(71,Cartera_Polizas!$B$190+23-49))*(1+(Cartera_Polizas!$P$190-1)*MAX(0,1-23/Supuestos!$C$20))*(1-Supuestos!$C$18)^23))</f>
        <v>0.00553853234742544</v>
      </c>
      <c r="AA188" s="29" t="n">
        <f aca="false">Z188*(1-MIN(1,INDEX(Tabla_Mortalidad!$B$5:$B$75,MIN(71,Cartera_Polizas!$B$190+24-49))*(1+(Cartera_Polizas!$P$190-1)*MAX(0,1-24/Supuestos!$C$20))*(1-Supuestos!$C$18)^24))</f>
        <v>0.00305371277189306</v>
      </c>
      <c r="AB188" s="29" t="n">
        <f aca="false">AA188*(1-MIN(1,INDEX(Tabla_Mortalidad!$B$5:$B$75,MIN(71,Cartera_Polizas!$B$190+25-49))*(1+(Cartera_Polizas!$P$190-1)*MAX(0,1-25/Supuestos!$C$20))*(1-Supuestos!$C$18)^25))</f>
        <v>0.00158576146241345</v>
      </c>
      <c r="AC188" s="29" t="n">
        <f aca="false">AB188*(1-MIN(1,INDEX(Tabla_Mortalidad!$B$5:$B$75,MIN(71,Cartera_Polizas!$B$190+26-49))*(1+(Cartera_Polizas!$P$190-1)*MAX(0,1-26/Supuestos!$C$20))*(1-Supuestos!$C$18)^26))</f>
        <v>0.000771867022804663</v>
      </c>
      <c r="AD188" s="29" t="n">
        <f aca="false">AC188*(1-MIN(1,INDEX(Tabla_Mortalidad!$B$5:$B$75,MIN(71,Cartera_Polizas!$B$190+27-49))*(1+(Cartera_Polizas!$P$190-1)*MAX(0,1-27/Supuestos!$C$20))*(1-Supuestos!$C$18)^27))</f>
        <v>0.000350490147159024</v>
      </c>
      <c r="AE188" s="29" t="n">
        <f aca="false">AD188*(1-MIN(1,INDEX(Tabla_Mortalidad!$B$5:$B$75,MIN(71,Cartera_Polizas!$B$190+28-49))*(1+(Cartera_Polizas!$P$190-1)*MAX(0,1-28/Supuestos!$C$20))*(1-Supuestos!$C$18)^28))</f>
        <v>0.000147796205977992</v>
      </c>
      <c r="AF188" s="29" t="n">
        <f aca="false">AE188*(1-MIN(1,INDEX(Tabla_Mortalidad!$B$5:$B$75,MIN(71,Cartera_Polizas!$B$190+29-49))*(1+(Cartera_Polizas!$P$190-1)*MAX(0,1-29/Supuestos!$C$20))*(1-Supuestos!$C$18)^29))</f>
        <v>5.76393278334625E-005</v>
      </c>
      <c r="AG188" s="29" t="n">
        <f aca="false">AF188*(1-MIN(1,INDEX(Tabla_Mortalidad!$B$5:$B$75,MIN(71,Cartera_Polizas!$B$190+30-49))*(1+(Cartera_Polizas!$P$190-1)*MAX(0,1-30/Supuestos!$C$20))*(1-Supuestos!$C$18)^30))</f>
        <v>2.07193485730029E-005</v>
      </c>
      <c r="AH188" s="29" t="n">
        <f aca="false">AG188*(1-MIN(1,INDEX(Tabla_Mortalidad!$B$5:$B$75,MIN(71,Cartera_Polizas!$B$190+31-49))*(1+(Cartera_Polizas!$P$190-1)*MAX(0,1-31/Supuestos!$C$20))*(1-Supuestos!$C$18)^31))</f>
        <v>6.84932341910198E-006</v>
      </c>
      <c r="AI188" s="29" t="n">
        <f aca="false">AH188*(1-MIN(1,INDEX(Tabla_Mortalidad!$B$5:$B$75,MIN(71,Cartera_Polizas!$B$190+32-49))*(1+(Cartera_Polizas!$P$190-1)*MAX(0,1-32/Supuestos!$C$20))*(1-Supuestos!$C$18)^32))</f>
        <v>2.08067992203873E-006</v>
      </c>
      <c r="AJ188" s="29" t="n">
        <f aca="false">AI188*(1-MIN(1,INDEX(Tabla_Mortalidad!$B$5:$B$75,MIN(71,Cartera_Polizas!$B$190+33-49))*(1+(Cartera_Polizas!$P$190-1)*MAX(0,1-33/Supuestos!$C$20))*(1-Supuestos!$C$18)^33))</f>
        <v>5.81531540580853E-007</v>
      </c>
      <c r="AK188" s="29" t="n">
        <f aca="false">AJ188*(1-MIN(1,INDEX(Tabla_Mortalidad!$B$5:$B$75,MIN(71,Cartera_Polizas!$B$190+34-49))*(1+(Cartera_Polizas!$P$190-1)*MAX(0,1-34/Supuestos!$C$20))*(1-Supuestos!$C$18)^34))</f>
        <v>1.50072073168282E-007</v>
      </c>
      <c r="AL188" s="29" t="n">
        <f aca="false">AK188*(1-MIN(1,INDEX(Tabla_Mortalidad!$B$5:$B$75,MIN(71,Cartera_Polizas!$B$190+35-49))*(1+(Cartera_Polizas!$P$190-1)*MAX(0,1-35/Supuestos!$C$20))*(1-Supuestos!$C$18)^35))</f>
        <v>3.59798511688878E-008</v>
      </c>
      <c r="AM188" s="29" t="n">
        <f aca="false">AL188*(1-MIN(1,INDEX(Tabla_Mortalidad!$B$5:$B$75,MIN(71,Cartera_Polizas!$B$190+36-49))*(1+(Cartera_Polizas!$P$190-1)*MAX(0,1-36/Supuestos!$C$20))*(1-Supuestos!$C$18)^36))</f>
        <v>8.08439634535602E-009</v>
      </c>
      <c r="AN188" s="29" t="n">
        <f aca="false">AM188*(1-MIN(1,INDEX(Tabla_Mortalidad!$B$5:$B$75,MIN(71,Cartera_Polizas!$B$190+37-49))*(1+(Cartera_Polizas!$P$190-1)*MAX(0,1-37/Supuestos!$C$20))*(1-Supuestos!$C$18)^37))</f>
        <v>1.72114658431166E-009</v>
      </c>
      <c r="AO188" s="29" t="n">
        <f aca="false">AN188*(1-MIN(1,INDEX(Tabla_Mortalidad!$B$5:$B$75,MIN(71,Cartera_Polizas!$B$190+38-49))*(1+(Cartera_Polizas!$P$190-1)*MAX(0,1-38/Supuestos!$C$20))*(1-Supuestos!$C$18)^38))</f>
        <v>2.98506872009769E-010</v>
      </c>
      <c r="AP188" s="29" t="n">
        <f aca="false">AO188*(1-MIN(1,INDEX(Tabla_Mortalidad!$B$5:$B$75,MIN(71,Cartera_Polizas!$B$190+39-49))*(1+(Cartera_Polizas!$P$190-1)*MAX(0,1-39/Supuestos!$C$20))*(1-Supuestos!$C$18)^39))</f>
        <v>5.30051839402875E-011</v>
      </c>
      <c r="AQ188" s="29" t="n">
        <f aca="false">AP188*(1-MIN(1,INDEX(Tabla_Mortalidad!$B$5:$B$75,MIN(71,Cartera_Polizas!$B$190+40-49))*(1+(Cartera_Polizas!$P$190-1)*MAX(0,1-40/Supuestos!$C$20))*(1-Supuestos!$C$18)^40))</f>
        <v>9.62997540344232E-012</v>
      </c>
      <c r="AR188" s="29" t="n">
        <f aca="false">AQ188*(1-MIN(1,INDEX(Tabla_Mortalidad!$B$5:$B$75,MIN(71,Cartera_Polizas!$B$190+41-49))*(1+(Cartera_Polizas!$P$190-1)*MAX(0,1-41/Supuestos!$C$20))*(1-Supuestos!$C$18)^41))</f>
        <v>1.78897477903998E-012</v>
      </c>
      <c r="AS188" s="29" t="n">
        <f aca="false">AR188*(1-MIN(1,INDEX(Tabla_Mortalidad!$B$5:$B$75,MIN(71,Cartera_Polizas!$B$190+42-49))*(1+(Cartera_Polizas!$P$190-1)*MAX(0,1-42/Supuestos!$C$20))*(1-Supuestos!$C$18)^42))</f>
        <v>3.39623663074934E-013</v>
      </c>
      <c r="AT188" s="29" t="n">
        <f aca="false">AS188*(1-MIN(1,INDEX(Tabla_Mortalidad!$B$5:$B$75,MIN(71,Cartera_Polizas!$B$190+43-49))*(1+(Cartera_Polizas!$P$190-1)*MAX(0,1-43/Supuestos!$C$20))*(1-Supuestos!$C$18)^43))</f>
        <v>6.58507898356641E-014</v>
      </c>
      <c r="AU188" s="29" t="n">
        <f aca="false">AT188*(1-MIN(1,INDEX(Tabla_Mortalidad!$B$5:$B$75,MIN(71,Cartera_Polizas!$B$190+44-49))*(1+(Cartera_Polizas!$P$190-1)*MAX(0,1-44/Supuestos!$C$20))*(1-Supuestos!$C$18)^44))</f>
        <v>1.30334479099475E-014</v>
      </c>
    </row>
    <row r="189" customFormat="false" ht="15" hidden="false" customHeight="false" outlineLevel="0" collapsed="false">
      <c r="A189" s="14" t="n">
        <f aca="false">Cartera_Polizas!A191</f>
        <v>186</v>
      </c>
      <c r="B189" s="26" t="n">
        <f aca="false">SUM(C189:AU189)+0.5</f>
        <v>9.05192472491636</v>
      </c>
      <c r="C189" s="29" t="n">
        <f aca="false">1-MIN(1,INDEX(Tabla_Mortalidad!$B$5:$B$75,MIN(71,Cartera_Polizas!$B$191+0-49))*(1+(Cartera_Polizas!$P$191-1)*MAX(0,1-0/Supuestos!$C$20))*(1-Supuestos!$C$18)^0)</f>
        <v>0.95069823</v>
      </c>
      <c r="D189" s="29" t="n">
        <f aca="false">C189*(1-MIN(1,INDEX(Tabla_Mortalidad!$B$5:$B$75,MIN(71,Cartera_Polizas!$B$191+1-49))*(1+(Cartera_Polizas!$P$191-1)*MAX(0,1-1/Supuestos!$C$20))*(1-Supuestos!$C$18)^1))</f>
        <v>0.898433130613079</v>
      </c>
      <c r="E189" s="29" t="n">
        <f aca="false">D189*(1-MIN(1,INDEX(Tabla_Mortalidad!$B$5:$B$75,MIN(71,Cartera_Polizas!$B$191+2-49))*(1+(Cartera_Polizas!$P$191-1)*MAX(0,1-2/Supuestos!$C$20))*(1-Supuestos!$C$18)^2))</f>
        <v>0.843380825294451</v>
      </c>
      <c r="F189" s="29" t="n">
        <f aca="false">E189*(1-MIN(1,INDEX(Tabla_Mortalidad!$B$5:$B$75,MIN(71,Cartera_Polizas!$B$191+3-49))*(1+(Cartera_Polizas!$P$191-1)*MAX(0,1-3/Supuestos!$C$20))*(1-Supuestos!$C$18)^3))</f>
        <v>0.78580508271374</v>
      </c>
      <c r="G189" s="29" t="n">
        <f aca="false">F189*(1-MIN(1,INDEX(Tabla_Mortalidad!$B$5:$B$75,MIN(71,Cartera_Polizas!$B$191+4-49))*(1+(Cartera_Polizas!$P$191-1)*MAX(0,1-4/Supuestos!$C$20))*(1-Supuestos!$C$18)^4))</f>
        <v>0.726070429503032</v>
      </c>
      <c r="H189" s="29" t="n">
        <f aca="false">G189*(1-MIN(1,INDEX(Tabla_Mortalidad!$B$5:$B$75,MIN(71,Cartera_Polizas!$B$191+5-49))*(1+(Cartera_Polizas!$P$191-1)*MAX(0,1-5/Supuestos!$C$20))*(1-Supuestos!$C$18)^5))</f>
        <v>0.664644636686967</v>
      </c>
      <c r="I189" s="29" t="n">
        <f aca="false">H189*(1-MIN(1,INDEX(Tabla_Mortalidad!$B$5:$B$75,MIN(71,Cartera_Polizas!$B$191+6-49))*(1+(Cartera_Polizas!$P$191-1)*MAX(0,1-6/Supuestos!$C$20))*(1-Supuestos!$C$18)^6))</f>
        <v>0.602106118252354</v>
      </c>
      <c r="J189" s="29" t="n">
        <f aca="false">I189*(1-MIN(1,INDEX(Tabla_Mortalidad!$B$5:$B$75,MIN(71,Cartera_Polizas!$B$191+7-49))*(1+(Cartera_Polizas!$P$191-1)*MAX(0,1-7/Supuestos!$C$20))*(1-Supuestos!$C$18)^7))</f>
        <v>0.539137819693078</v>
      </c>
      <c r="K189" s="29" t="n">
        <f aca="false">J189*(1-MIN(1,INDEX(Tabla_Mortalidad!$B$5:$B$75,MIN(71,Cartera_Polizas!$B$191+8-49))*(1+(Cartera_Polizas!$P$191-1)*MAX(0,1-8/Supuestos!$C$20))*(1-Supuestos!$C$18)^8))</f>
        <v>0.476517745845142</v>
      </c>
      <c r="L189" s="29" t="n">
        <f aca="false">K189*(1-MIN(1,INDEX(Tabla_Mortalidad!$B$5:$B$75,MIN(71,Cartera_Polizas!$B$191+9-49))*(1+(Cartera_Polizas!$P$191-1)*MAX(0,1-9/Supuestos!$C$20))*(1-Supuestos!$C$18)^9))</f>
        <v>0.415099300706199</v>
      </c>
      <c r="M189" s="29" t="n">
        <f aca="false">L189*(1-MIN(1,INDEX(Tabla_Mortalidad!$B$5:$B$75,MIN(71,Cartera_Polizas!$B$191+10-49))*(1+(Cartera_Polizas!$P$191-1)*MAX(0,1-10/Supuestos!$C$20))*(1-Supuestos!$C$18)^10))</f>
        <v>0.355782178962729</v>
      </c>
      <c r="N189" s="29" t="n">
        <f aca="false">M189*(1-MIN(1,INDEX(Tabla_Mortalidad!$B$5:$B$75,MIN(71,Cartera_Polizas!$B$191+11-49))*(1+(Cartera_Polizas!$P$191-1)*MAX(0,1-11/Supuestos!$C$20))*(1-Supuestos!$C$18)^11))</f>
        <v>0.299472898535948</v>
      </c>
      <c r="O189" s="29" t="n">
        <f aca="false">N189*(1-MIN(1,INDEX(Tabla_Mortalidad!$B$5:$B$75,MIN(71,Cartera_Polizas!$B$191+12-49))*(1+(Cartera_Polizas!$P$191-1)*MAX(0,1-12/Supuestos!$C$20))*(1-Supuestos!$C$18)^12))</f>
        <v>0.247035695340996</v>
      </c>
      <c r="P189" s="29" t="n">
        <f aca="false">O189*(1-MIN(1,INDEX(Tabla_Mortalidad!$B$5:$B$75,MIN(71,Cartera_Polizas!$B$191+13-49))*(1+(Cartera_Polizas!$P$191-1)*MAX(0,1-13/Supuestos!$C$20))*(1-Supuestos!$C$18)^13))</f>
        <v>0.199239355392019</v>
      </c>
      <c r="Q189" s="29" t="n">
        <f aca="false">P189*(1-MIN(1,INDEX(Tabla_Mortalidad!$B$5:$B$75,MIN(71,Cartera_Polizas!$B$191+14-49))*(1+(Cartera_Polizas!$P$191-1)*MAX(0,1-14/Supuestos!$C$20))*(1-Supuestos!$C$18)^14))</f>
        <v>0.156701767761391</v>
      </c>
      <c r="R189" s="29" t="n">
        <f aca="false">Q189*(1-MIN(1,INDEX(Tabla_Mortalidad!$B$5:$B$75,MIN(71,Cartera_Polizas!$B$191+15-49))*(1+(Cartera_Polizas!$P$191-1)*MAX(0,1-15/Supuestos!$C$20))*(1-Supuestos!$C$18)^15))</f>
        <v>0.119838978499428</v>
      </c>
      <c r="S189" s="29" t="n">
        <f aca="false">R189*(1-MIN(1,INDEX(Tabla_Mortalidad!$B$5:$B$75,MIN(71,Cartera_Polizas!$B$191+16-49))*(1+(Cartera_Polizas!$P$191-1)*MAX(0,1-16/Supuestos!$C$20))*(1-Supuestos!$C$18)^16))</f>
        <v>0.0890281558880973</v>
      </c>
      <c r="T189" s="29" t="n">
        <f aca="false">S189*(1-MIN(1,INDEX(Tabla_Mortalidad!$B$5:$B$75,MIN(71,Cartera_Polizas!$B$191+17-49))*(1+(Cartera_Polizas!$P$191-1)*MAX(0,1-17/Supuestos!$C$20))*(1-Supuestos!$C$18)^17))</f>
        <v>0.0640559425721019</v>
      </c>
      <c r="U189" s="29" t="n">
        <f aca="false">T189*(1-MIN(1,INDEX(Tabla_Mortalidad!$B$5:$B$75,MIN(71,Cartera_Polizas!$B$191+18-49))*(1+(Cartera_Polizas!$P$191-1)*MAX(0,1-18/Supuestos!$C$20))*(1-Supuestos!$C$18)^18))</f>
        <v>0.044491283657128</v>
      </c>
      <c r="V189" s="29" t="n">
        <f aca="false">U189*(1-MIN(1,INDEX(Tabla_Mortalidad!$B$5:$B$75,MIN(71,Cartera_Polizas!$B$191+19-49))*(1+(Cartera_Polizas!$P$191-1)*MAX(0,1-19/Supuestos!$C$20))*(1-Supuestos!$C$18)^19))</f>
        <v>0.0297259111424024</v>
      </c>
      <c r="W189" s="29" t="n">
        <f aca="false">V189*(1-MIN(1,INDEX(Tabla_Mortalidad!$B$5:$B$75,MIN(71,Cartera_Polizas!$B$191+20-49))*(1+(Cartera_Polizas!$P$191-1)*MAX(0,1-20/Supuestos!$C$20))*(1-Supuestos!$C$18)^20))</f>
        <v>0.0190317451449413</v>
      </c>
      <c r="X189" s="29" t="n">
        <f aca="false">W189*(1-MIN(1,INDEX(Tabla_Mortalidad!$B$5:$B$75,MIN(71,Cartera_Polizas!$B$191+21-49))*(1+(Cartera_Polizas!$P$191-1)*MAX(0,1-21/Supuestos!$C$20))*(1-Supuestos!$C$18)^21))</f>
        <v>0.0116284689043489</v>
      </c>
      <c r="Y189" s="29" t="n">
        <f aca="false">X189*(1-MIN(1,INDEX(Tabla_Mortalidad!$B$5:$B$75,MIN(71,Cartera_Polizas!$B$191+22-49))*(1+(Cartera_Polizas!$P$191-1)*MAX(0,1-22/Supuestos!$C$20))*(1-Supuestos!$C$18)^22))</f>
        <v>0.00675103307917641</v>
      </c>
      <c r="Z189" s="29" t="n">
        <f aca="false">Y189*(1-MIN(1,INDEX(Tabla_Mortalidad!$B$5:$B$75,MIN(71,Cartera_Polizas!$B$191+23-49))*(1+(Cartera_Polizas!$P$191-1)*MAX(0,1-23/Supuestos!$C$20))*(1-Supuestos!$C$18)^23))</f>
        <v>0.0037070143620707</v>
      </c>
      <c r="AA189" s="29" t="n">
        <f aca="false">Z189*(1-MIN(1,INDEX(Tabla_Mortalidad!$B$5:$B$75,MIN(71,Cartera_Polizas!$B$191+24-49))*(1+(Cartera_Polizas!$P$191-1)*MAX(0,1-24/Supuestos!$C$20))*(1-Supuestos!$C$18)^24))</f>
        <v>0.00191605944748856</v>
      </c>
      <c r="AB189" s="29" t="n">
        <f aca="false">AA189*(1-MIN(1,INDEX(Tabla_Mortalidad!$B$5:$B$75,MIN(71,Cartera_Polizas!$B$191+25-49))*(1+(Cartera_Polizas!$P$191-1)*MAX(0,1-25/Supuestos!$C$20))*(1-Supuestos!$C$18)^25))</f>
        <v>0.000927697262672058</v>
      </c>
      <c r="AC189" s="29" t="n">
        <f aca="false">AB189*(1-MIN(1,INDEX(Tabla_Mortalidad!$B$5:$B$75,MIN(71,Cartera_Polizas!$B$191+26-49))*(1+(Cartera_Polizas!$P$191-1)*MAX(0,1-26/Supuestos!$C$20))*(1-Supuestos!$C$18)^26))</f>
        <v>0.000418704735181597</v>
      </c>
      <c r="AD189" s="29" t="n">
        <f aca="false">AC189*(1-MIN(1,INDEX(Tabla_Mortalidad!$B$5:$B$75,MIN(71,Cartera_Polizas!$B$191+27-49))*(1+(Cartera_Polizas!$P$191-1)*MAX(0,1-27/Supuestos!$C$20))*(1-Supuestos!$C$18)^27))</f>
        <v>0.000175344427891727</v>
      </c>
      <c r="AE189" s="29" t="n">
        <f aca="false">AD189*(1-MIN(1,INDEX(Tabla_Mortalidad!$B$5:$B$75,MIN(71,Cartera_Polizas!$B$191+28-49))*(1+(Cartera_Polizas!$P$191-1)*MAX(0,1-28/Supuestos!$C$20))*(1-Supuestos!$C$18)^28))</f>
        <v>6.7845417051997E-005</v>
      </c>
      <c r="AF189" s="29" t="n">
        <f aca="false">AE189*(1-MIN(1,INDEX(Tabla_Mortalidad!$B$5:$B$75,MIN(71,Cartera_Polizas!$B$191+29-49))*(1+(Cartera_Polizas!$P$191-1)*MAX(0,1-29/Supuestos!$C$20))*(1-Supuestos!$C$18)^29))</f>
        <v>2.41697067684285E-005</v>
      </c>
      <c r="AG189" s="29" t="n">
        <f aca="false">AF189*(1-MIN(1,INDEX(Tabla_Mortalidad!$B$5:$B$75,MIN(71,Cartera_Polizas!$B$191+30-49))*(1+(Cartera_Polizas!$P$191-1)*MAX(0,1-30/Supuestos!$C$20))*(1-Supuestos!$C$18)^30))</f>
        <v>7.90862429117255E-006</v>
      </c>
      <c r="AH189" s="29" t="n">
        <f aca="false">AG189*(1-MIN(1,INDEX(Tabla_Mortalidad!$B$5:$B$75,MIN(71,Cartera_Polizas!$B$191+31-49))*(1+(Cartera_Polizas!$P$191-1)*MAX(0,1-31/Supuestos!$C$20))*(1-Supuestos!$C$18)^31))</f>
        <v>2.37480407278367E-006</v>
      </c>
      <c r="AI189" s="29" t="n">
        <f aca="false">AH189*(1-MIN(1,INDEX(Tabla_Mortalidad!$B$5:$B$75,MIN(71,Cartera_Polizas!$B$191+32-49))*(1+(Cartera_Polizas!$P$191-1)*MAX(0,1-32/Supuestos!$C$20))*(1-Supuestos!$C$18)^32))</f>
        <v>6.55138297017184E-007</v>
      </c>
      <c r="AJ189" s="29" t="n">
        <f aca="false">AI189*(1-MIN(1,INDEX(Tabla_Mortalidad!$B$5:$B$75,MIN(71,Cartera_Polizas!$B$191+33-49))*(1+(Cartera_Polizas!$P$191-1)*MAX(0,1-33/Supuestos!$C$20))*(1-Supuestos!$C$18)^33))</f>
        <v>1.66624723559593E-007</v>
      </c>
      <c r="AK189" s="29" t="n">
        <f aca="false">AJ189*(1-MIN(1,INDEX(Tabla_Mortalidad!$B$5:$B$75,MIN(71,Cartera_Polizas!$B$191+34-49))*(1+(Cartera_Polizas!$P$191-1)*MAX(0,1-34/Supuestos!$C$20))*(1-Supuestos!$C$18)^34))</f>
        <v>3.93117923444212E-008</v>
      </c>
      <c r="AL189" s="29" t="n">
        <f aca="false">AK189*(1-MIN(1,INDEX(Tabla_Mortalidad!$B$5:$B$75,MIN(71,Cartera_Polizas!$B$191+35-49))*(1+(Cartera_Polizas!$P$191-1)*MAX(0,1-35/Supuestos!$C$20))*(1-Supuestos!$C$18)^35))</f>
        <v>8.67989847932578E-009</v>
      </c>
      <c r="AM189" s="29" t="n">
        <f aca="false">AL189*(1-MIN(1,INDEX(Tabla_Mortalidad!$B$5:$B$75,MIN(71,Cartera_Polizas!$B$191+36-49))*(1+(Cartera_Polizas!$P$191-1)*MAX(0,1-36/Supuestos!$C$20))*(1-Supuestos!$C$18)^36))</f>
        <v>1.8135958995722E-009</v>
      </c>
      <c r="AN189" s="29" t="n">
        <f aca="false">AM189*(1-MIN(1,INDEX(Tabla_Mortalidad!$B$5:$B$75,MIN(71,Cartera_Polizas!$B$191+37-49))*(1+(Cartera_Polizas!$P$191-1)*MAX(0,1-37/Supuestos!$C$20))*(1-Supuestos!$C$18)^37))</f>
        <v>3.07007868866262E-010</v>
      </c>
      <c r="AO189" s="29" t="n">
        <f aca="false">AN189*(1-MIN(1,INDEX(Tabla_Mortalidad!$B$5:$B$75,MIN(71,Cartera_Polizas!$B$191+38-49))*(1+(Cartera_Polizas!$P$191-1)*MAX(0,1-38/Supuestos!$C$20))*(1-Supuestos!$C$18)^38))</f>
        <v>5.32458765877309E-011</v>
      </c>
      <c r="AP189" s="29" t="n">
        <f aca="false">AO189*(1-MIN(1,INDEX(Tabla_Mortalidad!$B$5:$B$75,MIN(71,Cartera_Polizas!$B$191+39-49))*(1+(Cartera_Polizas!$P$191-1)*MAX(0,1-39/Supuestos!$C$20))*(1-Supuestos!$C$18)^39))</f>
        <v>9.45474877543912E-012</v>
      </c>
      <c r="AQ189" s="29" t="n">
        <f aca="false">AP189*(1-MIN(1,INDEX(Tabla_Mortalidad!$B$5:$B$75,MIN(71,Cartera_Polizas!$B$191+40-49))*(1+(Cartera_Polizas!$P$191-1)*MAX(0,1-40/Supuestos!$C$20))*(1-Supuestos!$C$18)^40))</f>
        <v>1.7177376132828E-012</v>
      </c>
      <c r="AR189" s="29" t="n">
        <f aca="false">AQ189*(1-MIN(1,INDEX(Tabla_Mortalidad!$B$5:$B$75,MIN(71,Cartera_Polizas!$B$191+41-49))*(1+(Cartera_Polizas!$P$191-1)*MAX(0,1-41/Supuestos!$C$20))*(1-Supuestos!$C$18)^41))</f>
        <v>3.19106657953953E-013</v>
      </c>
      <c r="AS189" s="29" t="n">
        <f aca="false">AR189*(1-MIN(1,INDEX(Tabla_Mortalidad!$B$5:$B$75,MIN(71,Cartera_Polizas!$B$191+42-49))*(1+(Cartera_Polizas!$P$191-1)*MAX(0,1-42/Supuestos!$C$20))*(1-Supuestos!$C$18)^42))</f>
        <v>6.05800447025193E-014</v>
      </c>
      <c r="AT189" s="29" t="n">
        <f aca="false">AS189*(1-MIN(1,INDEX(Tabla_Mortalidad!$B$5:$B$75,MIN(71,Cartera_Polizas!$B$191+43-49))*(1+(Cartera_Polizas!$P$191-1)*MAX(0,1-43/Supuestos!$C$20))*(1-Supuestos!$C$18)^43))</f>
        <v>1.17460713892028E-014</v>
      </c>
      <c r="AU189" s="29" t="n">
        <f aca="false">AT189*(1-MIN(1,INDEX(Tabla_Mortalidad!$B$5:$B$75,MIN(71,Cartera_Polizas!$B$191+44-49))*(1+(Cartera_Polizas!$P$191-1)*MAX(0,1-44/Supuestos!$C$20))*(1-Supuestos!$C$18)^44))</f>
        <v>2.3248287526961E-015</v>
      </c>
    </row>
    <row r="190" customFormat="false" ht="15" hidden="false" customHeight="false" outlineLevel="0" collapsed="false">
      <c r="A190" s="14" t="n">
        <f aca="false">Cartera_Polizas!A192</f>
        <v>187</v>
      </c>
      <c r="B190" s="26" t="n">
        <f aca="false">SUM(C190:AU190)+0.5</f>
        <v>4.20972186893007</v>
      </c>
      <c r="C190" s="29" t="n">
        <f aca="false">1-MIN(1,INDEX(Tabla_Mortalidad!$B$5:$B$75,MIN(71,Cartera_Polizas!$B$192+0-49))*(1+(Cartera_Polizas!$P$192-1)*MAX(0,1-0/Supuestos!$C$20))*(1-Supuestos!$C$18)^0)</f>
        <v>0.83109476</v>
      </c>
      <c r="D190" s="29" t="n">
        <f aca="false">C190*(1-MIN(1,INDEX(Tabla_Mortalidad!$B$5:$B$75,MIN(71,Cartera_Polizas!$B$192+1-49))*(1+(Cartera_Polizas!$P$192-1)*MAX(0,1-1/Supuestos!$C$20))*(1-Supuestos!$C$18)^1))</f>
        <v>0.680174273932383</v>
      </c>
      <c r="E190" s="29" t="n">
        <f aca="false">D190*(1-MIN(1,INDEX(Tabla_Mortalidad!$B$5:$B$75,MIN(71,Cartera_Polizas!$B$192+2-49))*(1+(Cartera_Polizas!$P$192-1)*MAX(0,1-2/Supuestos!$C$20))*(1-Supuestos!$C$18)^2))</f>
        <v>0.547570205472888</v>
      </c>
      <c r="F190" s="29" t="n">
        <f aca="false">E190*(1-MIN(1,INDEX(Tabla_Mortalidad!$B$5:$B$75,MIN(71,Cartera_Polizas!$B$192+3-49))*(1+(Cartera_Polizas!$P$192-1)*MAX(0,1-3/Supuestos!$C$20))*(1-Supuestos!$C$18)^3))</f>
        <v>0.43313768409162</v>
      </c>
      <c r="G190" s="29" t="n">
        <f aca="false">F190*(1-MIN(1,INDEX(Tabla_Mortalidad!$B$5:$B$75,MIN(71,Cartera_Polizas!$B$192+4-49))*(1+(Cartera_Polizas!$P$192-1)*MAX(0,1-4/Supuestos!$C$20))*(1-Supuestos!$C$18)^4))</f>
        <v>0.336268663038587</v>
      </c>
      <c r="H190" s="29" t="n">
        <f aca="false">G190*(1-MIN(1,INDEX(Tabla_Mortalidad!$B$5:$B$75,MIN(71,Cartera_Polizas!$B$192+5-49))*(1+(Cartera_Polizas!$P$192-1)*MAX(0,1-5/Supuestos!$C$20))*(1-Supuestos!$C$18)^5))</f>
        <v>0.25593320816404</v>
      </c>
      <c r="I190" s="29" t="n">
        <f aca="false">H190*(1-MIN(1,INDEX(Tabla_Mortalidad!$B$5:$B$75,MIN(71,Cartera_Polizas!$B$192+6-49))*(1+(Cartera_Polizas!$P$192-1)*MAX(0,1-6/Supuestos!$C$20))*(1-Supuestos!$C$18)^6))</f>
        <v>0.190746561256769</v>
      </c>
      <c r="J190" s="29" t="n">
        <f aca="false">I190*(1-MIN(1,INDEX(Tabla_Mortalidad!$B$5:$B$75,MIN(71,Cartera_Polizas!$B$192+7-49))*(1+(Cartera_Polizas!$P$192-1)*MAX(0,1-7/Supuestos!$C$20))*(1-Supuestos!$C$18)^7))</f>
        <v>0.139060584512839</v>
      </c>
      <c r="K190" s="29" t="n">
        <f aca="false">J190*(1-MIN(1,INDEX(Tabla_Mortalidad!$B$5:$B$75,MIN(71,Cartera_Polizas!$B$192+8-49))*(1+(Cartera_Polizas!$P$192-1)*MAX(0,1-8/Supuestos!$C$20))*(1-Supuestos!$C$18)^8))</f>
        <v>0.0990667434008652</v>
      </c>
      <c r="L190" s="29" t="n">
        <f aca="false">K190*(1-MIN(1,INDEX(Tabla_Mortalidad!$B$5:$B$75,MIN(71,Cartera_Polizas!$B$192+9-49))*(1+(Cartera_Polizas!$P$192-1)*MAX(0,1-9/Supuestos!$C$20))*(1-Supuestos!$C$18)^9))</f>
        <v>0.068902437292784</v>
      </c>
      <c r="M190" s="29" t="n">
        <f aca="false">L190*(1-MIN(1,INDEX(Tabla_Mortalidad!$B$5:$B$75,MIN(71,Cartera_Polizas!$B$192+10-49))*(1+(Cartera_Polizas!$P$192-1)*MAX(0,1-10/Supuestos!$C$20))*(1-Supuestos!$C$18)^10))</f>
        <v>0.0467520449008063</v>
      </c>
      <c r="N190" s="29" t="n">
        <f aca="false">M190*(1-MIN(1,INDEX(Tabla_Mortalidad!$B$5:$B$75,MIN(71,Cartera_Polizas!$B$192+11-49))*(1+(Cartera_Polizas!$P$192-1)*MAX(0,1-11/Supuestos!$C$20))*(1-Supuestos!$C$18)^11))</f>
        <v>0.0309313688494507</v>
      </c>
      <c r="O190" s="29" t="n">
        <f aca="false">N190*(1-MIN(1,INDEX(Tabla_Mortalidad!$B$5:$B$75,MIN(71,Cartera_Polizas!$B$192+12-49))*(1+(Cartera_Polizas!$P$192-1)*MAX(0,1-12/Supuestos!$C$20))*(1-Supuestos!$C$18)^12))</f>
        <v>0.0199493392519948</v>
      </c>
      <c r="P190" s="29" t="n">
        <f aca="false">O190*(1-MIN(1,INDEX(Tabla_Mortalidad!$B$5:$B$75,MIN(71,Cartera_Polizas!$B$192+13-49))*(1+(Cartera_Polizas!$P$192-1)*MAX(0,1-13/Supuestos!$C$20))*(1-Supuestos!$C$18)^13))</f>
        <v>0.0125443804783044</v>
      </c>
      <c r="Q190" s="29" t="n">
        <f aca="false">P190*(1-MIN(1,INDEX(Tabla_Mortalidad!$B$5:$B$75,MIN(71,Cartera_Polizas!$B$192+14-49))*(1+(Cartera_Polizas!$P$192-1)*MAX(0,1-14/Supuestos!$C$20))*(1-Supuestos!$C$18)^14))</f>
        <v>0.00769520423398052</v>
      </c>
      <c r="R190" s="29" t="n">
        <f aca="false">Q190*(1-MIN(1,INDEX(Tabla_Mortalidad!$B$5:$B$75,MIN(71,Cartera_Polizas!$B$192+15-49))*(1+(Cartera_Polizas!$P$192-1)*MAX(0,1-15/Supuestos!$C$20))*(1-Supuestos!$C$18)^15))</f>
        <v>0.00461040426797203</v>
      </c>
      <c r="S190" s="29" t="n">
        <f aca="false">R190*(1-MIN(1,INDEX(Tabla_Mortalidad!$B$5:$B$75,MIN(71,Cartera_Polizas!$B$192+16-49))*(1+(Cartera_Polizas!$P$192-1)*MAX(0,1-16/Supuestos!$C$20))*(1-Supuestos!$C$18)^16))</f>
        <v>0.00261757748133937</v>
      </c>
      <c r="T190" s="29" t="n">
        <f aca="false">S190*(1-MIN(1,INDEX(Tabla_Mortalidad!$B$5:$B$75,MIN(71,Cartera_Polizas!$B$192+17-49))*(1+(Cartera_Polizas!$P$192-1)*MAX(0,1-17/Supuestos!$C$20))*(1-Supuestos!$C$18)^17))</f>
        <v>0.00140128465895832</v>
      </c>
      <c r="U190" s="29" t="n">
        <f aca="false">T190*(1-MIN(1,INDEX(Tabla_Mortalidad!$B$5:$B$75,MIN(71,Cartera_Polizas!$B$192+18-49))*(1+(Cartera_Polizas!$P$192-1)*MAX(0,1-18/Supuestos!$C$20))*(1-Supuestos!$C$18)^18))</f>
        <v>0.000703617520301049</v>
      </c>
      <c r="V190" s="29" t="n">
        <f aca="false">U190*(1-MIN(1,INDEX(Tabla_Mortalidad!$B$5:$B$75,MIN(71,Cartera_Polizas!$B$192+19-49))*(1+(Cartera_Polizas!$P$192-1)*MAX(0,1-19/Supuestos!$C$20))*(1-Supuestos!$C$18)^19))</f>
        <v>0.000329588498087039</v>
      </c>
      <c r="W190" s="29" t="n">
        <f aca="false">V190*(1-MIN(1,INDEX(Tabla_Mortalidad!$B$5:$B$75,MIN(71,Cartera_Polizas!$B$192+20-49))*(1+(Cartera_Polizas!$P$192-1)*MAX(0,1-20/Supuestos!$C$20))*(1-Supuestos!$C$18)^20))</f>
        <v>0.000143234508748304</v>
      </c>
      <c r="X190" s="29" t="n">
        <f aca="false">W190*(1-MIN(1,INDEX(Tabla_Mortalidad!$B$5:$B$75,MIN(71,Cartera_Polizas!$B$192+21-49))*(1+(Cartera_Polizas!$P$192-1)*MAX(0,1-21/Supuestos!$C$20))*(1-Supuestos!$C$18)^21))</f>
        <v>5.74416674454524E-005</v>
      </c>
      <c r="Y190" s="29" t="n">
        <f aca="false">X190*(1-MIN(1,INDEX(Tabla_Mortalidad!$B$5:$B$75,MIN(71,Cartera_Polizas!$B$192+22-49))*(1+(Cartera_Polizas!$P$192-1)*MAX(0,1-22/Supuestos!$C$20))*(1-Supuestos!$C$18)^22))</f>
        <v>2.11504905273145E-005</v>
      </c>
      <c r="Z190" s="29" t="n">
        <f aca="false">Y190*(1-MIN(1,INDEX(Tabla_Mortalidad!$B$5:$B$75,MIN(71,Cartera_Polizas!$B$192+23-49))*(1+(Cartera_Polizas!$P$192-1)*MAX(0,1-23/Supuestos!$C$20))*(1-Supuestos!$C$18)^23))</f>
        <v>7.11907714487994E-006</v>
      </c>
      <c r="AA190" s="29" t="n">
        <f aca="false">Z190*(1-MIN(1,INDEX(Tabla_Mortalidad!$B$5:$B$75,MIN(71,Cartera_Polizas!$B$192+24-49))*(1+(Cartera_Polizas!$P$192-1)*MAX(0,1-24/Supuestos!$C$20))*(1-Supuestos!$C$18)^24))</f>
        <v>2.18321199848687E-006</v>
      </c>
      <c r="AB190" s="29" t="n">
        <f aca="false">AA190*(1-MIN(1,INDEX(Tabla_Mortalidad!$B$5:$B$75,MIN(71,Cartera_Polizas!$B$192+25-49))*(1+(Cartera_Polizas!$P$192-1)*MAX(0,1-25/Supuestos!$C$20))*(1-Supuestos!$C$18)^25))</f>
        <v>6.08933635869956E-007</v>
      </c>
      <c r="AC190" s="29" t="n">
        <f aca="false">AB190*(1-MIN(1,INDEX(Tabla_Mortalidad!$B$5:$B$75,MIN(71,Cartera_Polizas!$B$192+26-49))*(1+(Cartera_Polizas!$P$192-1)*MAX(0,1-26/Supuestos!$C$20))*(1-Supuestos!$C$18)^26))</f>
        <v>1.5452377977144E-007</v>
      </c>
      <c r="AD190" s="29" t="n">
        <f aca="false">AC190*(1-MIN(1,INDEX(Tabla_Mortalidad!$B$5:$B$75,MIN(71,Cartera_Polizas!$B$192+27-49))*(1+(Cartera_Polizas!$P$192-1)*MAX(0,1-27/Supuestos!$C$20))*(1-Supuestos!$C$18)^27))</f>
        <v>3.57828388448158E-008</v>
      </c>
      <c r="AE190" s="29" t="n">
        <f aca="false">AD190*(1-MIN(1,INDEX(Tabla_Mortalidad!$B$5:$B$75,MIN(71,Cartera_Polizas!$B$192+28-49))*(1+(Cartera_Polizas!$P$192-1)*MAX(0,1-28/Supuestos!$C$20))*(1-Supuestos!$C$18)^28))</f>
        <v>7.60748470491412E-009</v>
      </c>
      <c r="AF190" s="29" t="n">
        <f aca="false">AE190*(1-MIN(1,INDEX(Tabla_Mortalidad!$B$5:$B$75,MIN(71,Cartera_Polizas!$B$192+29-49))*(1+(Cartera_Polizas!$P$192-1)*MAX(0,1-29/Supuestos!$C$20))*(1-Supuestos!$C$18)^29))</f>
        <v>1.498717054209E-009</v>
      </c>
      <c r="AG190" s="29" t="n">
        <f aca="false">AF190*(1-MIN(1,INDEX(Tabla_Mortalidad!$B$5:$B$75,MIN(71,Cartera_Polizas!$B$192+30-49))*(1+(Cartera_Polizas!$P$192-1)*MAX(0,1-30/Supuestos!$C$20))*(1-Supuestos!$C$18)^30))</f>
        <v>2.76947054738168E-010</v>
      </c>
      <c r="AH190" s="29" t="n">
        <f aca="false">AG190*(1-MIN(1,INDEX(Tabla_Mortalidad!$B$5:$B$75,MIN(71,Cartera_Polizas!$B$192+31-49))*(1+(Cartera_Polizas!$P$192-1)*MAX(0,1-31/Supuestos!$C$20))*(1-Supuestos!$C$18)^31))</f>
        <v>3.98575911835845E-011</v>
      </c>
      <c r="AI190" s="29" t="n">
        <f aca="false">AH190*(1-MIN(1,INDEX(Tabla_Mortalidad!$B$5:$B$75,MIN(71,Cartera_Polizas!$B$192+32-49))*(1+(Cartera_Polizas!$P$192-1)*MAX(0,1-32/Supuestos!$C$20))*(1-Supuestos!$C$18)^32))</f>
        <v>5.90682089421683E-012</v>
      </c>
      <c r="AJ190" s="29" t="n">
        <f aca="false">AI190*(1-MIN(1,INDEX(Tabla_Mortalidad!$B$5:$B$75,MIN(71,Cartera_Polizas!$B$192+33-49))*(1+(Cartera_Polizas!$P$192-1)*MAX(0,1-33/Supuestos!$C$20))*(1-Supuestos!$C$18)^33))</f>
        <v>9.0053707730685E-013</v>
      </c>
      <c r="AK190" s="29" t="n">
        <f aca="false">AJ190*(1-MIN(1,INDEX(Tabla_Mortalidad!$B$5:$B$75,MIN(71,Cartera_Polizas!$B$192+34-49))*(1+(Cartera_Polizas!$P$192-1)*MAX(0,1-34/Supuestos!$C$20))*(1-Supuestos!$C$18)^34))</f>
        <v>1.41109534809777E-013</v>
      </c>
      <c r="AL190" s="29" t="n">
        <f aca="false">AK190*(1-MIN(1,INDEX(Tabla_Mortalidad!$B$5:$B$75,MIN(71,Cartera_Polizas!$B$192+35-49))*(1+(Cartera_Polizas!$P$192-1)*MAX(0,1-35/Supuestos!$C$20))*(1-Supuestos!$C$18)^35))</f>
        <v>2.27061313362023E-014</v>
      </c>
      <c r="AM190" s="29" t="n">
        <f aca="false">AL190*(1-MIN(1,INDEX(Tabla_Mortalidad!$B$5:$B$75,MIN(71,Cartera_Polizas!$B$192+36-49))*(1+(Cartera_Polizas!$P$192-1)*MAX(0,1-36/Supuestos!$C$20))*(1-Supuestos!$C$18)^36))</f>
        <v>3.74893742736538E-015</v>
      </c>
      <c r="AN190" s="29" t="n">
        <f aca="false">AM190*(1-MIN(1,INDEX(Tabla_Mortalidad!$B$5:$B$75,MIN(71,Cartera_Polizas!$B$192+37-49))*(1+(Cartera_Polizas!$P$192-1)*MAX(0,1-37/Supuestos!$C$20))*(1-Supuestos!$C$18)^37))</f>
        <v>6.34624995766644E-016</v>
      </c>
      <c r="AO190" s="29" t="n">
        <f aca="false">AN190*(1-MIN(1,INDEX(Tabla_Mortalidad!$B$5:$B$75,MIN(71,Cartera_Polizas!$B$192+38-49))*(1+(Cartera_Polizas!$P$192-1)*MAX(0,1-38/Supuestos!$C$20))*(1-Supuestos!$C$18)^38))</f>
        <v>1.1006611761733E-016</v>
      </c>
      <c r="AP190" s="29" t="n">
        <f aca="false">AO190*(1-MIN(1,INDEX(Tabla_Mortalidad!$B$5:$B$75,MIN(71,Cartera_Polizas!$B$192+39-49))*(1+(Cartera_Polizas!$P$192-1)*MAX(0,1-39/Supuestos!$C$20))*(1-Supuestos!$C$18)^39))</f>
        <v>1.95441892865669E-017</v>
      </c>
      <c r="AQ190" s="29" t="n">
        <f aca="false">AP190*(1-MIN(1,INDEX(Tabla_Mortalidad!$B$5:$B$75,MIN(71,Cartera_Polizas!$B$192+40-49))*(1+(Cartera_Polizas!$P$192-1)*MAX(0,1-40/Supuestos!$C$20))*(1-Supuestos!$C$18)^40))</f>
        <v>3.55078594429342E-018</v>
      </c>
      <c r="AR190" s="29" t="n">
        <f aca="false">AQ190*(1-MIN(1,INDEX(Tabla_Mortalidad!$B$5:$B$75,MIN(71,Cartera_Polizas!$B$192+41-49))*(1+(Cartera_Polizas!$P$192-1)*MAX(0,1-41/Supuestos!$C$20))*(1-Supuestos!$C$18)^41))</f>
        <v>6.59634758551916E-019</v>
      </c>
      <c r="AS190" s="29" t="n">
        <f aca="false">AR190*(1-MIN(1,INDEX(Tabla_Mortalidad!$B$5:$B$75,MIN(71,Cartera_Polizas!$B$192+42-49))*(1+(Cartera_Polizas!$P$192-1)*MAX(0,1-42/Supuestos!$C$20))*(1-Supuestos!$C$18)^42))</f>
        <v>1.25226792247553E-019</v>
      </c>
      <c r="AT190" s="29" t="n">
        <f aca="false">AS190*(1-MIN(1,INDEX(Tabla_Mortalidad!$B$5:$B$75,MIN(71,Cartera_Polizas!$B$192+43-49))*(1+(Cartera_Polizas!$P$192-1)*MAX(0,1-43/Supuestos!$C$20))*(1-Supuestos!$C$18)^43))</f>
        <v>2.42806496562301E-020</v>
      </c>
      <c r="AU190" s="29" t="n">
        <f aca="false">AT190*(1-MIN(1,INDEX(Tabla_Mortalidad!$B$5:$B$75,MIN(71,Cartera_Polizas!$B$192+44-49))*(1+(Cartera_Polizas!$P$192-1)*MAX(0,1-44/Supuestos!$C$20))*(1-Supuestos!$C$18)^44))</f>
        <v>4.80572189496759E-021</v>
      </c>
    </row>
    <row r="191" customFormat="false" ht="15" hidden="false" customHeight="false" outlineLevel="0" collapsed="false">
      <c r="A191" s="14" t="n">
        <f aca="false">Cartera_Polizas!A193</f>
        <v>188</v>
      </c>
      <c r="B191" s="26" t="n">
        <f aca="false">SUM(C191:AU191)+0.5</f>
        <v>7.31206076947226</v>
      </c>
      <c r="C191" s="29" t="n">
        <f aca="false">1-MIN(1,INDEX(Tabla_Mortalidad!$B$5:$B$75,MIN(71,Cartera_Polizas!$B$193+0-49))*(1+(Cartera_Polizas!$P$193-1)*MAX(0,1-0/Supuestos!$C$20))*(1-Supuestos!$C$18)^0)</f>
        <v>0.92859325</v>
      </c>
      <c r="D191" s="29" t="n">
        <f aca="false">C191*(1-MIN(1,INDEX(Tabla_Mortalidad!$B$5:$B$75,MIN(71,Cartera_Polizas!$B$193+1-49))*(1+(Cartera_Polizas!$P$193-1)*MAX(0,1-1/Supuestos!$C$20))*(1-Supuestos!$C$18)^1))</f>
        <v>0.85501818343371</v>
      </c>
      <c r="E191" s="29" t="n">
        <f aca="false">D191*(1-MIN(1,INDEX(Tabla_Mortalidad!$B$5:$B$75,MIN(71,Cartera_Polizas!$B$193+2-49))*(1+(Cartera_Polizas!$P$193-1)*MAX(0,1-2/Supuestos!$C$20))*(1-Supuestos!$C$18)^2))</f>
        <v>0.779885800971118</v>
      </c>
      <c r="F191" s="29" t="n">
        <f aca="false">E191*(1-MIN(1,INDEX(Tabla_Mortalidad!$B$5:$B$75,MIN(71,Cartera_Polizas!$B$193+3-49))*(1+(Cartera_Polizas!$P$193-1)*MAX(0,1-3/Supuestos!$C$20))*(1-Supuestos!$C$18)^3))</f>
        <v>0.703928283242027</v>
      </c>
      <c r="G191" s="29" t="n">
        <f aca="false">F191*(1-MIN(1,INDEX(Tabla_Mortalidad!$B$5:$B$75,MIN(71,Cartera_Polizas!$B$193+4-49))*(1+(Cartera_Polizas!$P$193-1)*MAX(0,1-4/Supuestos!$C$20))*(1-Supuestos!$C$18)^4))</f>
        <v>0.627987277960101</v>
      </c>
      <c r="H191" s="29" t="n">
        <f aca="false">G191*(1-MIN(1,INDEX(Tabla_Mortalidad!$B$5:$B$75,MIN(71,Cartera_Polizas!$B$193+5-49))*(1+(Cartera_Polizas!$P$193-1)*MAX(0,1-5/Supuestos!$C$20))*(1-Supuestos!$C$18)^5))</f>
        <v>0.552998514658888</v>
      </c>
      <c r="I191" s="29" t="n">
        <f aca="false">H191*(1-MIN(1,INDEX(Tabla_Mortalidad!$B$5:$B$75,MIN(71,Cartera_Polizas!$B$193+6-49))*(1+(Cartera_Polizas!$P$193-1)*MAX(0,1-6/Supuestos!$C$20))*(1-Supuestos!$C$18)^6))</f>
        <v>0.479964897910848</v>
      </c>
      <c r="J191" s="29" t="n">
        <f aca="false">I191*(1-MIN(1,INDEX(Tabla_Mortalidad!$B$5:$B$75,MIN(71,Cartera_Polizas!$B$193+7-49))*(1+(Cartera_Polizas!$P$193-1)*MAX(0,1-7/Supuestos!$C$20))*(1-Supuestos!$C$18)^7))</f>
        <v>0.409919609940022</v>
      </c>
      <c r="K191" s="29" t="n">
        <f aca="false">J191*(1-MIN(1,INDEX(Tabla_Mortalidad!$B$5:$B$75,MIN(71,Cartera_Polizas!$B$193+8-49))*(1+(Cartera_Polizas!$P$193-1)*MAX(0,1-8/Supuestos!$C$20))*(1-Supuestos!$C$18)^8))</f>
        <v>0.343878760862679</v>
      </c>
      <c r="L191" s="29" t="n">
        <f aca="false">K191*(1-MIN(1,INDEX(Tabla_Mortalidad!$B$5:$B$75,MIN(71,Cartera_Polizas!$B$193+9-49))*(1+(Cartera_Polizas!$P$193-1)*MAX(0,1-9/Supuestos!$C$20))*(1-Supuestos!$C$18)^9))</f>
        <v>0.28278503912528</v>
      </c>
      <c r="M191" s="29" t="n">
        <f aca="false">L191*(1-MIN(1,INDEX(Tabla_Mortalidad!$B$5:$B$75,MIN(71,Cartera_Polizas!$B$193+10-49))*(1+(Cartera_Polizas!$P$193-1)*MAX(0,1-10/Supuestos!$C$20))*(1-Supuestos!$C$18)^10))</f>
        <v>0.227449298645952</v>
      </c>
      <c r="N191" s="29" t="n">
        <f aca="false">M191*(1-MIN(1,INDEX(Tabla_Mortalidad!$B$5:$B$75,MIN(71,Cartera_Polizas!$B$193+11-49))*(1+(Cartera_Polizas!$P$193-1)*MAX(0,1-11/Supuestos!$C$20))*(1-Supuestos!$C$18)^11))</f>
        <v>0.178492199859972</v>
      </c>
      <c r="O191" s="29" t="n">
        <f aca="false">N191*(1-MIN(1,INDEX(Tabla_Mortalidad!$B$5:$B$75,MIN(71,Cartera_Polizas!$B$193+12-49))*(1+(Cartera_Polizas!$P$193-1)*MAX(0,1-12/Supuestos!$C$20))*(1-Supuestos!$C$18)^12))</f>
        <v>0.136293459036098</v>
      </c>
      <c r="P191" s="29" t="n">
        <f aca="false">O191*(1-MIN(1,INDEX(Tabla_Mortalidad!$B$5:$B$75,MIN(71,Cartera_Polizas!$B$193+13-49))*(1+(Cartera_Polizas!$P$193-1)*MAX(0,1-13/Supuestos!$C$20))*(1-Supuestos!$C$18)^13))</f>
        <v>0.10095838740685</v>
      </c>
      <c r="Q191" s="29" t="n">
        <f aca="false">P191*(1-MIN(1,INDEX(Tabla_Mortalidad!$B$5:$B$75,MIN(71,Cartera_Polizas!$B$193+14-49))*(1+(Cartera_Polizas!$P$193-1)*MAX(0,1-14/Supuestos!$C$20))*(1-Supuestos!$C$18)^14))</f>
        <v>0.0723065317295008</v>
      </c>
      <c r="R191" s="29" t="n">
        <f aca="false">Q191*(1-MIN(1,INDEX(Tabla_Mortalidad!$B$5:$B$75,MIN(71,Cartera_Polizas!$B$193+15-49))*(1+(Cartera_Polizas!$P$193-1)*MAX(0,1-15/Supuestos!$C$20))*(1-Supuestos!$C$18)^15))</f>
        <v>0.0498872784647261</v>
      </c>
      <c r="S191" s="29" t="n">
        <f aca="false">R191*(1-MIN(1,INDEX(Tabla_Mortalidad!$B$5:$B$75,MIN(71,Cartera_Polizas!$B$193+16-49))*(1+(Cartera_Polizas!$P$193-1)*MAX(0,1-16/Supuestos!$C$20))*(1-Supuestos!$C$18)^16))</f>
        <v>0.0330802845793277</v>
      </c>
      <c r="T191" s="29" t="n">
        <f aca="false">S191*(1-MIN(1,INDEX(Tabla_Mortalidad!$B$5:$B$75,MIN(71,Cartera_Polizas!$B$193+17-49))*(1+(Cartera_Polizas!$P$193-1)*MAX(0,1-17/Supuestos!$C$20))*(1-Supuestos!$C$18)^17))</f>
        <v>0.0209990382186062</v>
      </c>
      <c r="U191" s="29" t="n">
        <f aca="false">T191*(1-MIN(1,INDEX(Tabla_Mortalidad!$B$5:$B$75,MIN(71,Cartera_Polizas!$B$193+18-49))*(1+(Cartera_Polizas!$P$193-1)*MAX(0,1-18/Supuestos!$C$20))*(1-Supuestos!$C$18)^18))</f>
        <v>0.0127067287233435</v>
      </c>
      <c r="V191" s="29" t="n">
        <f aca="false">U191*(1-MIN(1,INDEX(Tabla_Mortalidad!$B$5:$B$75,MIN(71,Cartera_Polizas!$B$193+19-49))*(1+(Cartera_Polizas!$P$193-1)*MAX(0,1-19/Supuestos!$C$20))*(1-Supuestos!$C$18)^19))</f>
        <v>0.00729627677859796</v>
      </c>
      <c r="W191" s="29" t="n">
        <f aca="false">V191*(1-MIN(1,INDEX(Tabla_Mortalidad!$B$5:$B$75,MIN(71,Cartera_Polizas!$B$193+20-49))*(1+(Cartera_Polizas!$P$193-1)*MAX(0,1-20/Supuestos!$C$20))*(1-Supuestos!$C$18)^20))</f>
        <v>0.00395656382894272</v>
      </c>
      <c r="X191" s="29" t="n">
        <f aca="false">W191*(1-MIN(1,INDEX(Tabla_Mortalidad!$B$5:$B$75,MIN(71,Cartera_Polizas!$B$193+21-49))*(1+(Cartera_Polizas!$P$193-1)*MAX(0,1-21/Supuestos!$C$20))*(1-Supuestos!$C$18)^21))</f>
        <v>0.0020160831693673</v>
      </c>
      <c r="Y191" s="29" t="n">
        <f aca="false">X191*(1-MIN(1,INDEX(Tabla_Mortalidad!$B$5:$B$75,MIN(71,Cartera_Polizas!$B$193+22-49))*(1+(Cartera_Polizas!$P$193-1)*MAX(0,1-22/Supuestos!$C$20))*(1-Supuestos!$C$18)^22))</f>
        <v>0.000960369017683465</v>
      </c>
      <c r="Z191" s="29" t="n">
        <f aca="false">Y191*(1-MIN(1,INDEX(Tabla_Mortalidad!$B$5:$B$75,MIN(71,Cartera_Polizas!$B$193+23-49))*(1+(Cartera_Polizas!$P$193-1)*MAX(0,1-23/Supuestos!$C$20))*(1-Supuestos!$C$18)^23))</f>
        <v>0.000425467253773638</v>
      </c>
      <c r="AA191" s="29" t="n">
        <f aca="false">Z191*(1-MIN(1,INDEX(Tabla_Mortalidad!$B$5:$B$75,MIN(71,Cartera_Polizas!$B$193+24-49))*(1+(Cartera_Polizas!$P$193-1)*MAX(0,1-24/Supuestos!$C$20))*(1-Supuestos!$C$18)^24))</f>
        <v>0.000174429655930533</v>
      </c>
      <c r="AB191" s="29" t="n">
        <f aca="false">AA191*(1-MIN(1,INDEX(Tabla_Mortalidad!$B$5:$B$75,MIN(71,Cartera_Polizas!$B$193+25-49))*(1+(Cartera_Polizas!$P$193-1)*MAX(0,1-25/Supuestos!$C$20))*(1-Supuestos!$C$18)^25))</f>
        <v>6.58712192425682E-005</v>
      </c>
      <c r="AC191" s="29" t="n">
        <f aca="false">AB191*(1-MIN(1,INDEX(Tabla_Mortalidad!$B$5:$B$75,MIN(71,Cartera_Polizas!$B$193+26-49))*(1+(Cartera_Polizas!$P$193-1)*MAX(0,1-26/Supuestos!$C$20))*(1-Supuestos!$C$18)^26))</f>
        <v>2.28239189516635E-005</v>
      </c>
      <c r="AD191" s="29" t="n">
        <f aca="false">AC191*(1-MIN(1,INDEX(Tabla_Mortalidad!$B$5:$B$75,MIN(71,Cartera_Polizas!$B$193+27-49))*(1+(Cartera_Polizas!$P$193-1)*MAX(0,1-27/Supuestos!$C$20))*(1-Supuestos!$C$18)^27))</f>
        <v>7.23560854143764E-006</v>
      </c>
      <c r="AE191" s="29" t="n">
        <f aca="false">AD191*(1-MIN(1,INDEX(Tabla_Mortalidad!$B$5:$B$75,MIN(71,Cartera_Polizas!$B$193+28-49))*(1+(Cartera_Polizas!$P$193-1)*MAX(0,1-28/Supuestos!$C$20))*(1-Supuestos!$C$18)^28))</f>
        <v>2.09600142302183E-006</v>
      </c>
      <c r="AF191" s="29" t="n">
        <f aca="false">AE191*(1-MIN(1,INDEX(Tabla_Mortalidad!$B$5:$B$75,MIN(71,Cartera_Polizas!$B$193+29-49))*(1+(Cartera_Polizas!$P$193-1)*MAX(0,1-29/Supuestos!$C$20))*(1-Supuestos!$C$18)^29))</f>
        <v>5.55228655026548E-007</v>
      </c>
      <c r="AG191" s="29" t="n">
        <f aca="false">AF191*(1-MIN(1,INDEX(Tabla_Mortalidad!$B$5:$B$75,MIN(71,Cartera_Polizas!$B$193+30-49))*(1+(Cartera_Polizas!$P$193-1)*MAX(0,1-30/Supuestos!$C$20))*(1-Supuestos!$C$18)^30))</f>
        <v>1.34941345096963E-007</v>
      </c>
      <c r="AH191" s="29" t="n">
        <f aca="false">AG191*(1-MIN(1,INDEX(Tabla_Mortalidad!$B$5:$B$75,MIN(71,Cartera_Polizas!$B$193+31-49))*(1+(Cartera_Polizas!$P$193-1)*MAX(0,1-31/Supuestos!$C$20))*(1-Supuestos!$C$18)^31))</f>
        <v>3.02745640198001E-008</v>
      </c>
      <c r="AI191" s="29" t="n">
        <f aca="false">AH191*(1-MIN(1,INDEX(Tabla_Mortalidad!$B$5:$B$75,MIN(71,Cartera_Polizas!$B$193+32-49))*(1+(Cartera_Polizas!$P$193-1)*MAX(0,1-32/Supuestos!$C$20))*(1-Supuestos!$C$18)^32))</f>
        <v>6.32709286036557E-009</v>
      </c>
      <c r="AJ191" s="29" t="n">
        <f aca="false">AI191*(1-MIN(1,INDEX(Tabla_Mortalidad!$B$5:$B$75,MIN(71,Cartera_Polizas!$B$193+33-49))*(1+(Cartera_Polizas!$P$193-1)*MAX(0,1-33/Supuestos!$C$20))*(1-Supuestos!$C$18)^33))</f>
        <v>1.24616231493558E-009</v>
      </c>
      <c r="AK191" s="29" t="n">
        <f aca="false">AJ191*(1-MIN(1,INDEX(Tabla_Mortalidad!$B$5:$B$75,MIN(71,Cartera_Polizas!$B$193+34-49))*(1+(Cartera_Polizas!$P$193-1)*MAX(0,1-34/Supuestos!$C$20))*(1-Supuestos!$C$18)^34))</f>
        <v>1.9526723439741E-010</v>
      </c>
      <c r="AL191" s="29" t="n">
        <f aca="false">AK191*(1-MIN(1,INDEX(Tabla_Mortalidad!$B$5:$B$75,MIN(71,Cartera_Polizas!$B$193+35-49))*(1+(Cartera_Polizas!$P$193-1)*MAX(0,1-35/Supuestos!$C$20))*(1-Supuestos!$C$18)^35))</f>
        <v>3.1420722035981E-011</v>
      </c>
      <c r="AM191" s="29" t="n">
        <f aca="false">AL191*(1-MIN(1,INDEX(Tabla_Mortalidad!$B$5:$B$75,MIN(71,Cartera_Polizas!$B$193+36-49))*(1+(Cartera_Polizas!$P$193-1)*MAX(0,1-36/Supuestos!$C$20))*(1-Supuestos!$C$18)^36))</f>
        <v>5.18777589591952E-012</v>
      </c>
      <c r="AN191" s="29" t="n">
        <f aca="false">AM191*(1-MIN(1,INDEX(Tabla_Mortalidad!$B$5:$B$75,MIN(71,Cartera_Polizas!$B$193+37-49))*(1+(Cartera_Polizas!$P$193-1)*MAX(0,1-37/Supuestos!$C$20))*(1-Supuestos!$C$18)^37))</f>
        <v>8.78193440080948E-013</v>
      </c>
      <c r="AO191" s="29" t="n">
        <f aca="false">AN191*(1-MIN(1,INDEX(Tabla_Mortalidad!$B$5:$B$75,MIN(71,Cartera_Polizas!$B$193+38-49))*(1+(Cartera_Polizas!$P$193-1)*MAX(0,1-38/Supuestos!$C$20))*(1-Supuestos!$C$18)^38))</f>
        <v>1.52309384457747E-013</v>
      </c>
      <c r="AP191" s="29" t="n">
        <f aca="false">AO191*(1-MIN(1,INDEX(Tabla_Mortalidad!$B$5:$B$75,MIN(71,Cartera_Polizas!$B$193+39-49))*(1+(Cartera_Polizas!$P$193-1)*MAX(0,1-39/Supuestos!$C$20))*(1-Supuestos!$C$18)^39))</f>
        <v>2.70452297619152E-014</v>
      </c>
      <c r="AQ191" s="29" t="n">
        <f aca="false">AP191*(1-MIN(1,INDEX(Tabla_Mortalidad!$B$5:$B$75,MIN(71,Cartera_Polizas!$B$193+40-49))*(1+(Cartera_Polizas!$P$193-1)*MAX(0,1-40/Supuestos!$C$20))*(1-Supuestos!$C$18)^40))</f>
        <v>4.91357407005873E-015</v>
      </c>
      <c r="AR191" s="29" t="n">
        <f aca="false">AQ191*(1-MIN(1,INDEX(Tabla_Mortalidad!$B$5:$B$75,MIN(71,Cartera_Polizas!$B$193+41-49))*(1+(Cartera_Polizas!$P$193-1)*MAX(0,1-41/Supuestos!$C$20))*(1-Supuestos!$C$18)^41))</f>
        <v>9.12801925032717E-016</v>
      </c>
      <c r="AS191" s="29" t="n">
        <f aca="false">AR191*(1-MIN(1,INDEX(Tabla_Mortalidad!$B$5:$B$75,MIN(71,Cartera_Polizas!$B$193+42-49))*(1+(Cartera_Polizas!$P$193-1)*MAX(0,1-42/Supuestos!$C$20))*(1-Supuestos!$C$18)^42))</f>
        <v>1.73288710983295E-016</v>
      </c>
      <c r="AT191" s="29" t="n">
        <f aca="false">AS191*(1-MIN(1,INDEX(Tabla_Mortalidad!$B$5:$B$75,MIN(71,Cartera_Polizas!$B$193+43-49))*(1+(Cartera_Polizas!$P$193-1)*MAX(0,1-43/Supuestos!$C$20))*(1-Supuestos!$C$18)^43))</f>
        <v>3.35995389265216E-017</v>
      </c>
      <c r="AU191" s="29" t="n">
        <f aca="false">AT191*(1-MIN(1,INDEX(Tabla_Mortalidad!$B$5:$B$75,MIN(71,Cartera_Polizas!$B$193+44-49))*(1+(Cartera_Polizas!$P$193-1)*MAX(0,1-44/Supuestos!$C$20))*(1-Supuestos!$C$18)^44))</f>
        <v>6.65015319466833E-018</v>
      </c>
    </row>
    <row r="192" customFormat="false" ht="15" hidden="false" customHeight="false" outlineLevel="0" collapsed="false">
      <c r="A192" s="14" t="n">
        <f aca="false">Cartera_Polizas!A194</f>
        <v>189</v>
      </c>
      <c r="B192" s="26" t="n">
        <f aca="false">SUM(C192:AU192)+0.5</f>
        <v>6.72604968716464</v>
      </c>
      <c r="C192" s="29" t="n">
        <f aca="false">1-MIN(1,INDEX(Tabla_Mortalidad!$B$5:$B$75,MIN(71,Cartera_Polizas!$B$194+0-49))*(1+(Cartera_Polizas!$P$194-1)*MAX(0,1-0/Supuestos!$C$20))*(1-Supuestos!$C$18)^0)</f>
        <v>0.91076008</v>
      </c>
      <c r="D192" s="29" t="n">
        <f aca="false">C192*(1-MIN(1,INDEX(Tabla_Mortalidad!$B$5:$B$75,MIN(71,Cartera_Polizas!$B$194+1-49))*(1+(Cartera_Polizas!$P$194-1)*MAX(0,1-1/Supuestos!$C$20))*(1-Supuestos!$C$18)^1))</f>
        <v>0.822301406485367</v>
      </c>
      <c r="E192" s="29" t="n">
        <f aca="false">D192*(1-MIN(1,INDEX(Tabla_Mortalidad!$B$5:$B$75,MIN(71,Cartera_Polizas!$B$194+2-49))*(1+(Cartera_Polizas!$P$194-1)*MAX(0,1-2/Supuestos!$C$20))*(1-Supuestos!$C$18)^2))</f>
        <v>0.735441627017591</v>
      </c>
      <c r="F192" s="29" t="n">
        <f aca="false">E192*(1-MIN(1,INDEX(Tabla_Mortalidad!$B$5:$B$75,MIN(71,Cartera_Polizas!$B$194+3-49))*(1+(Cartera_Polizas!$P$194-1)*MAX(0,1-3/Supuestos!$C$20))*(1-Supuestos!$C$18)^3))</f>
        <v>0.651020315304781</v>
      </c>
      <c r="G192" s="29" t="n">
        <f aca="false">F192*(1-MIN(1,INDEX(Tabla_Mortalidad!$B$5:$B$75,MIN(71,Cartera_Polizas!$B$194+4-49))*(1+(Cartera_Polizas!$P$194-1)*MAX(0,1-4/Supuestos!$C$20))*(1-Supuestos!$C$18)^4))</f>
        <v>0.569880154821115</v>
      </c>
      <c r="H192" s="29" t="n">
        <f aca="false">G192*(1-MIN(1,INDEX(Tabla_Mortalidad!$B$5:$B$75,MIN(71,Cartera_Polizas!$B$194+5-49))*(1+(Cartera_Polizas!$P$194-1)*MAX(0,1-5/Supuestos!$C$20))*(1-Supuestos!$C$18)^5))</f>
        <v>0.492832738114563</v>
      </c>
      <c r="I192" s="29" t="n">
        <f aca="false">H192*(1-MIN(1,INDEX(Tabla_Mortalidad!$B$5:$B$75,MIN(71,Cartera_Polizas!$B$194+6-49))*(1+(Cartera_Polizas!$P$194-1)*MAX(0,1-6/Supuestos!$C$20))*(1-Supuestos!$C$18)^6))</f>
        <v>0.420627702213112</v>
      </c>
      <c r="J192" s="29" t="n">
        <f aca="false">I192*(1-MIN(1,INDEX(Tabla_Mortalidad!$B$5:$B$75,MIN(71,Cartera_Polizas!$B$194+7-49))*(1+(Cartera_Polizas!$P$194-1)*MAX(0,1-7/Supuestos!$C$20))*(1-Supuestos!$C$18)^7))</f>
        <v>0.3539191809105</v>
      </c>
      <c r="K192" s="29" t="n">
        <f aca="false">J192*(1-MIN(1,INDEX(Tabla_Mortalidad!$B$5:$B$75,MIN(71,Cartera_Polizas!$B$194+8-49))*(1+(Cartera_Polizas!$P$194-1)*MAX(0,1-8/Supuestos!$C$20))*(1-Supuestos!$C$18)^8))</f>
        <v>0.293234225775775</v>
      </c>
      <c r="L192" s="29" t="n">
        <f aca="false">K192*(1-MIN(1,INDEX(Tabla_Mortalidad!$B$5:$B$75,MIN(71,Cartera_Polizas!$B$194+9-49))*(1+(Cartera_Polizas!$P$194-1)*MAX(0,1-9/Supuestos!$C$20))*(1-Supuestos!$C$18)^9))</f>
        <v>0.238944902613462</v>
      </c>
      <c r="M192" s="29" t="n">
        <f aca="false">L192*(1-MIN(1,INDEX(Tabla_Mortalidad!$B$5:$B$75,MIN(71,Cartera_Polizas!$B$194+10-49))*(1+(Cartera_Polizas!$P$194-1)*MAX(0,1-10/Supuestos!$C$20))*(1-Supuestos!$C$18)^10))</f>
        <v>0.191246609988831</v>
      </c>
      <c r="N192" s="29" t="n">
        <f aca="false">M192*(1-MIN(1,INDEX(Tabla_Mortalidad!$B$5:$B$75,MIN(71,Cartera_Polizas!$B$194+11-49))*(1+(Cartera_Polizas!$P$194-1)*MAX(0,1-11/Supuestos!$C$20))*(1-Supuestos!$C$18)^11))</f>
        <v>0.150147870387718</v>
      </c>
      <c r="O192" s="29" t="n">
        <f aca="false">N192*(1-MIN(1,INDEX(Tabla_Mortalidad!$B$5:$B$75,MIN(71,Cartera_Polizas!$B$194+12-49))*(1+(Cartera_Polizas!$P$194-1)*MAX(0,1-12/Supuestos!$C$20))*(1-Supuestos!$C$18)^12))</f>
        <v>0.115470632269929</v>
      </c>
      <c r="P192" s="29" t="n">
        <f aca="false">O192*(1-MIN(1,INDEX(Tabla_Mortalidad!$B$5:$B$75,MIN(71,Cartera_Polizas!$B$194+13-49))*(1+(Cartera_Polizas!$P$194-1)*MAX(0,1-13/Supuestos!$C$20))*(1-Supuestos!$C$18)^13))</f>
        <v>0.0868627855820251</v>
      </c>
      <c r="Q192" s="29" t="n">
        <f aca="false">P192*(1-MIN(1,INDEX(Tabla_Mortalidad!$B$5:$B$75,MIN(71,Cartera_Polizas!$B$194+14-49))*(1+(Cartera_Polizas!$P$194-1)*MAX(0,1-14/Supuestos!$C$20))*(1-Supuestos!$C$18)^14))</f>
        <v>0.0638239623592838</v>
      </c>
      <c r="R192" s="29" t="n">
        <f aca="false">Q192*(1-MIN(1,INDEX(Tabla_Mortalidad!$B$5:$B$75,MIN(71,Cartera_Polizas!$B$194+15-49))*(1+(Cartera_Polizas!$P$194-1)*MAX(0,1-15/Supuestos!$C$20))*(1-Supuestos!$C$18)^15))</f>
        <v>0.0457410965342018</v>
      </c>
      <c r="S192" s="29" t="n">
        <f aca="false">R192*(1-MIN(1,INDEX(Tabla_Mortalidad!$B$5:$B$75,MIN(71,Cartera_Polizas!$B$194+16-49))*(1+(Cartera_Polizas!$P$194-1)*MAX(0,1-16/Supuestos!$C$20))*(1-Supuestos!$C$18)^16))</f>
        <v>0.0316295937796944</v>
      </c>
      <c r="T192" s="29" t="n">
        <f aca="false">S192*(1-MIN(1,INDEX(Tabla_Mortalidad!$B$5:$B$75,MIN(71,Cartera_Polizas!$B$194+17-49))*(1+(Cartera_Polizas!$P$194-1)*MAX(0,1-17/Supuestos!$C$20))*(1-Supuestos!$C$18)^17))</f>
        <v>0.021026882756268</v>
      </c>
      <c r="U192" s="29" t="n">
        <f aca="false">T192*(1-MIN(1,INDEX(Tabla_Mortalidad!$B$5:$B$75,MIN(71,Cartera_Polizas!$B$194+18-49))*(1+(Cartera_Polizas!$P$194-1)*MAX(0,1-18/Supuestos!$C$20))*(1-Supuestos!$C$18)^18))</f>
        <v>0.013386053808244</v>
      </c>
      <c r="V192" s="29" t="n">
        <f aca="false">U192*(1-MIN(1,INDEX(Tabla_Mortalidad!$B$5:$B$75,MIN(71,Cartera_Polizas!$B$194+19-49))*(1+(Cartera_Polizas!$P$194-1)*MAX(0,1-19/Supuestos!$C$20))*(1-Supuestos!$C$18)^19))</f>
        <v>0.00812646556220484</v>
      </c>
      <c r="W192" s="29" t="n">
        <f aca="false">V192*(1-MIN(1,INDEX(Tabla_Mortalidad!$B$5:$B$75,MIN(71,Cartera_Polizas!$B$194+20-49))*(1+(Cartera_Polizas!$P$194-1)*MAX(0,1-20/Supuestos!$C$20))*(1-Supuestos!$C$18)^20))</f>
        <v>0.00468356431669821</v>
      </c>
      <c r="X192" s="29" t="n">
        <f aca="false">W192*(1-MIN(1,INDEX(Tabla_Mortalidad!$B$5:$B$75,MIN(71,Cartera_Polizas!$B$194+21-49))*(1+(Cartera_Polizas!$P$194-1)*MAX(0,1-21/Supuestos!$C$20))*(1-Supuestos!$C$18)^21))</f>
        <v>0.00255048301108253</v>
      </c>
      <c r="Y192" s="29" t="n">
        <f aca="false">X192*(1-MIN(1,INDEX(Tabla_Mortalidad!$B$5:$B$75,MIN(71,Cartera_Polizas!$B$194+22-49))*(1+(Cartera_Polizas!$P$194-1)*MAX(0,1-22/Supuestos!$C$20))*(1-Supuestos!$C$18)^22))</f>
        <v>0.00130586334773204</v>
      </c>
      <c r="Z192" s="29" t="n">
        <f aca="false">Y192*(1-MIN(1,INDEX(Tabla_Mortalidad!$B$5:$B$75,MIN(71,Cartera_Polizas!$B$194+23-49))*(1+(Cartera_Polizas!$P$194-1)*MAX(0,1-23/Supuestos!$C$20))*(1-Supuestos!$C$18)^23))</f>
        <v>0.000625472109351433</v>
      </c>
      <c r="AA192" s="29" t="n">
        <f aca="false">Z192*(1-MIN(1,INDEX(Tabla_Mortalidad!$B$5:$B$75,MIN(71,Cartera_Polizas!$B$194+24-49))*(1+(Cartera_Polizas!$P$194-1)*MAX(0,1-24/Supuestos!$C$20))*(1-Supuestos!$C$18)^24))</f>
        <v>0.000278841493654749</v>
      </c>
      <c r="AB192" s="29" t="n">
        <f aca="false">AA192*(1-MIN(1,INDEX(Tabla_Mortalidad!$B$5:$B$75,MIN(71,Cartera_Polizas!$B$194+25-49))*(1+(Cartera_Polizas!$P$194-1)*MAX(0,1-25/Supuestos!$C$20))*(1-Supuestos!$C$18)^25))</f>
        <v>0.000115139822998334</v>
      </c>
      <c r="AC192" s="29" t="n">
        <f aca="false">AB192*(1-MIN(1,INDEX(Tabla_Mortalidad!$B$5:$B$75,MIN(71,Cartera_Polizas!$B$194+26-49))*(1+(Cartera_Polizas!$P$194-1)*MAX(0,1-26/Supuestos!$C$20))*(1-Supuestos!$C$18)^26))</f>
        <v>4.38394347532585E-005</v>
      </c>
      <c r="AD192" s="29" t="n">
        <f aca="false">AC192*(1-MIN(1,INDEX(Tabla_Mortalidad!$B$5:$B$75,MIN(71,Cartera_Polizas!$B$194+27-49))*(1+(Cartera_Polizas!$P$194-1)*MAX(0,1-27/Supuestos!$C$20))*(1-Supuestos!$C$18)^27))</f>
        <v>1.53333058636394E-005</v>
      </c>
      <c r="AE192" s="29" t="n">
        <f aca="false">AD192*(1-MIN(1,INDEX(Tabla_Mortalidad!$B$5:$B$75,MIN(71,Cartera_Polizas!$B$194+28-49))*(1+(Cartera_Polizas!$P$194-1)*MAX(0,1-28/Supuestos!$C$20))*(1-Supuestos!$C$18)^28))</f>
        <v>4.91330611408163E-006</v>
      </c>
      <c r="AF192" s="29" t="n">
        <f aca="false">AE192*(1-MIN(1,INDEX(Tabla_Mortalidad!$B$5:$B$75,MIN(71,Cartera_Polizas!$B$194+29-49))*(1+(Cartera_Polizas!$P$194-1)*MAX(0,1-29/Supuestos!$C$20))*(1-Supuestos!$C$18)^29))</f>
        <v>1.44073008684079E-006</v>
      </c>
      <c r="AG192" s="29" t="n">
        <f aca="false">AF192*(1-MIN(1,INDEX(Tabla_Mortalidad!$B$5:$B$75,MIN(71,Cartera_Polizas!$B$194+30-49))*(1+(Cartera_Polizas!$P$194-1)*MAX(0,1-30/Supuestos!$C$20))*(1-Supuestos!$C$18)^30))</f>
        <v>3.86943352177115E-007</v>
      </c>
      <c r="AH192" s="29" t="n">
        <f aca="false">AG192*(1-MIN(1,INDEX(Tabla_Mortalidad!$B$5:$B$75,MIN(71,Cartera_Polizas!$B$194+31-49))*(1+(Cartera_Polizas!$P$194-1)*MAX(0,1-31/Supuestos!$C$20))*(1-Supuestos!$C$18)^31))</f>
        <v>9.55062258439826E-008</v>
      </c>
      <c r="AI192" s="29" t="n">
        <f aca="false">AH192*(1-MIN(1,INDEX(Tabla_Mortalidad!$B$5:$B$75,MIN(71,Cartera_Polizas!$B$194+32-49))*(1+(Cartera_Polizas!$P$194-1)*MAX(0,1-32/Supuestos!$C$20))*(1-Supuestos!$C$18)^32))</f>
        <v>2.17975520597425E-008</v>
      </c>
      <c r="AJ192" s="29" t="n">
        <f aca="false">AI192*(1-MIN(1,INDEX(Tabla_Mortalidad!$B$5:$B$75,MIN(71,Cartera_Polizas!$B$194+33-49))*(1+(Cartera_Polizas!$P$194-1)*MAX(0,1-33/Supuestos!$C$20))*(1-Supuestos!$C$18)^33))</f>
        <v>4.64168921359932E-009</v>
      </c>
      <c r="AK192" s="29" t="n">
        <f aca="false">AJ192*(1-MIN(1,INDEX(Tabla_Mortalidad!$B$5:$B$75,MIN(71,Cartera_Polizas!$B$194+34-49))*(1+(Cartera_Polizas!$P$194-1)*MAX(0,1-34/Supuestos!$C$20))*(1-Supuestos!$C$18)^34))</f>
        <v>9.32848435834127E-010</v>
      </c>
      <c r="AL192" s="29" t="n">
        <f aca="false">AK192*(1-MIN(1,INDEX(Tabla_Mortalidad!$B$5:$B$75,MIN(71,Cartera_Polizas!$B$194+35-49))*(1+(Cartera_Polizas!$P$194-1)*MAX(0,1-35/Supuestos!$C$20))*(1-Supuestos!$C$18)^35))</f>
        <v>1.50105938123701E-010</v>
      </c>
      <c r="AM192" s="29" t="n">
        <f aca="false">AL192*(1-MIN(1,INDEX(Tabla_Mortalidad!$B$5:$B$75,MIN(71,Cartera_Polizas!$B$194+36-49))*(1+(Cartera_Polizas!$P$194-1)*MAX(0,1-36/Supuestos!$C$20))*(1-Supuestos!$C$18)^36))</f>
        <v>2.47835160102555E-011</v>
      </c>
      <c r="AN192" s="29" t="n">
        <f aca="false">AM192*(1-MIN(1,INDEX(Tabla_Mortalidad!$B$5:$B$75,MIN(71,Cartera_Polizas!$B$194+37-49))*(1+(Cartera_Polizas!$P$194-1)*MAX(0,1-37/Supuestos!$C$20))*(1-Supuestos!$C$18)^37))</f>
        <v>4.1953857720544E-012</v>
      </c>
      <c r="AO192" s="29" t="n">
        <f aca="false">AN192*(1-MIN(1,INDEX(Tabla_Mortalidad!$B$5:$B$75,MIN(71,Cartera_Polizas!$B$194+38-49))*(1+(Cartera_Polizas!$P$194-1)*MAX(0,1-38/Supuestos!$C$20))*(1-Supuestos!$C$18)^38))</f>
        <v>7.27626278380643E-013</v>
      </c>
      <c r="AP192" s="29" t="n">
        <f aca="false">AO192*(1-MIN(1,INDEX(Tabla_Mortalidad!$B$5:$B$75,MIN(71,Cartera_Polizas!$B$194+39-49))*(1+(Cartera_Polizas!$P$194-1)*MAX(0,1-39/Supuestos!$C$20))*(1-Supuestos!$C$18)^39))</f>
        <v>1.29202937492476E-013</v>
      </c>
      <c r="AQ192" s="29" t="n">
        <f aca="false">AP192*(1-MIN(1,INDEX(Tabla_Mortalidad!$B$5:$B$75,MIN(71,Cartera_Polizas!$B$194+40-49))*(1+(Cartera_Polizas!$P$194-1)*MAX(0,1-40/Supuestos!$C$20))*(1-Supuestos!$C$18)^40))</f>
        <v>2.34735740471481E-014</v>
      </c>
      <c r="AR192" s="29" t="n">
        <f aca="false">AQ192*(1-MIN(1,INDEX(Tabla_Mortalidad!$B$5:$B$75,MIN(71,Cartera_Polizas!$B$194+41-49))*(1+(Cartera_Polizas!$P$194-1)*MAX(0,1-41/Supuestos!$C$20))*(1-Supuestos!$C$18)^41))</f>
        <v>4.36072058182664E-015</v>
      </c>
      <c r="AS192" s="29" t="n">
        <f aca="false">AR192*(1-MIN(1,INDEX(Tabla_Mortalidad!$B$5:$B$75,MIN(71,Cartera_Polizas!$B$194+42-49))*(1+(Cartera_Polizas!$P$194-1)*MAX(0,1-42/Supuestos!$C$20))*(1-Supuestos!$C$18)^42))</f>
        <v>8.27850629868006E-016</v>
      </c>
      <c r="AT192" s="29" t="n">
        <f aca="false">AS192*(1-MIN(1,INDEX(Tabla_Mortalidad!$B$5:$B$75,MIN(71,Cartera_Polizas!$B$194+43-49))*(1+(Cartera_Polizas!$P$194-1)*MAX(0,1-43/Supuestos!$C$20))*(1-Supuestos!$C$18)^43))</f>
        <v>1.60514780828838E-016</v>
      </c>
      <c r="AU192" s="29" t="n">
        <f aca="false">AT192*(1-MIN(1,INDEX(Tabla_Mortalidad!$B$5:$B$75,MIN(71,Cartera_Polizas!$B$194+44-49))*(1+(Cartera_Polizas!$P$194-1)*MAX(0,1-44/Supuestos!$C$20))*(1-Supuestos!$C$18)^44))</f>
        <v>3.1769718175442E-017</v>
      </c>
    </row>
    <row r="193" customFormat="false" ht="15" hidden="false" customHeight="false" outlineLevel="0" collapsed="false">
      <c r="A193" s="14" t="n">
        <f aca="false">Cartera_Polizas!A195</f>
        <v>190</v>
      </c>
      <c r="B193" s="26" t="n">
        <f aca="false">SUM(C193:AU193)+0.5</f>
        <v>8.73511547020459</v>
      </c>
      <c r="C193" s="29" t="n">
        <f aca="false">1-MIN(1,INDEX(Tabla_Mortalidad!$B$5:$B$75,MIN(71,Cartera_Polizas!$B$195+0-49))*(1+(Cartera_Polizas!$P$195-1)*MAX(0,1-0/Supuestos!$C$20))*(1-Supuestos!$C$18)^0)</f>
        <v>0.93447694675</v>
      </c>
      <c r="D193" s="29" t="n">
        <f aca="false">C193*(1-MIN(1,INDEX(Tabla_Mortalidad!$B$5:$B$75,MIN(71,Cartera_Polizas!$B$195+1-49))*(1+(Cartera_Polizas!$P$195-1)*MAX(0,1-1/Supuestos!$C$20))*(1-Supuestos!$C$18)^1))</f>
        <v>0.868419341460424</v>
      </c>
      <c r="E193" s="29" t="n">
        <f aca="false">D193*(1-MIN(1,INDEX(Tabla_Mortalidad!$B$5:$B$75,MIN(71,Cartera_Polizas!$B$195+2-49))*(1+(Cartera_Polizas!$P$195-1)*MAX(0,1-2/Supuestos!$C$20))*(1-Supuestos!$C$18)^2))</f>
        <v>0.802256354337708</v>
      </c>
      <c r="F193" s="29" t="n">
        <f aca="false">E193*(1-MIN(1,INDEX(Tabla_Mortalidad!$B$5:$B$75,MIN(71,Cartera_Polizas!$B$195+3-49))*(1+(Cartera_Polizas!$P$195-1)*MAX(0,1-3/Supuestos!$C$20))*(1-Supuestos!$C$18)^3))</f>
        <v>0.73644995050686</v>
      </c>
      <c r="G193" s="29" t="n">
        <f aca="false">F193*(1-MIN(1,INDEX(Tabla_Mortalidad!$B$5:$B$75,MIN(71,Cartera_Polizas!$B$195+4-49))*(1+(Cartera_Polizas!$P$195-1)*MAX(0,1-4/Supuestos!$C$20))*(1-Supuestos!$C$18)^4))</f>
        <v>0.671488175803169</v>
      </c>
      <c r="H193" s="29" t="n">
        <f aca="false">G193*(1-MIN(1,INDEX(Tabla_Mortalidad!$B$5:$B$75,MIN(71,Cartera_Polizas!$B$195+5-49))*(1+(Cartera_Polizas!$P$195-1)*MAX(0,1-5/Supuestos!$C$20))*(1-Supuestos!$C$18)^5))</f>
        <v>0.6078715549857</v>
      </c>
      <c r="I193" s="29" t="n">
        <f aca="false">H193*(1-MIN(1,INDEX(Tabla_Mortalidad!$B$5:$B$75,MIN(71,Cartera_Polizas!$B$195+6-49))*(1+(Cartera_Polizas!$P$195-1)*MAX(0,1-6/Supuestos!$C$20))*(1-Supuestos!$C$18)^6))</f>
        <v>0.546100185992968</v>
      </c>
      <c r="J193" s="29" t="n">
        <f aca="false">I193*(1-MIN(1,INDEX(Tabla_Mortalidad!$B$5:$B$75,MIN(71,Cartera_Polizas!$B$195+7-49))*(1+(Cartera_Polizas!$P$195-1)*MAX(0,1-7/Supuestos!$C$20))*(1-Supuestos!$C$18)^7))</f>
        <v>0.486663472445966</v>
      </c>
      <c r="K193" s="29" t="n">
        <f aca="false">J193*(1-MIN(1,INDEX(Tabla_Mortalidad!$B$5:$B$75,MIN(71,Cartera_Polizas!$B$195+8-49))*(1+(Cartera_Polizas!$P$195-1)*MAX(0,1-8/Supuestos!$C$20))*(1-Supuestos!$C$18)^8))</f>
        <v>0.430020123195911</v>
      </c>
      <c r="L193" s="29" t="n">
        <f aca="false">K193*(1-MIN(1,INDEX(Tabla_Mortalidad!$B$5:$B$75,MIN(71,Cartera_Polizas!$B$195+9-49))*(1+(Cartera_Polizas!$P$195-1)*MAX(0,1-9/Supuestos!$C$20))*(1-Supuestos!$C$18)^9))</f>
        <v>0.376587468399501</v>
      </c>
      <c r="M193" s="29" t="n">
        <f aca="false">L193*(1-MIN(1,INDEX(Tabla_Mortalidad!$B$5:$B$75,MIN(71,Cartera_Polizas!$B$195+10-49))*(1+(Cartera_Polizas!$P$195-1)*MAX(0,1-10/Supuestos!$C$20))*(1-Supuestos!$C$18)^10))</f>
        <v>0.326723553837572</v>
      </c>
      <c r="N193" s="29" t="n">
        <f aca="false">M193*(1-MIN(1,INDEX(Tabla_Mortalidad!$B$5:$B$75,MIN(71,Cartera_Polizas!$B$195+11-49))*(1+(Cartera_Polizas!$P$195-1)*MAX(0,1-11/Supuestos!$C$20))*(1-Supuestos!$C$18)^11))</f>
        <v>0.280714940257067</v>
      </c>
      <c r="O193" s="29" t="n">
        <f aca="false">N193*(1-MIN(1,INDEX(Tabla_Mortalidad!$B$5:$B$75,MIN(71,Cartera_Polizas!$B$195+12-49))*(1+(Cartera_Polizas!$P$195-1)*MAX(0,1-12/Supuestos!$C$20))*(1-Supuestos!$C$18)^12))</f>
        <v>0.238765852176784</v>
      </c>
      <c r="P193" s="29" t="n">
        <f aca="false">O193*(1-MIN(1,INDEX(Tabla_Mortalidad!$B$5:$B$75,MIN(71,Cartera_Polizas!$B$195+13-49))*(1+(Cartera_Polizas!$P$195-1)*MAX(0,1-13/Supuestos!$C$20))*(1-Supuestos!$C$18)^13))</f>
        <v>0.200991134826445</v>
      </c>
      <c r="Q193" s="29" t="n">
        <f aca="false">P193*(1-MIN(1,INDEX(Tabla_Mortalidad!$B$5:$B$75,MIN(71,Cartera_Polizas!$B$195+14-49))*(1+(Cartera_Polizas!$P$195-1)*MAX(0,1-14/Supuestos!$C$20))*(1-Supuestos!$C$18)^14))</f>
        <v>0.167413106551894</v>
      </c>
      <c r="R193" s="29" t="n">
        <f aca="false">Q193*(1-MIN(1,INDEX(Tabla_Mortalidad!$B$5:$B$75,MIN(71,Cartera_Polizas!$B$195+15-49))*(1+(Cartera_Polizas!$P$195-1)*MAX(0,1-15/Supuestos!$C$20))*(1-Supuestos!$C$18)^15))</f>
        <v>0.13796257800231</v>
      </c>
      <c r="S193" s="29" t="n">
        <f aca="false">R193*(1-MIN(1,INDEX(Tabla_Mortalidad!$B$5:$B$75,MIN(71,Cartera_Polizas!$B$195+16-49))*(1+(Cartera_Polizas!$P$195-1)*MAX(0,1-16/Supuestos!$C$20))*(1-Supuestos!$C$18)^16))</f>
        <v>0.11132171305098</v>
      </c>
      <c r="T193" s="29" t="n">
        <f aca="false">S193*(1-MIN(1,INDEX(Tabla_Mortalidad!$B$5:$B$75,MIN(71,Cartera_Polizas!$B$195+17-49))*(1+(Cartera_Polizas!$P$195-1)*MAX(0,1-17/Supuestos!$C$20))*(1-Supuestos!$C$18)^17))</f>
        <v>0.0877560870796739</v>
      </c>
      <c r="U193" s="29" t="n">
        <f aca="false">T193*(1-MIN(1,INDEX(Tabla_Mortalidad!$B$5:$B$75,MIN(71,Cartera_Polizas!$B$195+18-49))*(1+(Cartera_Polizas!$P$195-1)*MAX(0,1-18/Supuestos!$C$20))*(1-Supuestos!$C$18)^18))</f>
        <v>0.0674203091652105</v>
      </c>
      <c r="V193" s="29" t="n">
        <f aca="false">U193*(1-MIN(1,INDEX(Tabla_Mortalidad!$B$5:$B$75,MIN(71,Cartera_Polizas!$B$195+19-49))*(1+(Cartera_Polizas!$P$195-1)*MAX(0,1-19/Supuestos!$C$20))*(1-Supuestos!$C$18)^19))</f>
        <v>0.0503451336263241</v>
      </c>
      <c r="W193" s="29" t="n">
        <f aca="false">V193*(1-MIN(1,INDEX(Tabla_Mortalidad!$B$5:$B$75,MIN(71,Cartera_Polizas!$B$195+20-49))*(1+(Cartera_Polizas!$P$195-1)*MAX(0,1-20/Supuestos!$C$20))*(1-Supuestos!$C$18)^20))</f>
        <v>0.0364341961505103</v>
      </c>
      <c r="X193" s="29" t="n">
        <f aca="false">W193*(1-MIN(1,INDEX(Tabla_Mortalidad!$B$5:$B$75,MIN(71,Cartera_Polizas!$B$195+21-49))*(1+(Cartera_Polizas!$P$195-1)*MAX(0,1-21/Supuestos!$C$20))*(1-Supuestos!$C$18)^21))</f>
        <v>0.0254721585062835</v>
      </c>
      <c r="Y193" s="29" t="n">
        <f aca="false">X193*(1-MIN(1,INDEX(Tabla_Mortalidad!$B$5:$B$75,MIN(71,Cartera_Polizas!$B$195+22-49))*(1+(Cartera_Polizas!$P$195-1)*MAX(0,1-22/Supuestos!$C$20))*(1-Supuestos!$C$18)^22))</f>
        <v>0.0171448536739918</v>
      </c>
      <c r="Z193" s="29" t="n">
        <f aca="false">Y193*(1-MIN(1,INDEX(Tabla_Mortalidad!$B$5:$B$75,MIN(71,Cartera_Polizas!$B$195+23-49))*(1+(Cartera_Polizas!$P$195-1)*MAX(0,1-23/Supuestos!$C$20))*(1-Supuestos!$C$18)^23))</f>
        <v>0.0110688955651439</v>
      </c>
      <c r="AA193" s="29" t="n">
        <f aca="false">Z193*(1-MIN(1,INDEX(Tabla_Mortalidad!$B$5:$B$75,MIN(71,Cartera_Polizas!$B$195+24-49))*(1+(Cartera_Polizas!$P$195-1)*MAX(0,1-24/Supuestos!$C$20))*(1-Supuestos!$C$18)^24))</f>
        <v>0.00682740140511498</v>
      </c>
      <c r="AB193" s="29" t="n">
        <f aca="false">AA193*(1-MIN(1,INDEX(Tabla_Mortalidad!$B$5:$B$75,MIN(71,Cartera_Polizas!$B$195+25-49))*(1+(Cartera_Polizas!$P$195-1)*MAX(0,1-25/Supuestos!$C$20))*(1-Supuestos!$C$18)^25))</f>
        <v>0.00400646232480581</v>
      </c>
      <c r="AC193" s="29" t="n">
        <f aca="false">AB193*(1-MIN(1,INDEX(Tabla_Mortalidad!$B$5:$B$75,MIN(71,Cartera_Polizas!$B$195+26-49))*(1+(Cartera_Polizas!$P$195-1)*MAX(0,1-26/Supuestos!$C$20))*(1-Supuestos!$C$18)^26))</f>
        <v>0.00222692382645991</v>
      </c>
      <c r="AD193" s="29" t="n">
        <f aca="false">AC193*(1-MIN(1,INDEX(Tabla_Mortalidad!$B$5:$B$75,MIN(71,Cartera_Polizas!$B$195+27-49))*(1+(Cartera_Polizas!$P$195-1)*MAX(0,1-27/Supuestos!$C$20))*(1-Supuestos!$C$18)^27))</f>
        <v>0.00116709680380286</v>
      </c>
      <c r="AE193" s="29" t="n">
        <f aca="false">AD193*(1-MIN(1,INDEX(Tabla_Mortalidad!$B$5:$B$75,MIN(71,Cartera_Polizas!$B$195+28-49))*(1+(Cartera_Polizas!$P$195-1)*MAX(0,1-28/Supuestos!$C$20))*(1-Supuestos!$C$18)^28))</f>
        <v>0.000574057792110624</v>
      </c>
      <c r="AF193" s="29" t="n">
        <f aca="false">AE193*(1-MIN(1,INDEX(Tabla_Mortalidad!$B$5:$B$75,MIN(71,Cartera_Polizas!$B$195+29-49))*(1+(Cartera_Polizas!$P$195-1)*MAX(0,1-29/Supuestos!$C$20))*(1-Supuestos!$C$18)^29))</f>
        <v>0.000263794790346924</v>
      </c>
      <c r="AG193" s="29" t="n">
        <f aca="false">AF193*(1-MIN(1,INDEX(Tabla_Mortalidad!$B$5:$B$75,MIN(71,Cartera_Polizas!$B$195+30-49))*(1+(Cartera_Polizas!$P$195-1)*MAX(0,1-30/Supuestos!$C$20))*(1-Supuestos!$C$18)^30))</f>
        <v>0.000112759884428777</v>
      </c>
      <c r="AH193" s="29" t="n">
        <f aca="false">AG193*(1-MIN(1,INDEX(Tabla_Mortalidad!$B$5:$B$75,MIN(71,Cartera_Polizas!$B$195+31-49))*(1+(Cartera_Polizas!$P$195-1)*MAX(0,1-31/Supuestos!$C$20))*(1-Supuestos!$C$18)^31))</f>
        <v>4.46615699029373E-005</v>
      </c>
      <c r="AI193" s="29" t="n">
        <f aca="false">AH193*(1-MIN(1,INDEX(Tabla_Mortalidad!$B$5:$B$75,MIN(71,Cartera_Polizas!$B$195+32-49))*(1+(Cartera_Polizas!$P$195-1)*MAX(0,1-32/Supuestos!$C$20))*(1-Supuestos!$C$18)^32))</f>
        <v>1.6339650196778E-005</v>
      </c>
      <c r="AJ193" s="29" t="n">
        <f aca="false">AI193*(1-MIN(1,INDEX(Tabla_Mortalidad!$B$5:$B$75,MIN(71,Cartera_Polizas!$B$195+33-49))*(1+(Cartera_Polizas!$P$195-1)*MAX(0,1-33/Supuestos!$C$20))*(1-Supuestos!$C$18)^33))</f>
        <v>5.5106074478552E-006</v>
      </c>
      <c r="AK193" s="29" t="n">
        <f aca="false">AJ193*(1-MIN(1,INDEX(Tabla_Mortalidad!$B$5:$B$75,MIN(71,Cartera_Polizas!$B$195+34-49))*(1+(Cartera_Polizas!$P$195-1)*MAX(0,1-34/Supuestos!$C$20))*(1-Supuestos!$C$18)^34))</f>
        <v>1.71227635607527E-006</v>
      </c>
      <c r="AL193" s="29" t="n">
        <f aca="false">AK193*(1-MIN(1,INDEX(Tabla_Mortalidad!$B$5:$B$75,MIN(71,Cartera_Polizas!$B$195+35-49))*(1+(Cartera_Polizas!$P$195-1)*MAX(0,1-35/Supuestos!$C$20))*(1-Supuestos!$C$18)^35))</f>
        <v>4.9087227968147E-007</v>
      </c>
      <c r="AM193" s="29" t="n">
        <f aca="false">AL193*(1-MIN(1,INDEX(Tabla_Mortalidad!$B$5:$B$75,MIN(71,Cartera_Polizas!$B$195+36-49))*(1+(Cartera_Polizas!$P$195-1)*MAX(0,1-36/Supuestos!$C$20))*(1-Supuestos!$C$18)^36))</f>
        <v>1.30309081315227E-007</v>
      </c>
      <c r="AN193" s="29" t="n">
        <f aca="false">AM193*(1-MIN(1,INDEX(Tabla_Mortalidad!$B$5:$B$75,MIN(71,Cartera_Polizas!$B$195+37-49))*(1+(Cartera_Polizas!$P$195-1)*MAX(0,1-37/Supuestos!$C$20))*(1-Supuestos!$C$18)^37))</f>
        <v>3.22298619229198E-008</v>
      </c>
      <c r="AO193" s="29" t="n">
        <f aca="false">AN193*(1-MIN(1,INDEX(Tabla_Mortalidad!$B$5:$B$75,MIN(71,Cartera_Polizas!$B$195+38-49))*(1+(Cartera_Polizas!$P$195-1)*MAX(0,1-38/Supuestos!$C$20))*(1-Supuestos!$C$18)^38))</f>
        <v>7.49105844217637E-009</v>
      </c>
      <c r="AP193" s="29" t="n">
        <f aca="false">AO193*(1-MIN(1,INDEX(Tabla_Mortalidad!$B$5:$B$75,MIN(71,Cartera_Polizas!$B$195+39-49))*(1+(Cartera_Polizas!$P$195-1)*MAX(0,1-39/Supuestos!$C$20))*(1-Supuestos!$C$18)^39))</f>
        <v>1.65364142863132E-009</v>
      </c>
      <c r="AQ193" s="29" t="n">
        <f aca="false">AP193*(1-MIN(1,INDEX(Tabla_Mortalidad!$B$5:$B$75,MIN(71,Cartera_Polizas!$B$195+40-49))*(1+(Cartera_Polizas!$P$195-1)*MAX(0,1-40/Supuestos!$C$20))*(1-Supuestos!$C$18)^40))</f>
        <v>3.00433374625629E-010</v>
      </c>
      <c r="AR193" s="29" t="n">
        <f aca="false">AQ193*(1-MIN(1,INDEX(Tabla_Mortalidad!$B$5:$B$75,MIN(71,Cartera_Polizas!$B$195+41-49))*(1+(Cartera_Polizas!$P$195-1)*MAX(0,1-41/Supuestos!$C$20))*(1-Supuestos!$C$18)^41))</f>
        <v>5.58119525201484E-011</v>
      </c>
      <c r="AS193" s="29" t="n">
        <f aca="false">AR193*(1-MIN(1,INDEX(Tabla_Mortalidad!$B$5:$B$75,MIN(71,Cartera_Polizas!$B$195+42-49))*(1+(Cartera_Polizas!$P$195-1)*MAX(0,1-42/Supuestos!$C$20))*(1-Supuestos!$C$18)^42))</f>
        <v>1.05954874156633E-011</v>
      </c>
      <c r="AT193" s="29" t="n">
        <f aca="false">AS193*(1-MIN(1,INDEX(Tabla_Mortalidad!$B$5:$B$75,MIN(71,Cartera_Polizas!$B$195+43-49))*(1+(Cartera_Polizas!$P$195-1)*MAX(0,1-43/Supuestos!$C$20))*(1-Supuestos!$C$18)^43))</f>
        <v>2.05439517581943E-012</v>
      </c>
      <c r="AU193" s="29" t="n">
        <f aca="false">AT193*(1-MIN(1,INDEX(Tabla_Mortalidad!$B$5:$B$75,MIN(71,Cartera_Polizas!$B$195+44-49))*(1+(Cartera_Polizas!$P$195-1)*MAX(0,1-44/Supuestos!$C$20))*(1-Supuestos!$C$18)^44))</f>
        <v>4.06613991681973E-013</v>
      </c>
    </row>
    <row r="194" customFormat="false" ht="15" hidden="false" customHeight="false" outlineLevel="0" collapsed="false">
      <c r="A194" s="14" t="n">
        <f aca="false">Cartera_Polizas!A196</f>
        <v>191</v>
      </c>
      <c r="B194" s="26" t="n">
        <f aca="false">SUM(C194:AU194)+0.5</f>
        <v>10.9882868255142</v>
      </c>
      <c r="C194" s="29" t="n">
        <f aca="false">1-MIN(1,INDEX(Tabla_Mortalidad!$B$5:$B$75,MIN(71,Cartera_Polizas!$B$196+0-49))*(1+(Cartera_Polizas!$P$196-1)*MAX(0,1-0/Supuestos!$C$20))*(1-Supuestos!$C$18)^0)</f>
        <v>0.951705325</v>
      </c>
      <c r="D194" s="29" t="n">
        <f aca="false">C194*(1-MIN(1,INDEX(Tabla_Mortalidad!$B$5:$B$75,MIN(71,Cartera_Polizas!$B$196+1-49))*(1+(Cartera_Polizas!$P$196-1)*MAX(0,1-1/Supuestos!$C$20))*(1-Supuestos!$C$18)^1))</f>
        <v>0.902324127823577</v>
      </c>
      <c r="E194" s="29" t="n">
        <f aca="false">D194*(1-MIN(1,INDEX(Tabla_Mortalidad!$B$5:$B$75,MIN(71,Cartera_Polizas!$B$196+2-49))*(1+(Cartera_Polizas!$P$196-1)*MAX(0,1-2/Supuestos!$C$20))*(1-Supuestos!$C$18)^2))</f>
        <v>0.852082865535087</v>
      </c>
      <c r="F194" s="29" t="n">
        <f aca="false">E194*(1-MIN(1,INDEX(Tabla_Mortalidad!$B$5:$B$75,MIN(71,Cartera_Polizas!$B$196+3-49))*(1+(Cartera_Polizas!$P$196-1)*MAX(0,1-3/Supuestos!$C$20))*(1-Supuestos!$C$18)^3))</f>
        <v>0.801236913078276</v>
      </c>
      <c r="G194" s="29" t="n">
        <f aca="false">F194*(1-MIN(1,INDEX(Tabla_Mortalidad!$B$5:$B$75,MIN(71,Cartera_Polizas!$B$196+4-49))*(1+(Cartera_Polizas!$P$196-1)*MAX(0,1-4/Supuestos!$C$20))*(1-Supuestos!$C$18)^4))</f>
        <v>0.750068914860299</v>
      </c>
      <c r="H194" s="29" t="n">
        <f aca="false">G194*(1-MIN(1,INDEX(Tabla_Mortalidad!$B$5:$B$75,MIN(71,Cartera_Polizas!$B$196+5-49))*(1+(Cartera_Polizas!$P$196-1)*MAX(0,1-5/Supuestos!$C$20))*(1-Supuestos!$C$18)^5))</f>
        <v>0.698884688243061</v>
      </c>
      <c r="I194" s="29" t="n">
        <f aca="false">H194*(1-MIN(1,INDEX(Tabla_Mortalidad!$B$5:$B$75,MIN(71,Cartera_Polizas!$B$196+6-49))*(1+(Cartera_Polizas!$P$196-1)*MAX(0,1-6/Supuestos!$C$20))*(1-Supuestos!$C$18)^6))</f>
        <v>0.648006273563577</v>
      </c>
      <c r="J194" s="29" t="n">
        <f aca="false">I194*(1-MIN(1,INDEX(Tabla_Mortalidad!$B$5:$B$75,MIN(71,Cartera_Polizas!$B$196+7-49))*(1+(Cartera_Polizas!$P$196-1)*MAX(0,1-7/Supuestos!$C$20))*(1-Supuestos!$C$18)^7))</f>
        <v>0.597768079690812</v>
      </c>
      <c r="K194" s="29" t="n">
        <f aca="false">J194*(1-MIN(1,INDEX(Tabla_Mortalidad!$B$5:$B$75,MIN(71,Cartera_Polizas!$B$196+8-49))*(1+(Cartera_Polizas!$P$196-1)*MAX(0,1-8/Supuestos!$C$20))*(1-Supuestos!$C$18)^8))</f>
        <v>0.548511126105567</v>
      </c>
      <c r="L194" s="29" t="n">
        <f aca="false">K194*(1-MIN(1,INDEX(Tabla_Mortalidad!$B$5:$B$75,MIN(71,Cartera_Polizas!$B$196+9-49))*(1+(Cartera_Polizas!$P$196-1)*MAX(0,1-9/Supuestos!$C$20))*(1-Supuestos!$C$18)^9))</f>
        <v>0.500572722094027</v>
      </c>
      <c r="M194" s="29" t="n">
        <f aca="false">L194*(1-MIN(1,INDEX(Tabla_Mortalidad!$B$5:$B$75,MIN(71,Cartera_Polizas!$B$196+10-49))*(1+(Cartera_Polizas!$P$196-1)*MAX(0,1-10/Supuestos!$C$20))*(1-Supuestos!$C$18)^10))</f>
        <v>0.454277514378523</v>
      </c>
      <c r="N194" s="29" t="n">
        <f aca="false">M194*(1-MIN(1,INDEX(Tabla_Mortalidad!$B$5:$B$75,MIN(71,Cartera_Polizas!$B$196+11-49))*(1+(Cartera_Polizas!$P$196-1)*MAX(0,1-11/Supuestos!$C$20))*(1-Supuestos!$C$18)^11))</f>
        <v>0.409931364096784</v>
      </c>
      <c r="O194" s="29" t="n">
        <f aca="false">N194*(1-MIN(1,INDEX(Tabla_Mortalidad!$B$5:$B$75,MIN(71,Cartera_Polizas!$B$196+12-49))*(1+(Cartera_Polizas!$P$196-1)*MAX(0,1-12/Supuestos!$C$20))*(1-Supuestos!$C$18)^12))</f>
        <v>0.367808848670989</v>
      </c>
      <c r="P194" s="29" t="n">
        <f aca="false">O194*(1-MIN(1,INDEX(Tabla_Mortalidad!$B$5:$B$75,MIN(71,Cartera_Polizas!$B$196+13-49))*(1+(Cartera_Polizas!$P$196-1)*MAX(0,1-13/Supuestos!$C$20))*(1-Supuestos!$C$18)^13))</f>
        <v>0.328148541351463</v>
      </c>
      <c r="Q194" s="29" t="n">
        <f aca="false">P194*(1-MIN(1,INDEX(Tabla_Mortalidad!$B$5:$B$75,MIN(71,Cartera_Polizas!$B$196+14-49))*(1+(Cartera_Polizas!$P$196-1)*MAX(0,1-14/Supuestos!$C$20))*(1-Supuestos!$C$18)^14))</f>
        <v>0.291143643392043</v>
      </c>
      <c r="R194" s="29" t="n">
        <f aca="false">Q194*(1-MIN(1,INDEX(Tabla_Mortalidad!$B$5:$B$75,MIN(71,Cartera_Polizas!$B$196+15-49))*(1+(Cartera_Polizas!$P$196-1)*MAX(0,1-15/Supuestos!$C$20))*(1-Supuestos!$C$18)^15))</f>
        <v>0.256937294390839</v>
      </c>
      <c r="S194" s="29" t="n">
        <f aca="false">R194*(1-MIN(1,INDEX(Tabla_Mortalidad!$B$5:$B$75,MIN(71,Cartera_Polizas!$B$196+16-49))*(1+(Cartera_Polizas!$P$196-1)*MAX(0,1-16/Supuestos!$C$20))*(1-Supuestos!$C$18)^16))</f>
        <v>0.223664822782384</v>
      </c>
      <c r="T194" s="29" t="n">
        <f aca="false">S194*(1-MIN(1,INDEX(Tabla_Mortalidad!$B$5:$B$75,MIN(71,Cartera_Polizas!$B$196+17-49))*(1+(Cartera_Polizas!$P$196-1)*MAX(0,1-17/Supuestos!$C$20))*(1-Supuestos!$C$18)^17))</f>
        <v>0.191768813837493</v>
      </c>
      <c r="U194" s="29" t="n">
        <f aca="false">T194*(1-MIN(1,INDEX(Tabla_Mortalidad!$B$5:$B$75,MIN(71,Cartera_Polizas!$B$196+18-49))*(1+(Cartera_Polizas!$P$196-1)*MAX(0,1-18/Supuestos!$C$20))*(1-Supuestos!$C$18)^18))</f>
        <v>0.161681987637992</v>
      </c>
      <c r="V194" s="29" t="n">
        <f aca="false">U194*(1-MIN(1,INDEX(Tabla_Mortalidad!$B$5:$B$75,MIN(71,Cartera_Polizas!$B$196+19-49))*(1+(Cartera_Polizas!$P$196-1)*MAX(0,1-19/Supuestos!$C$20))*(1-Supuestos!$C$18)^19))</f>
        <v>0.133804245241839</v>
      </c>
      <c r="W194" s="29" t="n">
        <f aca="false">V194*(1-MIN(1,INDEX(Tabla_Mortalidad!$B$5:$B$75,MIN(71,Cartera_Polizas!$B$196+20-49))*(1+(Cartera_Polizas!$P$196-1)*MAX(0,1-20/Supuestos!$C$20))*(1-Supuestos!$C$18)^20))</f>
        <v>0.10847925798466</v>
      </c>
      <c r="X194" s="29" t="n">
        <f aca="false">W194*(1-MIN(1,INDEX(Tabla_Mortalidad!$B$5:$B$75,MIN(71,Cartera_Polizas!$B$196+21-49))*(1+(Cartera_Polizas!$P$196-1)*MAX(0,1-21/Supuestos!$C$20))*(1-Supuestos!$C$18)^21))</f>
        <v>0.0859711946526897</v>
      </c>
      <c r="Y194" s="29" t="n">
        <f aca="false">X194*(1-MIN(1,INDEX(Tabla_Mortalidad!$B$5:$B$75,MIN(71,Cartera_Polizas!$B$196+22-49))*(1+(Cartera_Polizas!$P$196-1)*MAX(0,1-22/Supuestos!$C$20))*(1-Supuestos!$C$18)^22))</f>
        <v>0.0664444959733397</v>
      </c>
      <c r="Z194" s="29" t="n">
        <f aca="false">Y194*(1-MIN(1,INDEX(Tabla_Mortalidad!$B$5:$B$75,MIN(71,Cartera_Polizas!$B$196+23-49))*(1+(Cartera_Polizas!$P$196-1)*MAX(0,1-23/Supuestos!$C$20))*(1-Supuestos!$C$18)^23))</f>
        <v>0.0499505042724992</v>
      </c>
      <c r="AA194" s="29" t="n">
        <f aca="false">Z194*(1-MIN(1,INDEX(Tabla_Mortalidad!$B$5:$B$75,MIN(71,Cartera_Polizas!$B$196+24-49))*(1+(Cartera_Polizas!$P$196-1)*MAX(0,1-24/Supuestos!$C$20))*(1-Supuestos!$C$18)^24))</f>
        <v>0.0364225819554159</v>
      </c>
      <c r="AB194" s="29" t="n">
        <f aca="false">AA194*(1-MIN(1,INDEX(Tabla_Mortalidad!$B$5:$B$75,MIN(71,Cartera_Polizas!$B$196+25-49))*(1+(Cartera_Polizas!$P$196-1)*MAX(0,1-25/Supuestos!$C$20))*(1-Supuestos!$C$18)^25))</f>
        <v>0.0256815712559476</v>
      </c>
      <c r="AC194" s="29" t="n">
        <f aca="false">AB194*(1-MIN(1,INDEX(Tabla_Mortalidad!$B$5:$B$75,MIN(71,Cartera_Polizas!$B$196+26-49))*(1+(Cartera_Polizas!$P$196-1)*MAX(0,1-26/Supuestos!$C$20))*(1-Supuestos!$C$18)^26))</f>
        <v>0.0174524657851345</v>
      </c>
      <c r="AD194" s="29" t="n">
        <f aca="false">AC194*(1-MIN(1,INDEX(Tabla_Mortalidad!$B$5:$B$75,MIN(71,Cartera_Polizas!$B$196+27-49))*(1+(Cartera_Polizas!$P$196-1)*MAX(0,1-27/Supuestos!$C$20))*(1-Supuestos!$C$18)^27))</f>
        <v>0.0113902679340199</v>
      </c>
      <c r="AE194" s="29" t="n">
        <f aca="false">AD194*(1-MIN(1,INDEX(Tabla_Mortalidad!$B$5:$B$75,MIN(71,Cartera_Polizas!$B$196+28-49))*(1+(Cartera_Polizas!$P$196-1)*MAX(0,1-28/Supuestos!$C$20))*(1-Supuestos!$C$18)^28))</f>
        <v>0.00711226728041231</v>
      </c>
      <c r="AF194" s="29" t="n">
        <f aca="false">AE194*(1-MIN(1,INDEX(Tabla_Mortalidad!$B$5:$B$75,MIN(71,Cartera_Polizas!$B$196+29-49))*(1+(Cartera_Polizas!$P$196-1)*MAX(0,1-29/Supuestos!$C$20))*(1-Supuestos!$C$18)^29))</f>
        <v>0.00423196105972057</v>
      </c>
      <c r="AG194" s="29" t="n">
        <f aca="false">AF194*(1-MIN(1,INDEX(Tabla_Mortalidad!$B$5:$B$75,MIN(71,Cartera_Polizas!$B$196+30-49))*(1+(Cartera_Polizas!$P$196-1)*MAX(0,1-30/Supuestos!$C$20))*(1-Supuestos!$C$18)^30))</f>
        <v>0.00238957639261199</v>
      </c>
      <c r="AH194" s="29" t="n">
        <f aca="false">AG194*(1-MIN(1,INDEX(Tabla_Mortalidad!$B$5:$B$75,MIN(71,Cartera_Polizas!$B$196+31-49))*(1+(Cartera_Polizas!$P$196-1)*MAX(0,1-31/Supuestos!$C$20))*(1-Supuestos!$C$18)^31))</f>
        <v>0.0012749152320519</v>
      </c>
      <c r="AI194" s="29" t="n">
        <f aca="false">AH194*(1-MIN(1,INDEX(Tabla_Mortalidad!$B$5:$B$75,MIN(71,Cartera_Polizas!$B$196+32-49))*(1+(Cartera_Polizas!$P$196-1)*MAX(0,1-32/Supuestos!$C$20))*(1-Supuestos!$C$18)^32))</f>
        <v>0.000639949896687859</v>
      </c>
      <c r="AJ194" s="29" t="n">
        <f aca="false">AI194*(1-MIN(1,INDEX(Tabla_Mortalidad!$B$5:$B$75,MIN(71,Cartera_Polizas!$B$196+33-49))*(1+(Cartera_Polizas!$P$196-1)*MAX(0,1-33/Supuestos!$C$20))*(1-Supuestos!$C$18)^33))</f>
        <v>0.000300939771148368</v>
      </c>
      <c r="AK194" s="29" t="n">
        <f aca="false">AJ194*(1-MIN(1,INDEX(Tabla_Mortalidad!$B$5:$B$75,MIN(71,Cartera_Polizas!$B$196+34-49))*(1+(Cartera_Polizas!$P$196-1)*MAX(0,1-34/Supuestos!$C$20))*(1-Supuestos!$C$18)^34))</f>
        <v>0.000132057903060333</v>
      </c>
      <c r="AL194" s="29" t="n">
        <f aca="false">AK194*(1-MIN(1,INDEX(Tabla_Mortalidad!$B$5:$B$75,MIN(71,Cartera_Polizas!$B$196+35-49))*(1+(Cartera_Polizas!$P$196-1)*MAX(0,1-35/Supuestos!$C$20))*(1-Supuestos!$C$18)^35))</f>
        <v>5.38882002642877E-005</v>
      </c>
      <c r="AM194" s="29" t="n">
        <f aca="false">AL194*(1-MIN(1,INDEX(Tabla_Mortalidad!$B$5:$B$75,MIN(71,Cartera_Polizas!$B$196+36-49))*(1+(Cartera_Polizas!$P$196-1)*MAX(0,1-36/Supuestos!$C$20))*(1-Supuestos!$C$18)^36))</f>
        <v>2.03936072828236E-005</v>
      </c>
      <c r="AN194" s="29" t="n">
        <f aca="false">AM194*(1-MIN(1,INDEX(Tabla_Mortalidad!$B$5:$B$75,MIN(71,Cartera_Polizas!$B$196+37-49))*(1+(Cartera_Polizas!$P$196-1)*MAX(0,1-37/Supuestos!$C$20))*(1-Supuestos!$C$18)^37))</f>
        <v>7.14611460303051E-006</v>
      </c>
      <c r="AO194" s="29" t="n">
        <f aca="false">AN194*(1-MIN(1,INDEX(Tabla_Mortalidad!$B$5:$B$75,MIN(71,Cartera_Polizas!$B$196+38-49))*(1+(Cartera_Polizas!$P$196-1)*MAX(0,1-38/Supuestos!$C$20))*(1-Supuestos!$C$18)^38))</f>
        <v>2.31824375758893E-006</v>
      </c>
      <c r="AP194" s="29" t="n">
        <f aca="false">AO194*(1-MIN(1,INDEX(Tabla_Mortalidad!$B$5:$B$75,MIN(71,Cartera_Polizas!$B$196+39-49))*(1+(Cartera_Polizas!$P$196-1)*MAX(0,1-39/Supuestos!$C$20))*(1-Supuestos!$C$18)^39))</f>
        <v>6.97415769685806E-007</v>
      </c>
      <c r="AQ194" s="29" t="n">
        <f aca="false">AP194*(1-MIN(1,INDEX(Tabla_Mortalidad!$B$5:$B$75,MIN(71,Cartera_Polizas!$B$196+40-49))*(1+(Cartera_Polizas!$P$196-1)*MAX(0,1-40/Supuestos!$C$20))*(1-Supuestos!$C$18)^40))</f>
        <v>1.95307960188524E-007</v>
      </c>
      <c r="AR194" s="29" t="n">
        <f aca="false">AQ194*(1-MIN(1,INDEX(Tabla_Mortalidad!$B$5:$B$75,MIN(71,Cartera_Polizas!$B$196+41-49))*(1+(Cartera_Polizas!$P$196-1)*MAX(0,1-41/Supuestos!$C$20))*(1-Supuestos!$C$18)^41))</f>
        <v>5.12243489516761E-008</v>
      </c>
      <c r="AS194" s="29" t="n">
        <f aca="false">AR194*(1-MIN(1,INDEX(Tabla_Mortalidad!$B$5:$B$75,MIN(71,Cartera_Polizas!$B$196+42-49))*(1+(Cartera_Polizas!$P$196-1)*MAX(0,1-42/Supuestos!$C$20))*(1-Supuestos!$C$18)^42))</f>
        <v>1.26863628251778E-008</v>
      </c>
      <c r="AT194" s="29" t="n">
        <f aca="false">AS194*(1-MIN(1,INDEX(Tabla_Mortalidad!$B$5:$B$75,MIN(71,Cartera_Polizas!$B$196+43-49))*(1+(Cartera_Polizas!$P$196-1)*MAX(0,1-43/Supuestos!$C$20))*(1-Supuestos!$C$18)^43))</f>
        <v>2.99673747929474E-009</v>
      </c>
      <c r="AU194" s="29" t="n">
        <f aca="false">AT194*(1-MIN(1,INDEX(Tabla_Mortalidad!$B$5:$B$75,MIN(71,Cartera_Polizas!$B$196+44-49))*(1+(Cartera_Polizas!$P$196-1)*MAX(0,1-44/Supuestos!$C$20))*(1-Supuestos!$C$18)^44))</f>
        <v>5.93126095125775E-010</v>
      </c>
    </row>
    <row r="195" customFormat="false" ht="15" hidden="false" customHeight="false" outlineLevel="0" collapsed="false">
      <c r="A195" s="14" t="n">
        <f aca="false">Cartera_Polizas!A197</f>
        <v>192</v>
      </c>
      <c r="B195" s="26" t="n">
        <f aca="false">SUM(C195:AU195)+0.5</f>
        <v>2.69876503047069</v>
      </c>
      <c r="C195" s="29" t="n">
        <f aca="false">1-MIN(1,INDEX(Tabla_Mortalidad!$B$5:$B$75,MIN(71,Cartera_Polizas!$B$197+0-49))*(1+(Cartera_Polizas!$P$197-1)*MAX(0,1-0/Supuestos!$C$20))*(1-Supuestos!$C$18)^0)</f>
        <v>0.716795155</v>
      </c>
      <c r="D195" s="29" t="n">
        <f aca="false">C195*(1-MIN(1,INDEX(Tabla_Mortalidad!$B$5:$B$75,MIN(71,Cartera_Polizas!$B$197+1-49))*(1+(Cartera_Polizas!$P$197-1)*MAX(0,1-1/Supuestos!$C$20))*(1-Supuestos!$C$18)^1))</f>
        <v>0.502626806033837</v>
      </c>
      <c r="E195" s="29" t="n">
        <f aca="false">D195*(1-MIN(1,INDEX(Tabla_Mortalidad!$B$5:$B$75,MIN(71,Cartera_Polizas!$B$197+2-49))*(1+(Cartera_Polizas!$P$197-1)*MAX(0,1-2/Supuestos!$C$20))*(1-Supuestos!$C$18)^2))</f>
        <v>0.344635451096722</v>
      </c>
      <c r="F195" s="29" t="n">
        <f aca="false">E195*(1-MIN(1,INDEX(Tabla_Mortalidad!$B$5:$B$75,MIN(71,Cartera_Polizas!$B$197+3-49))*(1+(Cartera_Polizas!$P$197-1)*MAX(0,1-3/Supuestos!$C$20))*(1-Supuestos!$C$18)^3))</f>
        <v>0.23102580588363</v>
      </c>
      <c r="G195" s="29" t="n">
        <f aca="false">F195*(1-MIN(1,INDEX(Tabla_Mortalidad!$B$5:$B$75,MIN(71,Cartera_Polizas!$B$197+4-49))*(1+(Cartera_Polizas!$P$197-1)*MAX(0,1-4/Supuestos!$C$20))*(1-Supuestos!$C$18)^4))</f>
        <v>0.151432220965901</v>
      </c>
      <c r="H195" s="29" t="n">
        <f aca="false">G195*(1-MIN(1,INDEX(Tabla_Mortalidad!$B$5:$B$75,MIN(71,Cartera_Polizas!$B$197+5-49))*(1+(Cartera_Polizas!$P$197-1)*MAX(0,1-5/Supuestos!$C$20))*(1-Supuestos!$C$18)^5))</f>
        <v>0.0971168425248731</v>
      </c>
      <c r="I195" s="29" t="n">
        <f aca="false">H195*(1-MIN(1,INDEX(Tabla_Mortalidad!$B$5:$B$75,MIN(71,Cartera_Polizas!$B$197+6-49))*(1+(Cartera_Polizas!$P$197-1)*MAX(0,1-6/Supuestos!$C$20))*(1-Supuestos!$C$18)^6))</f>
        <v>0.0610080578361021</v>
      </c>
      <c r="J195" s="29" t="n">
        <f aca="false">I195*(1-MIN(1,INDEX(Tabla_Mortalidad!$B$5:$B$75,MIN(71,Cartera_Polizas!$B$197+7-49))*(1+(Cartera_Polizas!$P$197-1)*MAX(0,1-7/Supuestos!$C$20))*(1-Supuestos!$C$18)^7))</f>
        <v>0.0376077746344991</v>
      </c>
      <c r="K195" s="29" t="n">
        <f aca="false">J195*(1-MIN(1,INDEX(Tabla_Mortalidad!$B$5:$B$75,MIN(71,Cartera_Polizas!$B$197+8-49))*(1+(Cartera_Polizas!$P$197-1)*MAX(0,1-8/Supuestos!$C$20))*(1-Supuestos!$C$18)^8))</f>
        <v>0.0228079786740468</v>
      </c>
      <c r="L195" s="29" t="n">
        <f aca="false">K195*(1-MIN(1,INDEX(Tabla_Mortalidad!$B$5:$B$75,MIN(71,Cartera_Polizas!$B$197+9-49))*(1+(Cartera_Polizas!$P$197-1)*MAX(0,1-9/Supuestos!$C$20))*(1-Supuestos!$C$18)^9))</f>
        <v>0.0136560801156817</v>
      </c>
      <c r="M195" s="29" t="n">
        <f aca="false">L195*(1-MIN(1,INDEX(Tabla_Mortalidad!$B$5:$B$75,MIN(71,Cartera_Polizas!$B$197+10-49))*(1+(Cartera_Polizas!$P$197-1)*MAX(0,1-10/Supuestos!$C$20))*(1-Supuestos!$C$18)^10))</f>
        <v>0.00810841780577879</v>
      </c>
      <c r="N195" s="29" t="n">
        <f aca="false">M195*(1-MIN(1,INDEX(Tabla_Mortalidad!$B$5:$B$75,MIN(71,Cartera_Polizas!$B$197+11-49))*(1+(Cartera_Polizas!$P$197-1)*MAX(0,1-11/Supuestos!$C$20))*(1-Supuestos!$C$18)^11))</f>
        <v>0.0048008421144145</v>
      </c>
      <c r="O195" s="29" t="n">
        <f aca="false">N195*(1-MIN(1,INDEX(Tabla_Mortalidad!$B$5:$B$75,MIN(71,Cartera_Polizas!$B$197+12-49))*(1+(Cartera_Polizas!$P$197-1)*MAX(0,1-12/Supuestos!$C$20))*(1-Supuestos!$C$18)^12))</f>
        <v>0.00285321967860389</v>
      </c>
      <c r="P195" s="29" t="n">
        <f aca="false">O195*(1-MIN(1,INDEX(Tabla_Mortalidad!$B$5:$B$75,MIN(71,Cartera_Polizas!$B$197+13-49))*(1+(Cartera_Polizas!$P$197-1)*MAX(0,1-13/Supuestos!$C$20))*(1-Supuestos!$C$18)^13))</f>
        <v>0.00171509865784566</v>
      </c>
      <c r="Q195" s="29" t="n">
        <f aca="false">P195*(1-MIN(1,INDEX(Tabla_Mortalidad!$B$5:$B$75,MIN(71,Cartera_Polizas!$B$197+14-49))*(1+(Cartera_Polizas!$P$197-1)*MAX(0,1-14/Supuestos!$C$20))*(1-Supuestos!$C$18)^14))</f>
        <v>0.00105160011321867</v>
      </c>
      <c r="R195" s="29" t="n">
        <f aca="false">Q195*(1-MIN(1,INDEX(Tabla_Mortalidad!$B$5:$B$75,MIN(71,Cartera_Polizas!$B$197+15-49))*(1+(Cartera_Polizas!$P$197-1)*MAX(0,1-15/Supuestos!$C$20))*(1-Supuestos!$C$18)^15))</f>
        <v>0.000663675830080884</v>
      </c>
      <c r="S195" s="29" t="n">
        <f aca="false">R195*(1-MIN(1,INDEX(Tabla_Mortalidad!$B$5:$B$75,MIN(71,Cartera_Polizas!$B$197+16-49))*(1+(Cartera_Polizas!$P$197-1)*MAX(0,1-16/Supuestos!$C$20))*(1-Supuestos!$C$18)^16))</f>
        <v>0.000398956326836449</v>
      </c>
      <c r="T195" s="29" t="n">
        <f aca="false">S195*(1-MIN(1,INDEX(Tabla_Mortalidad!$B$5:$B$75,MIN(71,Cartera_Polizas!$B$197+17-49))*(1+(Cartera_Polizas!$P$197-1)*MAX(0,1-17/Supuestos!$C$20))*(1-Supuestos!$C$18)^17))</f>
        <v>0.000227371460399099</v>
      </c>
      <c r="U195" s="29" t="n">
        <f aca="false">T195*(1-MIN(1,INDEX(Tabla_Mortalidad!$B$5:$B$75,MIN(71,Cartera_Polizas!$B$197+18-49))*(1+(Cartera_Polizas!$P$197-1)*MAX(0,1-18/Supuestos!$C$20))*(1-Supuestos!$C$18)^18))</f>
        <v>0.000122248488535652</v>
      </c>
      <c r="V195" s="29" t="n">
        <f aca="false">U195*(1-MIN(1,INDEX(Tabla_Mortalidad!$B$5:$B$75,MIN(71,Cartera_Polizas!$B$197+19-49))*(1+(Cartera_Polizas!$P$197-1)*MAX(0,1-19/Supuestos!$C$20))*(1-Supuestos!$C$18)^19))</f>
        <v>6.1688124234711E-005</v>
      </c>
      <c r="W195" s="29" t="n">
        <f aca="false">V195*(1-MIN(1,INDEX(Tabla_Mortalidad!$B$5:$B$75,MIN(71,Cartera_Polizas!$B$197+20-49))*(1+(Cartera_Polizas!$P$197-1)*MAX(0,1-20/Supuestos!$C$20))*(1-Supuestos!$C$18)^20))</f>
        <v>2.90599102073599E-005</v>
      </c>
      <c r="X195" s="29" t="n">
        <f aca="false">W195*(1-MIN(1,INDEX(Tabla_Mortalidad!$B$5:$B$75,MIN(71,Cartera_Polizas!$B$197+21-49))*(1+(Cartera_Polizas!$P$197-1)*MAX(0,1-21/Supuestos!$C$20))*(1-Supuestos!$C$18)^21))</f>
        <v>1.27111811793246E-005</v>
      </c>
      <c r="Y195" s="29" t="n">
        <f aca="false">X195*(1-MIN(1,INDEX(Tabla_Mortalidad!$B$5:$B$75,MIN(71,Cartera_Polizas!$B$197+22-49))*(1+(Cartera_Polizas!$P$197-1)*MAX(0,1-22/Supuestos!$C$20))*(1-Supuestos!$C$18)^22))</f>
        <v>5.13566242044879E-006</v>
      </c>
      <c r="Z195" s="29" t="n">
        <f aca="false">Y195*(1-MIN(1,INDEX(Tabla_Mortalidad!$B$5:$B$75,MIN(71,Cartera_Polizas!$B$197+23-49))*(1+(Cartera_Polizas!$P$197-1)*MAX(0,1-23/Supuestos!$C$20))*(1-Supuestos!$C$18)^23))</f>
        <v>1.90721614491228E-006</v>
      </c>
      <c r="AA195" s="29" t="n">
        <f aca="false">Z195*(1-MIN(1,INDEX(Tabla_Mortalidad!$B$5:$B$75,MIN(71,Cartera_Polizas!$B$197+24-49))*(1+(Cartera_Polizas!$P$197-1)*MAX(0,1-24/Supuestos!$C$20))*(1-Supuestos!$C$18)^24))</f>
        <v>6.48279222677044E-007</v>
      </c>
      <c r="AB195" s="29" t="n">
        <f aca="false">AA195*(1-MIN(1,INDEX(Tabla_Mortalidad!$B$5:$B$75,MIN(71,Cartera_Polizas!$B$197+25-49))*(1+(Cartera_Polizas!$P$197-1)*MAX(0,1-25/Supuestos!$C$20))*(1-Supuestos!$C$18)^25))</f>
        <v>2.01055564125947E-007</v>
      </c>
      <c r="AC195" s="29" t="n">
        <f aca="false">AB195*(1-MIN(1,INDEX(Tabla_Mortalidad!$B$5:$B$75,MIN(71,Cartera_Polizas!$B$197+26-49))*(1+(Cartera_Polizas!$P$197-1)*MAX(0,1-26/Supuestos!$C$20))*(1-Supuestos!$C$18)^26))</f>
        <v>5.68025839371E-008</v>
      </c>
      <c r="AD195" s="29" t="n">
        <f aca="false">AC195*(1-MIN(1,INDEX(Tabla_Mortalidad!$B$5:$B$75,MIN(71,Cartera_Polizas!$B$197+27-49))*(1+(Cartera_Polizas!$P$197-1)*MAX(0,1-27/Supuestos!$C$20))*(1-Supuestos!$C$18)^27))</f>
        <v>1.46262379281864E-008</v>
      </c>
      <c r="AE195" s="29" t="n">
        <f aca="false">AD195*(1-MIN(1,INDEX(Tabla_Mortalidad!$B$5:$B$75,MIN(71,Cartera_Polizas!$B$197+28-49))*(1+(Cartera_Polizas!$P$197-1)*MAX(0,1-28/Supuestos!$C$20))*(1-Supuestos!$C$18)^28))</f>
        <v>3.44317218842463E-009</v>
      </c>
      <c r="AF195" s="29" t="n">
        <f aca="false">AE195*(1-MIN(1,INDEX(Tabla_Mortalidad!$B$5:$B$75,MIN(71,Cartera_Polizas!$B$197+29-49))*(1+(Cartera_Polizas!$P$197-1)*MAX(0,1-29/Supuestos!$C$20))*(1-Supuestos!$C$18)^29))</f>
        <v>7.45579266485696E-010</v>
      </c>
      <c r="AG195" s="29" t="n">
        <f aca="false">AF195*(1-MIN(1,INDEX(Tabla_Mortalidad!$B$5:$B$75,MIN(71,Cartera_Polizas!$B$197+30-49))*(1+(Cartera_Polizas!$P$197-1)*MAX(0,1-30/Supuestos!$C$20))*(1-Supuestos!$C$18)^30))</f>
        <v>1.49876767248833E-010</v>
      </c>
      <c r="AH195" s="29" t="n">
        <f aca="false">AG195*(1-MIN(1,INDEX(Tabla_Mortalidad!$B$5:$B$75,MIN(71,Cartera_Polizas!$B$197+31-49))*(1+(Cartera_Polizas!$P$197-1)*MAX(0,1-31/Supuestos!$C$20))*(1-Supuestos!$C$18)^31))</f>
        <v>2.8306546478077E-011</v>
      </c>
      <c r="AI195" s="29" t="n">
        <f aca="false">AH195*(1-MIN(1,INDEX(Tabla_Mortalidad!$B$5:$B$75,MIN(71,Cartera_Polizas!$B$197+32-49))*(1+(Cartera_Polizas!$P$197-1)*MAX(0,1-32/Supuestos!$C$20))*(1-Supuestos!$C$18)^32))</f>
        <v>4.19497754918736E-012</v>
      </c>
      <c r="AJ195" s="29" t="n">
        <f aca="false">AI195*(1-MIN(1,INDEX(Tabla_Mortalidad!$B$5:$B$75,MIN(71,Cartera_Polizas!$B$197+33-49))*(1+(Cartera_Polizas!$P$197-1)*MAX(0,1-33/Supuestos!$C$20))*(1-Supuestos!$C$18)^33))</f>
        <v>6.39554320194758E-013</v>
      </c>
      <c r="AK195" s="29" t="n">
        <f aca="false">AJ195*(1-MIN(1,INDEX(Tabla_Mortalidad!$B$5:$B$75,MIN(71,Cartera_Polizas!$B$197+34-49))*(1+(Cartera_Polizas!$P$197-1)*MAX(0,1-34/Supuestos!$C$20))*(1-Supuestos!$C$18)^34))</f>
        <v>1.00214877191019E-013</v>
      </c>
      <c r="AL195" s="29" t="n">
        <f aca="false">AK195*(1-MIN(1,INDEX(Tabla_Mortalidad!$B$5:$B$75,MIN(71,Cartera_Polizas!$B$197+35-49))*(1+(Cartera_Polizas!$P$197-1)*MAX(0,1-35/Supuestos!$C$20))*(1-Supuestos!$C$18)^35))</f>
        <v>1.61257151503487E-014</v>
      </c>
      <c r="AM195" s="29" t="n">
        <f aca="false">AL195*(1-MIN(1,INDEX(Tabla_Mortalidad!$B$5:$B$75,MIN(71,Cartera_Polizas!$B$197+36-49))*(1+(Cartera_Polizas!$P$197-1)*MAX(0,1-36/Supuestos!$C$20))*(1-Supuestos!$C$18)^36))</f>
        <v>2.66246575319449E-015</v>
      </c>
      <c r="AN195" s="29" t="n">
        <f aca="false">AM195*(1-MIN(1,INDEX(Tabla_Mortalidad!$B$5:$B$75,MIN(71,Cartera_Polizas!$B$197+37-49))*(1+(Cartera_Polizas!$P$197-1)*MAX(0,1-37/Supuestos!$C$20))*(1-Supuestos!$C$18)^37))</f>
        <v>4.50705659960115E-016</v>
      </c>
      <c r="AO195" s="29" t="n">
        <f aca="false">AN195*(1-MIN(1,INDEX(Tabla_Mortalidad!$B$5:$B$75,MIN(71,Cartera_Polizas!$B$197+38-49))*(1+(Cartera_Polizas!$P$197-1)*MAX(0,1-38/Supuestos!$C$20))*(1-Supuestos!$C$18)^38))</f>
        <v>7.81680874703642E-017</v>
      </c>
      <c r="AP195" s="29" t="n">
        <f aca="false">AO195*(1-MIN(1,INDEX(Tabla_Mortalidad!$B$5:$B$75,MIN(71,Cartera_Polizas!$B$197+39-49))*(1+(Cartera_Polizas!$P$197-1)*MAX(0,1-39/Supuestos!$C$20))*(1-Supuestos!$C$18)^39))</f>
        <v>1.38801288785457E-017</v>
      </c>
      <c r="AQ195" s="29" t="n">
        <f aca="false">AP195*(1-MIN(1,INDEX(Tabla_Mortalidad!$B$5:$B$75,MIN(71,Cartera_Polizas!$B$197+40-49))*(1+(Cartera_Polizas!$P$197-1)*MAX(0,1-40/Supuestos!$C$20))*(1-Supuestos!$C$18)^40))</f>
        <v>2.52174013484387E-018</v>
      </c>
      <c r="AR195" s="29" t="n">
        <f aca="false">AQ195*(1-MIN(1,INDEX(Tabla_Mortalidad!$B$5:$B$75,MIN(71,Cartera_Polizas!$B$197+41-49))*(1+(Cartera_Polizas!$P$197-1)*MAX(0,1-41/Supuestos!$C$20))*(1-Supuestos!$C$18)^41))</f>
        <v>4.68467395972365E-019</v>
      </c>
      <c r="AS195" s="29" t="n">
        <f aca="false">AR195*(1-MIN(1,INDEX(Tabla_Mortalidad!$B$5:$B$75,MIN(71,Cartera_Polizas!$B$197+42-49))*(1+(Cartera_Polizas!$P$197-1)*MAX(0,1-42/Supuestos!$C$20))*(1-Supuestos!$C$18)^42))</f>
        <v>8.89350788593508E-020</v>
      </c>
      <c r="AT195" s="29" t="n">
        <f aca="false">AS195*(1-MIN(1,INDEX(Tabla_Mortalidad!$B$5:$B$75,MIN(71,Cartera_Polizas!$B$197+43-49))*(1+(Cartera_Polizas!$P$197-1)*MAX(0,1-43/Supuestos!$C$20))*(1-Supuestos!$C$18)^43))</f>
        <v>1.72439256262694E-020</v>
      </c>
      <c r="AU195" s="29" t="n">
        <f aca="false">AT195*(1-MIN(1,INDEX(Tabla_Mortalidad!$B$5:$B$75,MIN(71,Cartera_Polizas!$B$197+44-49))*(1+(Cartera_Polizas!$P$197-1)*MAX(0,1-44/Supuestos!$C$20))*(1-Supuestos!$C$18)^44))</f>
        <v>3.41298573599295E-021</v>
      </c>
    </row>
    <row r="196" customFormat="false" ht="15" hidden="false" customHeight="false" outlineLevel="0" collapsed="false">
      <c r="A196" s="14" t="n">
        <f aca="false">Cartera_Polizas!A198</f>
        <v>193</v>
      </c>
      <c r="B196" s="26" t="n">
        <f aca="false">SUM(C196:AU196)+0.5</f>
        <v>5.28724856695317</v>
      </c>
      <c r="C196" s="29" t="n">
        <f aca="false">1-MIN(1,INDEX(Tabla_Mortalidad!$B$5:$B$75,MIN(71,Cartera_Polizas!$B$198+0-49))*(1+(Cartera_Polizas!$P$198-1)*MAX(0,1-0/Supuestos!$C$20))*(1-Supuestos!$C$18)^0)</f>
        <v>0.876373315</v>
      </c>
      <c r="D196" s="29" t="n">
        <f aca="false">C196*(1-MIN(1,INDEX(Tabla_Mortalidad!$B$5:$B$75,MIN(71,Cartera_Polizas!$B$198+1-49))*(1+(Cartera_Polizas!$P$198-1)*MAX(0,1-1/Supuestos!$C$20))*(1-Supuestos!$C$18)^1))</f>
        <v>0.758695853886103</v>
      </c>
      <c r="E196" s="29" t="n">
        <f aca="false">D196*(1-MIN(1,INDEX(Tabla_Mortalidad!$B$5:$B$75,MIN(71,Cartera_Polizas!$B$198+2-49))*(1+(Cartera_Polizas!$P$198-1)*MAX(0,1-2/Supuestos!$C$20))*(1-Supuestos!$C$18)^2))</f>
        <v>0.648144276178296</v>
      </c>
      <c r="F196" s="29" t="n">
        <f aca="false">E196*(1-MIN(1,INDEX(Tabla_Mortalidad!$B$5:$B$75,MIN(71,Cartera_Polizas!$B$198+3-49))*(1+(Cartera_Polizas!$P$198-1)*MAX(0,1-3/Supuestos!$C$20))*(1-Supuestos!$C$18)^3))</f>
        <v>0.545761279529993</v>
      </c>
      <c r="G196" s="29" t="n">
        <f aca="false">F196*(1-MIN(1,INDEX(Tabla_Mortalidad!$B$5:$B$75,MIN(71,Cartera_Polizas!$B$198+4-49))*(1+(Cartera_Polizas!$P$198-1)*MAX(0,1-4/Supuestos!$C$20))*(1-Supuestos!$C$18)^4))</f>
        <v>0.452404500559474</v>
      </c>
      <c r="H196" s="29" t="n">
        <f aca="false">G196*(1-MIN(1,INDEX(Tabla_Mortalidad!$B$5:$B$75,MIN(71,Cartera_Polizas!$B$198+5-49))*(1+(Cartera_Polizas!$P$198-1)*MAX(0,1-5/Supuestos!$C$20))*(1-Supuestos!$C$18)^5))</f>
        <v>0.368701441303802</v>
      </c>
      <c r="I196" s="29" t="n">
        <f aca="false">H196*(1-MIN(1,INDEX(Tabla_Mortalidad!$B$5:$B$75,MIN(71,Cartera_Polizas!$B$198+6-49))*(1+(Cartera_Polizas!$P$198-1)*MAX(0,1-6/Supuestos!$C$20))*(1-Supuestos!$C$18)^6))</f>
        <v>0.295013484624241</v>
      </c>
      <c r="J196" s="29" t="n">
        <f aca="false">I196*(1-MIN(1,INDEX(Tabla_Mortalidad!$B$5:$B$75,MIN(71,Cartera_Polizas!$B$198+7-49))*(1+(Cartera_Polizas!$P$198-1)*MAX(0,1-7/Supuestos!$C$20))*(1-Supuestos!$C$18)^7))</f>
        <v>0.231413018327187</v>
      </c>
      <c r="K196" s="29" t="n">
        <f aca="false">J196*(1-MIN(1,INDEX(Tabla_Mortalidad!$B$5:$B$75,MIN(71,Cartera_Polizas!$B$198+8-49))*(1+(Cartera_Polizas!$P$198-1)*MAX(0,1-8/Supuestos!$C$20))*(1-Supuestos!$C$18)^8))</f>
        <v>0.177680795228741</v>
      </c>
      <c r="L196" s="29" t="n">
        <f aca="false">K196*(1-MIN(1,INDEX(Tabla_Mortalidad!$B$5:$B$75,MIN(71,Cartera_Polizas!$B$198+9-49))*(1+(Cartera_Polizas!$P$198-1)*MAX(0,1-9/Supuestos!$C$20))*(1-Supuestos!$C$18)^9))</f>
        <v>0.13332147801661</v>
      </c>
      <c r="M196" s="29" t="n">
        <f aca="false">L196*(1-MIN(1,INDEX(Tabla_Mortalidad!$B$5:$B$75,MIN(71,Cartera_Polizas!$B$198+10-49))*(1+(Cartera_Polizas!$P$198-1)*MAX(0,1-10/Supuestos!$C$20))*(1-Supuestos!$C$18)^10))</f>
        <v>0.0975984785606979</v>
      </c>
      <c r="N196" s="29" t="n">
        <f aca="false">M196*(1-MIN(1,INDEX(Tabla_Mortalidad!$B$5:$B$75,MIN(71,Cartera_Polizas!$B$198+11-49))*(1+(Cartera_Polizas!$P$198-1)*MAX(0,1-11/Supuestos!$C$20))*(1-Supuestos!$C$18)^11))</f>
        <v>0.0695875333084519</v>
      </c>
      <c r="O196" s="29" t="n">
        <f aca="false">N196*(1-MIN(1,INDEX(Tabla_Mortalidad!$B$5:$B$75,MIN(71,Cartera_Polizas!$B$198+12-49))*(1+(Cartera_Polizas!$P$198-1)*MAX(0,1-12/Supuestos!$C$20))*(1-Supuestos!$C$18)^12))</f>
        <v>0.0482420222736271</v>
      </c>
      <c r="P196" s="29" t="n">
        <f aca="false">O196*(1-MIN(1,INDEX(Tabla_Mortalidad!$B$5:$B$75,MIN(71,Cartera_Polizas!$B$198+13-49))*(1+(Cartera_Polizas!$P$198-1)*MAX(0,1-13/Supuestos!$C$20))*(1-Supuestos!$C$18)^13))</f>
        <v>0.0324636537233169</v>
      </c>
      <c r="Q196" s="29" t="n">
        <f aca="false">P196*(1-MIN(1,INDEX(Tabla_Mortalidad!$B$5:$B$75,MIN(71,Cartera_Polizas!$B$198+14-49))*(1+(Cartera_Polizas!$P$198-1)*MAX(0,1-14/Supuestos!$C$20))*(1-Supuestos!$C$18)^14))</f>
        <v>0.0211715936493842</v>
      </c>
      <c r="R196" s="29" t="n">
        <f aca="false">Q196*(1-MIN(1,INDEX(Tabla_Mortalidad!$B$5:$B$75,MIN(71,Cartera_Polizas!$B$198+15-49))*(1+(Cartera_Polizas!$P$198-1)*MAX(0,1-15/Supuestos!$C$20))*(1-Supuestos!$C$18)^15))</f>
        <v>0.0133616141846768</v>
      </c>
      <c r="S196" s="29" t="n">
        <f aca="false">R196*(1-MIN(1,INDEX(Tabla_Mortalidad!$B$5:$B$75,MIN(71,Cartera_Polizas!$B$198+16-49))*(1+(Cartera_Polizas!$P$198-1)*MAX(0,1-16/Supuestos!$C$20))*(1-Supuestos!$C$18)^16))</f>
        <v>0.00803208475299569</v>
      </c>
      <c r="T196" s="29" t="n">
        <f aca="false">S196*(1-MIN(1,INDEX(Tabla_Mortalidad!$B$5:$B$75,MIN(71,Cartera_Polizas!$B$198+17-49))*(1+(Cartera_Polizas!$P$198-1)*MAX(0,1-17/Supuestos!$C$20))*(1-Supuestos!$C$18)^17))</f>
        <v>0.004577610925034</v>
      </c>
      <c r="U196" s="29" t="n">
        <f aca="false">T196*(1-MIN(1,INDEX(Tabla_Mortalidad!$B$5:$B$75,MIN(71,Cartera_Polizas!$B$198+18-49))*(1+(Cartera_Polizas!$P$198-1)*MAX(0,1-18/Supuestos!$C$20))*(1-Supuestos!$C$18)^18))</f>
        <v>0.00246119726595164</v>
      </c>
      <c r="V196" s="29" t="n">
        <f aca="false">U196*(1-MIN(1,INDEX(Tabla_Mortalidad!$B$5:$B$75,MIN(71,Cartera_Polizas!$B$198+19-49))*(1+(Cartera_Polizas!$P$198-1)*MAX(0,1-19/Supuestos!$C$20))*(1-Supuestos!$C$18)^19))</f>
        <v>0.00124195108280523</v>
      </c>
      <c r="W196" s="29" t="n">
        <f aca="false">V196*(1-MIN(1,INDEX(Tabla_Mortalidad!$B$5:$B$75,MIN(71,Cartera_Polizas!$B$198+20-49))*(1+(Cartera_Polizas!$P$198-1)*MAX(0,1-20/Supuestos!$C$20))*(1-Supuestos!$C$18)^20))</f>
        <v>0.00058505567150874</v>
      </c>
      <c r="X196" s="29" t="n">
        <f aca="false">W196*(1-MIN(1,INDEX(Tabla_Mortalidad!$B$5:$B$75,MIN(71,Cartera_Polizas!$B$198+21-49))*(1+(Cartera_Polizas!$P$198-1)*MAX(0,1-21/Supuestos!$C$20))*(1-Supuestos!$C$18)^21))</f>
        <v>0.00025591092978173</v>
      </c>
      <c r="Y196" s="29" t="n">
        <f aca="false">X196*(1-MIN(1,INDEX(Tabla_Mortalidad!$B$5:$B$75,MIN(71,Cartera_Polizas!$B$198+22-49))*(1+(Cartera_Polizas!$P$198-1)*MAX(0,1-22/Supuestos!$C$20))*(1-Supuestos!$C$18)^22))</f>
        <v>0.000103394965937537</v>
      </c>
      <c r="Z196" s="29" t="n">
        <f aca="false">Y196*(1-MIN(1,INDEX(Tabla_Mortalidad!$B$5:$B$75,MIN(71,Cartera_Polizas!$B$198+23-49))*(1+(Cartera_Polizas!$P$198-1)*MAX(0,1-23/Supuestos!$C$20))*(1-Supuestos!$C$18)^23))</f>
        <v>3.83974903711631E-005</v>
      </c>
      <c r="AA196" s="29" t="n">
        <f aca="false">Z196*(1-MIN(1,INDEX(Tabla_Mortalidad!$B$5:$B$75,MIN(71,Cartera_Polizas!$B$198+24-49))*(1+(Cartera_Polizas!$P$198-1)*MAX(0,1-24/Supuestos!$C$20))*(1-Supuestos!$C$18)^24))</f>
        <v>1.30516382618561E-005</v>
      </c>
      <c r="AB196" s="29" t="n">
        <f aca="false">AA196*(1-MIN(1,INDEX(Tabla_Mortalidad!$B$5:$B$75,MIN(71,Cartera_Polizas!$B$198+25-49))*(1+(Cartera_Polizas!$P$198-1)*MAX(0,1-25/Supuestos!$C$20))*(1-Supuestos!$C$18)^25))</f>
        <v>4.04779977780122E-006</v>
      </c>
      <c r="AC196" s="29" t="n">
        <f aca="false">AB196*(1-MIN(1,INDEX(Tabla_Mortalidad!$B$5:$B$75,MIN(71,Cartera_Polizas!$B$198+26-49))*(1+(Cartera_Polizas!$P$198-1)*MAX(0,1-26/Supuestos!$C$20))*(1-Supuestos!$C$18)^26))</f>
        <v>1.1435917610074E-006</v>
      </c>
      <c r="AD196" s="29" t="n">
        <f aca="false">AC196*(1-MIN(1,INDEX(Tabla_Mortalidad!$B$5:$B$75,MIN(71,Cartera_Polizas!$B$198+27-49))*(1+(Cartera_Polizas!$P$198-1)*MAX(0,1-27/Supuestos!$C$20))*(1-Supuestos!$C$18)^27))</f>
        <v>2.94466273008458E-007</v>
      </c>
      <c r="AE196" s="29" t="n">
        <f aca="false">AD196*(1-MIN(1,INDEX(Tabla_Mortalidad!$B$5:$B$75,MIN(71,Cartera_Polizas!$B$198+28-49))*(1+(Cartera_Polizas!$P$198-1)*MAX(0,1-28/Supuestos!$C$20))*(1-Supuestos!$C$18)^28))</f>
        <v>6.93204969473305E-008</v>
      </c>
      <c r="AF196" s="29" t="n">
        <f aca="false">AE196*(1-MIN(1,INDEX(Tabla_Mortalidad!$B$5:$B$75,MIN(71,Cartera_Polizas!$B$198+29-49))*(1+(Cartera_Polizas!$P$198-1)*MAX(0,1-29/Supuestos!$C$20))*(1-Supuestos!$C$18)^29))</f>
        <v>1.50105549295988E-008</v>
      </c>
      <c r="AG196" s="29" t="n">
        <f aca="false">AF196*(1-MIN(1,INDEX(Tabla_Mortalidad!$B$5:$B$75,MIN(71,Cartera_Polizas!$B$198+30-49))*(1+(Cartera_Polizas!$P$198-1)*MAX(0,1-30/Supuestos!$C$20))*(1-Supuestos!$C$18)^30))</f>
        <v>3.01743027010859E-009</v>
      </c>
      <c r="AH196" s="29" t="n">
        <f aca="false">AG196*(1-MIN(1,INDEX(Tabla_Mortalidad!$B$5:$B$75,MIN(71,Cartera_Polizas!$B$198+31-49))*(1+(Cartera_Polizas!$P$198-1)*MAX(0,1-31/Supuestos!$C$20))*(1-Supuestos!$C$18)^31))</f>
        <v>5.69888393998905E-010</v>
      </c>
      <c r="AI196" s="29" t="n">
        <f aca="false">AH196*(1-MIN(1,INDEX(Tabla_Mortalidad!$B$5:$B$75,MIN(71,Cartera_Polizas!$B$198+32-49))*(1+(Cartera_Polizas!$P$198-1)*MAX(0,1-32/Supuestos!$C$20))*(1-Supuestos!$C$18)^32))</f>
        <v>8.44564002259825E-011</v>
      </c>
      <c r="AJ196" s="29" t="n">
        <f aca="false">AI196*(1-MIN(1,INDEX(Tabla_Mortalidad!$B$5:$B$75,MIN(71,Cartera_Polizas!$B$198+33-49))*(1+(Cartera_Polizas!$P$198-1)*MAX(0,1-33/Supuestos!$C$20))*(1-Supuestos!$C$18)^33))</f>
        <v>1.28759820521777E-011</v>
      </c>
      <c r="AK196" s="29" t="n">
        <f aca="false">AJ196*(1-MIN(1,INDEX(Tabla_Mortalidad!$B$5:$B$75,MIN(71,Cartera_Polizas!$B$198+34-49))*(1+(Cartera_Polizas!$P$198-1)*MAX(0,1-34/Supuestos!$C$20))*(1-Supuestos!$C$18)^34))</f>
        <v>2.01760025587789E-012</v>
      </c>
      <c r="AL196" s="29" t="n">
        <f aca="false">AK196*(1-MIN(1,INDEX(Tabla_Mortalidad!$B$5:$B$75,MIN(71,Cartera_Polizas!$B$198+35-49))*(1+(Cartera_Polizas!$P$198-1)*MAX(0,1-35/Supuestos!$C$20))*(1-Supuestos!$C$18)^35))</f>
        <v>3.24654860889986E-013</v>
      </c>
      <c r="AM196" s="29" t="n">
        <f aca="false">AL196*(1-MIN(1,INDEX(Tabla_Mortalidad!$B$5:$B$75,MIN(71,Cartera_Polizas!$B$198+36-49))*(1+(Cartera_Polizas!$P$198-1)*MAX(0,1-36/Supuestos!$C$20))*(1-Supuestos!$C$18)^36))</f>
        <v>5.3602735796125E-014</v>
      </c>
      <c r="AN196" s="29" t="n">
        <f aca="false">AM196*(1-MIN(1,INDEX(Tabla_Mortalidad!$B$5:$B$75,MIN(71,Cartera_Polizas!$B$198+37-49))*(1+(Cartera_Polizas!$P$198-1)*MAX(0,1-37/Supuestos!$C$20))*(1-Supuestos!$C$18)^37))</f>
        <v>9.07394071967821E-015</v>
      </c>
      <c r="AO196" s="29" t="n">
        <f aca="false">AN196*(1-MIN(1,INDEX(Tabla_Mortalidad!$B$5:$B$75,MIN(71,Cartera_Polizas!$B$198+38-49))*(1+(Cartera_Polizas!$P$198-1)*MAX(0,1-38/Supuestos!$C$20))*(1-Supuestos!$C$18)^38))</f>
        <v>1.57373792896116E-015</v>
      </c>
      <c r="AP196" s="29" t="n">
        <f aca="false">AO196*(1-MIN(1,INDEX(Tabla_Mortalidad!$B$5:$B$75,MIN(71,Cartera_Polizas!$B$198+39-49))*(1+(Cartera_Polizas!$P$198-1)*MAX(0,1-39/Supuestos!$C$20))*(1-Supuestos!$C$18)^39))</f>
        <v>2.79445052091342E-016</v>
      </c>
      <c r="AQ196" s="29" t="n">
        <f aca="false">AP196*(1-MIN(1,INDEX(Tabla_Mortalidad!$B$5:$B$75,MIN(71,Cartera_Polizas!$B$198+40-49))*(1+(Cartera_Polizas!$P$198-1)*MAX(0,1-40/Supuestos!$C$20))*(1-Supuestos!$C$18)^40))</f>
        <v>5.07695432447676E-017</v>
      </c>
      <c r="AR196" s="29" t="n">
        <f aca="false">AQ196*(1-MIN(1,INDEX(Tabla_Mortalidad!$B$5:$B$75,MIN(71,Cartera_Polizas!$B$198+41-49))*(1+(Cartera_Polizas!$P$198-1)*MAX(0,1-41/Supuestos!$C$20))*(1-Supuestos!$C$18)^41))</f>
        <v>9.4315331663051E-018</v>
      </c>
      <c r="AS196" s="29" t="n">
        <f aca="false">AR196*(1-MIN(1,INDEX(Tabla_Mortalidad!$B$5:$B$75,MIN(71,Cartera_Polizas!$B$198+42-49))*(1+(Cartera_Polizas!$P$198-1)*MAX(0,1-42/Supuestos!$C$20))*(1-Supuestos!$C$18)^42))</f>
        <v>1.79050698751169E-018</v>
      </c>
      <c r="AT196" s="29" t="n">
        <f aca="false">AS196*(1-MIN(1,INDEX(Tabla_Mortalidad!$B$5:$B$75,MIN(71,Cartera_Polizas!$B$198+43-49))*(1+(Cartera_Polizas!$P$198-1)*MAX(0,1-43/Supuestos!$C$20))*(1-Supuestos!$C$18)^43))</f>
        <v>3.47167503778752E-019</v>
      </c>
      <c r="AU196" s="29" t="n">
        <f aca="false">AT196*(1-MIN(1,INDEX(Tabla_Mortalidad!$B$5:$B$75,MIN(71,Cartera_Polizas!$B$198+44-49))*(1+(Cartera_Polizas!$P$198-1)*MAX(0,1-44/Supuestos!$C$20))*(1-Supuestos!$C$18)^44))</f>
        <v>6.87127608919932E-020</v>
      </c>
    </row>
    <row r="197" customFormat="false" ht="15" hidden="false" customHeight="false" outlineLevel="0" collapsed="false">
      <c r="A197" s="14" t="n">
        <f aca="false">Cartera_Polizas!A199</f>
        <v>194</v>
      </c>
      <c r="B197" s="26" t="n">
        <f aca="false">SUM(C197:AU197)+0.5</f>
        <v>9.62191016629205</v>
      </c>
      <c r="C197" s="29" t="n">
        <f aca="false">1-MIN(1,INDEX(Tabla_Mortalidad!$B$5:$B$75,MIN(71,Cartera_Polizas!$B$199+0-49))*(1+(Cartera_Polizas!$P$199-1)*MAX(0,1-0/Supuestos!$C$20))*(1-Supuestos!$C$18)^0)</f>
        <v>0.9557062025</v>
      </c>
      <c r="D197" s="29" t="n">
        <f aca="false">C197*(1-MIN(1,INDEX(Tabla_Mortalidad!$B$5:$B$75,MIN(71,Cartera_Polizas!$B$199+1-49))*(1+(Cartera_Polizas!$P$199-1)*MAX(0,1-1/Supuestos!$C$20))*(1-Supuestos!$C$18)^1))</f>
        <v>0.908486127854241</v>
      </c>
      <c r="E197" s="29" t="n">
        <f aca="false">D197*(1-MIN(1,INDEX(Tabla_Mortalidad!$B$5:$B$75,MIN(71,Cartera_Polizas!$B$199+2-49))*(1+(Cartera_Polizas!$P$199-1)*MAX(0,1-2/Supuestos!$C$20))*(1-Supuestos!$C$18)^2))</f>
        <v>0.858436028765734</v>
      </c>
      <c r="F197" s="29" t="n">
        <f aca="false">E197*(1-MIN(1,INDEX(Tabla_Mortalidad!$B$5:$B$75,MIN(71,Cartera_Polizas!$B$199+3-49))*(1+(Cartera_Polizas!$P$199-1)*MAX(0,1-3/Supuestos!$C$20))*(1-Supuestos!$C$18)^3))</f>
        <v>0.805725989328203</v>
      </c>
      <c r="G197" s="29" t="n">
        <f aca="false">F197*(1-MIN(1,INDEX(Tabla_Mortalidad!$B$5:$B$75,MIN(71,Cartera_Polizas!$B$199+4-49))*(1+(Cartera_Polizas!$P$199-1)*MAX(0,1-4/Supuestos!$C$20))*(1-Supuestos!$C$18)^4))</f>
        <v>0.750610043420358</v>
      </c>
      <c r="H197" s="29" t="n">
        <f aca="false">G197*(1-MIN(1,INDEX(Tabla_Mortalidad!$B$5:$B$75,MIN(71,Cartera_Polizas!$B$199+5-49))*(1+(Cartera_Polizas!$P$199-1)*MAX(0,1-5/Supuestos!$C$20))*(1-Supuestos!$C$18)^5))</f>
        <v>0.693438664405332</v>
      </c>
      <c r="I197" s="29" t="n">
        <f aca="false">H197*(1-MIN(1,INDEX(Tabla_Mortalidad!$B$5:$B$75,MIN(71,Cartera_Polizas!$B$199+6-49))*(1+(Cartera_Polizas!$P$199-1)*MAX(0,1-6/Supuestos!$C$20))*(1-Supuestos!$C$18)^6))</f>
        <v>0.634661061803003</v>
      </c>
      <c r="J197" s="29" t="n">
        <f aca="false">I197*(1-MIN(1,INDEX(Tabla_Mortalidad!$B$5:$B$75,MIN(71,Cartera_Polizas!$B$199+7-49))*(1+(Cartera_Polizas!$P$199-1)*MAX(0,1-7/Supuestos!$C$20))*(1-Supuestos!$C$18)^7))</f>
        <v>0.574832159951839</v>
      </c>
      <c r="K197" s="29" t="n">
        <f aca="false">J197*(1-MIN(1,INDEX(Tabla_Mortalidad!$B$5:$B$75,MIN(71,Cartera_Polizas!$B$199+8-49))*(1+(Cartera_Polizas!$P$199-1)*MAX(0,1-8/Supuestos!$C$20))*(1-Supuestos!$C$18)^8))</f>
        <v>0.514606626996139</v>
      </c>
      <c r="L197" s="29" t="n">
        <f aca="false">K197*(1-MIN(1,INDEX(Tabla_Mortalidad!$B$5:$B$75,MIN(71,Cartera_Polizas!$B$199+9-49))*(1+(Cartera_Polizas!$P$199-1)*MAX(0,1-9/Supuestos!$C$20))*(1-Supuestos!$C$18)^9))</f>
        <v>0.454729674573308</v>
      </c>
      <c r="M197" s="29" t="n">
        <f aca="false">L197*(1-MIN(1,INDEX(Tabla_Mortalidad!$B$5:$B$75,MIN(71,Cartera_Polizas!$B$199+10-49))*(1+(Cartera_Polizas!$P$199-1)*MAX(0,1-10/Supuestos!$C$20))*(1-Supuestos!$C$18)^10))</f>
        <v>0.396018103495715</v>
      </c>
      <c r="N197" s="29" t="n">
        <f aca="false">M197*(1-MIN(1,INDEX(Tabla_Mortalidad!$B$5:$B$75,MIN(71,Cartera_Polizas!$B$199+11-49))*(1+(Cartera_Polizas!$P$199-1)*MAX(0,1-11/Supuestos!$C$20))*(1-Supuestos!$C$18)^11))</f>
        <v>0.339332317701113</v>
      </c>
      <c r="O197" s="29" t="n">
        <f aca="false">N197*(1-MIN(1,INDEX(Tabla_Mortalidad!$B$5:$B$75,MIN(71,Cartera_Polizas!$B$199+12-49))*(1+(Cartera_Polizas!$P$199-1)*MAX(0,1-12/Supuestos!$C$20))*(1-Supuestos!$C$18)^12))</f>
        <v>0.285538454743366</v>
      </c>
      <c r="P197" s="29" t="n">
        <f aca="false">O197*(1-MIN(1,INDEX(Tabla_Mortalidad!$B$5:$B$75,MIN(71,Cartera_Polizas!$B$199+13-49))*(1+(Cartera_Polizas!$P$199-1)*MAX(0,1-13/Supuestos!$C$20))*(1-Supuestos!$C$18)^13))</f>
        <v>0.235461347408835</v>
      </c>
      <c r="Q197" s="29" t="n">
        <f aca="false">P197*(1-MIN(1,INDEX(Tabla_Mortalidad!$B$5:$B$75,MIN(71,Cartera_Polizas!$B$199+14-49))*(1+(Cartera_Polizas!$P$199-1)*MAX(0,1-14/Supuestos!$C$20))*(1-Supuestos!$C$18)^14))</f>
        <v>0.189833670801633</v>
      </c>
      <c r="R197" s="29" t="n">
        <f aca="false">Q197*(1-MIN(1,INDEX(Tabla_Mortalidad!$B$5:$B$75,MIN(71,Cartera_Polizas!$B$199+15-49))*(1+(Cartera_Polizas!$P$199-1)*MAX(0,1-15/Supuestos!$C$20))*(1-Supuestos!$C$18)^15))</f>
        <v>0.149243004175206</v>
      </c>
      <c r="S197" s="29" t="n">
        <f aca="false">R197*(1-MIN(1,INDEX(Tabla_Mortalidad!$B$5:$B$75,MIN(71,Cartera_Polizas!$B$199+16-49))*(1+(Cartera_Polizas!$P$199-1)*MAX(0,1-16/Supuestos!$C$20))*(1-Supuestos!$C$18)^16))</f>
        <v>0.114310367977959</v>
      </c>
      <c r="T197" s="29" t="n">
        <f aca="false">S197*(1-MIN(1,INDEX(Tabla_Mortalidad!$B$5:$B$75,MIN(71,Cartera_Polizas!$B$199+17-49))*(1+(Cartera_Polizas!$P$199-1)*MAX(0,1-17/Supuestos!$C$20))*(1-Supuestos!$C$18)^17))</f>
        <v>0.0850679083714667</v>
      </c>
      <c r="U197" s="29" t="n">
        <f aca="false">T197*(1-MIN(1,INDEX(Tabla_Mortalidad!$B$5:$B$75,MIN(71,Cartera_Polizas!$B$199+18-49))*(1+(Cartera_Polizas!$P$199-1)*MAX(0,1-18/Supuestos!$C$20))*(1-Supuestos!$C$18)^18))</f>
        <v>0.0613258431411857</v>
      </c>
      <c r="V197" s="29" t="n">
        <f aca="false">U197*(1-MIN(1,INDEX(Tabla_Mortalidad!$B$5:$B$75,MIN(71,Cartera_Polizas!$B$199+19-49))*(1+(Cartera_Polizas!$P$199-1)*MAX(0,1-19/Supuestos!$C$20))*(1-Supuestos!$C$18)^19))</f>
        <v>0.042688694739723</v>
      </c>
      <c r="W197" s="29" t="n">
        <f aca="false">V197*(1-MIN(1,INDEX(Tabla_Mortalidad!$B$5:$B$75,MIN(71,Cartera_Polizas!$B$199+20-49))*(1+(Cartera_Polizas!$P$199-1)*MAX(0,1-20/Supuestos!$C$20))*(1-Supuestos!$C$18)^20))</f>
        <v>0.0285923851696812</v>
      </c>
      <c r="X197" s="29" t="n">
        <f aca="false">W197*(1-MIN(1,INDEX(Tabla_Mortalidad!$B$5:$B$75,MIN(71,Cartera_Polizas!$B$199+21-49))*(1+(Cartera_Polizas!$P$199-1)*MAX(0,1-21/Supuestos!$C$20))*(1-Supuestos!$C$18)^21))</f>
        <v>0.018357447265033</v>
      </c>
      <c r="Y197" s="29" t="n">
        <f aca="false">X197*(1-MIN(1,INDEX(Tabla_Mortalidad!$B$5:$B$75,MIN(71,Cartera_Polizas!$B$199+22-49))*(1+(Cartera_Polizas!$P$199-1)*MAX(0,1-22/Supuestos!$C$20))*(1-Supuestos!$C$18)^22))</f>
        <v>0.0112521752114498</v>
      </c>
      <c r="Z197" s="29" t="n">
        <f aca="false">Y197*(1-MIN(1,INDEX(Tabla_Mortalidad!$B$5:$B$75,MIN(71,Cartera_Polizas!$B$199+23-49))*(1+(Cartera_Polizas!$P$199-1)*MAX(0,1-23/Supuestos!$C$20))*(1-Supuestos!$C$18)^23))</f>
        <v>0.00655616973349872</v>
      </c>
      <c r="AA197" s="29" t="n">
        <f aca="false">Z197*(1-MIN(1,INDEX(Tabla_Mortalidad!$B$5:$B$75,MIN(71,Cartera_Polizas!$B$199+24-49))*(1+(Cartera_Polizas!$P$199-1)*MAX(0,1-24/Supuestos!$C$20))*(1-Supuestos!$C$18)^24))</f>
        <v>0.00361479503847084</v>
      </c>
      <c r="AB197" s="29" t="n">
        <f aca="false">AA197*(1-MIN(1,INDEX(Tabla_Mortalidad!$B$5:$B$75,MIN(71,Cartera_Polizas!$B$199+25-49))*(1+(Cartera_Polizas!$P$199-1)*MAX(0,1-25/Supuestos!$C$20))*(1-Supuestos!$C$18)^25))</f>
        <v>0.00187712568100401</v>
      </c>
      <c r="AC197" s="29" t="n">
        <f aca="false">AB197*(1-MIN(1,INDEX(Tabla_Mortalidad!$B$5:$B$75,MIN(71,Cartera_Polizas!$B$199+26-49))*(1+(Cartera_Polizas!$P$199-1)*MAX(0,1-26/Supuestos!$C$20))*(1-Supuestos!$C$18)^26))</f>
        <v>0.000913688120924316</v>
      </c>
      <c r="AD197" s="29" t="n">
        <f aca="false">AC197*(1-MIN(1,INDEX(Tabla_Mortalidad!$B$5:$B$75,MIN(71,Cartera_Polizas!$B$199+27-49))*(1+(Cartera_Polizas!$P$199-1)*MAX(0,1-27/Supuestos!$C$20))*(1-Supuestos!$C$18)^27))</f>
        <v>0.000414888412769071</v>
      </c>
      <c r="AE197" s="29" t="n">
        <f aca="false">AD197*(1-MIN(1,INDEX(Tabla_Mortalidad!$B$5:$B$75,MIN(71,Cartera_Polizas!$B$199+28-49))*(1+(Cartera_Polizas!$P$199-1)*MAX(0,1-28/Supuestos!$C$20))*(1-Supuestos!$C$18)^28))</f>
        <v>0.000174951946034815</v>
      </c>
      <c r="AF197" s="29" t="n">
        <f aca="false">AE197*(1-MIN(1,INDEX(Tabla_Mortalidad!$B$5:$B$75,MIN(71,Cartera_Polizas!$B$199+29-49))*(1+(Cartera_Polizas!$P$199-1)*MAX(0,1-29/Supuestos!$C$20))*(1-Supuestos!$C$18)^29))</f>
        <v>6.82298473487509E-005</v>
      </c>
      <c r="AG197" s="29" t="n">
        <f aca="false">AF197*(1-MIN(1,INDEX(Tabla_Mortalidad!$B$5:$B$75,MIN(71,Cartera_Polizas!$B$199+30-49))*(1+(Cartera_Polizas!$P$199-1)*MAX(0,1-30/Supuestos!$C$20))*(1-Supuestos!$C$18)^30))</f>
        <v>2.45262747405051E-005</v>
      </c>
      <c r="AH197" s="29" t="n">
        <f aca="false">AG197*(1-MIN(1,INDEX(Tabla_Mortalidad!$B$5:$B$75,MIN(71,Cartera_Polizas!$B$199+31-49))*(1+(Cartera_Polizas!$P$199-1)*MAX(0,1-31/Supuestos!$C$20))*(1-Supuestos!$C$18)^31))</f>
        <v>8.10780258711215E-006</v>
      </c>
      <c r="AI197" s="29" t="n">
        <f aca="false">AH197*(1-MIN(1,INDEX(Tabla_Mortalidad!$B$5:$B$75,MIN(71,Cartera_Polizas!$B$199+32-49))*(1+(Cartera_Polizas!$P$199-1)*MAX(0,1-32/Supuestos!$C$20))*(1-Supuestos!$C$18)^32))</f>
        <v>2.46297933717221E-006</v>
      </c>
      <c r="AJ197" s="29" t="n">
        <f aca="false">AI197*(1-MIN(1,INDEX(Tabla_Mortalidad!$B$5:$B$75,MIN(71,Cartera_Polizas!$B$199+33-49))*(1+(Cartera_Polizas!$P$199-1)*MAX(0,1-33/Supuestos!$C$20))*(1-Supuestos!$C$18)^33))</f>
        <v>6.88380828398221E-007</v>
      </c>
      <c r="AK197" s="29" t="n">
        <f aca="false">AJ197*(1-MIN(1,INDEX(Tabla_Mortalidad!$B$5:$B$75,MIN(71,Cartera_Polizas!$B$199+34-49))*(1+(Cartera_Polizas!$P$199-1)*MAX(0,1-34/Supuestos!$C$20))*(1-Supuestos!$C$18)^34))</f>
        <v>1.77645975906713E-007</v>
      </c>
      <c r="AL197" s="29" t="n">
        <f aca="false">AK197*(1-MIN(1,INDEX(Tabla_Mortalidad!$B$5:$B$75,MIN(71,Cartera_Polizas!$B$199+35-49))*(1+(Cartera_Polizas!$P$199-1)*MAX(0,1-35/Supuestos!$C$20))*(1-Supuestos!$C$18)^35))</f>
        <v>4.25907075109713E-008</v>
      </c>
      <c r="AM197" s="29" t="n">
        <f aca="false">AL197*(1-MIN(1,INDEX(Tabla_Mortalidad!$B$5:$B$75,MIN(71,Cartera_Polizas!$B$199+36-49))*(1+(Cartera_Polizas!$P$199-1)*MAX(0,1-36/Supuestos!$C$20))*(1-Supuestos!$C$18)^36))</f>
        <v>9.56980501480122E-009</v>
      </c>
      <c r="AN197" s="29" t="n">
        <f aca="false">AM197*(1-MIN(1,INDEX(Tabla_Mortalidad!$B$5:$B$75,MIN(71,Cartera_Polizas!$B$199+37-49))*(1+(Cartera_Polizas!$P$199-1)*MAX(0,1-37/Supuestos!$C$20))*(1-Supuestos!$C$18)^37))</f>
        <v>2.03738615848731E-009</v>
      </c>
      <c r="AO197" s="29" t="n">
        <f aca="false">AN197*(1-MIN(1,INDEX(Tabla_Mortalidad!$B$5:$B$75,MIN(71,Cartera_Polizas!$B$199+38-49))*(1+(Cartera_Polizas!$P$199-1)*MAX(0,1-38/Supuestos!$C$20))*(1-Supuestos!$C$18)^38))</f>
        <v>3.53353848411042E-010</v>
      </c>
      <c r="AP197" s="29" t="n">
        <f aca="false">AO197*(1-MIN(1,INDEX(Tabla_Mortalidad!$B$5:$B$75,MIN(71,Cartera_Polizas!$B$199+39-49))*(1+(Cartera_Polizas!$P$199-1)*MAX(0,1-39/Supuestos!$C$20))*(1-Supuestos!$C$18)^39))</f>
        <v>6.27442363552112E-011</v>
      </c>
      <c r="AQ197" s="29" t="n">
        <f aca="false">AP197*(1-MIN(1,INDEX(Tabla_Mortalidad!$B$5:$B$75,MIN(71,Cartera_Polizas!$B$199+40-49))*(1+(Cartera_Polizas!$P$199-1)*MAX(0,1-40/Supuestos!$C$20))*(1-Supuestos!$C$18)^40))</f>
        <v>1.13993652675395E-011</v>
      </c>
      <c r="AR197" s="29" t="n">
        <f aca="false">AQ197*(1-MIN(1,INDEX(Tabla_Mortalidad!$B$5:$B$75,MIN(71,Cartera_Polizas!$B$199+41-49))*(1+(Cartera_Polizas!$P$199-1)*MAX(0,1-41/Supuestos!$C$20))*(1-Supuestos!$C$18)^41))</f>
        <v>2.11767695205148E-012</v>
      </c>
      <c r="AS197" s="29" t="n">
        <f aca="false">AR197*(1-MIN(1,INDEX(Tabla_Mortalidad!$B$5:$B$75,MIN(71,Cartera_Polizas!$B$199+42-49))*(1+(Cartera_Polizas!$P$199-1)*MAX(0,1-42/Supuestos!$C$20))*(1-Supuestos!$C$18)^42))</f>
        <v>4.0202534551719E-013</v>
      </c>
      <c r="AT197" s="29" t="n">
        <f aca="false">AS197*(1-MIN(1,INDEX(Tabla_Mortalidad!$B$5:$B$75,MIN(71,Cartera_Polizas!$B$199+43-49))*(1+(Cartera_Polizas!$P$199-1)*MAX(0,1-43/Supuestos!$C$20))*(1-Supuestos!$C$18)^43))</f>
        <v>7.79500647763215E-014</v>
      </c>
      <c r="AU197" s="29" t="n">
        <f aca="false">AT197*(1-MIN(1,INDEX(Tabla_Mortalidad!$B$5:$B$75,MIN(71,Cartera_Polizas!$B$199+44-49))*(1+(Cartera_Polizas!$P$199-1)*MAX(0,1-44/Supuestos!$C$20))*(1-Supuestos!$C$18)^44))</f>
        <v>1.54281841018859E-014</v>
      </c>
    </row>
    <row r="198" customFormat="false" ht="15" hidden="false" customHeight="false" outlineLevel="0" collapsed="false">
      <c r="A198" s="14" t="n">
        <f aca="false">Cartera_Polizas!A200</f>
        <v>195</v>
      </c>
      <c r="B198" s="26" t="n">
        <f aca="false">SUM(C198:AU198)+0.5</f>
        <v>5.95286665063663</v>
      </c>
      <c r="C198" s="29" t="n">
        <f aca="false">1-MIN(1,INDEX(Tabla_Mortalidad!$B$5:$B$75,MIN(71,Cartera_Polizas!$B$200+0-49))*(1+(Cartera_Polizas!$P$200-1)*MAX(0,1-0/Supuestos!$C$20))*(1-Supuestos!$C$18)^0)</f>
        <v>0.89251405</v>
      </c>
      <c r="D198" s="29" t="n">
        <f aca="false">C198*(1-MIN(1,INDEX(Tabla_Mortalidad!$B$5:$B$75,MIN(71,Cartera_Polizas!$B$200+1-49))*(1+(Cartera_Polizas!$P$200-1)*MAX(0,1-1/Supuestos!$C$20))*(1-Supuestos!$C$18)^1))</f>
        <v>0.788565873057745</v>
      </c>
      <c r="E198" s="29" t="n">
        <f aca="false">D198*(1-MIN(1,INDEX(Tabla_Mortalidad!$B$5:$B$75,MIN(71,Cartera_Polizas!$B$200+2-49))*(1+(Cartera_Polizas!$P$200-1)*MAX(0,1-2/Supuestos!$C$20))*(1-Supuestos!$C$18)^2))</f>
        <v>0.689141185839215</v>
      </c>
      <c r="F198" s="29" t="n">
        <f aca="false">E198*(1-MIN(1,INDEX(Tabla_Mortalidad!$B$5:$B$75,MIN(71,Cartera_Polizas!$B$200+3-49))*(1+(Cartera_Polizas!$P$200-1)*MAX(0,1-3/Supuestos!$C$20))*(1-Supuestos!$C$18)^3))</f>
        <v>0.595174049514298</v>
      </c>
      <c r="G198" s="29" t="n">
        <f aca="false">F198*(1-MIN(1,INDEX(Tabla_Mortalidad!$B$5:$B$75,MIN(71,Cartera_Polizas!$B$200+4-49))*(1+(Cartera_Polizas!$P$200-1)*MAX(0,1-4/Supuestos!$C$20))*(1-Supuestos!$C$18)^4))</f>
        <v>0.507504020160247</v>
      </c>
      <c r="H198" s="29" t="n">
        <f aca="false">G198*(1-MIN(1,INDEX(Tabla_Mortalidad!$B$5:$B$75,MIN(71,Cartera_Polizas!$B$200+5-49))*(1+(Cartera_Polizas!$P$200-1)*MAX(0,1-5/Supuestos!$C$20))*(1-Supuestos!$C$18)^5))</f>
        <v>0.426841063042262</v>
      </c>
      <c r="I198" s="29" t="n">
        <f aca="false">H198*(1-MIN(1,INDEX(Tabla_Mortalidad!$B$5:$B$75,MIN(71,Cartera_Polizas!$B$200+6-49))*(1+(Cartera_Polizas!$P$200-1)*MAX(0,1-6/Supuestos!$C$20))*(1-Supuestos!$C$18)^6))</f>
        <v>0.353731541275556</v>
      </c>
      <c r="J198" s="29" t="n">
        <f aca="false">I198*(1-MIN(1,INDEX(Tabla_Mortalidad!$B$5:$B$75,MIN(71,Cartera_Polizas!$B$200+7-49))*(1+(Cartera_Polizas!$P$200-1)*MAX(0,1-7/Supuestos!$C$20))*(1-Supuestos!$C$18)^7))</f>
        <v>0.288530985773885</v>
      </c>
      <c r="K198" s="29" t="n">
        <f aca="false">J198*(1-MIN(1,INDEX(Tabla_Mortalidad!$B$5:$B$75,MIN(71,Cartera_Polizas!$B$200+8-49))*(1+(Cartera_Polizas!$P$200-1)*MAX(0,1-8/Supuestos!$C$20))*(1-Supuestos!$C$18)^8))</f>
        <v>0.231385424697858</v>
      </c>
      <c r="L198" s="29" t="n">
        <f aca="false">K198*(1-MIN(1,INDEX(Tabla_Mortalidad!$B$5:$B$75,MIN(71,Cartera_Polizas!$B$200+9-49))*(1+(Cartera_Polizas!$P$200-1)*MAX(0,1-9/Supuestos!$C$20))*(1-Supuestos!$C$18)^9))</f>
        <v>0.182223512819269</v>
      </c>
      <c r="M198" s="29" t="n">
        <f aca="false">L198*(1-MIN(1,INDEX(Tabla_Mortalidad!$B$5:$B$75,MIN(71,Cartera_Polizas!$B$200+10-49))*(1+(Cartera_Polizas!$P$200-1)*MAX(0,1-10/Supuestos!$C$20))*(1-Supuestos!$C$18)^10))</f>
        <v>0.140763845275452</v>
      </c>
      <c r="N198" s="29" t="n">
        <f aca="false">M198*(1-MIN(1,INDEX(Tabla_Mortalidad!$B$5:$B$75,MIN(71,Cartera_Polizas!$B$200+11-49))*(1+(Cartera_Polizas!$P$200-1)*MAX(0,1-11/Supuestos!$C$20))*(1-Supuestos!$C$18)^11))</f>
        <v>0.106534645099766</v>
      </c>
      <c r="O198" s="29" t="n">
        <f aca="false">N198*(1-MIN(1,INDEX(Tabla_Mortalidad!$B$5:$B$75,MIN(71,Cartera_Polizas!$B$200+12-49))*(1+(Cartera_Polizas!$P$200-1)*MAX(0,1-12/Supuestos!$C$20))*(1-Supuestos!$C$18)^12))</f>
        <v>0.0789056083454971</v>
      </c>
      <c r="P198" s="29" t="n">
        <f aca="false">O198*(1-MIN(1,INDEX(Tabla_Mortalidad!$B$5:$B$75,MIN(71,Cartera_Polizas!$B$200+13-49))*(1+(Cartera_Polizas!$P$200-1)*MAX(0,1-13/Supuestos!$C$20))*(1-Supuestos!$C$18)^13))</f>
        <v>0.057130729398154</v>
      </c>
      <c r="Q198" s="29" t="n">
        <f aca="false">P198*(1-MIN(1,INDEX(Tabla_Mortalidad!$B$5:$B$75,MIN(71,Cartera_Polizas!$B$200+14-49))*(1+(Cartera_Polizas!$P$200-1)*MAX(0,1-14/Supuestos!$C$20))*(1-Supuestos!$C$18)^14))</f>
        <v>0.0403965333709008</v>
      </c>
      <c r="R198" s="29" t="n">
        <f aca="false">Q198*(1-MIN(1,INDEX(Tabla_Mortalidad!$B$5:$B$75,MIN(71,Cartera_Polizas!$B$200+15-49))*(1+(Cartera_Polizas!$P$200-1)*MAX(0,1-15/Supuestos!$C$20))*(1-Supuestos!$C$18)^15))</f>
        <v>0.0278712456686884</v>
      </c>
      <c r="S198" s="29" t="n">
        <f aca="false">R198*(1-MIN(1,INDEX(Tabla_Mortalidad!$B$5:$B$75,MIN(71,Cartera_Polizas!$B$200+16-49))*(1+(Cartera_Polizas!$P$200-1)*MAX(0,1-16/Supuestos!$C$20))*(1-Supuestos!$C$18)^16))</f>
        <v>0.0184814398915844</v>
      </c>
      <c r="T198" s="29" t="n">
        <f aca="false">S198*(1-MIN(1,INDEX(Tabla_Mortalidad!$B$5:$B$75,MIN(71,Cartera_Polizas!$B$200+17-49))*(1+(Cartera_Polizas!$P$200-1)*MAX(0,1-17/Supuestos!$C$20))*(1-Supuestos!$C$18)^17))</f>
        <v>0.0117318356705062</v>
      </c>
      <c r="U198" s="29" t="n">
        <f aca="false">T198*(1-MIN(1,INDEX(Tabla_Mortalidad!$B$5:$B$75,MIN(71,Cartera_Polizas!$B$200+18-49))*(1+(Cartera_Polizas!$P$200-1)*MAX(0,1-18/Supuestos!$C$20))*(1-Supuestos!$C$18)^18))</f>
        <v>0.00709905147750437</v>
      </c>
      <c r="V198" s="29" t="n">
        <f aca="false">U198*(1-MIN(1,INDEX(Tabla_Mortalidad!$B$5:$B$75,MIN(71,Cartera_Polizas!$B$200+19-49))*(1+(Cartera_Polizas!$P$200-1)*MAX(0,1-19/Supuestos!$C$20))*(1-Supuestos!$C$18)^19))</f>
        <v>0.004076316223721</v>
      </c>
      <c r="W198" s="29" t="n">
        <f aca="false">V198*(1-MIN(1,INDEX(Tabla_Mortalidad!$B$5:$B$75,MIN(71,Cartera_Polizas!$B$200+20-49))*(1+(Cartera_Polizas!$P$200-1)*MAX(0,1-20/Supuestos!$C$20))*(1-Supuestos!$C$18)^20))</f>
        <v>0.0022104706024058</v>
      </c>
      <c r="X198" s="29" t="n">
        <f aca="false">W198*(1-MIN(1,INDEX(Tabla_Mortalidad!$B$5:$B$75,MIN(71,Cartera_Polizas!$B$200+21-49))*(1+(Cartera_Polizas!$P$200-1)*MAX(0,1-21/Supuestos!$C$20))*(1-Supuestos!$C$18)^21))</f>
        <v>0.00112635427369875</v>
      </c>
      <c r="Y198" s="29" t="n">
        <f aca="false">X198*(1-MIN(1,INDEX(Tabla_Mortalidad!$B$5:$B$75,MIN(71,Cartera_Polizas!$B$200+22-49))*(1+(Cartera_Polizas!$P$200-1)*MAX(0,1-22/Supuestos!$C$20))*(1-Supuestos!$C$18)^22))</f>
        <v>0.00053654321599</v>
      </c>
      <c r="Z198" s="29" t="n">
        <f aca="false">Y198*(1-MIN(1,INDEX(Tabla_Mortalidad!$B$5:$B$75,MIN(71,Cartera_Polizas!$B$200+23-49))*(1+(Cartera_Polizas!$P$200-1)*MAX(0,1-23/Supuestos!$C$20))*(1-Supuestos!$C$18)^23))</f>
        <v>0.000237701929607002</v>
      </c>
      <c r="AA198" s="29" t="n">
        <f aca="false">Z198*(1-MIN(1,INDEX(Tabla_Mortalidad!$B$5:$B$75,MIN(71,Cartera_Polizas!$B$200+24-49))*(1+(Cartera_Polizas!$P$200-1)*MAX(0,1-24/Supuestos!$C$20))*(1-Supuestos!$C$18)^24))</f>
        <v>9.74511326726742E-005</v>
      </c>
      <c r="AB198" s="29" t="n">
        <f aca="false">AA198*(1-MIN(1,INDEX(Tabla_Mortalidad!$B$5:$B$75,MIN(71,Cartera_Polizas!$B$200+25-49))*(1+(Cartera_Polizas!$P$200-1)*MAX(0,1-25/Supuestos!$C$20))*(1-Supuestos!$C$18)^25))</f>
        <v>3.68012244906039E-005</v>
      </c>
      <c r="AC198" s="29" t="n">
        <f aca="false">AB198*(1-MIN(1,INDEX(Tabla_Mortalidad!$B$5:$B$75,MIN(71,Cartera_Polizas!$B$200+26-49))*(1+(Cartera_Polizas!$P$200-1)*MAX(0,1-26/Supuestos!$C$20))*(1-Supuestos!$C$18)^26))</f>
        <v>1.27513681203082E-005</v>
      </c>
      <c r="AD198" s="29" t="n">
        <f aca="false">AC198*(1-MIN(1,INDEX(Tabla_Mortalidad!$B$5:$B$75,MIN(71,Cartera_Polizas!$B$200+27-49))*(1+(Cartera_Polizas!$P$200-1)*MAX(0,1-27/Supuestos!$C$20))*(1-Supuestos!$C$18)^27))</f>
        <v>4.04242182430258E-006</v>
      </c>
      <c r="AE198" s="29" t="n">
        <f aca="false">AD198*(1-MIN(1,INDEX(Tabla_Mortalidad!$B$5:$B$75,MIN(71,Cartera_Polizas!$B$200+28-49))*(1+(Cartera_Polizas!$P$200-1)*MAX(0,1-28/Supuestos!$C$20))*(1-Supuestos!$C$18)^28))</f>
        <v>1.1710033575848E-006</v>
      </c>
      <c r="AF198" s="29" t="n">
        <f aca="false">AE198*(1-MIN(1,INDEX(Tabla_Mortalidad!$B$5:$B$75,MIN(71,Cartera_Polizas!$B$200+29-49))*(1+(Cartera_Polizas!$P$200-1)*MAX(0,1-29/Supuestos!$C$20))*(1-Supuestos!$C$18)^29))</f>
        <v>3.10197603933882E-007</v>
      </c>
      <c r="AG198" s="29" t="n">
        <f aca="false">AF198*(1-MIN(1,INDEX(Tabla_Mortalidad!$B$5:$B$75,MIN(71,Cartera_Polizas!$B$200+30-49))*(1+(Cartera_Polizas!$P$200-1)*MAX(0,1-30/Supuestos!$C$20))*(1-Supuestos!$C$18)^30))</f>
        <v>7.53896282941153E-008</v>
      </c>
      <c r="AH198" s="29" t="n">
        <f aca="false">AG198*(1-MIN(1,INDEX(Tabla_Mortalidad!$B$5:$B$75,MIN(71,Cartera_Polizas!$B$200+31-49))*(1+(Cartera_Polizas!$P$200-1)*MAX(0,1-31/Supuestos!$C$20))*(1-Supuestos!$C$18)^31))</f>
        <v>1.69139275036802E-008</v>
      </c>
      <c r="AI198" s="29" t="n">
        <f aca="false">AH198*(1-MIN(1,INDEX(Tabla_Mortalidad!$B$5:$B$75,MIN(71,Cartera_Polizas!$B$200+32-49))*(1+(Cartera_Polizas!$P$200-1)*MAX(0,1-32/Supuestos!$C$20))*(1-Supuestos!$C$18)^32))</f>
        <v>3.53484826005374E-009</v>
      </c>
      <c r="AJ198" s="29" t="n">
        <f aca="false">AI198*(1-MIN(1,INDEX(Tabla_Mortalidad!$B$5:$B$75,MIN(71,Cartera_Polizas!$B$200+33-49))*(1+(Cartera_Polizas!$P$200-1)*MAX(0,1-33/Supuestos!$C$20))*(1-Supuestos!$C$18)^33))</f>
        <v>6.96211480992878E-010</v>
      </c>
      <c r="AK198" s="29" t="n">
        <f aca="false">AJ198*(1-MIN(1,INDEX(Tabla_Mortalidad!$B$5:$B$75,MIN(71,Cartera_Polizas!$B$200+34-49))*(1+(Cartera_Polizas!$P$200-1)*MAX(0,1-34/Supuestos!$C$20))*(1-Supuestos!$C$18)^34))</f>
        <v>1.09092763294027E-010</v>
      </c>
      <c r="AL198" s="29" t="n">
        <f aca="false">AK198*(1-MIN(1,INDEX(Tabla_Mortalidad!$B$5:$B$75,MIN(71,Cartera_Polizas!$B$200+35-49))*(1+(Cartera_Polizas!$P$200-1)*MAX(0,1-35/Supuestos!$C$20))*(1-Supuestos!$C$18)^35))</f>
        <v>1.75542681401553E-011</v>
      </c>
      <c r="AM198" s="29" t="n">
        <f aca="false">AL198*(1-MIN(1,INDEX(Tabla_Mortalidad!$B$5:$B$75,MIN(71,Cartera_Polizas!$B$200+36-49))*(1+(Cartera_Polizas!$P$200-1)*MAX(0,1-36/Supuestos!$C$20))*(1-Supuestos!$C$18)^36))</f>
        <v>2.89832961265884E-012</v>
      </c>
      <c r="AN198" s="29" t="n">
        <f aca="false">AM198*(1-MIN(1,INDEX(Tabla_Mortalidad!$B$5:$B$75,MIN(71,Cartera_Polizas!$B$200+37-49))*(1+(Cartera_Polizas!$P$200-1)*MAX(0,1-37/Supuestos!$C$20))*(1-Supuestos!$C$18)^37))</f>
        <v>4.90633000363675E-013</v>
      </c>
      <c r="AO198" s="29" t="n">
        <f aca="false">AN198*(1-MIN(1,INDEX(Tabla_Mortalidad!$B$5:$B$75,MIN(71,Cartera_Polizas!$B$200+38-49))*(1+(Cartera_Polizas!$P$200-1)*MAX(0,1-38/Supuestos!$C$20))*(1-Supuestos!$C$18)^38))</f>
        <v>8.50928814421121E-014</v>
      </c>
      <c r="AP198" s="29" t="n">
        <f aca="false">AO198*(1-MIN(1,INDEX(Tabla_Mortalidad!$B$5:$B$75,MIN(71,Cartera_Polizas!$B$200+39-49))*(1+(Cartera_Polizas!$P$200-1)*MAX(0,1-39/Supuestos!$C$20))*(1-Supuestos!$C$18)^39))</f>
        <v>1.51097487387179E-014</v>
      </c>
      <c r="AQ198" s="29" t="n">
        <f aca="false">AP198*(1-MIN(1,INDEX(Tabla_Mortalidad!$B$5:$B$75,MIN(71,Cartera_Polizas!$B$200+40-49))*(1+(Cartera_Polizas!$P$200-1)*MAX(0,1-40/Supuestos!$C$20))*(1-Supuestos!$C$18)^40))</f>
        <v>2.74513732222807E-015</v>
      </c>
      <c r="AR198" s="29" t="n">
        <f aca="false">AQ198*(1-MIN(1,INDEX(Tabla_Mortalidad!$B$5:$B$75,MIN(71,Cartera_Polizas!$B$200+41-49))*(1+(Cartera_Polizas!$P$200-1)*MAX(0,1-41/Supuestos!$C$20))*(1-Supuestos!$C$18)^41))</f>
        <v>5.09968222007283E-016</v>
      </c>
      <c r="AS198" s="29" t="n">
        <f aca="false">AR198*(1-MIN(1,INDEX(Tabla_Mortalidad!$B$5:$B$75,MIN(71,Cartera_Polizas!$B$200+42-49))*(1+(Cartera_Polizas!$P$200-1)*MAX(0,1-42/Supuestos!$C$20))*(1-Supuestos!$C$18)^42))</f>
        <v>9.68137044966436E-017</v>
      </c>
      <c r="AT198" s="29" t="n">
        <f aca="false">AS198*(1-MIN(1,INDEX(Tabla_Mortalidad!$B$5:$B$75,MIN(71,Cartera_Polizas!$B$200+43-49))*(1+(Cartera_Polizas!$P$200-1)*MAX(0,1-43/Supuestos!$C$20))*(1-Supuestos!$C$18)^43))</f>
        <v>1.87715392098988E-017</v>
      </c>
      <c r="AU198" s="29" t="n">
        <f aca="false">AT198*(1-MIN(1,INDEX(Tabla_Mortalidad!$B$5:$B$75,MIN(71,Cartera_Polizas!$B$200+44-49))*(1+(Cartera_Polizas!$P$200-1)*MAX(0,1-44/Supuestos!$C$20))*(1-Supuestos!$C$18)^44))</f>
        <v>3.71533703836077E-018</v>
      </c>
    </row>
    <row r="199" customFormat="false" ht="15" hidden="false" customHeight="false" outlineLevel="0" collapsed="false">
      <c r="A199" s="14" t="n">
        <f aca="false">Cartera_Polizas!A201</f>
        <v>196</v>
      </c>
      <c r="B199" s="26" t="n">
        <f aca="false">SUM(C199:AU199)+0.5</f>
        <v>6.29166571698914</v>
      </c>
      <c r="C199" s="29" t="n">
        <f aca="false">1-MIN(1,INDEX(Tabla_Mortalidad!$B$5:$B$75,MIN(71,Cartera_Polizas!$B$201+0-49))*(1+(Cartera_Polizas!$P$201-1)*MAX(0,1-0/Supuestos!$C$20))*(1-Supuestos!$C$18)^0)</f>
        <v>0.906029875</v>
      </c>
      <c r="D199" s="29" t="n">
        <f aca="false">C199*(1-MIN(1,INDEX(Tabla_Mortalidad!$B$5:$B$75,MIN(71,Cartera_Polizas!$B$201+1-49))*(1+(Cartera_Polizas!$P$201-1)*MAX(0,1-1/Supuestos!$C$20))*(1-Supuestos!$C$18)^1))</f>
        <v>0.812632610275826</v>
      </c>
      <c r="E199" s="29" t="n">
        <f aca="false">D199*(1-MIN(1,INDEX(Tabla_Mortalidad!$B$5:$B$75,MIN(71,Cartera_Polizas!$B$201+2-49))*(1+(Cartera_Polizas!$P$201-1)*MAX(0,1-2/Supuestos!$C$20))*(1-Supuestos!$C$18)^2))</f>
        <v>0.72079721965166</v>
      </c>
      <c r="F199" s="29" t="n">
        <f aca="false">E199*(1-MIN(1,INDEX(Tabla_Mortalidad!$B$5:$B$75,MIN(71,Cartera_Polizas!$B$201+3-49))*(1+(Cartera_Polizas!$P$201-1)*MAX(0,1-3/Supuestos!$C$20))*(1-Supuestos!$C$18)^3))</f>
        <v>0.631558353030689</v>
      </c>
      <c r="G199" s="29" t="n">
        <f aca="false">F199*(1-MIN(1,INDEX(Tabla_Mortalidad!$B$5:$B$75,MIN(71,Cartera_Polizas!$B$201+4-49))*(1+(Cartera_Polizas!$P$201-1)*MAX(0,1-4/Supuestos!$C$20))*(1-Supuestos!$C$18)^4))</f>
        <v>0.545963223226986</v>
      </c>
      <c r="H199" s="29" t="n">
        <f aca="false">G199*(1-MIN(1,INDEX(Tabla_Mortalidad!$B$5:$B$75,MIN(71,Cartera_Polizas!$B$201+5-49))*(1+(Cartera_Polizas!$P$201-1)*MAX(0,1-5/Supuestos!$C$20))*(1-Supuestos!$C$18)^5))</f>
        <v>0.465029499291322</v>
      </c>
      <c r="I199" s="29" t="n">
        <f aca="false">H199*(1-MIN(1,INDEX(Tabla_Mortalidad!$B$5:$B$75,MIN(71,Cartera_Polizas!$B$201+6-49))*(1+(Cartera_Polizas!$P$201-1)*MAX(0,1-6/Supuestos!$C$20))*(1-Supuestos!$C$18)^6))</f>
        <v>0.389698498235222</v>
      </c>
      <c r="J199" s="29" t="n">
        <f aca="false">I199*(1-MIN(1,INDEX(Tabla_Mortalidad!$B$5:$B$75,MIN(71,Cartera_Polizas!$B$201+7-49))*(1+(Cartera_Polizas!$P$201-1)*MAX(0,1-7/Supuestos!$C$20))*(1-Supuestos!$C$18)^7))</f>
        <v>0.320785370287372</v>
      </c>
      <c r="K199" s="29" t="n">
        <f aca="false">J199*(1-MIN(1,INDEX(Tabla_Mortalidad!$B$5:$B$75,MIN(71,Cartera_Polizas!$B$201+8-49))*(1+(Cartera_Polizas!$P$201-1)*MAX(0,1-8/Supuestos!$C$20))*(1-Supuestos!$C$18)^8))</f>
        <v>0.258929759235953</v>
      </c>
      <c r="L199" s="29" t="n">
        <f aca="false">K199*(1-MIN(1,INDEX(Tabla_Mortalidad!$B$5:$B$75,MIN(71,Cartera_Polizas!$B$201+9-49))*(1+(Cartera_Polizas!$P$201-1)*MAX(0,1-9/Supuestos!$C$20))*(1-Supuestos!$C$18)^9))</f>
        <v>0.204555078341016</v>
      </c>
      <c r="M199" s="29" t="n">
        <f aca="false">L199*(1-MIN(1,INDEX(Tabla_Mortalidad!$B$5:$B$75,MIN(71,Cartera_Polizas!$B$201+10-49))*(1+(Cartera_Polizas!$P$201-1)*MAX(0,1-10/Supuestos!$C$20))*(1-Supuestos!$C$18)^10))</f>
        <v>0.157837903961344</v>
      </c>
      <c r="N199" s="29" t="n">
        <f aca="false">M199*(1-MIN(1,INDEX(Tabla_Mortalidad!$B$5:$B$75,MIN(71,Cartera_Polizas!$B$201+11-49))*(1+(Cartera_Polizas!$P$201-1)*MAX(0,1-11/Supuestos!$C$20))*(1-Supuestos!$C$18)^11))</f>
        <v>0.118693136382141</v>
      </c>
      <c r="O199" s="29" t="n">
        <f aca="false">N199*(1-MIN(1,INDEX(Tabla_Mortalidad!$B$5:$B$75,MIN(71,Cartera_Polizas!$B$201+12-49))*(1+(Cartera_Polizas!$P$201-1)*MAX(0,1-12/Supuestos!$C$20))*(1-Supuestos!$C$18)^12))</f>
        <v>0.0867805250102643</v>
      </c>
      <c r="P199" s="29" t="n">
        <f aca="false">O199*(1-MIN(1,INDEX(Tabla_Mortalidad!$B$5:$B$75,MIN(71,Cartera_Polizas!$B$201+13-49))*(1+(Cartera_Polizas!$P$201-1)*MAX(0,1-13/Supuestos!$C$20))*(1-Supuestos!$C$18)^13))</f>
        <v>0.0615318731942152</v>
      </c>
      <c r="Q199" s="29" t="n">
        <f aca="false">P199*(1-MIN(1,INDEX(Tabla_Mortalidad!$B$5:$B$75,MIN(71,Cartera_Polizas!$B$201+14-49))*(1+(Cartera_Polizas!$P$201-1)*MAX(0,1-14/Supuestos!$C$20))*(1-Supuestos!$C$18)^14))</f>
        <v>0.0421977361584749</v>
      </c>
      <c r="R199" s="29" t="n">
        <f aca="false">Q199*(1-MIN(1,INDEX(Tabla_Mortalidad!$B$5:$B$75,MIN(71,Cartera_Polizas!$B$201+15-49))*(1+(Cartera_Polizas!$P$201-1)*MAX(0,1-15/Supuestos!$C$20))*(1-Supuestos!$C$18)^15))</f>
        <v>0.0279099052620659</v>
      </c>
      <c r="S199" s="29" t="n">
        <f aca="false">R199*(1-MIN(1,INDEX(Tabla_Mortalidad!$B$5:$B$75,MIN(71,Cartera_Polizas!$B$201+16-49))*(1+(Cartera_Polizas!$P$201-1)*MAX(0,1-16/Supuestos!$C$20))*(1-Supuestos!$C$18)^16))</f>
        <v>0.017665711479791</v>
      </c>
      <c r="T199" s="29" t="n">
        <f aca="false">S199*(1-MIN(1,INDEX(Tabla_Mortalidad!$B$5:$B$75,MIN(71,Cartera_Polizas!$B$201+17-49))*(1+(Cartera_Polizas!$P$201-1)*MAX(0,1-17/Supuestos!$C$20))*(1-Supuestos!$C$18)^17))</f>
        <v>0.0106546439304639</v>
      </c>
      <c r="U199" s="29" t="n">
        <f aca="false">T199*(1-MIN(1,INDEX(Tabla_Mortalidad!$B$5:$B$75,MIN(71,Cartera_Polizas!$B$201+18-49))*(1+(Cartera_Polizas!$P$201-1)*MAX(0,1-18/Supuestos!$C$20))*(1-Supuestos!$C$18)^18))</f>
        <v>0.00609516046045201</v>
      </c>
      <c r="V199" s="29" t="n">
        <f aca="false">U199*(1-MIN(1,INDEX(Tabla_Mortalidad!$B$5:$B$75,MIN(71,Cartera_Polizas!$B$201+19-49))*(1+(Cartera_Polizas!$P$201-1)*MAX(0,1-19/Supuestos!$C$20))*(1-Supuestos!$C$18)^19))</f>
        <v>0.00329121279894558</v>
      </c>
      <c r="W199" s="29" t="n">
        <f aca="false">V199*(1-MIN(1,INDEX(Tabla_Mortalidad!$B$5:$B$75,MIN(71,Cartera_Polizas!$B$201+20-49))*(1+(Cartera_Polizas!$P$201-1)*MAX(0,1-20/Supuestos!$C$20))*(1-Supuestos!$C$18)^20))</f>
        <v>0.00166893948300396</v>
      </c>
      <c r="X199" s="29" t="n">
        <f aca="false">W199*(1-MIN(1,INDEX(Tabla_Mortalidad!$B$5:$B$75,MIN(71,Cartera_Polizas!$B$201+21-49))*(1+(Cartera_Polizas!$P$201-1)*MAX(0,1-21/Supuestos!$C$20))*(1-Supuestos!$C$18)^21))</f>
        <v>0.000790614152981822</v>
      </c>
      <c r="Y199" s="29" t="n">
        <f aca="false">X199*(1-MIN(1,INDEX(Tabla_Mortalidad!$B$5:$B$75,MIN(71,Cartera_Polizas!$B$201+22-49))*(1+(Cartera_Polizas!$P$201-1)*MAX(0,1-22/Supuestos!$C$20))*(1-Supuestos!$C$18)^22))</f>
        <v>0.000348048818873941</v>
      </c>
      <c r="Z199" s="29" t="n">
        <f aca="false">Y199*(1-MIN(1,INDEX(Tabla_Mortalidad!$B$5:$B$75,MIN(71,Cartera_Polizas!$B$201+23-49))*(1+(Cartera_Polizas!$P$201-1)*MAX(0,1-23/Supuestos!$C$20))*(1-Supuestos!$C$18)^23))</f>
        <v>0.000141658313728015</v>
      </c>
      <c r="AA199" s="29" t="n">
        <f aca="false">Z199*(1-MIN(1,INDEX(Tabla_Mortalidad!$B$5:$B$75,MIN(71,Cartera_Polizas!$B$201+24-49))*(1+(Cartera_Polizas!$P$201-1)*MAX(0,1-24/Supuestos!$C$20))*(1-Supuestos!$C$18)^24))</f>
        <v>5.30524948826522E-005</v>
      </c>
      <c r="AB199" s="29" t="n">
        <f aca="false">AA199*(1-MIN(1,INDEX(Tabla_Mortalidad!$B$5:$B$75,MIN(71,Cartera_Polizas!$B$201+25-49))*(1+(Cartera_Polizas!$P$201-1)*MAX(0,1-25/Supuestos!$C$20))*(1-Supuestos!$C$18)^25))</f>
        <v>1.82080982060495E-005</v>
      </c>
      <c r="AC199" s="29" t="n">
        <f aca="false">AB199*(1-MIN(1,INDEX(Tabla_Mortalidad!$B$5:$B$75,MIN(71,Cartera_Polizas!$B$201+26-49))*(1+(Cartera_Polizas!$P$201-1)*MAX(0,1-26/Supuestos!$C$20))*(1-Supuestos!$C$18)^26))</f>
        <v>5.70981575295185E-006</v>
      </c>
      <c r="AD199" s="29" t="n">
        <f aca="false">AC199*(1-MIN(1,INDEX(Tabla_Mortalidad!$B$5:$B$75,MIN(71,Cartera_Polizas!$B$201+27-49))*(1+(Cartera_Polizas!$P$201-1)*MAX(0,1-27/Supuestos!$C$20))*(1-Supuestos!$C$18)^27))</f>
        <v>1.6336308805666E-006</v>
      </c>
      <c r="AE199" s="29" t="n">
        <f aca="false">AD199*(1-MIN(1,INDEX(Tabla_Mortalidad!$B$5:$B$75,MIN(71,Cartera_Polizas!$B$201+28-49))*(1+(Cartera_Polizas!$P$201-1)*MAX(0,1-28/Supuestos!$C$20))*(1-Supuestos!$C$18)^28))</f>
        <v>4.2671257489251E-007</v>
      </c>
      <c r="AF199" s="29" t="n">
        <f aca="false">AE199*(1-MIN(1,INDEX(Tabla_Mortalidad!$B$5:$B$75,MIN(71,Cartera_Polizas!$B$201+29-49))*(1+(Cartera_Polizas!$P$201-1)*MAX(0,1-29/Supuestos!$C$20))*(1-Supuestos!$C$18)^29))</f>
        <v>1.02083984380468E-007</v>
      </c>
      <c r="AG199" s="29" t="n">
        <f aca="false">AF199*(1-MIN(1,INDEX(Tabla_Mortalidad!$B$5:$B$75,MIN(71,Cartera_Polizas!$B$201+30-49))*(1+(Cartera_Polizas!$P$201-1)*MAX(0,1-30/Supuestos!$C$20))*(1-Supuestos!$C$18)^30))</f>
        <v>2.25050050135077E-008</v>
      </c>
      <c r="AH199" s="29" t="n">
        <f aca="false">AG199*(1-MIN(1,INDEX(Tabla_Mortalidad!$B$5:$B$75,MIN(71,Cartera_Polizas!$B$201+31-49))*(1+(Cartera_Polizas!$P$201-1)*MAX(0,1-31/Supuestos!$C$20))*(1-Supuestos!$C$18)^31))</f>
        <v>4.61387405958497E-009</v>
      </c>
      <c r="AI199" s="29" t="n">
        <f aca="false">AH199*(1-MIN(1,INDEX(Tabla_Mortalidad!$B$5:$B$75,MIN(71,Cartera_Polizas!$B$201+32-49))*(1+(Cartera_Polizas!$P$201-1)*MAX(0,1-32/Supuestos!$C$20))*(1-Supuestos!$C$18)^32))</f>
        <v>8.90113867550312E-010</v>
      </c>
      <c r="AJ199" s="29" t="n">
        <f aca="false">AI199*(1-MIN(1,INDEX(Tabla_Mortalidad!$B$5:$B$75,MIN(71,Cartera_Polizas!$B$201+33-49))*(1+(Cartera_Polizas!$P$201-1)*MAX(0,1-33/Supuestos!$C$20))*(1-Supuestos!$C$18)^33))</f>
        <v>1.35704223153076E-010</v>
      </c>
      <c r="AK199" s="29" t="n">
        <f aca="false">AJ199*(1-MIN(1,INDEX(Tabla_Mortalidad!$B$5:$B$75,MIN(71,Cartera_Polizas!$B$201+34-49))*(1+(Cartera_Polizas!$P$201-1)*MAX(0,1-34/Supuestos!$C$20))*(1-Supuestos!$C$18)^34))</f>
        <v>2.12641547842986E-011</v>
      </c>
      <c r="AL199" s="29" t="n">
        <f aca="false">AK199*(1-MIN(1,INDEX(Tabla_Mortalidad!$B$5:$B$75,MIN(71,Cartera_Polizas!$B$201+35-49))*(1+(Cartera_Polizas!$P$201-1)*MAX(0,1-35/Supuestos!$C$20))*(1-Supuestos!$C$18)^35))</f>
        <v>3.42164469563659E-012</v>
      </c>
      <c r="AM199" s="29" t="n">
        <f aca="false">AL199*(1-MIN(1,INDEX(Tabla_Mortalidad!$B$5:$B$75,MIN(71,Cartera_Polizas!$B$201+36-49))*(1+(Cartera_Polizas!$P$201-1)*MAX(0,1-36/Supuestos!$C$20))*(1-Supuestos!$C$18)^36))</f>
        <v>5.64936918257238E-013</v>
      </c>
      <c r="AN199" s="29" t="n">
        <f aca="false">AM199*(1-MIN(1,INDEX(Tabla_Mortalidad!$B$5:$B$75,MIN(71,Cartera_Polizas!$B$201+37-49))*(1+(Cartera_Polizas!$P$201-1)*MAX(0,1-37/Supuestos!$C$20))*(1-Supuestos!$C$18)^37))</f>
        <v>9.56332551032674E-014</v>
      </c>
      <c r="AO199" s="29" t="n">
        <f aca="false">AN199*(1-MIN(1,INDEX(Tabla_Mortalidad!$B$5:$B$75,MIN(71,Cartera_Polizas!$B$201+38-49))*(1+(Cartera_Polizas!$P$201-1)*MAX(0,1-38/Supuestos!$C$20))*(1-Supuestos!$C$18)^38))</f>
        <v>1.6586143272861E-014</v>
      </c>
      <c r="AP199" s="29" t="n">
        <f aca="false">AO199*(1-MIN(1,INDEX(Tabla_Mortalidad!$B$5:$B$75,MIN(71,Cartera_Polizas!$B$201+39-49))*(1+(Cartera_Polizas!$P$201-1)*MAX(0,1-39/Supuestos!$C$20))*(1-Supuestos!$C$18)^39))</f>
        <v>2.94516360417053E-015</v>
      </c>
      <c r="AQ199" s="29" t="n">
        <f aca="false">AP199*(1-MIN(1,INDEX(Tabla_Mortalidad!$B$5:$B$75,MIN(71,Cartera_Polizas!$B$201+40-49))*(1+(Cartera_Polizas!$P$201-1)*MAX(0,1-40/Supuestos!$C$20))*(1-Supuestos!$C$18)^40))</f>
        <v>5.35076967174126E-016</v>
      </c>
      <c r="AR199" s="29" t="n">
        <f aca="false">AQ199*(1-MIN(1,INDEX(Tabla_Mortalidad!$B$5:$B$75,MIN(71,Cartera_Polizas!$B$201+41-49))*(1+(Cartera_Polizas!$P$201-1)*MAX(0,1-41/Supuestos!$C$20))*(1-Supuestos!$C$18)^41))</f>
        <v>9.94020398824216E-017</v>
      </c>
      <c r="AS199" s="29" t="n">
        <f aca="false">AR199*(1-MIN(1,INDEX(Tabla_Mortalidad!$B$5:$B$75,MIN(71,Cartera_Polizas!$B$201+42-49))*(1+(Cartera_Polizas!$P$201-1)*MAX(0,1-42/Supuestos!$C$20))*(1-Supuestos!$C$18)^42))</f>
        <v>1.88707439017698E-017</v>
      </c>
      <c r="AT199" s="29" t="n">
        <f aca="false">AS199*(1-MIN(1,INDEX(Tabla_Mortalidad!$B$5:$B$75,MIN(71,Cartera_Polizas!$B$201+43-49))*(1+(Cartera_Polizas!$P$201-1)*MAX(0,1-43/Supuestos!$C$20))*(1-Supuestos!$C$18)^43))</f>
        <v>3.65891286686908E-018</v>
      </c>
      <c r="AU199" s="29" t="n">
        <f aca="false">AT199*(1-MIN(1,INDEX(Tabla_Mortalidad!$B$5:$B$75,MIN(71,Cartera_Polizas!$B$201+44-49))*(1+(Cartera_Polizas!$P$201-1)*MAX(0,1-44/Supuestos!$C$20))*(1-Supuestos!$C$18)^44))</f>
        <v>7.24186458148564E-019</v>
      </c>
    </row>
    <row r="200" customFormat="false" ht="15" hidden="false" customHeight="false" outlineLevel="0" collapsed="false">
      <c r="A200" s="14" t="n">
        <f aca="false">Cartera_Polizas!A202</f>
        <v>197</v>
      </c>
      <c r="B200" s="26" t="n">
        <f aca="false">SUM(C200:AU200)+0.5</f>
        <v>6.45744584748888</v>
      </c>
      <c r="C200" s="29" t="n">
        <f aca="false">1-MIN(1,INDEX(Tabla_Mortalidad!$B$5:$B$75,MIN(71,Cartera_Polizas!$B$202+0-49))*(1+(Cartera_Polizas!$P$202-1)*MAX(0,1-0/Supuestos!$C$20))*(1-Supuestos!$C$18)^0)</f>
        <v>0.91072838125</v>
      </c>
      <c r="D200" s="29" t="n">
        <f aca="false">C200*(1-MIN(1,INDEX(Tabla_Mortalidad!$B$5:$B$75,MIN(71,Cartera_Polizas!$B$202+1-49))*(1+(Cartera_Polizas!$P$202-1)*MAX(0,1-1/Supuestos!$C$20))*(1-Supuestos!$C$18)^1))</f>
        <v>0.821260611985294</v>
      </c>
      <c r="E200" s="29" t="n">
        <f aca="false">D200*(1-MIN(1,INDEX(Tabla_Mortalidad!$B$5:$B$75,MIN(71,Cartera_Polizas!$B$202+2-49))*(1+(Cartera_Polizas!$P$202-1)*MAX(0,1-2/Supuestos!$C$20))*(1-Supuestos!$C$18)^2))</f>
        <v>0.7325324368903</v>
      </c>
      <c r="F200" s="29" t="n">
        <f aca="false">E200*(1-MIN(1,INDEX(Tabla_Mortalidad!$B$5:$B$75,MIN(71,Cartera_Polizas!$B$202+3-49))*(1+(Cartera_Polizas!$P$202-1)*MAX(0,1-3/Supuestos!$C$20))*(1-Supuestos!$C$18)^3))</f>
        <v>0.645550799696678</v>
      </c>
      <c r="G200" s="29" t="n">
        <f aca="false">F200*(1-MIN(1,INDEX(Tabla_Mortalidad!$B$5:$B$75,MIN(71,Cartera_Polizas!$B$202+4-49))*(1+(Cartera_Polizas!$P$202-1)*MAX(0,1-4/Supuestos!$C$20))*(1-Supuestos!$C$18)^4))</f>
        <v>0.561365250550375</v>
      </c>
      <c r="H200" s="29" t="n">
        <f aca="false">G200*(1-MIN(1,INDEX(Tabla_Mortalidad!$B$5:$B$75,MIN(71,Cartera_Polizas!$B$202+5-49))*(1+(Cartera_Polizas!$P$202-1)*MAX(0,1-5/Supuestos!$C$20))*(1-Supuestos!$C$18)^5))</f>
        <v>0.481028912096382</v>
      </c>
      <c r="I200" s="29" t="n">
        <f aca="false">H200*(1-MIN(1,INDEX(Tabla_Mortalidad!$B$5:$B$75,MIN(71,Cartera_Polizas!$B$202+6-49))*(1+(Cartera_Polizas!$P$202-1)*MAX(0,1-6/Supuestos!$C$20))*(1-Supuestos!$C$18)^6))</f>
        <v>0.405552548876096</v>
      </c>
      <c r="J200" s="29" t="n">
        <f aca="false">I200*(1-MIN(1,INDEX(Tabla_Mortalidad!$B$5:$B$75,MIN(71,Cartera_Polizas!$B$202+7-49))*(1+(Cartera_Polizas!$P$202-1)*MAX(0,1-7/Supuestos!$C$20))*(1-Supuestos!$C$18)^7))</f>
        <v>0.335852870085658</v>
      </c>
      <c r="K200" s="29" t="n">
        <f aca="false">J200*(1-MIN(1,INDEX(Tabla_Mortalidad!$B$5:$B$75,MIN(71,Cartera_Polizas!$B$202+8-49))*(1+(Cartera_Polizas!$P$202-1)*MAX(0,1-8/Supuestos!$C$20))*(1-Supuestos!$C$18)^8))</f>
        <v>0.272698137319704</v>
      </c>
      <c r="L200" s="29" t="n">
        <f aca="false">K200*(1-MIN(1,INDEX(Tabla_Mortalidad!$B$5:$B$75,MIN(71,Cartera_Polizas!$B$202+9-49))*(1+(Cartera_Polizas!$P$202-1)*MAX(0,1-9/Supuestos!$C$20))*(1-Supuestos!$C$18)^9))</f>
        <v>0.216659256046087</v>
      </c>
      <c r="M200" s="29" t="n">
        <f aca="false">L200*(1-MIN(1,INDEX(Tabla_Mortalidad!$B$5:$B$75,MIN(71,Cartera_Polizas!$B$202+10-49))*(1+(Cartera_Polizas!$P$202-1)*MAX(0,1-10/Supuestos!$C$20))*(1-Supuestos!$C$18)^10))</f>
        <v>0.168068345579017</v>
      </c>
      <c r="N200" s="29" t="n">
        <f aca="false">M200*(1-MIN(1,INDEX(Tabla_Mortalidad!$B$5:$B$75,MIN(71,Cartera_Polizas!$B$202+11-49))*(1+(Cartera_Polizas!$P$202-1)*MAX(0,1-11/Supuestos!$C$20))*(1-Supuestos!$C$18)^11))</f>
        <v>0.126991426772863</v>
      </c>
      <c r="O200" s="29" t="n">
        <f aca="false">N200*(1-MIN(1,INDEX(Tabla_Mortalidad!$B$5:$B$75,MIN(71,Cartera_Polizas!$B$202+12-49))*(1+(Cartera_Polizas!$P$202-1)*MAX(0,1-12/Supuestos!$C$20))*(1-Supuestos!$C$18)^12))</f>
        <v>0.0932224312911626</v>
      </c>
      <c r="P200" s="29" t="n">
        <f aca="false">O200*(1-MIN(1,INDEX(Tabla_Mortalidad!$B$5:$B$75,MIN(71,Cartera_Polizas!$B$202+13-49))*(1+(Cartera_Polizas!$P$202-1)*MAX(0,1-13/Supuestos!$C$20))*(1-Supuestos!$C$18)^13))</f>
        <v>0.0662996044487243</v>
      </c>
      <c r="Q200" s="29" t="n">
        <f aca="false">P200*(1-MIN(1,INDEX(Tabla_Mortalidad!$B$5:$B$75,MIN(71,Cartera_Polizas!$B$202+14-49))*(1+(Cartera_Polizas!$P$202-1)*MAX(0,1-14/Supuestos!$C$20))*(1-Supuestos!$C$18)^14))</f>
        <v>0.0455448577294869</v>
      </c>
      <c r="R200" s="29" t="n">
        <f aca="false">Q200*(1-MIN(1,INDEX(Tabla_Mortalidad!$B$5:$B$75,MIN(71,Cartera_Polizas!$B$202+15-49))*(1+(Cartera_Polizas!$P$202-1)*MAX(0,1-15/Supuestos!$C$20))*(1-Supuestos!$C$18)^15))</f>
        <v>0.030123717055114</v>
      </c>
      <c r="S200" s="29" t="n">
        <f aca="false">R200*(1-MIN(1,INDEX(Tabla_Mortalidad!$B$5:$B$75,MIN(71,Cartera_Polizas!$B$202+16-49))*(1+(Cartera_Polizas!$P$202-1)*MAX(0,1-16/Supuestos!$C$20))*(1-Supuestos!$C$18)^16))</f>
        <v>0.0190669545166028</v>
      </c>
      <c r="T200" s="29" t="n">
        <f aca="false">S200*(1-MIN(1,INDEX(Tabla_Mortalidad!$B$5:$B$75,MIN(71,Cartera_Polizas!$B$202+17-49))*(1+(Cartera_Polizas!$P$202-1)*MAX(0,1-17/Supuestos!$C$20))*(1-Supuestos!$C$18)^17))</f>
        <v>0.0114997695646253</v>
      </c>
      <c r="U200" s="29" t="n">
        <f aca="false">T200*(1-MIN(1,INDEX(Tabla_Mortalidad!$B$5:$B$75,MIN(71,Cartera_Polizas!$B$202+18-49))*(1+(Cartera_Polizas!$P$202-1)*MAX(0,1-18/Supuestos!$C$20))*(1-Supuestos!$C$18)^18))</f>
        <v>0.00657862817491283</v>
      </c>
      <c r="V200" s="29" t="n">
        <f aca="false">U200*(1-MIN(1,INDEX(Tabla_Mortalidad!$B$5:$B$75,MIN(71,Cartera_Polizas!$B$202+19-49))*(1+(Cartera_Polizas!$P$202-1)*MAX(0,1-19/Supuestos!$C$20))*(1-Supuestos!$C$18)^19))</f>
        <v>0.00355227157500812</v>
      </c>
      <c r="W200" s="29" t="n">
        <f aca="false">V200*(1-MIN(1,INDEX(Tabla_Mortalidad!$B$5:$B$75,MIN(71,Cartera_Polizas!$B$202+20-49))*(1+(Cartera_Polizas!$P$202-1)*MAX(0,1-20/Supuestos!$C$20))*(1-Supuestos!$C$18)^20))</f>
        <v>0.0018013196496389</v>
      </c>
      <c r="X200" s="29" t="n">
        <f aca="false">W200*(1-MIN(1,INDEX(Tabla_Mortalidad!$B$5:$B$75,MIN(71,Cartera_Polizas!$B$202+21-49))*(1+(Cartera_Polizas!$P$202-1)*MAX(0,1-21/Supuestos!$C$20))*(1-Supuestos!$C$18)^21))</f>
        <v>0.000853325613991358</v>
      </c>
      <c r="Y200" s="29" t="n">
        <f aca="false">X200*(1-MIN(1,INDEX(Tabla_Mortalidad!$B$5:$B$75,MIN(71,Cartera_Polizas!$B$202+22-49))*(1+(Cartera_Polizas!$P$202-1)*MAX(0,1-22/Supuestos!$C$20))*(1-Supuestos!$C$18)^22))</f>
        <v>0.000375656027588721</v>
      </c>
      <c r="Z200" s="29" t="n">
        <f aca="false">Y200*(1-MIN(1,INDEX(Tabla_Mortalidad!$B$5:$B$75,MIN(71,Cartera_Polizas!$B$202+23-49))*(1+(Cartera_Polizas!$P$202-1)*MAX(0,1-23/Supuestos!$C$20))*(1-Supuestos!$C$18)^23))</f>
        <v>0.000152894641568246</v>
      </c>
      <c r="AA200" s="29" t="n">
        <f aca="false">Z200*(1-MIN(1,INDEX(Tabla_Mortalidad!$B$5:$B$75,MIN(71,Cartera_Polizas!$B$202+24-49))*(1+(Cartera_Polizas!$P$202-1)*MAX(0,1-24/Supuestos!$C$20))*(1-Supuestos!$C$18)^24))</f>
        <v>5.72606151796949E-005</v>
      </c>
      <c r="AB200" s="29" t="n">
        <f aca="false">AA200*(1-MIN(1,INDEX(Tabla_Mortalidad!$B$5:$B$75,MIN(71,Cartera_Polizas!$B$202+25-49))*(1+(Cartera_Polizas!$P$202-1)*MAX(0,1-25/Supuestos!$C$20))*(1-Supuestos!$C$18)^25))</f>
        <v>1.96523633212133E-005</v>
      </c>
      <c r="AC200" s="29" t="n">
        <f aca="false">AB200*(1-MIN(1,INDEX(Tabla_Mortalidad!$B$5:$B$75,MIN(71,Cartera_Polizas!$B$202+26-49))*(1+(Cartera_Polizas!$P$202-1)*MAX(0,1-26/Supuestos!$C$20))*(1-Supuestos!$C$18)^26))</f>
        <v>6.16271795134079E-006</v>
      </c>
      <c r="AD200" s="29" t="n">
        <f aca="false">AC200*(1-MIN(1,INDEX(Tabla_Mortalidad!$B$5:$B$75,MIN(71,Cartera_Polizas!$B$202+27-49))*(1+(Cartera_Polizas!$P$202-1)*MAX(0,1-27/Supuestos!$C$20))*(1-Supuestos!$C$18)^27))</f>
        <v>1.7632103712502E-006</v>
      </c>
      <c r="AE200" s="29" t="n">
        <f aca="false">AD200*(1-MIN(1,INDEX(Tabla_Mortalidad!$B$5:$B$75,MIN(71,Cartera_Polizas!$B$202+28-49))*(1+(Cartera_Polizas!$P$202-1)*MAX(0,1-28/Supuestos!$C$20))*(1-Supuestos!$C$18)^28))</f>
        <v>4.60559387401146E-007</v>
      </c>
      <c r="AF200" s="29" t="n">
        <f aca="false">AE200*(1-MIN(1,INDEX(Tabla_Mortalidad!$B$5:$B$75,MIN(71,Cartera_Polizas!$B$202+29-49))*(1+(Cartera_Polizas!$P$202-1)*MAX(0,1-29/Supuestos!$C$20))*(1-Supuestos!$C$18)^29))</f>
        <v>1.10181279100059E-007</v>
      </c>
      <c r="AG200" s="29" t="n">
        <f aca="false">AF200*(1-MIN(1,INDEX(Tabla_Mortalidad!$B$5:$B$75,MIN(71,Cartera_Polizas!$B$202+30-49))*(1+(Cartera_Polizas!$P$202-1)*MAX(0,1-30/Supuestos!$C$20))*(1-Supuestos!$C$18)^30))</f>
        <v>2.42901004853016E-008</v>
      </c>
      <c r="AH200" s="29" t="n">
        <f aca="false">AG200*(1-MIN(1,INDEX(Tabla_Mortalidad!$B$5:$B$75,MIN(71,Cartera_Polizas!$B$202+31-49))*(1+(Cartera_Polizas!$P$202-1)*MAX(0,1-31/Supuestos!$C$20))*(1-Supuestos!$C$18)^31))</f>
        <v>4.97984623716275E-009</v>
      </c>
      <c r="AI200" s="29" t="n">
        <f aca="false">AH200*(1-MIN(1,INDEX(Tabla_Mortalidad!$B$5:$B$75,MIN(71,Cartera_Polizas!$B$202+32-49))*(1+(Cartera_Polizas!$P$202-1)*MAX(0,1-32/Supuestos!$C$20))*(1-Supuestos!$C$18)^32))</f>
        <v>9.6071763917317E-010</v>
      </c>
      <c r="AJ200" s="29" t="n">
        <f aca="false">AI200*(1-MIN(1,INDEX(Tabla_Mortalidad!$B$5:$B$75,MIN(71,Cartera_Polizas!$B$202+33-49))*(1+(Cartera_Polizas!$P$202-1)*MAX(0,1-33/Supuestos!$C$20))*(1-Supuestos!$C$18)^33))</f>
        <v>1.46468272932601E-010</v>
      </c>
      <c r="AK200" s="29" t="n">
        <f aca="false">AJ200*(1-MIN(1,INDEX(Tabla_Mortalidad!$B$5:$B$75,MIN(71,Cartera_Polizas!$B$202+34-49))*(1+(Cartera_Polizas!$P$202-1)*MAX(0,1-34/Supuestos!$C$20))*(1-Supuestos!$C$18)^34))</f>
        <v>2.29508261000434E-011</v>
      </c>
      <c r="AL200" s="29" t="n">
        <f aca="false">AK200*(1-MIN(1,INDEX(Tabla_Mortalidad!$B$5:$B$75,MIN(71,Cartera_Polizas!$B$202+35-49))*(1+(Cartera_Polizas!$P$202-1)*MAX(0,1-35/Supuestos!$C$20))*(1-Supuestos!$C$18)^35))</f>
        <v>3.69304932090116E-012</v>
      </c>
      <c r="AM200" s="29" t="n">
        <f aca="false">AL200*(1-MIN(1,INDEX(Tabla_Mortalidad!$B$5:$B$75,MIN(71,Cartera_Polizas!$B$202+36-49))*(1+(Cartera_Polizas!$P$202-1)*MAX(0,1-36/Supuestos!$C$20))*(1-Supuestos!$C$18)^36))</f>
        <v>6.09747676309719E-013</v>
      </c>
      <c r="AN200" s="29" t="n">
        <f aca="false">AM200*(1-MIN(1,INDEX(Tabla_Mortalidad!$B$5:$B$75,MIN(71,Cartera_Polizas!$B$202+37-49))*(1+(Cartera_Polizas!$P$202-1)*MAX(0,1-37/Supuestos!$C$20))*(1-Supuestos!$C$18)^37))</f>
        <v>1.03218878413961E-013</v>
      </c>
      <c r="AO200" s="29" t="n">
        <f aca="false">AN200*(1-MIN(1,INDEX(Tabla_Mortalidad!$B$5:$B$75,MIN(71,Cartera_Polizas!$B$202+38-49))*(1+(Cartera_Polizas!$P$202-1)*MAX(0,1-38/Supuestos!$C$20))*(1-Supuestos!$C$18)^38))</f>
        <v>1.79017550326957E-014</v>
      </c>
      <c r="AP200" s="29" t="n">
        <f aca="false">AO200*(1-MIN(1,INDEX(Tabla_Mortalidad!$B$5:$B$75,MIN(71,Cartera_Polizas!$B$202+39-49))*(1+(Cartera_Polizas!$P$202-1)*MAX(0,1-39/Supuestos!$C$20))*(1-Supuestos!$C$18)^39))</f>
        <v>3.17877378156624E-015</v>
      </c>
      <c r="AQ200" s="29" t="n">
        <f aca="false">AP200*(1-MIN(1,INDEX(Tabla_Mortalidad!$B$5:$B$75,MIN(71,Cartera_Polizas!$B$202+40-49))*(1+(Cartera_Polizas!$P$202-1)*MAX(0,1-40/Supuestos!$C$20))*(1-Supuestos!$C$18)^40))</f>
        <v>5.7751923593125E-016</v>
      </c>
      <c r="AR200" s="29" t="n">
        <f aca="false">AQ200*(1-MIN(1,INDEX(Tabla_Mortalidad!$B$5:$B$75,MIN(71,Cartera_Polizas!$B$202+41-49))*(1+(Cartera_Polizas!$P$202-1)*MAX(0,1-41/Supuestos!$C$20))*(1-Supuestos!$C$18)^41))</f>
        <v>1.07286602946268E-016</v>
      </c>
      <c r="AS200" s="29" t="n">
        <f aca="false">AR200*(1-MIN(1,INDEX(Tabla_Mortalidad!$B$5:$B$75,MIN(71,Cartera_Polizas!$B$202+42-49))*(1+(Cartera_Polizas!$P$202-1)*MAX(0,1-42/Supuestos!$C$20))*(1-Supuestos!$C$18)^42))</f>
        <v>2.03675700285897E-017</v>
      </c>
      <c r="AT200" s="29" t="n">
        <f aca="false">AS200*(1-MIN(1,INDEX(Tabla_Mortalidad!$B$5:$B$75,MIN(71,Cartera_Polizas!$B$202+43-49))*(1+(Cartera_Polizas!$P$202-1)*MAX(0,1-43/Supuestos!$C$20))*(1-Supuestos!$C$18)^43))</f>
        <v>3.94913758738863E-018</v>
      </c>
      <c r="AU200" s="29" t="n">
        <f aca="false">AT200*(1-MIN(1,INDEX(Tabla_Mortalidad!$B$5:$B$75,MIN(71,Cartera_Polizas!$B$202+44-49))*(1+(Cartera_Polizas!$P$202-1)*MAX(0,1-44/Supuestos!$C$20))*(1-Supuestos!$C$18)^44))</f>
        <v>7.81628878907836E-019</v>
      </c>
    </row>
    <row r="201" customFormat="false" ht="15" hidden="false" customHeight="false" outlineLevel="0" collapsed="false">
      <c r="A201" s="14" t="n">
        <f aca="false">Cartera_Polizas!A203</f>
        <v>198</v>
      </c>
      <c r="B201" s="26" t="n">
        <f aca="false">SUM(C201:AU201)+0.5</f>
        <v>3.26517811626522</v>
      </c>
      <c r="C201" s="29" t="n">
        <f aca="false">1-MIN(1,INDEX(Tabla_Mortalidad!$B$5:$B$75,MIN(71,Cartera_Polizas!$B$203+0-49))*(1+(Cartera_Polizas!$P$203-1)*MAX(0,1-0/Supuestos!$C$20))*(1-Supuestos!$C$18)^0)</f>
        <v>0.768055</v>
      </c>
      <c r="D201" s="29" t="n">
        <f aca="false">C201*(1-MIN(1,INDEX(Tabla_Mortalidad!$B$5:$B$75,MIN(71,Cartera_Polizas!$B$203+1-49))*(1+(Cartera_Polizas!$P$203-1)*MAX(0,1-1/Supuestos!$C$20))*(1-Supuestos!$C$18)^1))</f>
        <v>0.57915762701806</v>
      </c>
      <c r="E201" s="29" t="n">
        <f aca="false">D201*(1-MIN(1,INDEX(Tabla_Mortalidad!$B$5:$B$75,MIN(71,Cartera_Polizas!$B$203+2-49))*(1+(Cartera_Polizas!$P$203-1)*MAX(0,1-2/Supuestos!$C$20))*(1-Supuestos!$C$18)^2))</f>
        <v>0.42847964567784</v>
      </c>
      <c r="F201" s="29" t="n">
        <f aca="false">E201*(1-MIN(1,INDEX(Tabla_Mortalidad!$B$5:$B$75,MIN(71,Cartera_Polizas!$B$203+3-49))*(1+(Cartera_Polizas!$P$203-1)*MAX(0,1-3/Supuestos!$C$20))*(1-Supuestos!$C$18)^3))</f>
        <v>0.310861231931258</v>
      </c>
      <c r="G201" s="29" t="n">
        <f aca="false">F201*(1-MIN(1,INDEX(Tabla_Mortalidad!$B$5:$B$75,MIN(71,Cartera_Polizas!$B$203+4-49))*(1+(Cartera_Polizas!$P$203-1)*MAX(0,1-4/Supuestos!$C$20))*(1-Supuestos!$C$18)^4))</f>
        <v>0.221083876943088</v>
      </c>
      <c r="H201" s="29" t="n">
        <f aca="false">G201*(1-MIN(1,INDEX(Tabla_Mortalidad!$B$5:$B$75,MIN(71,Cartera_Polizas!$B$203+5-49))*(1+(Cartera_Polizas!$P$203-1)*MAX(0,1-5/Supuestos!$C$20))*(1-Supuestos!$C$18)^5))</f>
        <v>0.154118740539379</v>
      </c>
      <c r="I201" s="29" t="n">
        <f aca="false">H201*(1-MIN(1,INDEX(Tabla_Mortalidad!$B$5:$B$75,MIN(71,Cartera_Polizas!$B$203+6-49))*(1+(Cartera_Polizas!$P$203-1)*MAX(0,1-6/Supuestos!$C$20))*(1-Supuestos!$C$18)^6))</f>
        <v>0.105328778681611</v>
      </c>
      <c r="J201" s="29" t="n">
        <f aca="false">I201*(1-MIN(1,INDEX(Tabla_Mortalidad!$B$5:$B$75,MIN(71,Cartera_Polizas!$B$203+7-49))*(1+(Cartera_Polizas!$P$203-1)*MAX(0,1-7/Supuestos!$C$20))*(1-Supuestos!$C$18)^7))</f>
        <v>0.0706120699536907</v>
      </c>
      <c r="K201" s="29" t="n">
        <f aca="false">J201*(1-MIN(1,INDEX(Tabla_Mortalidad!$B$5:$B$75,MIN(71,Cartera_Polizas!$B$203+8-49))*(1+(Cartera_Polizas!$P$203-1)*MAX(0,1-8/Supuestos!$C$20))*(1-Supuestos!$C$18)^8))</f>
        <v>0.0464835747206815</v>
      </c>
      <c r="L201" s="29" t="n">
        <f aca="false">K201*(1-MIN(1,INDEX(Tabla_Mortalidad!$B$5:$B$75,MIN(71,Cartera_Polizas!$B$203+9-49))*(1+(Cartera_Polizas!$P$203-1)*MAX(0,1-9/Supuestos!$C$20))*(1-Supuestos!$C$18)^9))</f>
        <v>0.0300952728331322</v>
      </c>
      <c r="M201" s="29" t="n">
        <f aca="false">L201*(1-MIN(1,INDEX(Tabla_Mortalidad!$B$5:$B$75,MIN(71,Cartera_Polizas!$B$203+10-49))*(1+(Cartera_Polizas!$P$203-1)*MAX(0,1-10/Supuestos!$C$20))*(1-Supuestos!$C$18)^10))</f>
        <v>0.0192062618000476</v>
      </c>
      <c r="N201" s="29" t="n">
        <f aca="false">M201*(1-MIN(1,INDEX(Tabla_Mortalidad!$B$5:$B$75,MIN(71,Cartera_Polizas!$B$203+11-49))*(1+(Cartera_Polizas!$P$203-1)*MAX(0,1-11/Supuestos!$C$20))*(1-Supuestos!$C$18)^11))</f>
        <v>0.0121176585175352</v>
      </c>
      <c r="O201" s="29" t="n">
        <f aca="false">N201*(1-MIN(1,INDEX(Tabla_Mortalidad!$B$5:$B$75,MIN(71,Cartera_Polizas!$B$203+12-49))*(1+(Cartera_Polizas!$P$203-1)*MAX(0,1-12/Supuestos!$C$20))*(1-Supuestos!$C$18)^12))</f>
        <v>0.00758684365208736</v>
      </c>
      <c r="P201" s="29" t="n">
        <f aca="false">O201*(1-MIN(1,INDEX(Tabla_Mortalidad!$B$5:$B$75,MIN(71,Cartera_Polizas!$B$203+13-49))*(1+(Cartera_Polizas!$P$203-1)*MAX(0,1-13/Supuestos!$C$20))*(1-Supuestos!$C$18)^13))</f>
        <v>0.00473556389077215</v>
      </c>
      <c r="Q201" s="29" t="n">
        <f aca="false">P201*(1-MIN(1,INDEX(Tabla_Mortalidad!$B$5:$B$75,MIN(71,Cartera_Polizas!$B$203+14-49))*(1+(Cartera_Polizas!$P$203-1)*MAX(0,1-14/Supuestos!$C$20))*(1-Supuestos!$C$18)^14))</f>
        <v>0.00296293242611528</v>
      </c>
      <c r="R201" s="29" t="n">
        <f aca="false">Q201*(1-MIN(1,INDEX(Tabla_Mortalidad!$B$5:$B$75,MIN(71,Cartera_Polizas!$B$203+15-49))*(1+(Cartera_Polizas!$P$203-1)*MAX(0,1-15/Supuestos!$C$20))*(1-Supuestos!$C$18)^15))</f>
        <v>0.00186993764327099</v>
      </c>
      <c r="S201" s="29" t="n">
        <f aca="false">R201*(1-MIN(1,INDEX(Tabla_Mortalidad!$B$5:$B$75,MIN(71,Cartera_Polizas!$B$203+16-49))*(1+(Cartera_Polizas!$P$203-1)*MAX(0,1-16/Supuestos!$C$20))*(1-Supuestos!$C$18)^16))</f>
        <v>0.0011240780811344</v>
      </c>
      <c r="T201" s="29" t="n">
        <f aca="false">S201*(1-MIN(1,INDEX(Tabla_Mortalidad!$B$5:$B$75,MIN(71,Cartera_Polizas!$B$203+17-49))*(1+(Cartera_Polizas!$P$203-1)*MAX(0,1-17/Supuestos!$C$20))*(1-Supuestos!$C$18)^17))</f>
        <v>0.000640629707358723</v>
      </c>
      <c r="U201" s="29" t="n">
        <f aca="false">T201*(1-MIN(1,INDEX(Tabla_Mortalidad!$B$5:$B$75,MIN(71,Cartera_Polizas!$B$203+18-49))*(1+(Cartera_Polizas!$P$203-1)*MAX(0,1-18/Supuestos!$C$20))*(1-Supuestos!$C$18)^18))</f>
        <v>0.000344440825150944</v>
      </c>
      <c r="V201" s="29" t="n">
        <f aca="false">U201*(1-MIN(1,INDEX(Tabla_Mortalidad!$B$5:$B$75,MIN(71,Cartera_Polizas!$B$203+19-49))*(1+(Cartera_Polizas!$P$203-1)*MAX(0,1-19/Supuestos!$C$20))*(1-Supuestos!$C$18)^19))</f>
        <v>0.000173809170713969</v>
      </c>
      <c r="W201" s="29" t="n">
        <f aca="false">V201*(1-MIN(1,INDEX(Tabla_Mortalidad!$B$5:$B$75,MIN(71,Cartera_Polizas!$B$203+20-49))*(1+(Cartera_Polizas!$P$203-1)*MAX(0,1-20/Supuestos!$C$20))*(1-Supuestos!$C$18)^20))</f>
        <v>8.1877654035095E-005</v>
      </c>
      <c r="X201" s="29" t="n">
        <f aca="false">W201*(1-MIN(1,INDEX(Tabla_Mortalidad!$B$5:$B$75,MIN(71,Cartera_Polizas!$B$203+21-49))*(1+(Cartera_Polizas!$P$203-1)*MAX(0,1-21/Supuestos!$C$20))*(1-Supuestos!$C$18)^21))</f>
        <v>3.58143465534372E-005</v>
      </c>
      <c r="Y201" s="29" t="n">
        <f aca="false">X201*(1-MIN(1,INDEX(Tabla_Mortalidad!$B$5:$B$75,MIN(71,Cartera_Polizas!$B$203+22-49))*(1+(Cartera_Polizas!$P$203-1)*MAX(0,1-22/Supuestos!$C$20))*(1-Supuestos!$C$18)^22))</f>
        <v>1.44699686923343E-005</v>
      </c>
      <c r="Z201" s="29" t="n">
        <f aca="false">Y201*(1-MIN(1,INDEX(Tabla_Mortalidad!$B$5:$B$75,MIN(71,Cartera_Polizas!$B$203+23-49))*(1+(Cartera_Polizas!$P$203-1)*MAX(0,1-23/Supuestos!$C$20))*(1-Supuestos!$C$18)^23))</f>
        <v>5.37367055056233E-006</v>
      </c>
      <c r="AA201" s="29" t="n">
        <f aca="false">Z201*(1-MIN(1,INDEX(Tabla_Mortalidad!$B$5:$B$75,MIN(71,Cartera_Polizas!$B$203+24-49))*(1+(Cartera_Polizas!$P$203-1)*MAX(0,1-24/Supuestos!$C$20))*(1-Supuestos!$C$18)^24))</f>
        <v>1.82655698292722E-006</v>
      </c>
      <c r="AB201" s="29" t="n">
        <f aca="false">AA201*(1-MIN(1,INDEX(Tabla_Mortalidad!$B$5:$B$75,MIN(71,Cartera_Polizas!$B$203+25-49))*(1+(Cartera_Polizas!$P$203-1)*MAX(0,1-25/Supuestos!$C$20))*(1-Supuestos!$C$18)^25))</f>
        <v>5.66483440721917E-007</v>
      </c>
      <c r="AC201" s="29" t="n">
        <f aca="false">AB201*(1-MIN(1,INDEX(Tabla_Mortalidad!$B$5:$B$75,MIN(71,Cartera_Polizas!$B$203+26-49))*(1+(Cartera_Polizas!$P$203-1)*MAX(0,1-26/Supuestos!$C$20))*(1-Supuestos!$C$18)^26))</f>
        <v>1.60043932782814E-007</v>
      </c>
      <c r="AD201" s="29" t="n">
        <f aca="false">AC201*(1-MIN(1,INDEX(Tabla_Mortalidad!$B$5:$B$75,MIN(71,Cartera_Polizas!$B$203+27-49))*(1+(Cartera_Polizas!$P$203-1)*MAX(0,1-27/Supuestos!$C$20))*(1-Supuestos!$C$18)^27))</f>
        <v>4.1210108371764E-008</v>
      </c>
      <c r="AE201" s="29" t="n">
        <f aca="false">AD201*(1-MIN(1,INDEX(Tabla_Mortalidad!$B$5:$B$75,MIN(71,Cartera_Polizas!$B$203+28-49))*(1+(Cartera_Polizas!$P$203-1)*MAX(0,1-28/Supuestos!$C$20))*(1-Supuestos!$C$18)^28))</f>
        <v>9.7012984285028E-009</v>
      </c>
      <c r="AF201" s="29" t="n">
        <f aca="false">AE201*(1-MIN(1,INDEX(Tabla_Mortalidad!$B$5:$B$75,MIN(71,Cartera_Polizas!$B$203+29-49))*(1+(Cartera_Polizas!$P$203-1)*MAX(0,1-29/Supuestos!$C$20))*(1-Supuestos!$C$18)^29))</f>
        <v>2.10070440002925E-009</v>
      </c>
      <c r="AG201" s="29" t="n">
        <f aca="false">AF201*(1-MIN(1,INDEX(Tabla_Mortalidad!$B$5:$B$75,MIN(71,Cartera_Polizas!$B$203+30-49))*(1+(Cartera_Polizas!$P$203-1)*MAX(0,1-30/Supuestos!$C$20))*(1-Supuestos!$C$18)^30))</f>
        <v>4.22284790597545E-010</v>
      </c>
      <c r="AH201" s="29" t="n">
        <f aca="false">AG201*(1-MIN(1,INDEX(Tabla_Mortalidad!$B$5:$B$75,MIN(71,Cartera_Polizas!$B$203+31-49))*(1+(Cartera_Polizas!$P$203-1)*MAX(0,1-31/Supuestos!$C$20))*(1-Supuestos!$C$18)^31))</f>
        <v>7.97550165476195E-011</v>
      </c>
      <c r="AI201" s="29" t="n">
        <f aca="false">AH201*(1-MIN(1,INDEX(Tabla_Mortalidad!$B$5:$B$75,MIN(71,Cartera_Polizas!$B$203+32-49))*(1+(Cartera_Polizas!$P$203-1)*MAX(0,1-32/Supuestos!$C$20))*(1-Supuestos!$C$18)^32))</f>
        <v>1.18195451399008E-011</v>
      </c>
      <c r="AJ201" s="29" t="n">
        <f aca="false">AI201*(1-MIN(1,INDEX(Tabla_Mortalidad!$B$5:$B$75,MIN(71,Cartera_Polizas!$B$203+33-49))*(1+(Cartera_Polizas!$P$203-1)*MAX(0,1-33/Supuestos!$C$20))*(1-Supuestos!$C$18)^33))</f>
        <v>1.80197416275204E-012</v>
      </c>
      <c r="AK201" s="29" t="n">
        <f aca="false">AJ201*(1-MIN(1,INDEX(Tabla_Mortalidad!$B$5:$B$75,MIN(71,Cartera_Polizas!$B$203+34-49))*(1+(Cartera_Polizas!$P$203-1)*MAX(0,1-34/Supuestos!$C$20))*(1-Supuestos!$C$18)^34))</f>
        <v>2.82360096272344E-013</v>
      </c>
      <c r="AL201" s="29" t="n">
        <f aca="false">AK201*(1-MIN(1,INDEX(Tabla_Mortalidad!$B$5:$B$75,MIN(71,Cartera_Polizas!$B$203+35-49))*(1+(Cartera_Polizas!$P$203-1)*MAX(0,1-35/Supuestos!$C$20))*(1-Supuestos!$C$18)^35))</f>
        <v>4.54349554670799E-014</v>
      </c>
      <c r="AM201" s="29" t="n">
        <f aca="false">AL201*(1-MIN(1,INDEX(Tabla_Mortalidad!$B$5:$B$75,MIN(71,Cartera_Polizas!$B$203+36-49))*(1+(Cartera_Polizas!$P$203-1)*MAX(0,1-36/Supuestos!$C$20))*(1-Supuestos!$C$18)^36))</f>
        <v>7.50162159018428E-015</v>
      </c>
      <c r="AN201" s="29" t="n">
        <f aca="false">AM201*(1-MIN(1,INDEX(Tabla_Mortalidad!$B$5:$B$75,MIN(71,Cartera_Polizas!$B$203+37-49))*(1+(Cartera_Polizas!$P$203-1)*MAX(0,1-37/Supuestos!$C$20))*(1-Supuestos!$C$18)^37))</f>
        <v>1.26988424377606E-015</v>
      </c>
      <c r="AO201" s="29" t="n">
        <f aca="false">AN201*(1-MIN(1,INDEX(Tabla_Mortalidad!$B$5:$B$75,MIN(71,Cartera_Polizas!$B$203+38-49))*(1+(Cartera_Polizas!$P$203-1)*MAX(0,1-38/Supuestos!$C$20))*(1-Supuestos!$C$18)^38))</f>
        <v>2.20242236703903E-016</v>
      </c>
      <c r="AP201" s="29" t="n">
        <f aca="false">AO201*(1-MIN(1,INDEX(Tabla_Mortalidad!$B$5:$B$75,MIN(71,Cartera_Polizas!$B$203+39-49))*(1+(Cartera_Polizas!$P$203-1)*MAX(0,1-39/Supuestos!$C$20))*(1-Supuestos!$C$18)^39))</f>
        <v>3.9107911282956E-017</v>
      </c>
      <c r="AQ201" s="29" t="n">
        <f aca="false">AP201*(1-MIN(1,INDEX(Tabla_Mortalidad!$B$5:$B$75,MIN(71,Cartera_Polizas!$B$203+40-49))*(1+(Cartera_Polizas!$P$203-1)*MAX(0,1-40/Supuestos!$C$20))*(1-Supuestos!$C$18)^40))</f>
        <v>7.10512058894343E-018</v>
      </c>
      <c r="AR201" s="29" t="n">
        <f aca="false">AQ201*(1-MIN(1,INDEX(Tabla_Mortalidad!$B$5:$B$75,MIN(71,Cartera_Polizas!$B$203+41-49))*(1+(Cartera_Polizas!$P$203-1)*MAX(0,1-41/Supuestos!$C$20))*(1-Supuestos!$C$18)^41))</f>
        <v>1.31992876441967E-018</v>
      </c>
      <c r="AS201" s="29" t="n">
        <f aca="false">AR201*(1-MIN(1,INDEX(Tabla_Mortalidad!$B$5:$B$75,MIN(71,Cartera_Polizas!$B$203+42-49))*(1+(Cartera_Polizas!$P$203-1)*MAX(0,1-42/Supuestos!$C$20))*(1-Supuestos!$C$18)^42))</f>
        <v>2.50578737734213E-019</v>
      </c>
      <c r="AT201" s="29" t="n">
        <f aca="false">AS201*(1-MIN(1,INDEX(Tabla_Mortalidad!$B$5:$B$75,MIN(71,Cartera_Polizas!$B$203+43-49))*(1+(Cartera_Polizas!$P$203-1)*MAX(0,1-43/Supuestos!$C$20))*(1-Supuestos!$C$18)^43))</f>
        <v>4.85855657006472E-020</v>
      </c>
      <c r="AU201" s="29" t="n">
        <f aca="false">AT201*(1-MIN(1,INDEX(Tabla_Mortalidad!$B$5:$B$75,MIN(71,Cartera_Polizas!$B$203+44-49))*(1+(Cartera_Polizas!$P$203-1)*MAX(0,1-44/Supuestos!$C$20))*(1-Supuestos!$C$18)^44))</f>
        <v>9.61624668914397E-021</v>
      </c>
    </row>
    <row r="202" customFormat="false" ht="15" hidden="false" customHeight="false" outlineLevel="0" collapsed="false">
      <c r="A202" s="14" t="n">
        <f aca="false">Cartera_Polizas!A204</f>
        <v>199</v>
      </c>
      <c r="B202" s="26" t="n">
        <f aca="false">SUM(C202:AU202)+0.5</f>
        <v>8.07218027340954</v>
      </c>
      <c r="C202" s="29" t="n">
        <f aca="false">1-MIN(1,INDEX(Tabla_Mortalidad!$B$5:$B$75,MIN(71,Cartera_Polizas!$B$204+0-49))*(1+(Cartera_Polizas!$P$204-1)*MAX(0,1-0/Supuestos!$C$20))*(1-Supuestos!$C$18)^0)</f>
        <v>0.926296568</v>
      </c>
      <c r="D202" s="29" t="n">
        <f aca="false">C202*(1-MIN(1,INDEX(Tabla_Mortalidad!$B$5:$B$75,MIN(71,Cartera_Polizas!$B$204+1-49))*(1+(Cartera_Polizas!$P$204-1)*MAX(0,1-1/Supuestos!$C$20))*(1-Supuestos!$C$18)^1))</f>
        <v>0.852691151157256</v>
      </c>
      <c r="E202" s="29" t="n">
        <f aca="false">D202*(1-MIN(1,INDEX(Tabla_Mortalidad!$B$5:$B$75,MIN(71,Cartera_Polizas!$B$204+2-49))*(1+(Cartera_Polizas!$P$204-1)*MAX(0,1-2/Supuestos!$C$20))*(1-Supuestos!$C$18)^2))</f>
        <v>0.779716925958809</v>
      </c>
      <c r="F202" s="29" t="n">
        <f aca="false">E202*(1-MIN(1,INDEX(Tabla_Mortalidad!$B$5:$B$75,MIN(71,Cartera_Polizas!$B$204+3-49))*(1+(Cartera_Polizas!$P$204-1)*MAX(0,1-3/Supuestos!$C$20))*(1-Supuestos!$C$18)^3))</f>
        <v>0.70793225637076</v>
      </c>
      <c r="G202" s="29" t="n">
        <f aca="false">F202*(1-MIN(1,INDEX(Tabla_Mortalidad!$B$5:$B$75,MIN(71,Cartera_Polizas!$B$204+4-49))*(1+(Cartera_Polizas!$P$204-1)*MAX(0,1-4/Supuestos!$C$20))*(1-Supuestos!$C$18)^4))</f>
        <v>0.637904390453646</v>
      </c>
      <c r="H202" s="29" t="n">
        <f aca="false">G202*(1-MIN(1,INDEX(Tabla_Mortalidad!$B$5:$B$75,MIN(71,Cartera_Polizas!$B$204+5-49))*(1+(Cartera_Polizas!$P$204-1)*MAX(0,1-5/Supuestos!$C$20))*(1-Supuestos!$C$18)^5))</f>
        <v>0.570194015519472</v>
      </c>
      <c r="I202" s="29" t="n">
        <f aca="false">H202*(1-MIN(1,INDEX(Tabla_Mortalidad!$B$5:$B$75,MIN(71,Cartera_Polizas!$B$204+6-49))*(1+(Cartera_Polizas!$P$204-1)*MAX(0,1-6/Supuestos!$C$20))*(1-Supuestos!$C$18)^6))</f>
        <v>0.505342818382814</v>
      </c>
      <c r="J202" s="29" t="n">
        <f aca="false">I202*(1-MIN(1,INDEX(Tabla_Mortalidad!$B$5:$B$75,MIN(71,Cartera_Polizas!$B$204+7-49))*(1+(Cartera_Polizas!$P$204-1)*MAX(0,1-7/Supuestos!$C$20))*(1-Supuestos!$C$18)^7))</f>
        <v>0.443850574274839</v>
      </c>
      <c r="K202" s="29" t="n">
        <f aca="false">J202*(1-MIN(1,INDEX(Tabla_Mortalidad!$B$5:$B$75,MIN(71,Cartera_Polizas!$B$204+8-49))*(1+(Cartera_Polizas!$P$204-1)*MAX(0,1-8/Supuestos!$C$20))*(1-Supuestos!$C$18)^8))</f>
        <v>0.386162791546786</v>
      </c>
      <c r="L202" s="29" t="n">
        <f aca="false">K202*(1-MIN(1,INDEX(Tabla_Mortalidad!$B$5:$B$75,MIN(71,Cartera_Polizas!$B$204+9-49))*(1+(Cartera_Polizas!$P$204-1)*MAX(0,1-9/Supuestos!$C$20))*(1-Supuestos!$C$18)^9))</f>
        <v>0.332650895691141</v>
      </c>
      <c r="M202" s="29" t="n">
        <f aca="false">L202*(1-MIN(1,INDEX(Tabla_Mortalidad!$B$5:$B$75,MIN(71,Cartera_Polizas!$B$204+10-49))*(1+(Cartera_Polizas!$P$204-1)*MAX(0,1-10/Supuestos!$C$20))*(1-Supuestos!$C$18)^10))</f>
        <v>0.28359918917086</v>
      </c>
      <c r="N202" s="29" t="n">
        <f aca="false">M202*(1-MIN(1,INDEX(Tabla_Mortalidad!$B$5:$B$75,MIN(71,Cartera_Polizas!$B$204+11-49))*(1+(Cartera_Polizas!$P$204-1)*MAX(0,1-11/Supuestos!$C$20))*(1-Supuestos!$C$18)^11))</f>
        <v>0.239193872841741</v>
      </c>
      <c r="O202" s="29" t="n">
        <f aca="false">N202*(1-MIN(1,INDEX(Tabla_Mortalidad!$B$5:$B$75,MIN(71,Cartera_Polizas!$B$204+12-49))*(1+(Cartera_Polizas!$P$204-1)*MAX(0,1-12/Supuestos!$C$20))*(1-Supuestos!$C$18)^12))</f>
        <v>0.199516809204757</v>
      </c>
      <c r="P202" s="29" t="n">
        <f aca="false">O202*(1-MIN(1,INDEX(Tabla_Mortalidad!$B$5:$B$75,MIN(71,Cartera_Polizas!$B$204+13-49))*(1+(Cartera_Polizas!$P$204-1)*MAX(0,1-13/Supuestos!$C$20))*(1-Supuestos!$C$18)^13))</f>
        <v>0.164544075838047</v>
      </c>
      <c r="Q202" s="29" t="n">
        <f aca="false">P202*(1-MIN(1,INDEX(Tabla_Mortalidad!$B$5:$B$75,MIN(71,Cartera_Polizas!$B$204+14-49))*(1+(Cartera_Polizas!$P$204-1)*MAX(0,1-14/Supuestos!$C$20))*(1-Supuestos!$C$18)^14))</f>
        <v>0.13414950804608</v>
      </c>
      <c r="R202" s="29" t="n">
        <f aca="false">Q202*(1-MIN(1,INDEX(Tabla_Mortalidad!$B$5:$B$75,MIN(71,Cartera_Polizas!$B$204+15-49))*(1+(Cartera_Polizas!$P$204-1)*MAX(0,1-15/Supuestos!$C$20))*(1-Supuestos!$C$18)^15))</f>
        <v>0.108114781316278</v>
      </c>
      <c r="S202" s="29" t="n">
        <f aca="false">R202*(1-MIN(1,INDEX(Tabla_Mortalidad!$B$5:$B$75,MIN(71,Cartera_Polizas!$B$204+16-49))*(1+(Cartera_Polizas!$P$204-1)*MAX(0,1-16/Supuestos!$C$20))*(1-Supuestos!$C$18)^16))</f>
        <v>0.0851130199736765</v>
      </c>
      <c r="T202" s="29" t="n">
        <f aca="false">S202*(1-MIN(1,INDEX(Tabla_Mortalidad!$B$5:$B$75,MIN(71,Cartera_Polizas!$B$204+17-49))*(1+(Cartera_Polizas!$P$204-1)*MAX(0,1-17/Supuestos!$C$20))*(1-Supuestos!$C$18)^17))</f>
        <v>0.0652906097513216</v>
      </c>
      <c r="U202" s="29" t="n">
        <f aca="false">T202*(1-MIN(1,INDEX(Tabla_Mortalidad!$B$5:$B$75,MIN(71,Cartera_Polizas!$B$204+18-49))*(1+(Cartera_Polizas!$P$204-1)*MAX(0,1-18/Supuestos!$C$20))*(1-Supuestos!$C$18)^18))</f>
        <v>0.0486717171534877</v>
      </c>
      <c r="V202" s="29" t="n">
        <f aca="false">U202*(1-MIN(1,INDEX(Tabla_Mortalidad!$B$5:$B$75,MIN(71,Cartera_Polizas!$B$204+19-49))*(1+(Cartera_Polizas!$P$204-1)*MAX(0,1-19/Supuestos!$C$20))*(1-Supuestos!$C$18)^19))</f>
        <v>0.0351555831598146</v>
      </c>
      <c r="W202" s="29" t="n">
        <f aca="false">V202*(1-MIN(1,INDEX(Tabla_Mortalidad!$B$5:$B$75,MIN(71,Cartera_Polizas!$B$204+20-49))*(1+(Cartera_Polizas!$P$204-1)*MAX(0,1-20/Supuestos!$C$20))*(1-Supuestos!$C$18)^20))</f>
        <v>0.0245250921955712</v>
      </c>
      <c r="X202" s="29" t="n">
        <f aca="false">W202*(1-MIN(1,INDEX(Tabla_Mortalidad!$B$5:$B$75,MIN(71,Cartera_Polizas!$B$204+21-49))*(1+(Cartera_Polizas!$P$204-1)*MAX(0,1-21/Supuestos!$C$20))*(1-Supuestos!$C$18)^21))</f>
        <v>0.0164671103935793</v>
      </c>
      <c r="Y202" s="29" t="n">
        <f aca="false">X202*(1-MIN(1,INDEX(Tabla_Mortalidad!$B$5:$B$75,MIN(71,Cartera_Polizas!$B$204+22-49))*(1+(Cartera_Polizas!$P$204-1)*MAX(0,1-22/Supuestos!$C$20))*(1-Supuestos!$C$18)^22))</f>
        <v>0.0106020119734812</v>
      </c>
      <c r="Z202" s="29" t="n">
        <f aca="false">Y202*(1-MIN(1,INDEX(Tabla_Mortalidad!$B$5:$B$75,MIN(71,Cartera_Polizas!$B$204+23-49))*(1+(Cartera_Polizas!$P$204-1)*MAX(0,1-23/Supuestos!$C$20))*(1-Supuestos!$C$18)^23))</f>
        <v>0.00651900808912486</v>
      </c>
      <c r="AA202" s="29" t="n">
        <f aca="false">Z202*(1-MIN(1,INDEX(Tabla_Mortalidad!$B$5:$B$75,MIN(71,Cartera_Polizas!$B$204+24-49))*(1+(Cartera_Polizas!$P$204-1)*MAX(0,1-24/Supuestos!$C$20))*(1-Supuestos!$C$18)^24))</f>
        <v>0.00381195539607261</v>
      </c>
      <c r="AB202" s="29" t="n">
        <f aca="false">AA202*(1-MIN(1,INDEX(Tabla_Mortalidad!$B$5:$B$75,MIN(71,Cartera_Polizas!$B$204+25-49))*(1+(Cartera_Polizas!$P$204-1)*MAX(0,1-25/Supuestos!$C$20))*(1-Supuestos!$C$18)^25))</f>
        <v>0.0021103021978833</v>
      </c>
      <c r="AC202" s="29" t="n">
        <f aca="false">AB202*(1-MIN(1,INDEX(Tabla_Mortalidad!$B$5:$B$75,MIN(71,Cartera_Polizas!$B$204+26-49))*(1+(Cartera_Polizas!$P$204-1)*MAX(0,1-26/Supuestos!$C$20))*(1-Supuestos!$C$18)^26))</f>
        <v>0.00110093032808044</v>
      </c>
      <c r="AD202" s="29" t="n">
        <f aca="false">AC202*(1-MIN(1,INDEX(Tabla_Mortalidad!$B$5:$B$75,MIN(71,Cartera_Polizas!$B$204+27-49))*(1+(Cartera_Polizas!$P$204-1)*MAX(0,1-27/Supuestos!$C$20))*(1-Supuestos!$C$18)^27))</f>
        <v>0.000538701463152463</v>
      </c>
      <c r="AE202" s="29" t="n">
        <f aca="false">AD202*(1-MIN(1,INDEX(Tabla_Mortalidad!$B$5:$B$75,MIN(71,Cartera_Polizas!$B$204+28-49))*(1+(Cartera_Polizas!$P$204-1)*MAX(0,1-28/Supuestos!$C$20))*(1-Supuestos!$C$18)^28))</f>
        <v>0.000246084534227345</v>
      </c>
      <c r="AF202" s="29" t="n">
        <f aca="false">AE202*(1-MIN(1,INDEX(Tabla_Mortalidad!$B$5:$B$75,MIN(71,Cartera_Polizas!$B$204+29-49))*(1+(Cartera_Polizas!$P$204-1)*MAX(0,1-29/Supuestos!$C$20))*(1-Supuestos!$C$18)^29))</f>
        <v>0.000104481566817281</v>
      </c>
      <c r="AG202" s="29" t="n">
        <f aca="false">AF202*(1-MIN(1,INDEX(Tabla_Mortalidad!$B$5:$B$75,MIN(71,Cartera_Polizas!$B$204+30-49))*(1+(Cartera_Polizas!$P$204-1)*MAX(0,1-30/Supuestos!$C$20))*(1-Supuestos!$C$18)^30))</f>
        <v>4.10656410400569E-005</v>
      </c>
      <c r="AH202" s="29" t="n">
        <f aca="false">AG202*(1-MIN(1,INDEX(Tabla_Mortalidad!$B$5:$B$75,MIN(71,Cartera_Polizas!$B$204+31-49))*(1+(Cartera_Polizas!$P$204-1)*MAX(0,1-31/Supuestos!$C$20))*(1-Supuestos!$C$18)^31))</f>
        <v>1.48932001192069E-005</v>
      </c>
      <c r="AI202" s="29" t="n">
        <f aca="false">AH202*(1-MIN(1,INDEX(Tabla_Mortalidad!$B$5:$B$75,MIN(71,Cartera_Polizas!$B$204+32-49))*(1+(Cartera_Polizas!$P$204-1)*MAX(0,1-32/Supuestos!$C$20))*(1-Supuestos!$C$18)^32))</f>
        <v>4.97318674379057E-006</v>
      </c>
      <c r="AJ202" s="29" t="n">
        <f aca="false">AI202*(1-MIN(1,INDEX(Tabla_Mortalidad!$B$5:$B$75,MIN(71,Cartera_Polizas!$B$204+33-49))*(1+(Cartera_Polizas!$P$204-1)*MAX(0,1-33/Supuestos!$C$20))*(1-Supuestos!$C$18)^33))</f>
        <v>1.52806137760884E-006</v>
      </c>
      <c r="AK202" s="29" t="n">
        <f aca="false">AJ202*(1-MIN(1,INDEX(Tabla_Mortalidad!$B$5:$B$75,MIN(71,Cartera_Polizas!$B$204+34-49))*(1+(Cartera_Polizas!$P$204-1)*MAX(0,1-34/Supuestos!$C$20))*(1-Supuestos!$C$18)^34))</f>
        <v>4.32584479330249E-007</v>
      </c>
      <c r="AL202" s="29" t="n">
        <f aca="false">AK202*(1-MIN(1,INDEX(Tabla_Mortalidad!$B$5:$B$75,MIN(71,Cartera_Polizas!$B$204+35-49))*(1+(Cartera_Polizas!$P$204-1)*MAX(0,1-35/Supuestos!$C$20))*(1-Supuestos!$C$18)^35))</f>
        <v>1.13239022105406E-007</v>
      </c>
      <c r="AM202" s="29" t="n">
        <f aca="false">AL202*(1-MIN(1,INDEX(Tabla_Mortalidad!$B$5:$B$75,MIN(71,Cartera_Polizas!$B$204+36-49))*(1+(Cartera_Polizas!$P$204-1)*MAX(0,1-36/Supuestos!$C$20))*(1-Supuestos!$C$18)^36))</f>
        <v>2.75795591593313E-008</v>
      </c>
      <c r="AN202" s="29" t="n">
        <f aca="false">AM202*(1-MIN(1,INDEX(Tabla_Mortalidad!$B$5:$B$75,MIN(71,Cartera_Polizas!$B$204+37-49))*(1+(Cartera_Polizas!$P$204-1)*MAX(0,1-37/Supuestos!$C$20))*(1-Supuestos!$C$18)^37))</f>
        <v>6.30382843838065E-009</v>
      </c>
      <c r="AO202" s="29" t="n">
        <f aca="false">AN202*(1-MIN(1,INDEX(Tabla_Mortalidad!$B$5:$B$75,MIN(71,Cartera_Polizas!$B$204+38-49))*(1+(Cartera_Polizas!$P$204-1)*MAX(0,1-38/Supuestos!$C$20))*(1-Supuestos!$C$18)^38))</f>
        <v>1.36687718993073E-009</v>
      </c>
      <c r="AP202" s="29" t="n">
        <f aca="false">AO202*(1-MIN(1,INDEX(Tabla_Mortalidad!$B$5:$B$75,MIN(71,Cartera_Polizas!$B$204+39-49))*(1+(Cartera_Polizas!$P$204-1)*MAX(0,1-39/Supuestos!$C$20))*(1-Supuestos!$C$18)^39))</f>
        <v>2.42713262807868E-010</v>
      </c>
      <c r="AQ202" s="29" t="n">
        <f aca="false">AP202*(1-MIN(1,INDEX(Tabla_Mortalidad!$B$5:$B$75,MIN(71,Cartera_Polizas!$B$204+40-49))*(1+(Cartera_Polizas!$P$204-1)*MAX(0,1-40/Supuestos!$C$20))*(1-Supuestos!$C$18)^40))</f>
        <v>4.40961162131254E-011</v>
      </c>
      <c r="AR202" s="29" t="n">
        <f aca="false">AQ202*(1-MIN(1,INDEX(Tabla_Mortalidad!$B$5:$B$75,MIN(71,Cartera_Polizas!$B$204+41-49))*(1+(Cartera_Polizas!$P$204-1)*MAX(0,1-41/Supuestos!$C$20))*(1-Supuestos!$C$18)^41))</f>
        <v>8.19180075275148E-012</v>
      </c>
      <c r="AS202" s="29" t="n">
        <f aca="false">AR202*(1-MIN(1,INDEX(Tabla_Mortalidad!$B$5:$B$75,MIN(71,Cartera_Polizas!$B$204+42-49))*(1+(Cartera_Polizas!$P$204-1)*MAX(0,1-42/Supuestos!$C$20))*(1-Supuestos!$C$18)^42))</f>
        <v>1.55515293531552E-012</v>
      </c>
      <c r="AT202" s="29" t="n">
        <f aca="false">AS202*(1-MIN(1,INDEX(Tabla_Mortalidad!$B$5:$B$75,MIN(71,Cartera_Polizas!$B$204+43-49))*(1+(Cartera_Polizas!$P$204-1)*MAX(0,1-43/Supuestos!$C$20))*(1-Supuestos!$C$18)^43))</f>
        <v>3.01533904259149E-013</v>
      </c>
      <c r="AU202" s="29" t="n">
        <f aca="false">AT202*(1-MIN(1,INDEX(Tabla_Mortalidad!$B$5:$B$75,MIN(71,Cartera_Polizas!$B$204+44-49))*(1+(Cartera_Polizas!$P$204-1)*MAX(0,1-44/Supuestos!$C$20))*(1-Supuestos!$C$18)^44))</f>
        <v>5.96807789861356E-014</v>
      </c>
    </row>
    <row r="203" customFormat="false" ht="15" hidden="false" customHeight="false" outlineLevel="0" collapsed="false">
      <c r="A203" s="14" t="n">
        <f aca="false">Cartera_Polizas!A205</f>
        <v>200</v>
      </c>
      <c r="B203" s="26" t="n">
        <f aca="false">SUM(C203:AU203)+0.5</f>
        <v>5.11205908986633</v>
      </c>
      <c r="C203" s="29" t="n">
        <f aca="false">1-MIN(1,INDEX(Tabla_Mortalidad!$B$5:$B$75,MIN(71,Cartera_Polizas!$B$205+0-49))*(1+(Cartera_Polizas!$P$205-1)*MAX(0,1-0/Supuestos!$C$20))*(1-Supuestos!$C$18)^0)</f>
        <v>0.8796692</v>
      </c>
      <c r="D203" s="29" t="n">
        <f aca="false">C203*(1-MIN(1,INDEX(Tabla_Mortalidad!$B$5:$B$75,MIN(71,Cartera_Polizas!$B$205+1-49))*(1+(Cartera_Polizas!$P$205-1)*MAX(0,1-1/Supuestos!$C$20))*(1-Supuestos!$C$18)^1))</f>
        <v>0.762591044973081</v>
      </c>
      <c r="E203" s="29" t="n">
        <f aca="false">D203*(1-MIN(1,INDEX(Tabla_Mortalidad!$B$5:$B$75,MIN(71,Cartera_Polizas!$B$205+2-49))*(1+(Cartera_Polizas!$P$205-1)*MAX(0,1-2/Supuestos!$C$20))*(1-Supuestos!$C$18)^2))</f>
        <v>0.650429291235715</v>
      </c>
      <c r="F203" s="29" t="n">
        <f aca="false">E203*(1-MIN(1,INDEX(Tabla_Mortalidad!$B$5:$B$75,MIN(71,Cartera_Polizas!$B$205+3-49))*(1+(Cartera_Polizas!$P$205-1)*MAX(0,1-3/Supuestos!$C$20))*(1-Supuestos!$C$18)^3))</f>
        <v>0.544814800787666</v>
      </c>
      <c r="G203" s="29" t="n">
        <f aca="false">F203*(1-MIN(1,INDEX(Tabla_Mortalidad!$B$5:$B$75,MIN(71,Cartera_Polizas!$B$205+4-49))*(1+(Cartera_Polizas!$P$205-1)*MAX(0,1-4/Supuestos!$C$20))*(1-Supuestos!$C$18)^4))</f>
        <v>0.447254027182757</v>
      </c>
      <c r="H203" s="29" t="n">
        <f aca="false">G203*(1-MIN(1,INDEX(Tabla_Mortalidad!$B$5:$B$75,MIN(71,Cartera_Polizas!$B$205+5-49))*(1+(Cartera_Polizas!$P$205-1)*MAX(0,1-5/Supuestos!$C$20))*(1-Supuestos!$C$18)^5))</f>
        <v>0.359034620091704</v>
      </c>
      <c r="I203" s="29" t="n">
        <f aca="false">H203*(1-MIN(1,INDEX(Tabla_Mortalidad!$B$5:$B$75,MIN(71,Cartera_Polizas!$B$205+6-49))*(1+(Cartera_Polizas!$P$205-1)*MAX(0,1-6/Supuestos!$C$20))*(1-Supuestos!$C$18)^6))</f>
        <v>0.281131783164284</v>
      </c>
      <c r="J203" s="29" t="n">
        <f aca="false">I203*(1-MIN(1,INDEX(Tabla_Mortalidad!$B$5:$B$75,MIN(71,Cartera_Polizas!$B$205+7-49))*(1+(Cartera_Polizas!$P$205-1)*MAX(0,1-7/Supuestos!$C$20))*(1-Supuestos!$C$18)^7))</f>
        <v>0.214127711308481</v>
      </c>
      <c r="K203" s="29" t="n">
        <f aca="false">J203*(1-MIN(1,INDEX(Tabla_Mortalidad!$B$5:$B$75,MIN(71,Cartera_Polizas!$B$205+8-49))*(1+(Cartera_Polizas!$P$205-1)*MAX(0,1-8/Supuestos!$C$20))*(1-Supuestos!$C$18)^8))</f>
        <v>0.158159711038285</v>
      </c>
      <c r="L203" s="29" t="n">
        <f aca="false">K203*(1-MIN(1,INDEX(Tabla_Mortalidad!$B$5:$B$75,MIN(71,Cartera_Polizas!$B$205+9-49))*(1+(Cartera_Polizas!$P$205-1)*MAX(0,1-9/Supuestos!$C$20))*(1-Supuestos!$C$18)^9))</f>
        <v>0.112904671249783</v>
      </c>
      <c r="M203" s="29" t="n">
        <f aca="false">L203*(1-MIN(1,INDEX(Tabla_Mortalidad!$B$5:$B$75,MIN(71,Cartera_Polizas!$B$205+10-49))*(1+(Cartera_Polizas!$P$205-1)*MAX(0,1-10/Supuestos!$C$20))*(1-Supuestos!$C$18)^10))</f>
        <v>0.0776074204627552</v>
      </c>
      <c r="N203" s="29" t="n">
        <f aca="false">M203*(1-MIN(1,INDEX(Tabla_Mortalidad!$B$5:$B$75,MIN(71,Cartera_Polizas!$B$205+11-49))*(1+(Cartera_Polizas!$P$205-1)*MAX(0,1-11/Supuestos!$C$20))*(1-Supuestos!$C$18)^11))</f>
        <v>0.0511554194331304</v>
      </c>
      <c r="O203" s="29" t="n">
        <f aca="false">N203*(1-MIN(1,INDEX(Tabla_Mortalidad!$B$5:$B$75,MIN(71,Cartera_Polizas!$B$205+12-49))*(1+(Cartera_Polizas!$P$205-1)*MAX(0,1-12/Supuestos!$C$20))*(1-Supuestos!$C$18)^12))</f>
        <v>0.0321903715172026</v>
      </c>
      <c r="P203" s="29" t="n">
        <f aca="false">O203*(1-MIN(1,INDEX(Tabla_Mortalidad!$B$5:$B$75,MIN(71,Cartera_Polizas!$B$205+13-49))*(1+(Cartera_Polizas!$P$205-1)*MAX(0,1-13/Supuestos!$C$20))*(1-Supuestos!$C$18)^13))</f>
        <v>0.0192429975066605</v>
      </c>
      <c r="Q203" s="29" t="n">
        <f aca="false">P203*(1-MIN(1,INDEX(Tabla_Mortalidad!$B$5:$B$75,MIN(71,Cartera_Polizas!$B$205+14-49))*(1+(Cartera_Polizas!$P$205-1)*MAX(0,1-14/Supuestos!$C$20))*(1-Supuestos!$C$18)^14))</f>
        <v>0.0108694972255507</v>
      </c>
      <c r="R203" s="29" t="n">
        <f aca="false">Q203*(1-MIN(1,INDEX(Tabla_Mortalidad!$B$5:$B$75,MIN(71,Cartera_Polizas!$B$205+15-49))*(1+(Cartera_Polizas!$P$205-1)*MAX(0,1-15/Supuestos!$C$20))*(1-Supuestos!$C$18)^15))</f>
        <v>0.00576795022005501</v>
      </c>
      <c r="S203" s="29" t="n">
        <f aca="false">R203*(1-MIN(1,INDEX(Tabla_Mortalidad!$B$5:$B$75,MIN(71,Cartera_Polizas!$B$205+16-49))*(1+(Cartera_Polizas!$P$205-1)*MAX(0,1-16/Supuestos!$C$20))*(1-Supuestos!$C$18)^16))</f>
        <v>0.00286728744170868</v>
      </c>
      <c r="T203" s="29" t="n">
        <f aca="false">S203*(1-MIN(1,INDEX(Tabla_Mortalidad!$B$5:$B$75,MIN(71,Cartera_Polizas!$B$205+17-49))*(1+(Cartera_Polizas!$P$205-1)*MAX(0,1-17/Supuestos!$C$20))*(1-Supuestos!$C$18)^17))</f>
        <v>0.00132773769002331</v>
      </c>
      <c r="U203" s="29" t="n">
        <f aca="false">T203*(1-MIN(1,INDEX(Tabla_Mortalidad!$B$5:$B$75,MIN(71,Cartera_Polizas!$B$205+18-49))*(1+(Cartera_Polizas!$P$205-1)*MAX(0,1-18/Supuestos!$C$20))*(1-Supuestos!$C$18)^18))</f>
        <v>0.000569452159372928</v>
      </c>
      <c r="V203" s="29" t="n">
        <f aca="false">U203*(1-MIN(1,INDEX(Tabla_Mortalidad!$B$5:$B$75,MIN(71,Cartera_Polizas!$B$205+19-49))*(1+(Cartera_Polizas!$P$205-1)*MAX(0,1-19/Supuestos!$C$20))*(1-Supuestos!$C$18)^19))</f>
        <v>0.000224932133736464</v>
      </c>
      <c r="W203" s="29" t="n">
        <f aca="false">V203*(1-MIN(1,INDEX(Tabla_Mortalidad!$B$5:$B$75,MIN(71,Cartera_Polizas!$B$205+20-49))*(1+(Cartera_Polizas!$P$205-1)*MAX(0,1-20/Supuestos!$C$20))*(1-Supuestos!$C$18)^20))</f>
        <v>8.13900138543574E-005</v>
      </c>
      <c r="X203" s="29" t="n">
        <f aca="false">W203*(1-MIN(1,INDEX(Tabla_Mortalidad!$B$5:$B$75,MIN(71,Cartera_Polizas!$B$205+21-49))*(1+(Cartera_Polizas!$P$205-1)*MAX(0,1-21/Supuestos!$C$20))*(1-Supuestos!$C$18)^21))</f>
        <v>2.68511688442468E-005</v>
      </c>
      <c r="Y203" s="29" t="n">
        <f aca="false">X203*(1-MIN(1,INDEX(Tabla_Mortalidad!$B$5:$B$75,MIN(71,Cartera_Polizas!$B$205+22-49))*(1+(Cartera_Polizas!$P$205-1)*MAX(0,1-22/Supuestos!$C$20))*(1-Supuestos!$C$18)^22))</f>
        <v>8.04689268415923E-006</v>
      </c>
      <c r="Z203" s="29" t="n">
        <f aca="false">Y203*(1-MIN(1,INDEX(Tabla_Mortalidad!$B$5:$B$75,MIN(71,Cartera_Polizas!$B$205+23-49))*(1+(Cartera_Polizas!$P$205-1)*MAX(0,1-23/Supuestos!$C$20))*(1-Supuestos!$C$18)^23))</f>
        <v>2.18594742746436E-006</v>
      </c>
      <c r="AA203" s="29" t="n">
        <f aca="false">Z203*(1-MIN(1,INDEX(Tabla_Mortalidad!$B$5:$B$75,MIN(71,Cartera_Polizas!$B$205+24-49))*(1+(Cartera_Polizas!$P$205-1)*MAX(0,1-24/Supuestos!$C$20))*(1-Supuestos!$C$18)^24))</f>
        <v>5.3827327071623E-007</v>
      </c>
      <c r="AB203" s="29" t="n">
        <f aca="false">AA203*(1-MIN(1,INDEX(Tabla_Mortalidad!$B$5:$B$75,MIN(71,Cartera_Polizas!$B$205+25-49))*(1+(Cartera_Polizas!$P$205-1)*MAX(0,1-25/Supuestos!$C$20))*(1-Supuestos!$C$18)^25))</f>
        <v>1.20479638749241E-007</v>
      </c>
      <c r="AC203" s="29" t="n">
        <f aca="false">AB203*(1-MIN(1,INDEX(Tabla_Mortalidad!$B$5:$B$75,MIN(71,Cartera_Polizas!$B$205+26-49))*(1+(Cartera_Polizas!$P$205-1)*MAX(0,1-26/Supuestos!$C$20))*(1-Supuestos!$C$18)^26))</f>
        <v>2.46583326799212E-008</v>
      </c>
      <c r="AD203" s="29" t="n">
        <f aca="false">AC203*(1-MIN(1,INDEX(Tabla_Mortalidad!$B$5:$B$75,MIN(71,Cartera_Polizas!$B$205+27-49))*(1+(Cartera_Polizas!$P$205-1)*MAX(0,1-27/Supuestos!$C$20))*(1-Supuestos!$C$18)^27))</f>
        <v>4.65832948063083E-009</v>
      </c>
      <c r="AE203" s="29" t="n">
        <f aca="false">AD203*(1-MIN(1,INDEX(Tabla_Mortalidad!$B$5:$B$75,MIN(71,Cartera_Polizas!$B$205+28-49))*(1+(Cartera_Polizas!$P$205-1)*MAX(0,1-28/Supuestos!$C$20))*(1-Supuestos!$C$18)^28))</f>
        <v>8.22548082034968E-010</v>
      </c>
      <c r="AF203" s="29" t="n">
        <f aca="false">AE203*(1-MIN(1,INDEX(Tabla_Mortalidad!$B$5:$B$75,MIN(71,Cartera_Polizas!$B$205+29-49))*(1+(Cartera_Polizas!$P$205-1)*MAX(0,1-29/Supuestos!$C$20))*(1-Supuestos!$C$18)^29))</f>
        <v>1.11284396735833E-010</v>
      </c>
      <c r="AG203" s="29" t="n">
        <f aca="false">AF203*(1-MIN(1,INDEX(Tabla_Mortalidad!$B$5:$B$75,MIN(71,Cartera_Polizas!$B$205+30-49))*(1+(Cartera_Polizas!$P$205-1)*MAX(0,1-30/Supuestos!$C$20))*(1-Supuestos!$C$18)^30))</f>
        <v>1.55370609775589E-011</v>
      </c>
      <c r="AH203" s="29" t="n">
        <f aca="false">AG203*(1-MIN(1,INDEX(Tabla_Mortalidad!$B$5:$B$75,MIN(71,Cartera_Polizas!$B$205+31-49))*(1+(Cartera_Polizas!$P$205-1)*MAX(0,1-31/Supuestos!$C$20))*(1-Supuestos!$C$18)^31))</f>
        <v>2.23605853192206E-012</v>
      </c>
      <c r="AI203" s="29" t="n">
        <f aca="false">AH203*(1-MIN(1,INDEX(Tabla_Mortalidad!$B$5:$B$75,MIN(71,Cartera_Polizas!$B$205+32-49))*(1+(Cartera_Polizas!$P$205-1)*MAX(0,1-32/Supuestos!$C$20))*(1-Supuestos!$C$18)^32))</f>
        <v>3.31379716255628E-013</v>
      </c>
      <c r="AJ203" s="29" t="n">
        <f aca="false">AI203*(1-MIN(1,INDEX(Tabla_Mortalidad!$B$5:$B$75,MIN(71,Cartera_Polizas!$B$205+33-49))*(1+(Cartera_Polizas!$P$205-1)*MAX(0,1-33/Supuestos!$C$20))*(1-Supuestos!$C$18)^33))</f>
        <v>5.05212070079506E-014</v>
      </c>
      <c r="AK203" s="29" t="n">
        <f aca="false">AJ203*(1-MIN(1,INDEX(Tabla_Mortalidad!$B$5:$B$75,MIN(71,Cartera_Polizas!$B$205+34-49))*(1+(Cartera_Polizas!$P$205-1)*MAX(0,1-34/Supuestos!$C$20))*(1-Supuestos!$C$18)^34))</f>
        <v>7.9164136586585E-015</v>
      </c>
      <c r="AL203" s="29" t="n">
        <f aca="false">AK203*(1-MIN(1,INDEX(Tabla_Mortalidad!$B$5:$B$75,MIN(71,Cartera_Polizas!$B$205+35-49))*(1+(Cartera_Polizas!$P$205-1)*MAX(0,1-35/Supuestos!$C$20))*(1-Supuestos!$C$18)^35))</f>
        <v>1.27384112269607E-015</v>
      </c>
      <c r="AM203" s="29" t="n">
        <f aca="false">AL203*(1-MIN(1,INDEX(Tabla_Mortalidad!$B$5:$B$75,MIN(71,Cartera_Polizas!$B$205+36-49))*(1+(Cartera_Polizas!$P$205-1)*MAX(0,1-36/Supuestos!$C$20))*(1-Supuestos!$C$18)^36))</f>
        <v>2.10319873107505E-016</v>
      </c>
      <c r="AN203" s="29" t="n">
        <f aca="false">AM203*(1-MIN(1,INDEX(Tabla_Mortalidad!$B$5:$B$75,MIN(71,Cartera_Polizas!$B$205+37-49))*(1+(Cartera_Polizas!$P$205-1)*MAX(0,1-37/Supuestos!$C$20))*(1-Supuestos!$C$18)^37))</f>
        <v>3.56032212237515E-017</v>
      </c>
      <c r="AO203" s="29" t="n">
        <f aca="false">AN203*(1-MIN(1,INDEX(Tabla_Mortalidad!$B$5:$B$75,MIN(71,Cartera_Polizas!$B$205+38-49))*(1+(Cartera_Polizas!$P$205-1)*MAX(0,1-38/Supuestos!$C$20))*(1-Supuestos!$C$18)^38))</f>
        <v>6.17484082869343E-018</v>
      </c>
      <c r="AP203" s="29" t="n">
        <f aca="false">AO203*(1-MIN(1,INDEX(Tabla_Mortalidad!$B$5:$B$75,MIN(71,Cartera_Polizas!$B$205+39-49))*(1+(Cartera_Polizas!$P$205-1)*MAX(0,1-39/Supuestos!$C$20))*(1-Supuestos!$C$18)^39))</f>
        <v>1.0964523922792E-018</v>
      </c>
      <c r="AQ203" s="29" t="n">
        <f aca="false">AP203*(1-MIN(1,INDEX(Tabla_Mortalidad!$B$5:$B$75,MIN(71,Cartera_Polizas!$B$205+40-49))*(1+(Cartera_Polizas!$P$205-1)*MAX(0,1-40/Supuestos!$C$20))*(1-Supuestos!$C$18)^40))</f>
        <v>1.99203337933685E-019</v>
      </c>
      <c r="AR203" s="29" t="n">
        <f aca="false">AQ203*(1-MIN(1,INDEX(Tabla_Mortalidad!$B$5:$B$75,MIN(71,Cartera_Polizas!$B$205+41-49))*(1+(Cartera_Polizas!$P$205-1)*MAX(0,1-41/Supuestos!$C$20))*(1-Supuestos!$C$18)^41))</f>
        <v>3.70062988257012E-020</v>
      </c>
      <c r="AS203" s="29" t="n">
        <f aca="false">AR203*(1-MIN(1,INDEX(Tabla_Mortalidad!$B$5:$B$75,MIN(71,Cartera_Polizas!$B$205+42-49))*(1+(Cartera_Polizas!$P$205-1)*MAX(0,1-42/Supuestos!$C$20))*(1-Supuestos!$C$18)^42))</f>
        <v>7.0253728064153E-021</v>
      </c>
      <c r="AT203" s="29" t="n">
        <f aca="false">AS203*(1-MIN(1,INDEX(Tabla_Mortalidad!$B$5:$B$75,MIN(71,Cartera_Polizas!$B$205+43-49))*(1+(Cartera_Polizas!$P$205-1)*MAX(0,1-43/Supuestos!$C$20))*(1-Supuestos!$C$18)^43))</f>
        <v>1.36217348344886E-021</v>
      </c>
      <c r="AU203" s="29" t="n">
        <f aca="false">AT203*(1-MIN(1,INDEX(Tabla_Mortalidad!$B$5:$B$75,MIN(71,Cartera_Polizas!$B$205+44-49))*(1+(Cartera_Polizas!$P$205-1)*MAX(0,1-44/Supuestos!$C$20))*(1-Supuestos!$C$18)^44))</f>
        <v>2.69606745570532E-022</v>
      </c>
    </row>
    <row r="204" customFormat="false" ht="15" hidden="false" customHeight="false" outlineLevel="0" collapsed="false">
      <c r="A204" s="14" t="n">
        <f aca="false">Cartera_Polizas!A206</f>
        <v>201</v>
      </c>
      <c r="B204" s="26" t="n">
        <f aca="false">SUM(C204:AU204)+0.5</f>
        <v>9.16319972601739</v>
      </c>
      <c r="C204" s="29" t="n">
        <f aca="false">1-MIN(1,INDEX(Tabla_Mortalidad!$B$5:$B$75,MIN(71,Cartera_Polizas!$B$206+0-49))*(1+(Cartera_Polizas!$P$206-1)*MAX(0,1-0/Supuestos!$C$20))*(1-Supuestos!$C$18)^0)</f>
        <v>0.9312190405</v>
      </c>
      <c r="D204" s="29" t="n">
        <f aca="false">C204*(1-MIN(1,INDEX(Tabla_Mortalidad!$B$5:$B$75,MIN(71,Cartera_Polizas!$B$206+1-49))*(1+(Cartera_Polizas!$P$206-1)*MAX(0,1-1/Supuestos!$C$20))*(1-Supuestos!$C$18)^1))</f>
        <v>0.862962776802198</v>
      </c>
      <c r="E204" s="29" t="n">
        <f aca="false">D204*(1-MIN(1,INDEX(Tabla_Mortalidad!$B$5:$B$75,MIN(71,Cartera_Polizas!$B$206+2-49))*(1+(Cartera_Polizas!$P$206-1)*MAX(0,1-2/Supuestos!$C$20))*(1-Supuestos!$C$18)^2))</f>
        <v>0.795678791004555</v>
      </c>
      <c r="F204" s="29" t="n">
        <f aca="false">E204*(1-MIN(1,INDEX(Tabla_Mortalidad!$B$5:$B$75,MIN(71,Cartera_Polizas!$B$206+3-49))*(1+(Cartera_Polizas!$P$206-1)*MAX(0,1-3/Supuestos!$C$20))*(1-Supuestos!$C$18)^3))</f>
        <v>0.729819987304015</v>
      </c>
      <c r="G204" s="29" t="n">
        <f aca="false">F204*(1-MIN(1,INDEX(Tabla_Mortalidad!$B$5:$B$75,MIN(71,Cartera_Polizas!$B$206+4-49))*(1+(Cartera_Polizas!$P$206-1)*MAX(0,1-4/Supuestos!$C$20))*(1-Supuestos!$C$18)^4))</f>
        <v>0.665833023711391</v>
      </c>
      <c r="H204" s="29" t="n">
        <f aca="false">G204*(1-MIN(1,INDEX(Tabla_Mortalidad!$B$5:$B$75,MIN(71,Cartera_Polizas!$B$206+5-49))*(1+(Cartera_Polizas!$P$206-1)*MAX(0,1-5/Supuestos!$C$20))*(1-Supuestos!$C$18)^5))</f>
        <v>0.604144125787509</v>
      </c>
      <c r="I204" s="29" t="n">
        <f aca="false">H204*(1-MIN(1,INDEX(Tabla_Mortalidad!$B$5:$B$75,MIN(71,Cartera_Polizas!$B$206+6-49))*(1+(Cartera_Polizas!$P$206-1)*MAX(0,1-6/Supuestos!$C$20))*(1-Supuestos!$C$18)^6))</f>
        <v>0.545150166400559</v>
      </c>
      <c r="J204" s="29" t="n">
        <f aca="false">I204*(1-MIN(1,INDEX(Tabla_Mortalidad!$B$5:$B$75,MIN(71,Cartera_Polizas!$B$206+7-49))*(1+(Cartera_Polizas!$P$206-1)*MAX(0,1-7/Supuestos!$C$20))*(1-Supuestos!$C$18)^7))</f>
        <v>0.489208710946957</v>
      </c>
      <c r="K204" s="29" t="n">
        <f aca="false">J204*(1-MIN(1,INDEX(Tabla_Mortalidad!$B$5:$B$75,MIN(71,Cartera_Polizas!$B$206+8-49))*(1+(Cartera_Polizas!$P$206-1)*MAX(0,1-8/Supuestos!$C$20))*(1-Supuestos!$C$18)^8))</f>
        <v>0.436624747241299</v>
      </c>
      <c r="L204" s="29" t="n">
        <f aca="false">K204*(1-MIN(1,INDEX(Tabla_Mortalidad!$B$5:$B$75,MIN(71,Cartera_Polizas!$B$206+9-49))*(1+(Cartera_Polizas!$P$206-1)*MAX(0,1-9/Supuestos!$C$20))*(1-Supuestos!$C$18)^9))</f>
        <v>0.387641687409177</v>
      </c>
      <c r="M204" s="29" t="n">
        <f aca="false">L204*(1-MIN(1,INDEX(Tabla_Mortalidad!$B$5:$B$75,MIN(71,Cartera_Polizas!$B$206+10-49))*(1+(Cartera_Polizas!$P$206-1)*MAX(0,1-10/Supuestos!$C$20))*(1-Supuestos!$C$18)^10))</f>
        <v>0.34243784929717</v>
      </c>
      <c r="N204" s="29" t="n">
        <f aca="false">M204*(1-MIN(1,INDEX(Tabla_Mortalidad!$B$5:$B$75,MIN(71,Cartera_Polizas!$B$206+11-49))*(1+(Cartera_Polizas!$P$206-1)*MAX(0,1-11/Supuestos!$C$20))*(1-Supuestos!$C$18)^11))</f>
        <v>0.301118671793699</v>
      </c>
      <c r="O204" s="29" t="n">
        <f aca="false">N204*(1-MIN(1,INDEX(Tabla_Mortalidad!$B$5:$B$75,MIN(71,Cartera_Polizas!$B$206+12-49))*(1+(Cartera_Polizas!$P$206-1)*MAX(0,1-12/Supuestos!$C$20))*(1-Supuestos!$C$18)^12))</f>
        <v>0.263719555566346</v>
      </c>
      <c r="P204" s="29" t="n">
        <f aca="false">O204*(1-MIN(1,INDEX(Tabla_Mortalidad!$B$5:$B$75,MIN(71,Cartera_Polizas!$B$206+13-49))*(1+(Cartera_Polizas!$P$206-1)*MAX(0,1-13/Supuestos!$C$20))*(1-Supuestos!$C$18)^13))</f>
        <v>0.230205969580581</v>
      </c>
      <c r="Q204" s="29" t="n">
        <f aca="false">P204*(1-MIN(1,INDEX(Tabla_Mortalidad!$B$5:$B$75,MIN(71,Cartera_Polizas!$B$206+14-49))*(1+(Cartera_Polizas!$P$206-1)*MAX(0,1-14/Supuestos!$C$20))*(1-Supuestos!$C$18)^14))</f>
        <v>0.200479853153922</v>
      </c>
      <c r="R204" s="29" t="n">
        <f aca="false">Q204*(1-MIN(1,INDEX(Tabla_Mortalidad!$B$5:$B$75,MIN(71,Cartera_Polizas!$B$206+15-49))*(1+(Cartera_Polizas!$P$206-1)*MAX(0,1-15/Supuestos!$C$20))*(1-Supuestos!$C$18)^15))</f>
        <v>0.174387961205581</v>
      </c>
      <c r="S204" s="29" t="n">
        <f aca="false">R204*(1-MIN(1,INDEX(Tabla_Mortalidad!$B$5:$B$75,MIN(71,Cartera_Polizas!$B$206+16-49))*(1+(Cartera_Polizas!$P$206-1)*MAX(0,1-16/Supuestos!$C$20))*(1-Supuestos!$C$18)^16))</f>
        <v>0.14939417337349</v>
      </c>
      <c r="T204" s="29" t="n">
        <f aca="false">S204*(1-MIN(1,INDEX(Tabla_Mortalidad!$B$5:$B$75,MIN(71,Cartera_Polizas!$B$206+17-49))*(1+(Cartera_Polizas!$P$206-1)*MAX(0,1-17/Supuestos!$C$20))*(1-Supuestos!$C$18)^17))</f>
        <v>0.125837770450916</v>
      </c>
      <c r="U204" s="29" t="n">
        <f aca="false">T204*(1-MIN(1,INDEX(Tabla_Mortalidad!$B$5:$B$75,MIN(71,Cartera_Polizas!$B$206+18-49))*(1+(Cartera_Polizas!$P$206-1)*MAX(0,1-18/Supuestos!$C$20))*(1-Supuestos!$C$18)^18))</f>
        <v>0.104031374406918</v>
      </c>
      <c r="V204" s="29" t="n">
        <f aca="false">U204*(1-MIN(1,INDEX(Tabla_Mortalidad!$B$5:$B$75,MIN(71,Cartera_Polizas!$B$206+19-49))*(1+(Cartera_Polizas!$P$206-1)*MAX(0,1-19/Supuestos!$C$20))*(1-Supuestos!$C$18)^19))</f>
        <v>0.0842425225032871</v>
      </c>
      <c r="W204" s="29" t="n">
        <f aca="false">V204*(1-MIN(1,INDEX(Tabla_Mortalidad!$B$5:$B$75,MIN(71,Cartera_Polizas!$B$206+20-49))*(1+(Cartera_Polizas!$P$206-1)*MAX(0,1-20/Supuestos!$C$20))*(1-Supuestos!$C$18)^20))</f>
        <v>0.0666754374317243</v>
      </c>
      <c r="X204" s="29" t="n">
        <f aca="false">W204*(1-MIN(1,INDEX(Tabla_Mortalidad!$B$5:$B$75,MIN(71,Cartera_Polizas!$B$206+21-49))*(1+(Cartera_Polizas!$P$206-1)*MAX(0,1-21/Supuestos!$C$20))*(1-Supuestos!$C$18)^21))</f>
        <v>0.0514552971329816</v>
      </c>
      <c r="Y204" s="29" t="n">
        <f aca="false">X204*(1-MIN(1,INDEX(Tabla_Mortalidad!$B$5:$B$75,MIN(71,Cartera_Polizas!$B$206+22-49))*(1+(Cartera_Polizas!$P$206-1)*MAX(0,1-22/Supuestos!$C$20))*(1-Supuestos!$C$18)^22))</f>
        <v>0.0386179947830712</v>
      </c>
      <c r="Z204" s="29" t="n">
        <f aca="false">Y204*(1-MIN(1,INDEX(Tabla_Mortalidad!$B$5:$B$75,MIN(71,Cartera_Polizas!$B$206+23-49))*(1+(Cartera_Polizas!$P$206-1)*MAX(0,1-23/Supuestos!$C$20))*(1-Supuestos!$C$18)^23))</f>
        <v>0.0281066601440541</v>
      </c>
      <c r="AA204" s="29" t="n">
        <f aca="false">Z204*(1-MIN(1,INDEX(Tabla_Mortalidad!$B$5:$B$75,MIN(71,Cartera_Polizas!$B$206+24-49))*(1+(Cartera_Polizas!$P$206-1)*MAX(0,1-24/Supuestos!$C$20))*(1-Supuestos!$C$18)^24))</f>
        <v>0.0197763613018007</v>
      </c>
      <c r="AB204" s="29" t="n">
        <f aca="false">AA204*(1-MIN(1,INDEX(Tabla_Mortalidad!$B$5:$B$75,MIN(71,Cartera_Polizas!$B$206+25-49))*(1+(Cartera_Polizas!$P$206-1)*MAX(0,1-25/Supuestos!$C$20))*(1-Supuestos!$C$18)^25))</f>
        <v>0.0134076092050039</v>
      </c>
      <c r="AC204" s="29" t="n">
        <f aca="false">AB204*(1-MIN(1,INDEX(Tabla_Mortalidad!$B$5:$B$75,MIN(71,Cartera_Polizas!$B$206+26-49))*(1+(Cartera_Polizas!$P$206-1)*MAX(0,1-26/Supuestos!$C$20))*(1-Supuestos!$C$18)^26))</f>
        <v>0.00872700872047011</v>
      </c>
      <c r="AD204" s="29" t="n">
        <f aca="false">AC204*(1-MIN(1,INDEX(Tabla_Mortalidad!$B$5:$B$75,MIN(71,Cartera_Polizas!$B$206+27-49))*(1+(Cartera_Polizas!$P$206-1)*MAX(0,1-27/Supuestos!$C$20))*(1-Supuestos!$C$18)^27))</f>
        <v>0.00543281423649858</v>
      </c>
      <c r="AE204" s="29" t="n">
        <f aca="false">AD204*(1-MIN(1,INDEX(Tabla_Mortalidad!$B$5:$B$75,MIN(71,Cartera_Polizas!$B$206+28-49))*(1+(Cartera_Polizas!$P$206-1)*MAX(0,1-28/Supuestos!$C$20))*(1-Supuestos!$C$18)^28))</f>
        <v>0.00322159212764521</v>
      </c>
      <c r="AF204" s="29" t="n">
        <f aca="false">AE204*(1-MIN(1,INDEX(Tabla_Mortalidad!$B$5:$B$75,MIN(71,Cartera_Polizas!$B$206+29-49))*(1+(Cartera_Polizas!$P$206-1)*MAX(0,1-29/Supuestos!$C$20))*(1-Supuestos!$C$18)^29))</f>
        <v>0.00181202383386307</v>
      </c>
      <c r="AG204" s="29" t="n">
        <f aca="false">AF204*(1-MIN(1,INDEX(Tabla_Mortalidad!$B$5:$B$75,MIN(71,Cartera_Polizas!$B$206+30-49))*(1+(Cartera_Polizas!$P$206-1)*MAX(0,1-30/Supuestos!$C$20))*(1-Supuestos!$C$18)^30))</f>
        <v>0.000962525024200378</v>
      </c>
      <c r="AH204" s="29" t="n">
        <f aca="false">AG204*(1-MIN(1,INDEX(Tabla_Mortalidad!$B$5:$B$75,MIN(71,Cartera_Polizas!$B$206+31-49))*(1+(Cartera_Polizas!$P$206-1)*MAX(0,1-31/Supuestos!$C$20))*(1-Supuestos!$C$18)^31))</f>
        <v>0.000480735164372755</v>
      </c>
      <c r="AI204" s="29" t="n">
        <f aca="false">AH204*(1-MIN(1,INDEX(Tabla_Mortalidad!$B$5:$B$75,MIN(71,Cartera_Polizas!$B$206+32-49))*(1+(Cartera_Polizas!$P$206-1)*MAX(0,1-32/Supuestos!$C$20))*(1-Supuestos!$C$18)^32))</f>
        <v>0.000224788480825409</v>
      </c>
      <c r="AJ204" s="29" t="n">
        <f aca="false">AI204*(1-MIN(1,INDEX(Tabla_Mortalidad!$B$5:$B$75,MIN(71,Cartera_Polizas!$B$206+33-49))*(1+(Cartera_Polizas!$P$206-1)*MAX(0,1-33/Supuestos!$C$20))*(1-Supuestos!$C$18)^33))</f>
        <v>9.80074118083267E-005</v>
      </c>
      <c r="AK204" s="29" t="n">
        <f aca="false">AJ204*(1-MIN(1,INDEX(Tabla_Mortalidad!$B$5:$B$75,MIN(71,Cartera_Polizas!$B$206+34-49))*(1+(Cartera_Polizas!$P$206-1)*MAX(0,1-34/Supuestos!$C$20))*(1-Supuestos!$C$18)^34))</f>
        <v>3.97018608460869E-005</v>
      </c>
      <c r="AL204" s="29" t="n">
        <f aca="false">AK204*(1-MIN(1,INDEX(Tabla_Mortalidad!$B$5:$B$75,MIN(71,Cartera_Polizas!$B$206+35-49))*(1+(Cartera_Polizas!$P$206-1)*MAX(0,1-35/Supuestos!$C$20))*(1-Supuestos!$C$18)^35))</f>
        <v>1.49008828315718E-005</v>
      </c>
      <c r="AM204" s="29" t="n">
        <f aca="false">AL204*(1-MIN(1,INDEX(Tabla_Mortalidad!$B$5:$B$75,MIN(71,Cartera_Polizas!$B$206+36-49))*(1+(Cartera_Polizas!$P$206-1)*MAX(0,1-36/Supuestos!$C$20))*(1-Supuestos!$C$18)^36))</f>
        <v>5.17277098035054E-006</v>
      </c>
      <c r="AN204" s="29" t="n">
        <f aca="false">AM204*(1-MIN(1,INDEX(Tabla_Mortalidad!$B$5:$B$75,MIN(71,Cartera_Polizas!$B$206+37-49))*(1+(Cartera_Polizas!$P$206-1)*MAX(0,1-37/Supuestos!$C$20))*(1-Supuestos!$C$18)^37))</f>
        <v>1.66051761952515E-006</v>
      </c>
      <c r="AO204" s="29" t="n">
        <f aca="false">AN204*(1-MIN(1,INDEX(Tabla_Mortalidad!$B$5:$B$75,MIN(71,Cartera_Polizas!$B$206+38-49))*(1+(Cartera_Polizas!$P$206-1)*MAX(0,1-38/Supuestos!$C$20))*(1-Supuestos!$C$18)^38))</f>
        <v>4.93712742388496E-007</v>
      </c>
      <c r="AP204" s="29" t="n">
        <f aca="false">AO204*(1-MIN(1,INDEX(Tabla_Mortalidad!$B$5:$B$75,MIN(71,Cartera_Polizas!$B$206+39-49))*(1+(Cartera_Polizas!$P$206-1)*MAX(0,1-39/Supuestos!$C$20))*(1-Supuestos!$C$18)^39))</f>
        <v>1.36475713750234E-007</v>
      </c>
      <c r="AQ204" s="29" t="n">
        <f aca="false">AP204*(1-MIN(1,INDEX(Tabla_Mortalidad!$B$5:$B$75,MIN(71,Cartera_Polizas!$B$206+40-49))*(1+(Cartera_Polizas!$P$206-1)*MAX(0,1-40/Supuestos!$C$20))*(1-Supuestos!$C$18)^40))</f>
        <v>3.5288197886656E-008</v>
      </c>
      <c r="AR204" s="29" t="n">
        <f aca="false">AQ204*(1-MIN(1,INDEX(Tabla_Mortalidad!$B$5:$B$75,MIN(71,Cartera_Polizas!$B$206+41-49))*(1+(Cartera_Polizas!$P$206-1)*MAX(0,1-41/Supuestos!$C$20))*(1-Supuestos!$C$18)^41))</f>
        <v>8.60616174158684E-009</v>
      </c>
      <c r="AS204" s="29" t="n">
        <f aca="false">AR204*(1-MIN(1,INDEX(Tabla_Mortalidad!$B$5:$B$75,MIN(71,Cartera_Polizas!$B$206+42-49))*(1+(Cartera_Polizas!$P$206-1)*MAX(0,1-42/Supuestos!$C$20))*(1-Supuestos!$C$18)^42))</f>
        <v>1.99989233640376E-009</v>
      </c>
      <c r="AT204" s="29" t="n">
        <f aca="false">AS204*(1-MIN(1,INDEX(Tabla_Mortalidad!$B$5:$B$75,MIN(71,Cartera_Polizas!$B$206+43-49))*(1+(Cartera_Polizas!$P$206-1)*MAX(0,1-43/Supuestos!$C$20))*(1-Supuestos!$C$18)^43))</f>
        <v>3.87765942885501E-010</v>
      </c>
      <c r="AU204" s="29" t="n">
        <f aca="false">AT204*(1-MIN(1,INDEX(Tabla_Mortalidad!$B$5:$B$75,MIN(71,Cartera_Polizas!$B$206+44-49))*(1+(Cartera_Polizas!$P$206-1)*MAX(0,1-44/Supuestos!$C$20))*(1-Supuestos!$C$18)^44))</f>
        <v>7.67481640001942E-011</v>
      </c>
    </row>
    <row r="205" customFormat="false" ht="15" hidden="false" customHeight="false" outlineLevel="0" collapsed="false">
      <c r="A205" s="14" t="n">
        <f aca="false">Cartera_Polizas!A207</f>
        <v>202</v>
      </c>
      <c r="B205" s="26" t="n">
        <f aca="false">SUM(C205:AU205)+0.5</f>
        <v>3.86847060830948</v>
      </c>
      <c r="C205" s="29" t="n">
        <f aca="false">1-MIN(1,INDEX(Tabla_Mortalidad!$B$5:$B$75,MIN(71,Cartera_Polizas!$B$207+0-49))*(1+(Cartera_Polizas!$P$207-1)*MAX(0,1-0/Supuestos!$C$20))*(1-Supuestos!$C$18)^0)</f>
        <v>0.80704801</v>
      </c>
      <c r="D205" s="29" t="n">
        <f aca="false">C205*(1-MIN(1,INDEX(Tabla_Mortalidad!$B$5:$B$75,MIN(71,Cartera_Polizas!$B$207+1-49))*(1+(Cartera_Polizas!$P$207-1)*MAX(0,1-1/Supuestos!$C$20))*(1-Supuestos!$C$18)^1))</f>
        <v>0.641455078546277</v>
      </c>
      <c r="E205" s="29" t="n">
        <f aca="false">D205*(1-MIN(1,INDEX(Tabla_Mortalidad!$B$5:$B$75,MIN(71,Cartera_Polizas!$B$207+2-49))*(1+(Cartera_Polizas!$P$207-1)*MAX(0,1-2/Supuestos!$C$20))*(1-Supuestos!$C$18)^2))</f>
        <v>0.501793365717907</v>
      </c>
      <c r="F205" s="29" t="n">
        <f aca="false">E205*(1-MIN(1,INDEX(Tabla_Mortalidad!$B$5:$B$75,MIN(71,Cartera_Polizas!$B$207+3-49))*(1+(Cartera_Polizas!$P$207-1)*MAX(0,1-3/Supuestos!$C$20))*(1-Supuestos!$C$18)^3))</f>
        <v>0.386128055914059</v>
      </c>
      <c r="G205" s="29" t="n">
        <f aca="false">F205*(1-MIN(1,INDEX(Tabla_Mortalidad!$B$5:$B$75,MIN(71,Cartera_Polizas!$B$207+4-49))*(1+(Cartera_Polizas!$P$207-1)*MAX(0,1-4/Supuestos!$C$20))*(1-Supuestos!$C$18)^4))</f>
        <v>0.292138273192878</v>
      </c>
      <c r="H205" s="29" t="n">
        <f aca="false">G205*(1-MIN(1,INDEX(Tabla_Mortalidad!$B$5:$B$75,MIN(71,Cartera_Polizas!$B$207+5-49))*(1+(Cartera_Polizas!$P$207-1)*MAX(0,1-5/Supuestos!$C$20))*(1-Supuestos!$C$18)^5))</f>
        <v>0.217251081080994</v>
      </c>
      <c r="I205" s="29" t="n">
        <f aca="false">H205*(1-MIN(1,INDEX(Tabla_Mortalidad!$B$5:$B$75,MIN(71,Cartera_Polizas!$B$207+6-49))*(1+(Cartera_Polizas!$P$207-1)*MAX(0,1-6/Supuestos!$C$20))*(1-Supuestos!$C$18)^6))</f>
        <v>0.15878174372894</v>
      </c>
      <c r="J205" s="29" t="n">
        <f aca="false">I205*(1-MIN(1,INDEX(Tabla_Mortalidad!$B$5:$B$75,MIN(71,Cartera_Polizas!$B$207+7-49))*(1+(Cartera_Polizas!$P$207-1)*MAX(0,1-7/Supuestos!$C$20))*(1-Supuestos!$C$18)^7))</f>
        <v>0.114066743354415</v>
      </c>
      <c r="K205" s="29" t="n">
        <f aca="false">J205*(1-MIN(1,INDEX(Tabla_Mortalidad!$B$5:$B$75,MIN(71,Cartera_Polizas!$B$207+8-49))*(1+(Cartera_Polizas!$P$207-1)*MAX(0,1-8/Supuestos!$C$20))*(1-Supuestos!$C$18)^8))</f>
        <v>0.0805789518749469</v>
      </c>
      <c r="L205" s="29" t="n">
        <f aca="false">K205*(1-MIN(1,INDEX(Tabla_Mortalidad!$B$5:$B$75,MIN(71,Cartera_Polizas!$B$207+9-49))*(1+(Cartera_Polizas!$P$207-1)*MAX(0,1-9/Supuestos!$C$20))*(1-Supuestos!$C$18)^9))</f>
        <v>0.0560187441463273</v>
      </c>
      <c r="M205" s="29" t="n">
        <f aca="false">L205*(1-MIN(1,INDEX(Tabla_Mortalidad!$B$5:$B$75,MIN(71,Cartera_Polizas!$B$207+10-49))*(1+(Cartera_Polizas!$P$207-1)*MAX(0,1-10/Supuestos!$C$20))*(1-Supuestos!$C$18)^10))</f>
        <v>0.0383735306180901</v>
      </c>
      <c r="N205" s="29" t="n">
        <f aca="false">M205*(1-MIN(1,INDEX(Tabla_Mortalidad!$B$5:$B$75,MIN(71,Cartera_Polizas!$B$207+11-49))*(1+(Cartera_Polizas!$P$207-1)*MAX(0,1-11/Supuestos!$C$20))*(1-Supuestos!$C$18)^11))</f>
        <v>0.0259463393456931</v>
      </c>
      <c r="O205" s="29" t="n">
        <f aca="false">N205*(1-MIN(1,INDEX(Tabla_Mortalidad!$B$5:$B$75,MIN(71,Cartera_Polizas!$B$207+12-49))*(1+(Cartera_Polizas!$P$207-1)*MAX(0,1-12/Supuestos!$C$20))*(1-Supuestos!$C$18)^12))</f>
        <v>0.017357226257926</v>
      </c>
      <c r="P205" s="29" t="n">
        <f aca="false">O205*(1-MIN(1,INDEX(Tabla_Mortalidad!$B$5:$B$75,MIN(71,Cartera_Polizas!$B$207+13-49))*(1+(Cartera_Polizas!$P$207-1)*MAX(0,1-13/Supuestos!$C$20))*(1-Supuestos!$C$18)^13))</f>
        <v>0.01152234120026</v>
      </c>
      <c r="Q205" s="29" t="n">
        <f aca="false">P205*(1-MIN(1,INDEX(Tabla_Mortalidad!$B$5:$B$75,MIN(71,Cartera_Polizas!$B$207+14-49))*(1+(Cartera_Polizas!$P$207-1)*MAX(0,1-14/Supuestos!$C$20))*(1-Supuestos!$C$18)^14))</f>
        <v>0.00761821394370914</v>
      </c>
      <c r="R205" s="29" t="n">
        <f aca="false">Q205*(1-MIN(1,INDEX(Tabla_Mortalidad!$B$5:$B$75,MIN(71,Cartera_Polizas!$B$207+15-49))*(1+(Cartera_Polizas!$P$207-1)*MAX(0,1-15/Supuestos!$C$20))*(1-Supuestos!$C$18)^15))</f>
        <v>0.00503874493732453</v>
      </c>
      <c r="S205" s="29" t="n">
        <f aca="false">R205*(1-MIN(1,INDEX(Tabla_Mortalidad!$B$5:$B$75,MIN(71,Cartera_Polizas!$B$207+16-49))*(1+(Cartera_Polizas!$P$207-1)*MAX(0,1-16/Supuestos!$C$20))*(1-Supuestos!$C$18)^16))</f>
        <v>0.00318929833144278</v>
      </c>
      <c r="T205" s="29" t="n">
        <f aca="false">S205*(1-MIN(1,INDEX(Tabla_Mortalidad!$B$5:$B$75,MIN(71,Cartera_Polizas!$B$207+17-49))*(1+(Cartera_Polizas!$P$207-1)*MAX(0,1-17/Supuestos!$C$20))*(1-Supuestos!$C$18)^17))</f>
        <v>0.00192354766737917</v>
      </c>
      <c r="U205" s="29" t="n">
        <f aca="false">T205*(1-MIN(1,INDEX(Tabla_Mortalidad!$B$5:$B$75,MIN(71,Cartera_Polizas!$B$207+18-49))*(1+(Cartera_Polizas!$P$207-1)*MAX(0,1-18/Supuestos!$C$20))*(1-Supuestos!$C$18)^18))</f>
        <v>0.0011003963870141</v>
      </c>
      <c r="V205" s="29" t="n">
        <f aca="false">U205*(1-MIN(1,INDEX(Tabla_Mortalidad!$B$5:$B$75,MIN(71,Cartera_Polizas!$B$207+19-49))*(1+(Cartera_Polizas!$P$207-1)*MAX(0,1-19/Supuestos!$C$20))*(1-Supuestos!$C$18)^19))</f>
        <v>0.000594182662844238</v>
      </c>
      <c r="W205" s="29" t="n">
        <f aca="false">V205*(1-MIN(1,INDEX(Tabla_Mortalidad!$B$5:$B$75,MIN(71,Cartera_Polizas!$B$207+20-49))*(1+(Cartera_Polizas!$P$207-1)*MAX(0,1-20/Supuestos!$C$20))*(1-Supuestos!$C$18)^20))</f>
        <v>0.000301303794897395</v>
      </c>
      <c r="X205" s="29" t="n">
        <f aca="false">W205*(1-MIN(1,INDEX(Tabla_Mortalidad!$B$5:$B$75,MIN(71,Cartera_Polizas!$B$207+21-49))*(1+(Cartera_Polizas!$P$207-1)*MAX(0,1-21/Supuestos!$C$20))*(1-Supuestos!$C$18)^21))</f>
        <v>0.000142734381335532</v>
      </c>
      <c r="Y205" s="29" t="n">
        <f aca="false">X205*(1-MIN(1,INDEX(Tabla_Mortalidad!$B$5:$B$75,MIN(71,Cartera_Polizas!$B$207+22-49))*(1+(Cartera_Polizas!$P$207-1)*MAX(0,1-22/Supuestos!$C$20))*(1-Supuestos!$C$18)^22))</f>
        <v>6.28353700084556E-005</v>
      </c>
      <c r="Z205" s="29" t="n">
        <f aca="false">Y205*(1-MIN(1,INDEX(Tabla_Mortalidad!$B$5:$B$75,MIN(71,Cartera_Polizas!$B$207+23-49))*(1+(Cartera_Polizas!$P$207-1)*MAX(0,1-23/Supuestos!$C$20))*(1-Supuestos!$C$18)^23))</f>
        <v>2.55744369042022E-005</v>
      </c>
      <c r="AA205" s="29" t="n">
        <f aca="false">Z205*(1-MIN(1,INDEX(Tabla_Mortalidad!$B$5:$B$75,MIN(71,Cartera_Polizas!$B$207+24-49))*(1+(Cartera_Polizas!$P$207-1)*MAX(0,1-24/Supuestos!$C$20))*(1-Supuestos!$C$18)^24))</f>
        <v>9.57788955184051E-006</v>
      </c>
      <c r="AB205" s="29" t="n">
        <f aca="false">AA205*(1-MIN(1,INDEX(Tabla_Mortalidad!$B$5:$B$75,MIN(71,Cartera_Polizas!$B$207+25-49))*(1+(Cartera_Polizas!$P$207-1)*MAX(0,1-25/Supuestos!$C$20))*(1-Supuestos!$C$18)^25))</f>
        <v>3.28721870578104E-006</v>
      </c>
      <c r="AC205" s="29" t="n">
        <f aca="false">AB205*(1-MIN(1,INDEX(Tabla_Mortalidad!$B$5:$B$75,MIN(71,Cartera_Polizas!$B$207+26-49))*(1+(Cartera_Polizas!$P$207-1)*MAX(0,1-26/Supuestos!$C$20))*(1-Supuestos!$C$18)^26))</f>
        <v>1.03082776340863E-006</v>
      </c>
      <c r="AD205" s="29" t="n">
        <f aca="false">AC205*(1-MIN(1,INDEX(Tabla_Mortalidad!$B$5:$B$75,MIN(71,Cartera_Polizas!$B$207+27-49))*(1+(Cartera_Polizas!$P$207-1)*MAX(0,1-27/Supuestos!$C$20))*(1-Supuestos!$C$18)^27))</f>
        <v>2.94929318162174E-007</v>
      </c>
      <c r="AE205" s="29" t="n">
        <f aca="false">AD205*(1-MIN(1,INDEX(Tabla_Mortalidad!$B$5:$B$75,MIN(71,Cartera_Polizas!$B$207+28-49))*(1+(Cartera_Polizas!$P$207-1)*MAX(0,1-28/Supuestos!$C$20))*(1-Supuestos!$C$18)^28))</f>
        <v>7.70370162938059E-008</v>
      </c>
      <c r="AF205" s="29" t="n">
        <f aca="false">AE205*(1-MIN(1,INDEX(Tabla_Mortalidad!$B$5:$B$75,MIN(71,Cartera_Polizas!$B$207+29-49))*(1+(Cartera_Polizas!$P$207-1)*MAX(0,1-29/Supuestos!$C$20))*(1-Supuestos!$C$18)^29))</f>
        <v>1.84298425469081E-008</v>
      </c>
      <c r="AG205" s="29" t="n">
        <f aca="false">AF205*(1-MIN(1,INDEX(Tabla_Mortalidad!$B$5:$B$75,MIN(71,Cartera_Polizas!$B$207+30-49))*(1+(Cartera_Polizas!$P$207-1)*MAX(0,1-30/Supuestos!$C$20))*(1-Supuestos!$C$18)^30))</f>
        <v>4.06296542433629E-009</v>
      </c>
      <c r="AH205" s="29" t="n">
        <f aca="false">AG205*(1-MIN(1,INDEX(Tabla_Mortalidad!$B$5:$B$75,MIN(71,Cartera_Polizas!$B$207+31-49))*(1+(Cartera_Polizas!$P$207-1)*MAX(0,1-31/Supuestos!$C$20))*(1-Supuestos!$C$18)^31))</f>
        <v>8.32970744289296E-010</v>
      </c>
      <c r="AI205" s="29" t="n">
        <f aca="false">AH205*(1-MIN(1,INDEX(Tabla_Mortalidad!$B$5:$B$75,MIN(71,Cartera_Polizas!$B$207+32-49))*(1+(Cartera_Polizas!$P$207-1)*MAX(0,1-32/Supuestos!$C$20))*(1-Supuestos!$C$18)^32))</f>
        <v>1.60697669936466E-010</v>
      </c>
      <c r="AJ205" s="29" t="n">
        <f aca="false">AI205*(1-MIN(1,INDEX(Tabla_Mortalidad!$B$5:$B$75,MIN(71,Cartera_Polizas!$B$207+33-49))*(1+(Cartera_Polizas!$P$207-1)*MAX(0,1-33/Supuestos!$C$20))*(1-Supuestos!$C$18)^33))</f>
        <v>2.44995087215681E-011</v>
      </c>
      <c r="AK205" s="29" t="n">
        <f aca="false">AJ205*(1-MIN(1,INDEX(Tabla_Mortalidad!$B$5:$B$75,MIN(71,Cartera_Polizas!$B$207+34-49))*(1+(Cartera_Polizas!$P$207-1)*MAX(0,1-34/Supuestos!$C$20))*(1-Supuestos!$C$18)^34))</f>
        <v>3.83894718594753E-012</v>
      </c>
      <c r="AL205" s="29" t="n">
        <f aca="false">AK205*(1-MIN(1,INDEX(Tabla_Mortalidad!$B$5:$B$75,MIN(71,Cartera_Polizas!$B$207+35-49))*(1+(Cartera_Polizas!$P$207-1)*MAX(0,1-35/Supuestos!$C$20))*(1-Supuestos!$C$18)^35))</f>
        <v>6.17730326404771E-013</v>
      </c>
      <c r="AM205" s="29" t="n">
        <f aca="false">AL205*(1-MIN(1,INDEX(Tabla_Mortalidad!$B$5:$B$75,MIN(71,Cartera_Polizas!$B$207+36-49))*(1+(Cartera_Polizas!$P$207-1)*MAX(0,1-36/Supuestos!$C$20))*(1-Supuestos!$C$18)^36))</f>
        <v>1.01991497643861E-013</v>
      </c>
      <c r="AN205" s="29" t="n">
        <f aca="false">AM205*(1-MIN(1,INDEX(Tabla_Mortalidad!$B$5:$B$75,MIN(71,Cartera_Polizas!$B$207+37-49))*(1+(Cartera_Polizas!$P$207-1)*MAX(0,1-37/Supuestos!$C$20))*(1-Supuestos!$C$18)^37))</f>
        <v>1.72652531589348E-014</v>
      </c>
      <c r="AO205" s="29" t="n">
        <f aca="false">AN205*(1-MIN(1,INDEX(Tabla_Mortalidad!$B$5:$B$75,MIN(71,Cartera_Polizas!$B$207+38-49))*(1+(Cartera_Polizas!$P$207-1)*MAX(0,1-38/Supuestos!$C$20))*(1-Supuestos!$C$18)^38))</f>
        <v>2.99439731740894E-015</v>
      </c>
      <c r="AP205" s="29" t="n">
        <f aca="false">AO205*(1-MIN(1,INDEX(Tabla_Mortalidad!$B$5:$B$75,MIN(71,Cartera_Polizas!$B$207+39-49))*(1+(Cartera_Polizas!$P$207-1)*MAX(0,1-39/Supuestos!$C$20))*(1-Supuestos!$C$18)^39))</f>
        <v>5.31708297135519E-016</v>
      </c>
      <c r="AQ205" s="29" t="n">
        <f aca="false">AP205*(1-MIN(1,INDEX(Tabla_Mortalidad!$B$5:$B$75,MIN(71,Cartera_Polizas!$B$207+40-49))*(1+(Cartera_Polizas!$P$207-1)*MAX(0,1-40/Supuestos!$C$20))*(1-Supuestos!$C$18)^40))</f>
        <v>9.6600699074821E-017</v>
      </c>
      <c r="AR205" s="29" t="n">
        <f aca="false">AQ205*(1-MIN(1,INDEX(Tabla_Mortalidad!$B$5:$B$75,MIN(71,Cartera_Polizas!$B$207+41-49))*(1+(Cartera_Polizas!$P$207-1)*MAX(0,1-41/Supuestos!$C$20))*(1-Supuestos!$C$18)^41))</f>
        <v>1.79456547958275E-017</v>
      </c>
      <c r="AS205" s="29" t="n">
        <f aca="false">AR205*(1-MIN(1,INDEX(Tabla_Mortalidad!$B$5:$B$75,MIN(71,Cartera_Polizas!$B$207+42-49))*(1+(Cartera_Polizas!$P$207-1)*MAX(0,1-42/Supuestos!$C$20))*(1-Supuestos!$C$18)^42))</f>
        <v>3.40685016325822E-018</v>
      </c>
      <c r="AT205" s="29" t="n">
        <f aca="false">AS205*(1-MIN(1,INDEX(Tabla_Mortalidad!$B$5:$B$75,MIN(71,Cartera_Polizas!$B$207+43-49))*(1+(Cartera_Polizas!$P$207-1)*MAX(0,1-43/Supuestos!$C$20))*(1-Supuestos!$C$18)^43))</f>
        <v>6.60565792357101E-019</v>
      </c>
      <c r="AU205" s="29" t="n">
        <f aca="false">AT205*(1-MIN(1,INDEX(Tabla_Mortalidad!$B$5:$B$75,MIN(71,Cartera_Polizas!$B$207+44-49))*(1+(Cartera_Polizas!$P$207-1)*MAX(0,1-44/Supuestos!$C$20))*(1-Supuestos!$C$18)^44))</f>
        <v>1.30741785592323E-019</v>
      </c>
    </row>
    <row r="206" customFormat="false" ht="15" hidden="false" customHeight="false" outlineLevel="0" collapsed="false">
      <c r="A206" s="14" t="n">
        <f aca="false">Cartera_Polizas!A208</f>
        <v>203</v>
      </c>
      <c r="B206" s="26" t="n">
        <f aca="false">SUM(C206:AU206)+0.5</f>
        <v>4.86707681301698</v>
      </c>
      <c r="C206" s="29" t="n">
        <f aca="false">1-MIN(1,INDEX(Tabla_Mortalidad!$B$5:$B$75,MIN(71,Cartera_Polizas!$B$208+0-49))*(1+(Cartera_Polizas!$P$208-1)*MAX(0,1-0/Supuestos!$C$20))*(1-Supuestos!$C$18)^0)</f>
        <v>0.8512668</v>
      </c>
      <c r="D206" s="29" t="n">
        <f aca="false">C206*(1-MIN(1,INDEX(Tabla_Mortalidad!$B$5:$B$75,MIN(71,Cartera_Polizas!$B$208+1-49))*(1+(Cartera_Polizas!$P$208-1)*MAX(0,1-1/Supuestos!$C$20))*(1-Supuestos!$C$18)^1))</f>
        <v>0.716295851644993</v>
      </c>
      <c r="E206" s="29" t="n">
        <f aca="false">D206*(1-MIN(1,INDEX(Tabla_Mortalidad!$B$5:$B$75,MIN(71,Cartera_Polizas!$B$208+2-49))*(1+(Cartera_Polizas!$P$208-1)*MAX(0,1-2/Supuestos!$C$20))*(1-Supuestos!$C$18)^2))</f>
        <v>0.595457150922234</v>
      </c>
      <c r="F206" s="29" t="n">
        <f aca="false">E206*(1-MIN(1,INDEX(Tabla_Mortalidad!$B$5:$B$75,MIN(71,Cartera_Polizas!$B$208+3-49))*(1+(Cartera_Polizas!$P$208-1)*MAX(0,1-3/Supuestos!$C$20))*(1-Supuestos!$C$18)^3))</f>
        <v>0.4887924217525</v>
      </c>
      <c r="G206" s="29" t="n">
        <f aca="false">F206*(1-MIN(1,INDEX(Tabla_Mortalidad!$B$5:$B$75,MIN(71,Cartera_Polizas!$B$208+4-49))*(1+(Cartera_Polizas!$P$208-1)*MAX(0,1-4/Supuestos!$C$20))*(1-Supuestos!$C$18)^4))</f>
        <v>0.396029608493199</v>
      </c>
      <c r="H206" s="29" t="n">
        <f aca="false">G206*(1-MIN(1,INDEX(Tabla_Mortalidad!$B$5:$B$75,MIN(71,Cartera_Polizas!$B$208+5-49))*(1+(Cartera_Polizas!$P$208-1)*MAX(0,1-5/Supuestos!$C$20))*(1-Supuestos!$C$18)^5))</f>
        <v>0.316597776153372</v>
      </c>
      <c r="I206" s="29" t="n">
        <f aca="false">H206*(1-MIN(1,INDEX(Tabla_Mortalidad!$B$5:$B$75,MIN(71,Cartera_Polizas!$B$208+6-49))*(1+(Cartera_Polizas!$P$208-1)*MAX(0,1-6/Supuestos!$C$20))*(1-Supuestos!$C$18)^6))</f>
        <v>0.249666671915825</v>
      </c>
      <c r="J206" s="29" t="n">
        <f aca="false">I206*(1-MIN(1,INDEX(Tabla_Mortalidad!$B$5:$B$75,MIN(71,Cartera_Polizas!$B$208+7-49))*(1+(Cartera_Polizas!$P$208-1)*MAX(0,1-7/Supuestos!$C$20))*(1-Supuestos!$C$18)^7))</f>
        <v>0.19419712608559</v>
      </c>
      <c r="K206" s="29" t="n">
        <f aca="false">J206*(1-MIN(1,INDEX(Tabla_Mortalidad!$B$5:$B$75,MIN(71,Cartera_Polizas!$B$208+8-49))*(1+(Cartera_Polizas!$P$208-1)*MAX(0,1-8/Supuestos!$C$20))*(1-Supuestos!$C$18)^8))</f>
        <v>0.149001299932513</v>
      </c>
      <c r="L206" s="29" t="n">
        <f aca="false">K206*(1-MIN(1,INDEX(Tabla_Mortalidad!$B$5:$B$75,MIN(71,Cartera_Polizas!$B$208+9-49))*(1+(Cartera_Polizas!$P$208-1)*MAX(0,1-9/Supuestos!$C$20))*(1-Supuestos!$C$18)^9))</f>
        <v>0.112806811618982</v>
      </c>
      <c r="M206" s="29" t="n">
        <f aca="false">L206*(1-MIN(1,INDEX(Tabla_Mortalidad!$B$5:$B$75,MIN(71,Cartera_Polizas!$B$208+10-49))*(1+(Cartera_Polizas!$P$208-1)*MAX(0,1-10/Supuestos!$C$20))*(1-Supuestos!$C$18)^10))</f>
        <v>0.0843194915857123</v>
      </c>
      <c r="N206" s="29" t="n">
        <f aca="false">M206*(1-MIN(1,INDEX(Tabla_Mortalidad!$B$5:$B$75,MIN(71,Cartera_Polizas!$B$208+11-49))*(1+(Cartera_Polizas!$P$208-1)*MAX(0,1-11/Supuestos!$C$20))*(1-Supuestos!$C$18)^11))</f>
        <v>0.0622814231874646</v>
      </c>
      <c r="O206" s="29" t="n">
        <f aca="false">N206*(1-MIN(1,INDEX(Tabla_Mortalidad!$B$5:$B$75,MIN(71,Cartera_Polizas!$B$208+12-49))*(1+(Cartera_Polizas!$P$208-1)*MAX(0,1-12/Supuestos!$C$20))*(1-Supuestos!$C$18)^12))</f>
        <v>0.0455179536696264</v>
      </c>
      <c r="P206" s="29" t="n">
        <f aca="false">O206*(1-MIN(1,INDEX(Tabla_Mortalidad!$B$5:$B$75,MIN(71,Cartera_Polizas!$B$208+13-49))*(1+(Cartera_Polizas!$P$208-1)*MAX(0,1-13/Supuestos!$C$20))*(1-Supuestos!$C$18)^13))</f>
        <v>0.0329718504903196</v>
      </c>
      <c r="Q206" s="29" t="n">
        <f aca="false">P206*(1-MIN(1,INDEX(Tabla_Mortalidad!$B$5:$B$75,MIN(71,Cartera_Polizas!$B$208+14-49))*(1+(Cartera_Polizas!$P$208-1)*MAX(0,1-14/Supuestos!$C$20))*(1-Supuestos!$C$18)^14))</f>
        <v>0.0237243127795242</v>
      </c>
      <c r="R206" s="29" t="n">
        <f aca="false">Q206*(1-MIN(1,INDEX(Tabla_Mortalidad!$B$5:$B$75,MIN(71,Cartera_Polizas!$B$208+15-49))*(1+(Cartera_Polizas!$P$208-1)*MAX(0,1-15/Supuestos!$C$20))*(1-Supuestos!$C$18)^15))</f>
        <v>0.0170026435360914</v>
      </c>
      <c r="S206" s="29" t="n">
        <f aca="false">R206*(1-MIN(1,INDEX(Tabla_Mortalidad!$B$5:$B$75,MIN(71,Cartera_Polizas!$B$208+16-49))*(1+(Cartera_Polizas!$P$208-1)*MAX(0,1-16/Supuestos!$C$20))*(1-Supuestos!$C$18)^16))</f>
        <v>0.0117571888077803</v>
      </c>
      <c r="T206" s="29" t="n">
        <f aca="false">S206*(1-MIN(1,INDEX(Tabla_Mortalidad!$B$5:$B$75,MIN(71,Cartera_Polizas!$B$208+17-49))*(1+(Cartera_Polizas!$P$208-1)*MAX(0,1-17/Supuestos!$C$20))*(1-Supuestos!$C$18)^17))</f>
        <v>0.00781600397167324</v>
      </c>
      <c r="U206" s="29" t="n">
        <f aca="false">T206*(1-MIN(1,INDEX(Tabla_Mortalidad!$B$5:$B$75,MIN(71,Cartera_Polizas!$B$208+18-49))*(1+(Cartera_Polizas!$P$208-1)*MAX(0,1-18/Supuestos!$C$20))*(1-Supuestos!$C$18)^18))</f>
        <v>0.0049757946027011</v>
      </c>
      <c r="V206" s="29" t="n">
        <f aca="false">U206*(1-MIN(1,INDEX(Tabla_Mortalidad!$B$5:$B$75,MIN(71,Cartera_Polizas!$B$208+19-49))*(1+(Cartera_Polizas!$P$208-1)*MAX(0,1-19/Supuestos!$C$20))*(1-Supuestos!$C$18)^19))</f>
        <v>0.00302072769635456</v>
      </c>
      <c r="W206" s="29" t="n">
        <f aca="false">V206*(1-MIN(1,INDEX(Tabla_Mortalidad!$B$5:$B$75,MIN(71,Cartera_Polizas!$B$208+20-49))*(1+(Cartera_Polizas!$P$208-1)*MAX(0,1-20/Supuestos!$C$20))*(1-Supuestos!$C$18)^20))</f>
        <v>0.00174095027423825</v>
      </c>
      <c r="X206" s="29" t="n">
        <f aca="false">W206*(1-MIN(1,INDEX(Tabla_Mortalidad!$B$5:$B$75,MIN(71,Cartera_Polizas!$B$208+21-49))*(1+(Cartera_Polizas!$P$208-1)*MAX(0,1-21/Supuestos!$C$20))*(1-Supuestos!$C$18)^21))</f>
        <v>0.000948052337351995</v>
      </c>
      <c r="Y206" s="29" t="n">
        <f aca="false">X206*(1-MIN(1,INDEX(Tabla_Mortalidad!$B$5:$B$75,MIN(71,Cartera_Polizas!$B$208+22-49))*(1+(Cartera_Polizas!$P$208-1)*MAX(0,1-22/Supuestos!$C$20))*(1-Supuestos!$C$18)^22))</f>
        <v>0.000485408761281725</v>
      </c>
      <c r="Z206" s="29" t="n">
        <f aca="false">Y206*(1-MIN(1,INDEX(Tabla_Mortalidad!$B$5:$B$75,MIN(71,Cartera_Polizas!$B$208+23-49))*(1+(Cartera_Polizas!$P$208-1)*MAX(0,1-23/Supuestos!$C$20))*(1-Supuestos!$C$18)^23))</f>
        <v>0.000232497253517256</v>
      </c>
      <c r="AA206" s="29" t="n">
        <f aca="false">Z206*(1-MIN(1,INDEX(Tabla_Mortalidad!$B$5:$B$75,MIN(71,Cartera_Polizas!$B$208+24-49))*(1+(Cartera_Polizas!$P$208-1)*MAX(0,1-24/Supuestos!$C$20))*(1-Supuestos!$C$18)^24))</f>
        <v>0.000103649516056922</v>
      </c>
      <c r="AB206" s="29" t="n">
        <f aca="false">AA206*(1-MIN(1,INDEX(Tabla_Mortalidad!$B$5:$B$75,MIN(71,Cartera_Polizas!$B$208+25-49))*(1+(Cartera_Polizas!$P$208-1)*MAX(0,1-25/Supuestos!$C$20))*(1-Supuestos!$C$18)^25))</f>
        <v>4.27991787600789E-005</v>
      </c>
      <c r="AC206" s="29" t="n">
        <f aca="false">AB206*(1-MIN(1,INDEX(Tabla_Mortalidad!$B$5:$B$75,MIN(71,Cartera_Polizas!$B$208+26-49))*(1+(Cartera_Polizas!$P$208-1)*MAX(0,1-26/Supuestos!$C$20))*(1-Supuestos!$C$18)^26))</f>
        <v>1.62957676665238E-005</v>
      </c>
      <c r="AD206" s="29" t="n">
        <f aca="false">AC206*(1-MIN(1,INDEX(Tabla_Mortalidad!$B$5:$B$75,MIN(71,Cartera_Polizas!$B$208+27-49))*(1+(Cartera_Polizas!$P$208-1)*MAX(0,1-27/Supuestos!$C$20))*(1-Supuestos!$C$18)^27))</f>
        <v>5.6996170530014E-006</v>
      </c>
      <c r="AE206" s="29" t="n">
        <f aca="false">AD206*(1-MIN(1,INDEX(Tabla_Mortalidad!$B$5:$B$75,MIN(71,Cartera_Polizas!$B$208+28-49))*(1+(Cartera_Polizas!$P$208-1)*MAX(0,1-28/Supuestos!$C$20))*(1-Supuestos!$C$18)^28))</f>
        <v>1.82634870545711E-006</v>
      </c>
      <c r="AF206" s="29" t="n">
        <f aca="false">AE206*(1-MIN(1,INDEX(Tabla_Mortalidad!$B$5:$B$75,MIN(71,Cartera_Polizas!$B$208+29-49))*(1+(Cartera_Polizas!$P$208-1)*MAX(0,1-29/Supuestos!$C$20))*(1-Supuestos!$C$18)^29))</f>
        <v>5.35540727143683E-007</v>
      </c>
      <c r="AG206" s="29" t="n">
        <f aca="false">AF206*(1-MIN(1,INDEX(Tabla_Mortalidad!$B$5:$B$75,MIN(71,Cartera_Polizas!$B$208+30-49))*(1+(Cartera_Polizas!$P$208-1)*MAX(0,1-30/Supuestos!$C$20))*(1-Supuestos!$C$18)^30))</f>
        <v>1.43832579107683E-007</v>
      </c>
      <c r="AH206" s="29" t="n">
        <f aca="false">AG206*(1-MIN(1,INDEX(Tabla_Mortalidad!$B$5:$B$75,MIN(71,Cartera_Polizas!$B$208+31-49))*(1+(Cartera_Polizas!$P$208-1)*MAX(0,1-31/Supuestos!$C$20))*(1-Supuestos!$C$18)^31))</f>
        <v>3.55010796973018E-008</v>
      </c>
      <c r="AI206" s="29" t="n">
        <f aca="false">AH206*(1-MIN(1,INDEX(Tabla_Mortalidad!$B$5:$B$75,MIN(71,Cartera_Polizas!$B$208+32-49))*(1+(Cartera_Polizas!$P$208-1)*MAX(0,1-32/Supuestos!$C$20))*(1-Supuestos!$C$18)^32))</f>
        <v>8.10247317429472E-009</v>
      </c>
      <c r="AJ206" s="29" t="n">
        <f aca="false">AI206*(1-MIN(1,INDEX(Tabla_Mortalidad!$B$5:$B$75,MIN(71,Cartera_Polizas!$B$208+33-49))*(1+(Cartera_Polizas!$P$208-1)*MAX(0,1-33/Supuestos!$C$20))*(1-Supuestos!$C$18)^33))</f>
        <v>1.72538467776211E-009</v>
      </c>
      <c r="AK206" s="29" t="n">
        <f aca="false">AJ206*(1-MIN(1,INDEX(Tabla_Mortalidad!$B$5:$B$75,MIN(71,Cartera_Polizas!$B$208+34-49))*(1+(Cartera_Polizas!$P$208-1)*MAX(0,1-34/Supuestos!$C$20))*(1-Supuestos!$C$18)^34))</f>
        <v>3.46753589867013E-010</v>
      </c>
      <c r="AL206" s="29" t="n">
        <f aca="false">AK206*(1-MIN(1,INDEX(Tabla_Mortalidad!$B$5:$B$75,MIN(71,Cartera_Polizas!$B$208+35-49))*(1+(Cartera_Polizas!$P$208-1)*MAX(0,1-35/Supuestos!$C$20))*(1-Supuestos!$C$18)^35))</f>
        <v>5.57966020044913E-011</v>
      </c>
      <c r="AM206" s="29" t="n">
        <f aca="false">AL206*(1-MIN(1,INDEX(Tabla_Mortalidad!$B$5:$B$75,MIN(71,Cartera_Polizas!$B$208+36-49))*(1+(Cartera_Polizas!$P$208-1)*MAX(0,1-36/Supuestos!$C$20))*(1-Supuestos!$C$18)^36))</f>
        <v>9.21240023133915E-012</v>
      </c>
      <c r="AN206" s="29" t="n">
        <f aca="false">AM206*(1-MIN(1,INDEX(Tabla_Mortalidad!$B$5:$B$75,MIN(71,Cartera_Polizas!$B$208+37-49))*(1+(Cartera_Polizas!$P$208-1)*MAX(0,1-37/Supuestos!$C$20))*(1-Supuestos!$C$18)^37))</f>
        <v>1.55948707362739E-012</v>
      </c>
      <c r="AO206" s="29" t="n">
        <f aca="false">AN206*(1-MIN(1,INDEX(Tabla_Mortalidad!$B$5:$B$75,MIN(71,Cartera_Polizas!$B$208+38-49))*(1+(Cartera_Polizas!$P$208-1)*MAX(0,1-38/Supuestos!$C$20))*(1-Supuestos!$C$18)^38))</f>
        <v>2.70469472229384E-013</v>
      </c>
      <c r="AP206" s="29" t="n">
        <f aca="false">AO206*(1-MIN(1,INDEX(Tabla_Mortalidad!$B$5:$B$75,MIN(71,Cartera_Polizas!$B$208+39-49))*(1+(Cartera_Polizas!$P$208-1)*MAX(0,1-39/Supuestos!$C$20))*(1-Supuestos!$C$18)^39))</f>
        <v>4.80266468548228E-014</v>
      </c>
      <c r="AQ206" s="29" t="n">
        <f aca="false">AP206*(1-MIN(1,INDEX(Tabla_Mortalidad!$B$5:$B$75,MIN(71,Cartera_Polizas!$B$208+40-49))*(1+(Cartera_Polizas!$P$208-1)*MAX(0,1-40/Supuestos!$C$20))*(1-Supuestos!$C$18)^40))</f>
        <v>8.72547538827096E-015</v>
      </c>
      <c r="AR206" s="29" t="n">
        <f aca="false">AQ206*(1-MIN(1,INDEX(Tabla_Mortalidad!$B$5:$B$75,MIN(71,Cartera_Polizas!$B$208+41-49))*(1+(Cartera_Polizas!$P$208-1)*MAX(0,1-41/Supuestos!$C$20))*(1-Supuestos!$C$18)^41))</f>
        <v>1.62094447293925E-015</v>
      </c>
      <c r="AS206" s="29" t="n">
        <f aca="false">AR206*(1-MIN(1,INDEX(Tabla_Mortalidad!$B$5:$B$75,MIN(71,Cartera_Polizas!$B$208+42-49))*(1+(Cartera_Polizas!$P$208-1)*MAX(0,1-42/Supuestos!$C$20))*(1-Supuestos!$C$18)^42))</f>
        <v>3.07724349158304E-016</v>
      </c>
      <c r="AT206" s="29" t="n">
        <f aca="false">AS206*(1-MIN(1,INDEX(Tabla_Mortalidad!$B$5:$B$75,MIN(71,Cartera_Polizas!$B$208+43-49))*(1+(Cartera_Polizas!$P$208-1)*MAX(0,1-43/Supuestos!$C$20))*(1-Supuestos!$C$18)^43))</f>
        <v>5.96657231132597E-017</v>
      </c>
      <c r="AU206" s="29" t="n">
        <f aca="false">AT206*(1-MIN(1,INDEX(Tabla_Mortalidad!$B$5:$B$75,MIN(71,Cartera_Polizas!$B$208+44-49))*(1+(Cartera_Polizas!$P$208-1)*MAX(0,1-44/Supuestos!$C$20))*(1-Supuestos!$C$18)^44))</f>
        <v>1.18092751225416E-017</v>
      </c>
    </row>
    <row r="207" customFormat="false" ht="15" hidden="false" customHeight="false" outlineLevel="0" collapsed="false">
      <c r="A207" s="14" t="n">
        <f aca="false">Cartera_Polizas!A209</f>
        <v>204</v>
      </c>
      <c r="B207" s="26" t="n">
        <f aca="false">SUM(C207:AU207)+0.5</f>
        <v>4.78010542254414</v>
      </c>
      <c r="C207" s="29" t="n">
        <f aca="false">1-MIN(1,INDEX(Tabla_Mortalidad!$B$5:$B$75,MIN(71,Cartera_Polizas!$B$209+0-49))*(1+(Cartera_Polizas!$P$209-1)*MAX(0,1-0/Supuestos!$C$20))*(1-Supuestos!$C$18)^0)</f>
        <v>0.85298896</v>
      </c>
      <c r="D207" s="29" t="n">
        <f aca="false">C207*(1-MIN(1,INDEX(Tabla_Mortalidad!$B$5:$B$75,MIN(71,Cartera_Polizas!$B$209+1-49))*(1+(Cartera_Polizas!$P$209-1)*MAX(0,1-1/Supuestos!$C$20))*(1-Supuestos!$C$18)^1))</f>
        <v>0.718391067751182</v>
      </c>
      <c r="E207" s="29" t="n">
        <f aca="false">D207*(1-MIN(1,INDEX(Tabla_Mortalidad!$B$5:$B$75,MIN(71,Cartera_Polizas!$B$209+2-49))*(1+(Cartera_Polizas!$P$209-1)*MAX(0,1-2/Supuestos!$C$20))*(1-Supuestos!$C$18)^2))</f>
        <v>0.596894089356699</v>
      </c>
      <c r="F207" s="29" t="n">
        <f aca="false">E207*(1-MIN(1,INDEX(Tabla_Mortalidad!$B$5:$B$75,MIN(71,Cartera_Polizas!$B$209+3-49))*(1+(Cartera_Polizas!$P$209-1)*MAX(0,1-3/Supuestos!$C$20))*(1-Supuestos!$C$18)^3))</f>
        <v>0.488867272124919</v>
      </c>
      <c r="G207" s="29" t="n">
        <f aca="false">F207*(1-MIN(1,INDEX(Tabla_Mortalidad!$B$5:$B$75,MIN(71,Cartera_Polizas!$B$209+4-49))*(1+(Cartera_Polizas!$P$209-1)*MAX(0,1-4/Supuestos!$C$20))*(1-Supuestos!$C$18)^4))</f>
        <v>0.394348501354594</v>
      </c>
      <c r="H207" s="29" t="n">
        <f aca="false">G207*(1-MIN(1,INDEX(Tabla_Mortalidad!$B$5:$B$75,MIN(71,Cartera_Polizas!$B$209+5-49))*(1+(Cartera_Polizas!$P$209-1)*MAX(0,1-5/Supuestos!$C$20))*(1-Supuestos!$C$18)^5))</f>
        <v>0.313046468790777</v>
      </c>
      <c r="I207" s="29" t="n">
        <f aca="false">H207*(1-MIN(1,INDEX(Tabla_Mortalidad!$B$5:$B$75,MIN(71,Cartera_Polizas!$B$209+6-49))*(1+(Cartera_Polizas!$P$209-1)*MAX(0,1-6/Supuestos!$C$20))*(1-Supuestos!$C$18)^6))</f>
        <v>0.244362567514643</v>
      </c>
      <c r="J207" s="29" t="n">
        <f aca="false">I207*(1-MIN(1,INDEX(Tabla_Mortalidad!$B$5:$B$75,MIN(71,Cartera_Polizas!$B$209+7-49))*(1+(Cartera_Polizas!$P$209-1)*MAX(0,1-7/Supuestos!$C$20))*(1-Supuestos!$C$18)^7))</f>
        <v>0.187430293074456</v>
      </c>
      <c r="K207" s="29" t="n">
        <f aca="false">J207*(1-MIN(1,INDEX(Tabla_Mortalidad!$B$5:$B$75,MIN(71,Cartera_Polizas!$B$209+8-49))*(1+(Cartera_Polizas!$P$209-1)*MAX(0,1-8/Supuestos!$C$20))*(1-Supuestos!$C$18)^8))</f>
        <v>0.141169369203396</v>
      </c>
      <c r="L207" s="29" t="n">
        <f aca="false">K207*(1-MIN(1,INDEX(Tabla_Mortalidad!$B$5:$B$75,MIN(71,Cartera_Polizas!$B$209+9-49))*(1+(Cartera_Polizas!$P$209-1)*MAX(0,1-9/Supuestos!$C$20))*(1-Supuestos!$C$18)^9))</f>
        <v>0.104352782671376</v>
      </c>
      <c r="M207" s="29" t="n">
        <f aca="false">L207*(1-MIN(1,INDEX(Tabla_Mortalidad!$B$5:$B$75,MIN(71,Cartera_Polizas!$B$209+10-49))*(1+(Cartera_Polizas!$P$209-1)*MAX(0,1-10/Supuestos!$C$20))*(1-Supuestos!$C$18)^10))</f>
        <v>0.0756774702004699</v>
      </c>
      <c r="N207" s="29" t="n">
        <f aca="false">M207*(1-MIN(1,INDEX(Tabla_Mortalidad!$B$5:$B$75,MIN(71,Cartera_Polizas!$B$209+11-49))*(1+(Cartera_Polizas!$P$209-1)*MAX(0,1-11/Supuestos!$C$20))*(1-Supuestos!$C$18)^11))</f>
        <v>0.0538333853621584</v>
      </c>
      <c r="O207" s="29" t="n">
        <f aca="false">N207*(1-MIN(1,INDEX(Tabla_Mortalidad!$B$5:$B$75,MIN(71,Cartera_Polizas!$B$209+12-49))*(1+(Cartera_Polizas!$P$209-1)*MAX(0,1-12/Supuestos!$C$20))*(1-Supuestos!$C$18)^12))</f>
        <v>0.0375660266686036</v>
      </c>
      <c r="P207" s="29" t="n">
        <f aca="false">O207*(1-MIN(1,INDEX(Tabla_Mortalidad!$B$5:$B$75,MIN(71,Cartera_Polizas!$B$209+13-49))*(1+(Cartera_Polizas!$P$209-1)*MAX(0,1-13/Supuestos!$C$20))*(1-Supuestos!$C$18)^13))</f>
        <v>0.0257260354052334</v>
      </c>
      <c r="Q207" s="29" t="n">
        <f aca="false">P207*(1-MIN(1,INDEX(Tabla_Mortalidad!$B$5:$B$75,MIN(71,Cartera_Polizas!$B$209+14-49))*(1+(Cartera_Polizas!$P$209-1)*MAX(0,1-14/Supuestos!$C$20))*(1-Supuestos!$C$18)^14))</f>
        <v>0.0173031993234238</v>
      </c>
      <c r="R207" s="29" t="n">
        <f aca="false">Q207*(1-MIN(1,INDEX(Tabla_Mortalidad!$B$5:$B$75,MIN(71,Cartera_Polizas!$B$209+15-49))*(1+(Cartera_Polizas!$P$209-1)*MAX(0,1-15/Supuestos!$C$20))*(1-Supuestos!$C$18)^15))</f>
        <v>0.0114444683011842</v>
      </c>
      <c r="S207" s="29" t="n">
        <f aca="false">R207*(1-MIN(1,INDEX(Tabla_Mortalidad!$B$5:$B$75,MIN(71,Cartera_Polizas!$B$209+16-49))*(1+(Cartera_Polizas!$P$209-1)*MAX(0,1-16/Supuestos!$C$20))*(1-Supuestos!$C$18)^16))</f>
        <v>0.00724383236524713</v>
      </c>
      <c r="T207" s="29" t="n">
        <f aca="false">S207*(1-MIN(1,INDEX(Tabla_Mortalidad!$B$5:$B$75,MIN(71,Cartera_Polizas!$B$209+17-49))*(1+(Cartera_Polizas!$P$209-1)*MAX(0,1-17/Supuestos!$C$20))*(1-Supuestos!$C$18)^17))</f>
        <v>0.00436894119050738</v>
      </c>
      <c r="U207" s="29" t="n">
        <f aca="false">T207*(1-MIN(1,INDEX(Tabla_Mortalidad!$B$5:$B$75,MIN(71,Cartera_Polizas!$B$209+18-49))*(1+(Cartera_Polizas!$P$209-1)*MAX(0,1-18/Supuestos!$C$20))*(1-Supuestos!$C$18)^18))</f>
        <v>0.00249932309068365</v>
      </c>
      <c r="V207" s="29" t="n">
        <f aca="false">U207*(1-MIN(1,INDEX(Tabla_Mortalidad!$B$5:$B$75,MIN(71,Cartera_Polizas!$B$209+19-49))*(1+(Cartera_Polizas!$P$209-1)*MAX(0,1-19/Supuestos!$C$20))*(1-Supuestos!$C$18)^19))</f>
        <v>0.00134956318182774</v>
      </c>
      <c r="W207" s="29" t="n">
        <f aca="false">V207*(1-MIN(1,INDEX(Tabla_Mortalidad!$B$5:$B$75,MIN(71,Cartera_Polizas!$B$209+20-49))*(1+(Cartera_Polizas!$P$209-1)*MAX(0,1-20/Supuestos!$C$20))*(1-Supuestos!$C$18)^20))</f>
        <v>0.000684349331554119</v>
      </c>
      <c r="X207" s="29" t="n">
        <f aca="false">W207*(1-MIN(1,INDEX(Tabla_Mortalidad!$B$5:$B$75,MIN(71,Cartera_Polizas!$B$209+21-49))*(1+(Cartera_Polizas!$P$209-1)*MAX(0,1-21/Supuestos!$C$20))*(1-Supuestos!$C$18)^21))</f>
        <v>0.000324191663400806</v>
      </c>
      <c r="Y207" s="29" t="n">
        <f aca="false">X207*(1-MIN(1,INDEX(Tabla_Mortalidad!$B$5:$B$75,MIN(71,Cartera_Polizas!$B$209+22-49))*(1+(Cartera_Polizas!$P$209-1)*MAX(0,1-22/Supuestos!$C$20))*(1-Supuestos!$C$18)^22))</f>
        <v>0.000142717563440865</v>
      </c>
      <c r="Z207" s="29" t="n">
        <f aca="false">Y207*(1-MIN(1,INDEX(Tabla_Mortalidad!$B$5:$B$75,MIN(71,Cartera_Polizas!$B$209+23-49))*(1+(Cartera_Polizas!$P$209-1)*MAX(0,1-23/Supuestos!$C$20))*(1-Supuestos!$C$18)^23))</f>
        <v>5.8087050666666E-005</v>
      </c>
      <c r="AA207" s="29" t="n">
        <f aca="false">Z207*(1-MIN(1,INDEX(Tabla_Mortalidad!$B$5:$B$75,MIN(71,Cartera_Polizas!$B$209+24-49))*(1+(Cartera_Polizas!$P$209-1)*MAX(0,1-24/Supuestos!$C$20))*(1-Supuestos!$C$18)^24))</f>
        <v>2.17541976686132E-005</v>
      </c>
      <c r="AB207" s="29" t="n">
        <f aca="false">AA207*(1-MIN(1,INDEX(Tabla_Mortalidad!$B$5:$B$75,MIN(71,Cartera_Polizas!$B$209+25-49))*(1+(Cartera_Polizas!$P$209-1)*MAX(0,1-25/Supuestos!$C$20))*(1-Supuestos!$C$18)^25))</f>
        <v>7.46623826871986E-006</v>
      </c>
      <c r="AC207" s="29" t="n">
        <f aca="false">AB207*(1-MIN(1,INDEX(Tabla_Mortalidad!$B$5:$B$75,MIN(71,Cartera_Polizas!$B$209+26-49))*(1+(Cartera_Polizas!$P$209-1)*MAX(0,1-26/Supuestos!$C$20))*(1-Supuestos!$C$18)^26))</f>
        <v>2.34131233254579E-006</v>
      </c>
      <c r="AD207" s="29" t="n">
        <f aca="false">AC207*(1-MIN(1,INDEX(Tabla_Mortalidad!$B$5:$B$75,MIN(71,Cartera_Polizas!$B$209+27-49))*(1+(Cartera_Polizas!$P$209-1)*MAX(0,1-27/Supuestos!$C$20))*(1-Supuestos!$C$18)^27))</f>
        <v>6.69871024388286E-007</v>
      </c>
      <c r="AE207" s="29" t="n">
        <f aca="false">AD207*(1-MIN(1,INDEX(Tabla_Mortalidad!$B$5:$B$75,MIN(71,Cartera_Polizas!$B$209+28-49))*(1+(Cartera_Polizas!$P$209-1)*MAX(0,1-28/Supuestos!$C$20))*(1-Supuestos!$C$18)^28))</f>
        <v>1.74973669427373E-007</v>
      </c>
      <c r="AF207" s="29" t="n">
        <f aca="false">AE207*(1-MIN(1,INDEX(Tabla_Mortalidad!$B$5:$B$75,MIN(71,Cartera_Polizas!$B$209+29-49))*(1+(Cartera_Polizas!$P$209-1)*MAX(0,1-29/Supuestos!$C$20))*(1-Supuestos!$C$18)^29))</f>
        <v>4.18595804009678E-008</v>
      </c>
      <c r="AG207" s="29" t="n">
        <f aca="false">AF207*(1-MIN(1,INDEX(Tabla_Mortalidad!$B$5:$B$75,MIN(71,Cartera_Polizas!$B$209+30-49))*(1+(Cartera_Polizas!$P$209-1)*MAX(0,1-30/Supuestos!$C$20))*(1-Supuestos!$C$18)^30))</f>
        <v>9.22818669847452E-009</v>
      </c>
      <c r="AH207" s="29" t="n">
        <f aca="false">AG207*(1-MIN(1,INDEX(Tabla_Mortalidad!$B$5:$B$75,MIN(71,Cartera_Polizas!$B$209+31-49))*(1+(Cartera_Polizas!$P$209-1)*MAX(0,1-31/Supuestos!$C$20))*(1-Supuestos!$C$18)^31))</f>
        <v>1.89192098377864E-009</v>
      </c>
      <c r="AI207" s="29" t="n">
        <f aca="false">AH207*(1-MIN(1,INDEX(Tabla_Mortalidad!$B$5:$B$75,MIN(71,Cartera_Polizas!$B$209+32-49))*(1+(Cartera_Polizas!$P$209-1)*MAX(0,1-32/Supuestos!$C$20))*(1-Supuestos!$C$18)^32))</f>
        <v>3.64991562886802E-010</v>
      </c>
      <c r="AJ207" s="29" t="n">
        <f aca="false">AI207*(1-MIN(1,INDEX(Tabla_Mortalidad!$B$5:$B$75,MIN(71,Cartera_Polizas!$B$209+33-49))*(1+(Cartera_Polizas!$P$209-1)*MAX(0,1-33/Supuestos!$C$20))*(1-Supuestos!$C$18)^33))</f>
        <v>5.56455733414141E-011</v>
      </c>
      <c r="AK207" s="29" t="n">
        <f aca="false">AJ207*(1-MIN(1,INDEX(Tabla_Mortalidad!$B$5:$B$75,MIN(71,Cartera_Polizas!$B$209+34-49))*(1+(Cartera_Polizas!$P$209-1)*MAX(0,1-34/Supuestos!$C$20))*(1-Supuestos!$C$18)^34))</f>
        <v>8.71937554410626E-012</v>
      </c>
      <c r="AL207" s="29" t="n">
        <f aca="false">AK207*(1-MIN(1,INDEX(Tabla_Mortalidad!$B$5:$B$75,MIN(71,Cartera_Polizas!$B$209+35-49))*(1+(Cartera_Polizas!$P$209-1)*MAX(0,1-35/Supuestos!$C$20))*(1-Supuestos!$C$18)^35))</f>
        <v>1.40304683550292E-012</v>
      </c>
      <c r="AM207" s="29" t="n">
        <f aca="false">AL207*(1-MIN(1,INDEX(Tabla_Mortalidad!$B$5:$B$75,MIN(71,Cartera_Polizas!$B$209+36-49))*(1+(Cartera_Polizas!$P$209-1)*MAX(0,1-36/Supuestos!$C$20))*(1-Supuestos!$C$18)^36))</f>
        <v>2.31652619113372E-013</v>
      </c>
      <c r="AN207" s="29" t="n">
        <f aca="false">AM207*(1-MIN(1,INDEX(Tabla_Mortalidad!$B$5:$B$75,MIN(71,Cartera_Polizas!$B$209+37-49))*(1+(Cartera_Polizas!$P$209-1)*MAX(0,1-37/Supuestos!$C$20))*(1-Supuestos!$C$18)^37))</f>
        <v>3.92144561685765E-014</v>
      </c>
      <c r="AO207" s="29" t="n">
        <f aca="false">AN207*(1-MIN(1,INDEX(Tabla_Mortalidad!$B$5:$B$75,MIN(71,Cartera_Polizas!$B$209+38-49))*(1+(Cartera_Polizas!$P$209-1)*MAX(0,1-38/Supuestos!$C$20))*(1-Supuestos!$C$18)^38))</f>
        <v>6.80115497142706E-015</v>
      </c>
      <c r="AP207" s="29" t="n">
        <f aca="false">AO207*(1-MIN(1,INDEX(Tabla_Mortalidad!$B$5:$B$75,MIN(71,Cartera_Polizas!$B$209+39-49))*(1+(Cartera_Polizas!$P$209-1)*MAX(0,1-39/Supuestos!$C$20))*(1-Supuestos!$C$18)^39))</f>
        <v>1.20766556508319E-015</v>
      </c>
      <c r="AQ207" s="29" t="n">
        <f aca="false">AP207*(1-MIN(1,INDEX(Tabla_Mortalidad!$B$5:$B$75,MIN(71,Cartera_Polizas!$B$209+40-49))*(1+(Cartera_Polizas!$P$209-1)*MAX(0,1-40/Supuestos!$C$20))*(1-Supuestos!$C$18)^40))</f>
        <v>2.19408533709397E-016</v>
      </c>
      <c r="AR207" s="29" t="n">
        <f aca="false">AQ207*(1-MIN(1,INDEX(Tabla_Mortalidad!$B$5:$B$75,MIN(71,Cartera_Polizas!$B$209+41-49))*(1+(Cartera_Polizas!$P$209-1)*MAX(0,1-41/Supuestos!$C$20))*(1-Supuestos!$C$18)^41))</f>
        <v>4.07598479402081E-017</v>
      </c>
      <c r="AS207" s="29" t="n">
        <f aca="false">AR207*(1-MIN(1,INDEX(Tabla_Mortalidad!$B$5:$B$75,MIN(71,Cartera_Polizas!$B$209+42-49))*(1+(Cartera_Polizas!$P$209-1)*MAX(0,1-42/Supuestos!$C$20))*(1-Supuestos!$C$18)^42))</f>
        <v>7.7379564128117E-018</v>
      </c>
      <c r="AT207" s="29" t="n">
        <f aca="false">AS207*(1-MIN(1,INDEX(Tabla_Mortalidad!$B$5:$B$75,MIN(71,Cartera_Polizas!$B$209+43-49))*(1+(Cartera_Polizas!$P$209-1)*MAX(0,1-43/Supuestos!$C$20))*(1-Supuestos!$C$18)^43))</f>
        <v>1.50033874814302E-018</v>
      </c>
      <c r="AU207" s="29" t="n">
        <f aca="false">AT207*(1-MIN(1,INDEX(Tabla_Mortalidad!$B$5:$B$75,MIN(71,Cartera_Polizas!$B$209+44-49))*(1+(Cartera_Polizas!$P$209-1)*MAX(0,1-44/Supuestos!$C$20))*(1-Supuestos!$C$18)^44))</f>
        <v>2.96952959410176E-019</v>
      </c>
    </row>
    <row r="208" customFormat="false" ht="15" hidden="false" customHeight="false" outlineLevel="0" collapsed="false">
      <c r="A208" s="14" t="n">
        <f aca="false">Cartera_Polizas!A210</f>
        <v>205</v>
      </c>
      <c r="B208" s="26" t="n">
        <f aca="false">SUM(C208:AU208)+0.5</f>
        <v>2.37044380966068</v>
      </c>
      <c r="C208" s="29" t="n">
        <f aca="false">1-MIN(1,INDEX(Tabla_Mortalidad!$B$5:$B$75,MIN(71,Cartera_Polizas!$B$210+0-49))*(1+(Cartera_Polizas!$P$210-1)*MAX(0,1-0/Supuestos!$C$20))*(1-Supuestos!$C$18)^0)</f>
        <v>0.68360095</v>
      </c>
      <c r="D208" s="29" t="n">
        <f aca="false">C208*(1-MIN(1,INDEX(Tabla_Mortalidad!$B$5:$B$75,MIN(71,Cartera_Polizas!$B$210+1-49))*(1+(Cartera_Polizas!$P$210-1)*MAX(0,1-1/Supuestos!$C$20))*(1-Supuestos!$C$18)^1))</f>
        <v>0.454251066187724</v>
      </c>
      <c r="E208" s="29" t="n">
        <f aca="false">D208*(1-MIN(1,INDEX(Tabla_Mortalidad!$B$5:$B$75,MIN(71,Cartera_Polizas!$B$210+2-49))*(1+(Cartera_Polizas!$P$210-1)*MAX(0,1-2/Supuestos!$C$20))*(1-Supuestos!$C$18)^2))</f>
        <v>0.293043205138647</v>
      </c>
      <c r="F208" s="29" t="n">
        <f aca="false">E208*(1-MIN(1,INDEX(Tabla_Mortalidad!$B$5:$B$75,MIN(71,Cartera_Polizas!$B$210+3-49))*(1+(Cartera_Polizas!$P$210-1)*MAX(0,1-3/Supuestos!$C$20))*(1-Supuestos!$C$18)^3))</f>
        <v>0.183330722623484</v>
      </c>
      <c r="G208" s="29" t="n">
        <f aca="false">F208*(1-MIN(1,INDEX(Tabla_Mortalidad!$B$5:$B$75,MIN(71,Cartera_Polizas!$B$210+4-49))*(1+(Cartera_Polizas!$P$210-1)*MAX(0,1-4/Supuestos!$C$20))*(1-Supuestos!$C$18)^4))</f>
        <v>0.111133262135205</v>
      </c>
      <c r="H208" s="29" t="n">
        <f aca="false">G208*(1-MIN(1,INDEX(Tabla_Mortalidad!$B$5:$B$75,MIN(71,Cartera_Polizas!$B$210+5-49))*(1+(Cartera_Polizas!$P$210-1)*MAX(0,1-5/Supuestos!$C$20))*(1-Supuestos!$C$18)^5))</f>
        <v>0.0652455360419835</v>
      </c>
      <c r="I208" s="29" t="n">
        <f aca="false">H208*(1-MIN(1,INDEX(Tabla_Mortalidad!$B$5:$B$75,MIN(71,Cartera_Polizas!$B$210+6-49))*(1+(Cartera_Polizas!$P$210-1)*MAX(0,1-6/Supuestos!$C$20))*(1-Supuestos!$C$18)^6))</f>
        <v>0.0370980708590095</v>
      </c>
      <c r="J208" s="29" t="n">
        <f aca="false">I208*(1-MIN(1,INDEX(Tabla_Mortalidad!$B$5:$B$75,MIN(71,Cartera_Polizas!$B$210+7-49))*(1+(Cartera_Polizas!$P$210-1)*MAX(0,1-7/Supuestos!$C$20))*(1-Supuestos!$C$18)^7))</f>
        <v>0.020441259768648</v>
      </c>
      <c r="K208" s="29" t="n">
        <f aca="false">J208*(1-MIN(1,INDEX(Tabla_Mortalidad!$B$5:$B$75,MIN(71,Cartera_Polizas!$B$210+8-49))*(1+(Cartera_Polizas!$P$210-1)*MAX(0,1-8/Supuestos!$C$20))*(1-Supuestos!$C$18)^8))</f>
        <v>0.0109299246043999</v>
      </c>
      <c r="L208" s="29" t="n">
        <f aca="false">K208*(1-MIN(1,INDEX(Tabla_Mortalidad!$B$5:$B$75,MIN(71,Cartera_Polizas!$B$210+9-49))*(1+(Cartera_Polizas!$P$210-1)*MAX(0,1-9/Supuestos!$C$20))*(1-Supuestos!$C$18)^9))</f>
        <v>0.00568436016027973</v>
      </c>
      <c r="M208" s="29" t="n">
        <f aca="false">L208*(1-MIN(1,INDEX(Tabla_Mortalidad!$B$5:$B$75,MIN(71,Cartera_Polizas!$B$210+10-49))*(1+(Cartera_Polizas!$P$210-1)*MAX(0,1-10/Supuestos!$C$20))*(1-Supuestos!$C$18)^10))</f>
        <v>0.00288523935651706</v>
      </c>
      <c r="N208" s="29" t="n">
        <f aca="false">M208*(1-MIN(1,INDEX(Tabla_Mortalidad!$B$5:$B$75,MIN(71,Cartera_Polizas!$B$210+11-49))*(1+(Cartera_Polizas!$P$210-1)*MAX(0,1-11/Supuestos!$C$20))*(1-Supuestos!$C$18)^11))</f>
        <v>0.00143593805979337</v>
      </c>
      <c r="O208" s="29" t="n">
        <f aca="false">N208*(1-MIN(1,INDEX(Tabla_Mortalidad!$B$5:$B$75,MIN(71,Cartera_Polizas!$B$210+12-49))*(1+(Cartera_Polizas!$P$210-1)*MAX(0,1-12/Supuestos!$C$20))*(1-Supuestos!$C$18)^12))</f>
        <v>0.000704915750514809</v>
      </c>
      <c r="P208" s="29" t="n">
        <f aca="false">O208*(1-MIN(1,INDEX(Tabla_Mortalidad!$B$5:$B$75,MIN(71,Cartera_Polizas!$B$210+13-49))*(1+(Cartera_Polizas!$P$210-1)*MAX(0,1-13/Supuestos!$C$20))*(1-Supuestos!$C$18)^13))</f>
        <v>0.000343844090353083</v>
      </c>
      <c r="Q208" s="29" t="n">
        <f aca="false">P208*(1-MIN(1,INDEX(Tabla_Mortalidad!$B$5:$B$75,MIN(71,Cartera_Polizas!$B$210+14-49))*(1+(Cartera_Polizas!$P$210-1)*MAX(0,1-14/Supuestos!$C$20))*(1-Supuestos!$C$18)^14))</f>
        <v>0.000168081422858638</v>
      </c>
      <c r="R208" s="29" t="n">
        <f aca="false">Q208*(1-MIN(1,INDEX(Tabla_Mortalidad!$B$5:$B$75,MIN(71,Cartera_Polizas!$B$210+15-49))*(1+(Cartera_Polizas!$P$210-1)*MAX(0,1-15/Supuestos!$C$20))*(1-Supuestos!$C$18)^15))</f>
        <v>8.3129664279518E-005</v>
      </c>
      <c r="S208" s="29" t="n">
        <f aca="false">R208*(1-MIN(1,INDEX(Tabla_Mortalidad!$B$5:$B$75,MIN(71,Cartera_Polizas!$B$210+16-49))*(1+(Cartera_Polizas!$P$210-1)*MAX(0,1-16/Supuestos!$C$20))*(1-Supuestos!$C$18)^16))</f>
        <v>3.82700596815613E-005</v>
      </c>
      <c r="T208" s="29" t="n">
        <f aca="false">S208*(1-MIN(1,INDEX(Tabla_Mortalidad!$B$5:$B$75,MIN(71,Cartera_Polizas!$B$210+17-49))*(1+(Cartera_Polizas!$P$210-1)*MAX(0,1-17/Supuestos!$C$20))*(1-Supuestos!$C$18)^17))</f>
        <v>1.63037782150721E-005</v>
      </c>
      <c r="U208" s="29" t="n">
        <f aca="false">T208*(1-MIN(1,INDEX(Tabla_Mortalidad!$B$5:$B$75,MIN(71,Cartera_Polizas!$B$210+18-49))*(1+(Cartera_Polizas!$P$210-1)*MAX(0,1-18/Supuestos!$C$20))*(1-Supuestos!$C$18)^18))</f>
        <v>6.39038335607264E-006</v>
      </c>
      <c r="V208" s="29" t="n">
        <f aca="false">U208*(1-MIN(1,INDEX(Tabla_Mortalidad!$B$5:$B$75,MIN(71,Cartera_Polizas!$B$210+19-49))*(1+(Cartera_Polizas!$P$210-1)*MAX(0,1-19/Supuestos!$C$20))*(1-Supuestos!$C$18)^19))</f>
        <v>2.29181970573291E-006</v>
      </c>
      <c r="W208" s="29" t="n">
        <f aca="false">V208*(1-MIN(1,INDEX(Tabla_Mortalidad!$B$5:$B$75,MIN(71,Cartera_Polizas!$B$210+20-49))*(1+(Cartera_Polizas!$P$210-1)*MAX(0,1-20/Supuestos!$C$20))*(1-Supuestos!$C$18)^20))</f>
        <v>7.483710649925E-007</v>
      </c>
      <c r="X208" s="29" t="n">
        <f aca="false">W208*(1-MIN(1,INDEX(Tabla_Mortalidad!$B$5:$B$75,MIN(71,Cartera_Polizas!$B$210+21-49))*(1+(Cartera_Polizas!$P$210-1)*MAX(0,1-21/Supuestos!$C$20))*(1-Supuestos!$C$18)^21))</f>
        <v>2.21641941147827E-007</v>
      </c>
      <c r="Y208" s="29" t="n">
        <f aca="false">X208*(1-MIN(1,INDEX(Tabla_Mortalidad!$B$5:$B$75,MIN(71,Cartera_Polizas!$B$210+22-49))*(1+(Cartera_Polizas!$P$210-1)*MAX(0,1-22/Supuestos!$C$20))*(1-Supuestos!$C$18)^22))</f>
        <v>5.93980626355262E-008</v>
      </c>
      <c r="Z208" s="29" t="n">
        <f aca="false">Y208*(1-MIN(1,INDEX(Tabla_Mortalidad!$B$5:$B$75,MIN(71,Cartera_Polizas!$B$210+23-49))*(1+(Cartera_Polizas!$P$210-1)*MAX(0,1-23/Supuestos!$C$20))*(1-Supuestos!$C$18)^23))</f>
        <v>1.44013468843327E-008</v>
      </c>
      <c r="AA208" s="29" t="n">
        <f aca="false">Z208*(1-MIN(1,INDEX(Tabla_Mortalidad!$B$5:$B$75,MIN(71,Cartera_Polizas!$B$210+24-49))*(1+(Cartera_Polizas!$P$210-1)*MAX(0,1-24/Supuestos!$C$20))*(1-Supuestos!$C$18)^24))</f>
        <v>3.16722756287819E-009</v>
      </c>
      <c r="AB208" s="29" t="n">
        <f aca="false">AA208*(1-MIN(1,INDEX(Tabla_Mortalidad!$B$5:$B$75,MIN(71,Cartera_Polizas!$B$210+25-49))*(1+(Cartera_Polizas!$P$210-1)*MAX(0,1-25/Supuestos!$C$20))*(1-Supuestos!$C$18)^25))</f>
        <v>6.35572010185988E-010</v>
      </c>
      <c r="AC208" s="29" t="n">
        <f aca="false">AB208*(1-MIN(1,INDEX(Tabla_Mortalidad!$B$5:$B$75,MIN(71,Cartera_Polizas!$B$210+26-49))*(1+(Cartera_Polizas!$P$210-1)*MAX(0,1-26/Supuestos!$C$20))*(1-Supuestos!$C$18)^26))</f>
        <v>1.17478633918981E-010</v>
      </c>
      <c r="AD208" s="29" t="n">
        <f aca="false">AC208*(1-MIN(1,INDEX(Tabla_Mortalidad!$B$5:$B$75,MIN(71,Cartera_Polizas!$B$210+27-49))*(1+(Cartera_Polizas!$P$210-1)*MAX(0,1-27/Supuestos!$C$20))*(1-Supuestos!$C$18)^27))</f>
        <v>2.02577751185508E-011</v>
      </c>
      <c r="AE208" s="29" t="n">
        <f aca="false">AD208*(1-MIN(1,INDEX(Tabla_Mortalidad!$B$5:$B$75,MIN(71,Cartera_Polizas!$B$210+28-49))*(1+(Cartera_Polizas!$P$210-1)*MAX(0,1-28/Supuestos!$C$20))*(1-Supuestos!$C$18)^28))</f>
        <v>2.65269496869199E-012</v>
      </c>
      <c r="AF208" s="29" t="n">
        <f aca="false">AE208*(1-MIN(1,INDEX(Tabla_Mortalidad!$B$5:$B$75,MIN(71,Cartera_Polizas!$B$210+29-49))*(1+(Cartera_Polizas!$P$210-1)*MAX(0,1-29/Supuestos!$C$20))*(1-Supuestos!$C$18)^29))</f>
        <v>3.58889122426424E-013</v>
      </c>
      <c r="AG208" s="29" t="n">
        <f aca="false">AF208*(1-MIN(1,INDEX(Tabla_Mortalidad!$B$5:$B$75,MIN(71,Cartera_Polizas!$B$210+30-49))*(1+(Cartera_Polizas!$P$210-1)*MAX(0,1-30/Supuestos!$C$20))*(1-Supuestos!$C$18)^30))</f>
        <v>5.01065948405907E-014</v>
      </c>
      <c r="AH208" s="29" t="n">
        <f aca="false">AG208*(1-MIN(1,INDEX(Tabla_Mortalidad!$B$5:$B$75,MIN(71,Cartera_Polizas!$B$210+31-49))*(1+(Cartera_Polizas!$P$210-1)*MAX(0,1-31/Supuestos!$C$20))*(1-Supuestos!$C$18)^31))</f>
        <v>7.21122733962959E-015</v>
      </c>
      <c r="AI208" s="29" t="n">
        <f aca="false">AH208*(1-MIN(1,INDEX(Tabla_Mortalidad!$B$5:$B$75,MIN(71,Cartera_Polizas!$B$210+32-49))*(1+(Cartera_Polizas!$P$210-1)*MAX(0,1-32/Supuestos!$C$20))*(1-Supuestos!$C$18)^32))</f>
        <v>1.06869048173224E-015</v>
      </c>
      <c r="AJ208" s="29" t="n">
        <f aca="false">AI208*(1-MIN(1,INDEX(Tabla_Mortalidad!$B$5:$B$75,MIN(71,Cartera_Polizas!$B$210+33-49))*(1+(Cartera_Polizas!$P$210-1)*MAX(0,1-33/Supuestos!$C$20))*(1-Supuestos!$C$18)^33))</f>
        <v>1.62929504753911E-016</v>
      </c>
      <c r="AK208" s="29" t="n">
        <f aca="false">AJ208*(1-MIN(1,INDEX(Tabla_Mortalidad!$B$5:$B$75,MIN(71,Cartera_Polizas!$B$210+34-49))*(1+(Cartera_Polizas!$P$210-1)*MAX(0,1-34/Supuestos!$C$20))*(1-Supuestos!$C$18)^34))</f>
        <v>2.55302165807192E-017</v>
      </c>
      <c r="AL208" s="29" t="n">
        <f aca="false">AK208*(1-MIN(1,INDEX(Tabla_Mortalidad!$B$5:$B$75,MIN(71,Cartera_Polizas!$B$210+35-49))*(1+(Cartera_Polizas!$P$210-1)*MAX(0,1-35/Supuestos!$C$20))*(1-Supuestos!$C$18)^35))</f>
        <v>4.10810262754361E-018</v>
      </c>
      <c r="AM208" s="29" t="n">
        <f aca="false">AL208*(1-MIN(1,INDEX(Tabla_Mortalidad!$B$5:$B$75,MIN(71,Cartera_Polizas!$B$210+36-49))*(1+(Cartera_Polizas!$P$210-1)*MAX(0,1-36/Supuestos!$C$20))*(1-Supuestos!$C$18)^36))</f>
        <v>6.78275813163343E-019</v>
      </c>
      <c r="AN208" s="29" t="n">
        <f aca="false">AM208*(1-MIN(1,INDEX(Tabla_Mortalidad!$B$5:$B$75,MIN(71,Cartera_Polizas!$B$210+37-49))*(1+(Cartera_Polizas!$P$210-1)*MAX(0,1-37/Supuestos!$C$20))*(1-Supuestos!$C$18)^37))</f>
        <v>1.14819410405553E-019</v>
      </c>
      <c r="AO208" s="29" t="n">
        <f aca="false">AN208*(1-MIN(1,INDEX(Tabla_Mortalidad!$B$5:$B$75,MIN(71,Cartera_Polizas!$B$210+38-49))*(1+(Cartera_Polizas!$P$210-1)*MAX(0,1-38/Supuestos!$C$20))*(1-Supuestos!$C$18)^38))</f>
        <v>1.99136920460932E-020</v>
      </c>
      <c r="AP208" s="29" t="n">
        <f aca="false">AO208*(1-MIN(1,INDEX(Tabla_Mortalidad!$B$5:$B$75,MIN(71,Cartera_Polizas!$B$210+39-49))*(1+(Cartera_Polizas!$P$210-1)*MAX(0,1-39/Supuestos!$C$20))*(1-Supuestos!$C$18)^39))</f>
        <v>3.53602884492008E-021</v>
      </c>
      <c r="AQ208" s="29" t="n">
        <f aca="false">AP208*(1-MIN(1,INDEX(Tabla_Mortalidad!$B$5:$B$75,MIN(71,Cartera_Polizas!$B$210+40-49))*(1+(Cartera_Polizas!$P$210-1)*MAX(0,1-40/Supuestos!$C$20))*(1-Supuestos!$C$18)^40))</f>
        <v>6.42425292605412E-022</v>
      </c>
      <c r="AR208" s="29" t="n">
        <f aca="false">AQ208*(1-MIN(1,INDEX(Tabla_Mortalidad!$B$5:$B$75,MIN(71,Cartera_Polizas!$B$210+41-49))*(1+(Cartera_Polizas!$P$210-1)*MAX(0,1-41/Supuestos!$C$20))*(1-Supuestos!$C$18)^41))</f>
        <v>1.19344297128489E-022</v>
      </c>
      <c r="AS208" s="29" t="n">
        <f aca="false">AR208*(1-MIN(1,INDEX(Tabla_Mortalidad!$B$5:$B$75,MIN(71,Cartera_Polizas!$B$210+42-49))*(1+(Cartera_Polizas!$P$210-1)*MAX(0,1-42/Supuestos!$C$20))*(1-Supuestos!$C$18)^42))</f>
        <v>2.26566343096416E-023</v>
      </c>
      <c r="AT208" s="29" t="n">
        <f aca="false">AS208*(1-MIN(1,INDEX(Tabla_Mortalidad!$B$5:$B$75,MIN(71,Cartera_Polizas!$B$210+43-49))*(1+(Cartera_Polizas!$P$210-1)*MAX(0,1-43/Supuestos!$C$20))*(1-Supuestos!$C$18)^43))</f>
        <v>4.3929720644304E-024</v>
      </c>
      <c r="AU208" s="29" t="n">
        <f aca="false">AT208*(1-MIN(1,INDEX(Tabla_Mortalidad!$B$5:$B$75,MIN(71,Cartera_Polizas!$B$210+44-49))*(1+(Cartera_Polizas!$P$210-1)*MAX(0,1-44/Supuestos!$C$20))*(1-Supuestos!$C$18)^44))</f>
        <v>8.69474348211984E-025</v>
      </c>
    </row>
    <row r="209" customFormat="false" ht="15" hidden="false" customHeight="false" outlineLevel="0" collapsed="false">
      <c r="A209" s="14" t="n">
        <f aca="false">Cartera_Polizas!A211</f>
        <v>206</v>
      </c>
      <c r="B209" s="26" t="n">
        <f aca="false">SUM(C209:AU209)+0.5</f>
        <v>3.82560934750023</v>
      </c>
      <c r="C209" s="29" t="n">
        <f aca="false">1-MIN(1,INDEX(Tabla_Mortalidad!$B$5:$B$75,MIN(71,Cartera_Polizas!$B$211+0-49))*(1+(Cartera_Polizas!$P$211-1)*MAX(0,1-0/Supuestos!$C$20))*(1-Supuestos!$C$18)^0)</f>
        <v>0.8114776</v>
      </c>
      <c r="D209" s="29" t="n">
        <f aca="false">C209*(1-MIN(1,INDEX(Tabla_Mortalidad!$B$5:$B$75,MIN(71,Cartera_Polizas!$B$211+1-49))*(1+(Cartera_Polizas!$P$211-1)*MAX(0,1-1/Supuestos!$C$20))*(1-Supuestos!$C$18)^1))</f>
        <v>0.647162074869353</v>
      </c>
      <c r="E209" s="29" t="n">
        <f aca="false">D209*(1-MIN(1,INDEX(Tabla_Mortalidad!$B$5:$B$75,MIN(71,Cartera_Polizas!$B$211+2-49))*(1+(Cartera_Polizas!$P$211-1)*MAX(0,1-2/Supuestos!$C$20))*(1-Supuestos!$C$18)^2))</f>
        <v>0.506622241964335</v>
      </c>
      <c r="F209" s="29" t="n">
        <f aca="false">E209*(1-MIN(1,INDEX(Tabla_Mortalidad!$B$5:$B$75,MIN(71,Cartera_Polizas!$B$211+3-49))*(1+(Cartera_Polizas!$P$211-1)*MAX(0,1-3/Supuestos!$C$20))*(1-Supuestos!$C$18)^3))</f>
        <v>0.388822763074159</v>
      </c>
      <c r="G209" s="29" t="n">
        <f aca="false">F209*(1-MIN(1,INDEX(Tabla_Mortalidad!$B$5:$B$75,MIN(71,Cartera_Polizas!$B$211+4-49))*(1+(Cartera_Polizas!$P$211-1)*MAX(0,1-4/Supuestos!$C$20))*(1-Supuestos!$C$18)^4))</f>
        <v>0.292193332898249</v>
      </c>
      <c r="H209" s="29" t="n">
        <f aca="false">G209*(1-MIN(1,INDEX(Tabla_Mortalidad!$B$5:$B$75,MIN(71,Cartera_Polizas!$B$211+5-49))*(1+(Cartera_Polizas!$P$211-1)*MAX(0,1-5/Supuestos!$C$20))*(1-Supuestos!$C$18)^5))</f>
        <v>0.21473104254179</v>
      </c>
      <c r="I209" s="29" t="n">
        <f aca="false">H209*(1-MIN(1,INDEX(Tabla_Mortalidad!$B$5:$B$75,MIN(71,Cartera_Polizas!$B$211+6-49))*(1+(Cartera_Polizas!$P$211-1)*MAX(0,1-6/Supuestos!$C$20))*(1-Supuestos!$C$18)^6))</f>
        <v>0.154131988427672</v>
      </c>
      <c r="J209" s="29" t="n">
        <f aca="false">I209*(1-MIN(1,INDEX(Tabla_Mortalidad!$B$5:$B$75,MIN(71,Cartera_Polizas!$B$211+7-49))*(1+(Cartera_Polizas!$P$211-1)*MAX(0,1-7/Supuestos!$C$20))*(1-Supuestos!$C$18)^7))</f>
        <v>0.107934200196773</v>
      </c>
      <c r="K209" s="29" t="n">
        <f aca="false">J209*(1-MIN(1,INDEX(Tabla_Mortalidad!$B$5:$B$75,MIN(71,Cartera_Polizas!$B$211+8-49))*(1+(Cartera_Polizas!$P$211-1)*MAX(0,1-8/Supuestos!$C$20))*(1-Supuestos!$C$18)^8))</f>
        <v>0.0736600012852915</v>
      </c>
      <c r="L209" s="29" t="n">
        <f aca="false">K209*(1-MIN(1,INDEX(Tabla_Mortalidad!$B$5:$B$75,MIN(71,Cartera_Polizas!$B$211+9-49))*(1+(Cartera_Polizas!$P$211-1)*MAX(0,1-9/Supuestos!$C$20))*(1-Supuestos!$C$18)^9))</f>
        <v>0.0489458388299229</v>
      </c>
      <c r="M209" s="29" t="n">
        <f aca="false">L209*(1-MIN(1,INDEX(Tabla_Mortalidad!$B$5:$B$75,MIN(71,Cartera_Polizas!$B$211+10-49))*(1+(Cartera_Polizas!$P$211-1)*MAX(0,1-10/Supuestos!$C$20))*(1-Supuestos!$C$18)^10))</f>
        <v>0.0316454653475375</v>
      </c>
      <c r="N209" s="29" t="n">
        <f aca="false">M209*(1-MIN(1,INDEX(Tabla_Mortalidad!$B$5:$B$75,MIN(71,Cartera_Polizas!$B$211+11-49))*(1+(Cartera_Polizas!$P$211-1)*MAX(0,1-11/Supuestos!$C$20))*(1-Supuestos!$C$18)^11))</f>
        <v>0.0198996225336782</v>
      </c>
      <c r="O209" s="29" t="n">
        <f aca="false">N209*(1-MIN(1,INDEX(Tabla_Mortalidad!$B$5:$B$75,MIN(71,Cartera_Polizas!$B$211+12-49))*(1+(Cartera_Polizas!$P$211-1)*MAX(0,1-12/Supuestos!$C$20))*(1-Supuestos!$C$18)^12))</f>
        <v>0.0121704822657329</v>
      </c>
      <c r="P209" s="29" t="n">
        <f aca="false">O209*(1-MIN(1,INDEX(Tabla_Mortalidad!$B$5:$B$75,MIN(71,Cartera_Polizas!$B$211+13-49))*(1+(Cartera_Polizas!$P$211-1)*MAX(0,1-13/Supuestos!$C$20))*(1-Supuestos!$C$18)^13))</f>
        <v>0.00724266818939762</v>
      </c>
      <c r="Q209" s="29" t="n">
        <f aca="false">P209*(1-MIN(1,INDEX(Tabla_Mortalidad!$B$5:$B$75,MIN(71,Cartera_Polizas!$B$211+14-49))*(1+(Cartera_Polizas!$P$211-1)*MAX(0,1-14/Supuestos!$C$20))*(1-Supuestos!$C$18)^14))</f>
        <v>0.00419824200867066</v>
      </c>
      <c r="R209" s="29" t="n">
        <f aca="false">Q209*(1-MIN(1,INDEX(Tabla_Mortalidad!$B$5:$B$75,MIN(71,Cartera_Polizas!$B$211+15-49))*(1+(Cartera_Polizas!$P$211-1)*MAX(0,1-15/Supuestos!$C$20))*(1-Supuestos!$C$18)^15))</f>
        <v>0.0023744515775374</v>
      </c>
      <c r="S209" s="29" t="n">
        <f aca="false">R209*(1-MIN(1,INDEX(Tabla_Mortalidad!$B$5:$B$75,MIN(71,Cartera_Polizas!$B$211+16-49))*(1+(Cartera_Polizas!$P$211-1)*MAX(0,1-16/Supuestos!$C$20))*(1-Supuestos!$C$18)^16))</f>
        <v>0.00126558617159455</v>
      </c>
      <c r="T209" s="29" t="n">
        <f aca="false">S209*(1-MIN(1,INDEX(Tabla_Mortalidad!$B$5:$B$75,MIN(71,Cartera_Polizas!$B$211+17-49))*(1+(Cartera_Polizas!$P$211-1)*MAX(0,1-17/Supuestos!$C$20))*(1-Supuestos!$C$18)^17))</f>
        <v>0.000632313801363233</v>
      </c>
      <c r="U209" s="29" t="n">
        <f aca="false">T209*(1-MIN(1,INDEX(Tabla_Mortalidad!$B$5:$B$75,MIN(71,Cartera_Polizas!$B$211+18-49))*(1+(Cartera_Polizas!$P$211-1)*MAX(0,1-18/Supuestos!$C$20))*(1-Supuestos!$C$18)^18))</f>
        <v>0.000294499339859716</v>
      </c>
      <c r="V209" s="29" t="n">
        <f aca="false">U209*(1-MIN(1,INDEX(Tabla_Mortalidad!$B$5:$B$75,MIN(71,Cartera_Polizas!$B$211+19-49))*(1+(Cartera_Polizas!$P$211-1)*MAX(0,1-19/Supuestos!$C$20))*(1-Supuestos!$C$18)^19))</f>
        <v>0.000127148501715773</v>
      </c>
      <c r="W209" s="29" t="n">
        <f aca="false">V209*(1-MIN(1,INDEX(Tabla_Mortalidad!$B$5:$B$75,MIN(71,Cartera_Polizas!$B$211+20-49))*(1+(Cartera_Polizas!$P$211-1)*MAX(0,1-20/Supuestos!$C$20))*(1-Supuestos!$C$18)^20))</f>
        <v>5.06079559859986E-005</v>
      </c>
      <c r="X209" s="29" t="n">
        <f aca="false">W209*(1-MIN(1,INDEX(Tabla_Mortalidad!$B$5:$B$75,MIN(71,Cartera_Polizas!$B$211+21-49))*(1+(Cartera_Polizas!$P$211-1)*MAX(0,1-21/Supuestos!$C$20))*(1-Supuestos!$C$18)^21))</f>
        <v>1.84735903947599E-005</v>
      </c>
      <c r="Y209" s="29" t="n">
        <f aca="false">X209*(1-MIN(1,INDEX(Tabla_Mortalidad!$B$5:$B$75,MIN(71,Cartera_Polizas!$B$211+22-49))*(1+(Cartera_Polizas!$P$211-1)*MAX(0,1-22/Supuestos!$C$20))*(1-Supuestos!$C$18)^22))</f>
        <v>6.15646947993399E-006</v>
      </c>
      <c r="Z209" s="29" t="n">
        <f aca="false">Y209*(1-MIN(1,INDEX(Tabla_Mortalidad!$B$5:$B$75,MIN(71,Cartera_Polizas!$B$211+23-49))*(1+(Cartera_Polizas!$P$211-1)*MAX(0,1-23/Supuestos!$C$20))*(1-Supuestos!$C$18)^23))</f>
        <v>1.86655892972153E-006</v>
      </c>
      <c r="AA209" s="29" t="n">
        <f aca="false">Z209*(1-MIN(1,INDEX(Tabla_Mortalidad!$B$5:$B$75,MIN(71,Cartera_Polizas!$B$211+24-49))*(1+(Cartera_Polizas!$P$211-1)*MAX(0,1-24/Supuestos!$C$20))*(1-Supuestos!$C$18)^24))</f>
        <v>5.138503583256E-007</v>
      </c>
      <c r="AB209" s="29" t="n">
        <f aca="false">AA209*(1-MIN(1,INDEX(Tabla_Mortalidad!$B$5:$B$75,MIN(71,Cartera_Polizas!$B$211+25-49))*(1+(Cartera_Polizas!$P$211-1)*MAX(0,1-25/Supuestos!$C$20))*(1-Supuestos!$C$18)^25))</f>
        <v>1.28468415701846E-007</v>
      </c>
      <c r="AC209" s="29" t="n">
        <f aca="false">AB209*(1-MIN(1,INDEX(Tabla_Mortalidad!$B$5:$B$75,MIN(71,Cartera_Polizas!$B$211+26-49))*(1+(Cartera_Polizas!$P$211-1)*MAX(0,1-26/Supuestos!$C$20))*(1-Supuestos!$C$18)^26))</f>
        <v>2.92531611748794E-008</v>
      </c>
      <c r="AD209" s="29" t="n">
        <f aca="false">AC209*(1-MIN(1,INDEX(Tabla_Mortalidad!$B$5:$B$75,MIN(71,Cartera_Polizas!$B$211+27-49))*(1+(Cartera_Polizas!$P$211-1)*MAX(0,1-27/Supuestos!$C$20))*(1-Supuestos!$C$18)^27))</f>
        <v>6.1035173111052E-009</v>
      </c>
      <c r="AE209" s="29" t="n">
        <f aca="false">AD209*(1-MIN(1,INDEX(Tabla_Mortalidad!$B$5:$B$75,MIN(71,Cartera_Polizas!$B$211+28-49))*(1+(Cartera_Polizas!$P$211-1)*MAX(0,1-28/Supuestos!$C$20))*(1-Supuestos!$C$18)^28))</f>
        <v>1.17779846803089E-009</v>
      </c>
      <c r="AF209" s="29" t="n">
        <f aca="false">AE209*(1-MIN(1,INDEX(Tabla_Mortalidad!$B$5:$B$75,MIN(71,Cartera_Polizas!$B$211+29-49))*(1+(Cartera_Polizas!$P$211-1)*MAX(0,1-29/Supuestos!$C$20))*(1-Supuestos!$C$18)^29))</f>
        <v>2.1281980209848E-010</v>
      </c>
      <c r="AG209" s="29" t="n">
        <f aca="false">AF209*(1-MIN(1,INDEX(Tabla_Mortalidad!$B$5:$B$75,MIN(71,Cartera_Polizas!$B$211+30-49))*(1+(Cartera_Polizas!$P$211-1)*MAX(0,1-30/Supuestos!$C$20))*(1-Supuestos!$C$18)^30))</f>
        <v>2.97130086465338E-011</v>
      </c>
      <c r="AH209" s="29" t="n">
        <f aca="false">AG209*(1-MIN(1,INDEX(Tabla_Mortalidad!$B$5:$B$75,MIN(71,Cartera_Polizas!$B$211+31-49))*(1+(Cartera_Polizas!$P$211-1)*MAX(0,1-31/Supuestos!$C$20))*(1-Supuestos!$C$18)^31))</f>
        <v>4.27622872749995E-012</v>
      </c>
      <c r="AI209" s="29" t="n">
        <f aca="false">AH209*(1-MIN(1,INDEX(Tabla_Mortalidad!$B$5:$B$75,MIN(71,Cartera_Polizas!$B$211+32-49))*(1+(Cartera_Polizas!$P$211-1)*MAX(0,1-32/Supuestos!$C$20))*(1-Supuestos!$C$18)^32))</f>
        <v>6.33729145339067E-013</v>
      </c>
      <c r="AJ209" s="29" t="n">
        <f aca="false">AI209*(1-MIN(1,INDEX(Tabla_Mortalidad!$B$5:$B$75,MIN(71,Cartera_Polizas!$B$211+33-49))*(1+(Cartera_Polizas!$P$211-1)*MAX(0,1-33/Supuestos!$C$20))*(1-Supuestos!$C$18)^33))</f>
        <v>9.66165391787249E-014</v>
      </c>
      <c r="AK209" s="29" t="n">
        <f aca="false">AJ209*(1-MIN(1,INDEX(Tabla_Mortalidad!$B$5:$B$75,MIN(71,Cartera_Polizas!$B$211+34-49))*(1+(Cartera_Polizas!$P$211-1)*MAX(0,1-34/Supuestos!$C$20))*(1-Supuestos!$C$18)^34))</f>
        <v>1.51393154618496E-014</v>
      </c>
      <c r="AL209" s="29" t="n">
        <f aca="false">AK209*(1-MIN(1,INDEX(Tabla_Mortalidad!$B$5:$B$75,MIN(71,Cartera_Polizas!$B$211+35-49))*(1+(Cartera_Polizas!$P$211-1)*MAX(0,1-35/Supuestos!$C$20))*(1-Supuestos!$C$18)^35))</f>
        <v>2.4360882890044E-015</v>
      </c>
      <c r="AM209" s="29" t="n">
        <f aca="false">AL209*(1-MIN(1,INDEX(Tabla_Mortalidad!$B$5:$B$75,MIN(71,Cartera_Polizas!$B$211+36-49))*(1+(Cartera_Polizas!$P$211-1)*MAX(0,1-36/Supuestos!$C$20))*(1-Supuestos!$C$18)^36))</f>
        <v>4.02214821529459E-016</v>
      </c>
      <c r="AN209" s="29" t="n">
        <f aca="false">AM209*(1-MIN(1,INDEX(Tabla_Mortalidad!$B$5:$B$75,MIN(71,Cartera_Polizas!$B$211+37-49))*(1+(Cartera_Polizas!$P$211-1)*MAX(0,1-37/Supuestos!$C$20))*(1-Supuestos!$C$18)^37))</f>
        <v>6.80874472716391E-017</v>
      </c>
      <c r="AO209" s="29" t="n">
        <f aca="false">AN209*(1-MIN(1,INDEX(Tabla_Mortalidad!$B$5:$B$75,MIN(71,Cartera_Polizas!$B$211+38-49))*(1+(Cartera_Polizas!$P$211-1)*MAX(0,1-38/Supuestos!$C$20))*(1-Supuestos!$C$18)^38))</f>
        <v>1.18087390658335E-017</v>
      </c>
      <c r="AP209" s="29" t="n">
        <f aca="false">AO209*(1-MIN(1,INDEX(Tabla_Mortalidad!$B$5:$B$75,MIN(71,Cartera_Polizas!$B$211+39-49))*(1+(Cartera_Polizas!$P$211-1)*MAX(0,1-39/Supuestos!$C$20))*(1-Supuestos!$C$18)^39))</f>
        <v>2.0968508432425E-018</v>
      </c>
      <c r="AQ209" s="29" t="n">
        <f aca="false">AP209*(1-MIN(1,INDEX(Tabla_Mortalidad!$B$5:$B$75,MIN(71,Cartera_Polizas!$B$211+40-49))*(1+(Cartera_Polizas!$P$211-1)*MAX(0,1-40/Supuestos!$C$20))*(1-Supuestos!$C$18)^40))</f>
        <v>3.80955607433801E-019</v>
      </c>
      <c r="AR209" s="29" t="n">
        <f aca="false">AQ209*(1-MIN(1,INDEX(Tabla_Mortalidad!$B$5:$B$75,MIN(71,Cartera_Polizas!$B$211+41-49))*(1+(Cartera_Polizas!$P$211-1)*MAX(0,1-41/Supuestos!$C$20))*(1-Supuestos!$C$18)^41))</f>
        <v>7.0770686848204E-020</v>
      </c>
      <c r="AS209" s="29" t="n">
        <f aca="false">AR209*(1-MIN(1,INDEX(Tabla_Mortalidad!$B$5:$B$75,MIN(71,Cartera_Polizas!$B$211+42-49))*(1+(Cartera_Polizas!$P$211-1)*MAX(0,1-42/Supuestos!$C$20))*(1-Supuestos!$C$18)^42))</f>
        <v>1.34352927650631E-020</v>
      </c>
      <c r="AT209" s="29" t="n">
        <f aca="false">AS209*(1-MIN(1,INDEX(Tabla_Mortalidad!$B$5:$B$75,MIN(71,Cartera_Polizas!$B$211+43-49))*(1+(Cartera_Polizas!$P$211-1)*MAX(0,1-43/Supuestos!$C$20))*(1-Supuestos!$C$18)^43))</f>
        <v>2.60501471612001E-021</v>
      </c>
      <c r="AU209" s="29" t="n">
        <f aca="false">AT209*(1-MIN(1,INDEX(Tabla_Mortalidad!$B$5:$B$75,MIN(71,Cartera_Polizas!$B$211+44-49))*(1+(Cartera_Polizas!$P$211-1)*MAX(0,1-44/Supuestos!$C$20))*(1-Supuestos!$C$18)^44))</f>
        <v>5.15594781656039E-022</v>
      </c>
    </row>
    <row r="210" customFormat="false" ht="15" hidden="false" customHeight="false" outlineLevel="0" collapsed="false">
      <c r="A210" s="14" t="n">
        <f aca="false">Cartera_Polizas!A212</f>
        <v>207</v>
      </c>
      <c r="B210" s="26" t="n">
        <f aca="false">SUM(C210:AU210)+0.5</f>
        <v>9.22315159108072</v>
      </c>
      <c r="C210" s="29" t="n">
        <f aca="false">1-MIN(1,INDEX(Tabla_Mortalidad!$B$5:$B$75,MIN(71,Cartera_Polizas!$B$212+0-49))*(1+(Cartera_Polizas!$P$212-1)*MAX(0,1-0/Supuestos!$C$20))*(1-Supuestos!$C$18)^0)</f>
        <v>0.932102590375</v>
      </c>
      <c r="D210" s="29" t="n">
        <f aca="false">C210*(1-MIN(1,INDEX(Tabla_Mortalidad!$B$5:$B$75,MIN(71,Cartera_Polizas!$B$212+1-49))*(1+(Cartera_Polizas!$P$212-1)*MAX(0,1-1/Supuestos!$C$20))*(1-Supuestos!$C$18)^1))</f>
        <v>0.864633876599548</v>
      </c>
      <c r="E210" s="29" t="n">
        <f aca="false">D210*(1-MIN(1,INDEX(Tabla_Mortalidad!$B$5:$B$75,MIN(71,Cartera_Polizas!$B$212+2-49))*(1+(Cartera_Polizas!$P$212-1)*MAX(0,1-2/Supuestos!$C$20))*(1-Supuestos!$C$18)^2))</f>
        <v>0.798033494322983</v>
      </c>
      <c r="F210" s="29" t="n">
        <f aca="false">E210*(1-MIN(1,INDEX(Tabla_Mortalidad!$B$5:$B$75,MIN(71,Cartera_Polizas!$B$212+3-49))*(1+(Cartera_Polizas!$P$212-1)*MAX(0,1-3/Supuestos!$C$20))*(1-Supuestos!$C$18)^3))</f>
        <v>0.732748363306215</v>
      </c>
      <c r="G210" s="29" t="n">
        <f aca="false">F210*(1-MIN(1,INDEX(Tabla_Mortalidad!$B$5:$B$75,MIN(71,Cartera_Polizas!$B$212+4-49))*(1+(Cartera_Polizas!$P$212-1)*MAX(0,1-4/Supuestos!$C$20))*(1-Supuestos!$C$18)^4))</f>
        <v>0.669221469240359</v>
      </c>
      <c r="H210" s="29" t="n">
        <f aca="false">G210*(1-MIN(1,INDEX(Tabla_Mortalidad!$B$5:$B$75,MIN(71,Cartera_Polizas!$B$212+5-49))*(1+(Cartera_Polizas!$P$212-1)*MAX(0,1-5/Supuestos!$C$20))*(1-Supuestos!$C$18)^5))</f>
        <v>0.607877955198985</v>
      </c>
      <c r="I210" s="29" t="n">
        <f aca="false">H210*(1-MIN(1,INDEX(Tabla_Mortalidad!$B$5:$B$75,MIN(71,Cartera_Polizas!$B$212+6-49))*(1+(Cartera_Polizas!$P$212-1)*MAX(0,1-6/Supuestos!$C$20))*(1-Supuestos!$C$18)^6))</f>
        <v>0.54911632864445</v>
      </c>
      <c r="J210" s="29" t="n">
        <f aca="false">I210*(1-MIN(1,INDEX(Tabla_Mortalidad!$B$5:$B$75,MIN(71,Cartera_Polizas!$B$212+7-49))*(1+(Cartera_Polizas!$P$212-1)*MAX(0,1-7/Supuestos!$C$20))*(1-Supuestos!$C$18)^7))</f>
        <v>0.493298535932856</v>
      </c>
      <c r="K210" s="29" t="n">
        <f aca="false">J210*(1-MIN(1,INDEX(Tabla_Mortalidad!$B$5:$B$75,MIN(71,Cartera_Polizas!$B$212+8-49))*(1+(Cartera_Polizas!$P$212-1)*MAX(0,1-8/Supuestos!$C$20))*(1-Supuestos!$C$18)^8))</f>
        <v>0.440736595374343</v>
      </c>
      <c r="L210" s="29" t="n">
        <f aca="false">K210*(1-MIN(1,INDEX(Tabla_Mortalidad!$B$5:$B$75,MIN(71,Cartera_Polizas!$B$212+9-49))*(1+(Cartera_Polizas!$P$212-1)*MAX(0,1-9/Supuestos!$C$20))*(1-Supuestos!$C$18)^9))</f>
        <v>0.391683328384687</v>
      </c>
      <c r="M210" s="29" t="n">
        <f aca="false">L210*(1-MIN(1,INDEX(Tabla_Mortalidad!$B$5:$B$75,MIN(71,Cartera_Polizas!$B$212+10-49))*(1+(Cartera_Polizas!$P$212-1)*MAX(0,1-10/Supuestos!$C$20))*(1-Supuestos!$C$18)^10))</f>
        <v>0.346328434523187</v>
      </c>
      <c r="N210" s="29" t="n">
        <f aca="false">M210*(1-MIN(1,INDEX(Tabla_Mortalidad!$B$5:$B$75,MIN(71,Cartera_Polizas!$B$212+11-49))*(1+(Cartera_Polizas!$P$212-1)*MAX(0,1-11/Supuestos!$C$20))*(1-Supuestos!$C$18)^11))</f>
        <v>0.304790170618901</v>
      </c>
      <c r="O210" s="29" t="n">
        <f aca="false">N210*(1-MIN(1,INDEX(Tabla_Mortalidad!$B$5:$B$75,MIN(71,Cartera_Polizas!$B$212+12-49))*(1+(Cartera_Polizas!$P$212-1)*MAX(0,1-12/Supuestos!$C$20))*(1-Supuestos!$C$18)^12))</f>
        <v>0.267117573633175</v>
      </c>
      <c r="P210" s="29" t="n">
        <f aca="false">O210*(1-MIN(1,INDEX(Tabla_Mortalidad!$B$5:$B$75,MIN(71,Cartera_Polizas!$B$212+13-49))*(1+(Cartera_Polizas!$P$212-1)*MAX(0,1-13/Supuestos!$C$20))*(1-Supuestos!$C$18)^13))</f>
        <v>0.23328987991958</v>
      </c>
      <c r="Q210" s="29" t="n">
        <f aca="false">P210*(1-MIN(1,INDEX(Tabla_Mortalidad!$B$5:$B$75,MIN(71,Cartera_Polizas!$B$212+14-49))*(1+(Cartera_Polizas!$P$212-1)*MAX(0,1-14/Supuestos!$C$20))*(1-Supuestos!$C$18)^14))</f>
        <v>0.20322224388388</v>
      </c>
      <c r="R210" s="29" t="n">
        <f aca="false">Q210*(1-MIN(1,INDEX(Tabla_Mortalidad!$B$5:$B$75,MIN(71,Cartera_Polizas!$B$212+15-49))*(1+(Cartera_Polizas!$P$212-1)*MAX(0,1-15/Supuestos!$C$20))*(1-Supuestos!$C$18)^15))</f>
        <v>0.176773437455204</v>
      </c>
      <c r="S210" s="29" t="n">
        <f aca="false">R210*(1-MIN(1,INDEX(Tabla_Mortalidad!$B$5:$B$75,MIN(71,Cartera_Polizas!$B$212+16-49))*(1+(Cartera_Polizas!$P$212-1)*MAX(0,1-16/Supuestos!$C$20))*(1-Supuestos!$C$18)^16))</f>
        <v>0.151437756255879</v>
      </c>
      <c r="T210" s="29" t="n">
        <f aca="false">S210*(1-MIN(1,INDEX(Tabla_Mortalidad!$B$5:$B$75,MIN(71,Cartera_Polizas!$B$212+17-49))*(1+(Cartera_Polizas!$P$212-1)*MAX(0,1-17/Supuestos!$C$20))*(1-Supuestos!$C$18)^17))</f>
        <v>0.127559122146532</v>
      </c>
      <c r="U210" s="29" t="n">
        <f aca="false">T210*(1-MIN(1,INDEX(Tabla_Mortalidad!$B$5:$B$75,MIN(71,Cartera_Polizas!$B$212+18-49))*(1+(Cartera_Polizas!$P$212-1)*MAX(0,1-18/Supuestos!$C$20))*(1-Supuestos!$C$18)^18))</f>
        <v>0.105454433493954</v>
      </c>
      <c r="V210" s="29" t="n">
        <f aca="false">U210*(1-MIN(1,INDEX(Tabla_Mortalidad!$B$5:$B$75,MIN(71,Cartera_Polizas!$B$212+19-49))*(1+(Cartera_Polizas!$P$212-1)*MAX(0,1-19/Supuestos!$C$20))*(1-Supuestos!$C$18)^19))</f>
        <v>0.0853948872379319</v>
      </c>
      <c r="W210" s="29" t="n">
        <f aca="false">V210*(1-MIN(1,INDEX(Tabla_Mortalidad!$B$5:$B$75,MIN(71,Cartera_Polizas!$B$212+20-49))*(1+(Cartera_Polizas!$P$212-1)*MAX(0,1-20/Supuestos!$C$20))*(1-Supuestos!$C$18)^20))</f>
        <v>0.0675874996596845</v>
      </c>
      <c r="X210" s="29" t="n">
        <f aca="false">W210*(1-MIN(1,INDEX(Tabla_Mortalidad!$B$5:$B$75,MIN(71,Cartera_Polizas!$B$212+21-49))*(1+(Cartera_Polizas!$P$212-1)*MAX(0,1-21/Supuestos!$C$20))*(1-Supuestos!$C$18)^21))</f>
        <v>0.052159161025761</v>
      </c>
      <c r="Y210" s="29" t="n">
        <f aca="false">X210*(1-MIN(1,INDEX(Tabla_Mortalidad!$B$5:$B$75,MIN(71,Cartera_Polizas!$B$212+22-49))*(1+(Cartera_Polizas!$P$212-1)*MAX(0,1-22/Supuestos!$C$20))*(1-Supuestos!$C$18)^22))</f>
        <v>0.0391462554997298</v>
      </c>
      <c r="Z210" s="29" t="n">
        <f aca="false">Y210*(1-MIN(1,INDEX(Tabla_Mortalidad!$B$5:$B$75,MIN(71,Cartera_Polizas!$B$212+23-49))*(1+(Cartera_Polizas!$P$212-1)*MAX(0,1-23/Supuestos!$C$20))*(1-Supuestos!$C$18)^23))</f>
        <v>0.0284911349080593</v>
      </c>
      <c r="AA210" s="29" t="n">
        <f aca="false">Z210*(1-MIN(1,INDEX(Tabla_Mortalidad!$B$5:$B$75,MIN(71,Cartera_Polizas!$B$212+24-49))*(1+(Cartera_Polizas!$P$212-1)*MAX(0,1-24/Supuestos!$C$20))*(1-Supuestos!$C$18)^24))</f>
        <v>0.0200468847935789</v>
      </c>
      <c r="AB210" s="29" t="n">
        <f aca="false">AA210*(1-MIN(1,INDEX(Tabla_Mortalidad!$B$5:$B$75,MIN(71,Cartera_Polizas!$B$212+25-49))*(1+(Cartera_Polizas!$P$212-1)*MAX(0,1-25/Supuestos!$C$20))*(1-Supuestos!$C$18)^25))</f>
        <v>0.0135910136848869</v>
      </c>
      <c r="AC210" s="29" t="n">
        <f aca="false">AB210*(1-MIN(1,INDEX(Tabla_Mortalidad!$B$5:$B$75,MIN(71,Cartera_Polizas!$B$212+26-49))*(1+(Cartera_Polizas!$P$212-1)*MAX(0,1-26/Supuestos!$C$20))*(1-Supuestos!$C$18)^26))</f>
        <v>0.00884638664019011</v>
      </c>
      <c r="AD210" s="29" t="n">
        <f aca="false">AC210*(1-MIN(1,INDEX(Tabla_Mortalidad!$B$5:$B$75,MIN(71,Cartera_Polizas!$B$212+27-49))*(1+(Cartera_Polizas!$P$212-1)*MAX(0,1-27/Supuestos!$C$20))*(1-Supuestos!$C$18)^27))</f>
        <v>0.00550713042920011</v>
      </c>
      <c r="AE210" s="29" t="n">
        <f aca="false">AD210*(1-MIN(1,INDEX(Tabla_Mortalidad!$B$5:$B$75,MIN(71,Cartera_Polizas!$B$212+28-49))*(1+(Cartera_Polizas!$P$212-1)*MAX(0,1-28/Supuestos!$C$20))*(1-Supuestos!$C$18)^28))</f>
        <v>0.0032656607173193</v>
      </c>
      <c r="AF210" s="29" t="n">
        <f aca="false">AE210*(1-MIN(1,INDEX(Tabla_Mortalidad!$B$5:$B$75,MIN(71,Cartera_Polizas!$B$212+29-49))*(1+(Cartera_Polizas!$P$212-1)*MAX(0,1-29/Supuestos!$C$20))*(1-Supuestos!$C$18)^29))</f>
        <v>0.00183681075028522</v>
      </c>
      <c r="AG210" s="29" t="n">
        <f aca="false">AF210*(1-MIN(1,INDEX(Tabla_Mortalidad!$B$5:$B$75,MIN(71,Cartera_Polizas!$B$212+30-49))*(1+(Cartera_Polizas!$P$212-1)*MAX(0,1-30/Supuestos!$C$20))*(1-Supuestos!$C$18)^30))</f>
        <v>0.000975691532765674</v>
      </c>
      <c r="AH210" s="29" t="n">
        <f aca="false">AG210*(1-MIN(1,INDEX(Tabla_Mortalidad!$B$5:$B$75,MIN(71,Cartera_Polizas!$B$212+31-49))*(1+(Cartera_Polizas!$P$212-1)*MAX(0,1-31/Supuestos!$C$20))*(1-Supuestos!$C$18)^31))</f>
        <v>0.000487311204995295</v>
      </c>
      <c r="AI210" s="29" t="n">
        <f aca="false">AH210*(1-MIN(1,INDEX(Tabla_Mortalidad!$B$5:$B$75,MIN(71,Cartera_Polizas!$B$212+32-49))*(1+(Cartera_Polizas!$P$212-1)*MAX(0,1-32/Supuestos!$C$20))*(1-Supuestos!$C$18)^32))</f>
        <v>0.000227863392525109</v>
      </c>
      <c r="AJ210" s="29" t="n">
        <f aca="false">AI210*(1-MIN(1,INDEX(Tabla_Mortalidad!$B$5:$B$75,MIN(71,Cartera_Polizas!$B$212+33-49))*(1+(Cartera_Polizas!$P$212-1)*MAX(0,1-33/Supuestos!$C$20))*(1-Supuestos!$C$18)^33))</f>
        <v>9.93480683051371E-005</v>
      </c>
      <c r="AK210" s="29" t="n">
        <f aca="false">AJ210*(1-MIN(1,INDEX(Tabla_Mortalidad!$B$5:$B$75,MIN(71,Cartera_Polizas!$B$212+34-49))*(1+(Cartera_Polizas!$P$212-1)*MAX(0,1-34/Supuestos!$C$20))*(1-Supuestos!$C$18)^34))</f>
        <v>4.02449479116127E-005</v>
      </c>
      <c r="AL210" s="29" t="n">
        <f aca="false">AK210*(1-MIN(1,INDEX(Tabla_Mortalidad!$B$5:$B$75,MIN(71,Cartera_Polizas!$B$212+35-49))*(1+(Cartera_Polizas!$P$212-1)*MAX(0,1-35/Supuestos!$C$20))*(1-Supuestos!$C$18)^35))</f>
        <v>1.51047140011513E-005</v>
      </c>
      <c r="AM210" s="29" t="n">
        <f aca="false">AL210*(1-MIN(1,INDEX(Tabla_Mortalidad!$B$5:$B$75,MIN(71,Cartera_Polizas!$B$212+36-49))*(1+(Cartera_Polizas!$P$212-1)*MAX(0,1-36/Supuestos!$C$20))*(1-Supuestos!$C$18)^36))</f>
        <v>5.24353000656462E-006</v>
      </c>
      <c r="AN210" s="29" t="n">
        <f aca="false">AM210*(1-MIN(1,INDEX(Tabla_Mortalidad!$B$5:$B$75,MIN(71,Cartera_Polizas!$B$212+37-49))*(1+(Cartera_Polizas!$P$212-1)*MAX(0,1-37/Supuestos!$C$20))*(1-Supuestos!$C$18)^37))</f>
        <v>1.68323206217402E-006</v>
      </c>
      <c r="AO210" s="29" t="n">
        <f aca="false">AN210*(1-MIN(1,INDEX(Tabla_Mortalidad!$B$5:$B$75,MIN(71,Cartera_Polizas!$B$212+38-49))*(1+(Cartera_Polizas!$P$212-1)*MAX(0,1-38/Supuestos!$C$20))*(1-Supuestos!$C$18)^38))</f>
        <v>5.00466305036755E-007</v>
      </c>
      <c r="AP210" s="29" t="n">
        <f aca="false">AO210*(1-MIN(1,INDEX(Tabla_Mortalidad!$B$5:$B$75,MIN(71,Cartera_Polizas!$B$212+39-49))*(1+(Cartera_Polizas!$P$212-1)*MAX(0,1-39/Supuestos!$C$20))*(1-Supuestos!$C$18)^39))</f>
        <v>1.38342583295304E-007</v>
      </c>
      <c r="AQ210" s="29" t="n">
        <f aca="false">AP210*(1-MIN(1,INDEX(Tabla_Mortalidad!$B$5:$B$75,MIN(71,Cartera_Polizas!$B$212+40-49))*(1+(Cartera_Polizas!$P$212-1)*MAX(0,1-40/Supuestos!$C$20))*(1-Supuestos!$C$18)^40))</f>
        <v>3.57709098661336E-008</v>
      </c>
      <c r="AR210" s="29" t="n">
        <f aca="false">AQ210*(1-MIN(1,INDEX(Tabla_Mortalidad!$B$5:$B$75,MIN(71,Cartera_Polizas!$B$212+41-49))*(1+(Cartera_Polizas!$P$212-1)*MAX(0,1-41/Supuestos!$C$20))*(1-Supuestos!$C$18)^41))</f>
        <v>8.72388657931671E-009</v>
      </c>
      <c r="AS210" s="29" t="n">
        <f aca="false">AR210*(1-MIN(1,INDEX(Tabla_Mortalidad!$B$5:$B$75,MIN(71,Cartera_Polizas!$B$212+42-49))*(1+(Cartera_Polizas!$P$212-1)*MAX(0,1-42/Supuestos!$C$20))*(1-Supuestos!$C$18)^42))</f>
        <v>2.02724913120378E-009</v>
      </c>
      <c r="AT210" s="29" t="n">
        <f aca="false">AS210*(1-MIN(1,INDEX(Tabla_Mortalidad!$B$5:$B$75,MIN(71,Cartera_Polizas!$B$212+43-49))*(1+(Cartera_Polizas!$P$212-1)*MAX(0,1-43/Supuestos!$C$20))*(1-Supuestos!$C$18)^43))</f>
        <v>3.93070245090603E-010</v>
      </c>
      <c r="AU210" s="29" t="n">
        <f aca="false">AT210*(1-MIN(1,INDEX(Tabla_Mortalidad!$B$5:$B$75,MIN(71,Cartera_Polizas!$B$212+44-49))*(1+(Cartera_Polizas!$P$212-1)*MAX(0,1-44/Supuestos!$C$20))*(1-Supuestos!$C$18)^44))</f>
        <v>7.77980124023371E-011</v>
      </c>
    </row>
    <row r="211" customFormat="false" ht="15" hidden="false" customHeight="false" outlineLevel="0" collapsed="false">
      <c r="A211" s="14" t="n">
        <f aca="false">Cartera_Polizas!A213</f>
        <v>208</v>
      </c>
      <c r="B211" s="26" t="n">
        <f aca="false">SUM(C211:AU211)+0.5</f>
        <v>11.8203301050269</v>
      </c>
      <c r="C211" s="29" t="n">
        <f aca="false">1-MIN(1,INDEX(Tabla_Mortalidad!$B$5:$B$75,MIN(71,Cartera_Polizas!$B$213+0-49))*(1+(Cartera_Polizas!$P$213-1)*MAX(0,1-0/Supuestos!$C$20))*(1-Supuestos!$C$18)^0)</f>
        <v>0.957387921</v>
      </c>
      <c r="D211" s="29" t="n">
        <f aca="false">C211*(1-MIN(1,INDEX(Tabla_Mortalidad!$B$5:$B$75,MIN(71,Cartera_Polizas!$B$213+1-49))*(1+(Cartera_Polizas!$P$213-1)*MAX(0,1-1/Supuestos!$C$20))*(1-Supuestos!$C$18)^1))</f>
        <v>0.913523666742623</v>
      </c>
      <c r="E211" s="29" t="n">
        <f aca="false">D211*(1-MIN(1,INDEX(Tabla_Mortalidad!$B$5:$B$75,MIN(71,Cartera_Polizas!$B$213+2-49))*(1+(Cartera_Polizas!$P$213-1)*MAX(0,1-2/Supuestos!$C$20))*(1-Supuestos!$C$18)^2))</f>
        <v>0.868573259865922</v>
      </c>
      <c r="F211" s="29" t="n">
        <f aca="false">E211*(1-MIN(1,INDEX(Tabla_Mortalidad!$B$5:$B$75,MIN(71,Cartera_Polizas!$B$213+3-49))*(1+(Cartera_Polizas!$P$213-1)*MAX(0,1-3/Supuestos!$C$20))*(1-Supuestos!$C$18)^3))</f>
        <v>0.822729633264254</v>
      </c>
      <c r="G211" s="29" t="n">
        <f aca="false">F211*(1-MIN(1,INDEX(Tabla_Mortalidad!$B$5:$B$75,MIN(71,Cartera_Polizas!$B$213+4-49))*(1+(Cartera_Polizas!$P$213-1)*MAX(0,1-4/Supuestos!$C$20))*(1-Supuestos!$C$18)^4))</f>
        <v>0.776212432926341</v>
      </c>
      <c r="H211" s="29" t="n">
        <f aca="false">G211*(1-MIN(1,INDEX(Tabla_Mortalidad!$B$5:$B$75,MIN(71,Cartera_Polizas!$B$213+5-49))*(1+(Cartera_Polizas!$P$213-1)*MAX(0,1-5/Supuestos!$C$20))*(1-Supuestos!$C$18)^5))</f>
        <v>0.729266990501825</v>
      </c>
      <c r="I211" s="29" t="n">
        <f aca="false">H211*(1-MIN(1,INDEX(Tabla_Mortalidad!$B$5:$B$75,MIN(71,Cartera_Polizas!$B$213+6-49))*(1+(Cartera_Polizas!$P$213-1)*MAX(0,1-6/Supuestos!$C$20))*(1-Supuestos!$C$18)^6))</f>
        <v>0.682161124057222</v>
      </c>
      <c r="J211" s="29" t="n">
        <f aca="false">I211*(1-MIN(1,INDEX(Tabla_Mortalidad!$B$5:$B$75,MIN(71,Cartera_Polizas!$B$213+7-49))*(1+(Cartera_Polizas!$P$213-1)*MAX(0,1-7/Supuestos!$C$20))*(1-Supuestos!$C$18)^7))</f>
        <v>0.635179352164497</v>
      </c>
      <c r="K211" s="29" t="n">
        <f aca="false">J211*(1-MIN(1,INDEX(Tabla_Mortalidad!$B$5:$B$75,MIN(71,Cartera_Polizas!$B$213+8-49))*(1+(Cartera_Polizas!$P$213-1)*MAX(0,1-8/Supuestos!$C$20))*(1-Supuestos!$C$18)^8))</f>
        <v>0.588619968210105</v>
      </c>
      <c r="L211" s="29" t="n">
        <f aca="false">K211*(1-MIN(1,INDEX(Tabla_Mortalidad!$B$5:$B$75,MIN(71,Cartera_Polizas!$B$213+9-49))*(1+(Cartera_Polizas!$P$213-1)*MAX(0,1-9/Supuestos!$C$20))*(1-Supuestos!$C$18)^9))</f>
        <v>0.542790390873303</v>
      </c>
      <c r="M211" s="29" t="n">
        <f aca="false">L211*(1-MIN(1,INDEX(Tabla_Mortalidad!$B$5:$B$75,MIN(71,Cartera_Polizas!$B$213+10-49))*(1+(Cartera_Polizas!$P$213-1)*MAX(0,1-10/Supuestos!$C$20))*(1-Supuestos!$C$18)^10))</f>
        <v>0.497998254759293</v>
      </c>
      <c r="N211" s="29" t="n">
        <f aca="false">M211*(1-MIN(1,INDEX(Tabla_Mortalidad!$B$5:$B$75,MIN(71,Cartera_Polizas!$B$213+11-49))*(1+(Cartera_Polizas!$P$213-1)*MAX(0,1-11/Supuestos!$C$20))*(1-Supuestos!$C$18)^11))</f>
        <v>0.454543656815047</v>
      </c>
      <c r="O211" s="29" t="n">
        <f aca="false">N211*(1-MIN(1,INDEX(Tabla_Mortalidad!$B$5:$B$75,MIN(71,Cartera_Polizas!$B$213+12-49))*(1+(Cartera_Polizas!$P$213-1)*MAX(0,1-12/Supuestos!$C$20))*(1-Supuestos!$C$18)^12))</f>
        <v>0.412713933296353</v>
      </c>
      <c r="P211" s="29" t="n">
        <f aca="false">O211*(1-MIN(1,INDEX(Tabla_Mortalidad!$B$5:$B$75,MIN(71,Cartera_Polizas!$B$213+13-49))*(1+(Cartera_Polizas!$P$213-1)*MAX(0,1-13/Supuestos!$C$20))*(1-Supuestos!$C$18)^13))</f>
        <v>0.372772292614468</v>
      </c>
      <c r="Q211" s="29" t="n">
        <f aca="false">P211*(1-MIN(1,INDEX(Tabla_Mortalidad!$B$5:$B$75,MIN(71,Cartera_Polizas!$B$213+14-49))*(1+(Cartera_Polizas!$P$213-1)*MAX(0,1-14/Supuestos!$C$20))*(1-Supuestos!$C$18)^14))</f>
        <v>0.334953517156409</v>
      </c>
      <c r="R211" s="29" t="n">
        <f aca="false">Q211*(1-MIN(1,INDEX(Tabla_Mortalidad!$B$5:$B$75,MIN(71,Cartera_Polizas!$B$213+15-49))*(1+(Cartera_Polizas!$P$213-1)*MAX(0,1-15/Supuestos!$C$20))*(1-Supuestos!$C$18)^15))</f>
        <v>0.299455036189114</v>
      </c>
      <c r="S211" s="29" t="n">
        <f aca="false">R211*(1-MIN(1,INDEX(Tabla_Mortalidad!$B$5:$B$75,MIN(71,Cartera_Polizas!$B$213+16-49))*(1+(Cartera_Polizas!$P$213-1)*MAX(0,1-16/Supuestos!$C$20))*(1-Supuestos!$C$18)^16))</f>
        <v>0.264448099263005</v>
      </c>
      <c r="T211" s="29" t="n">
        <f aca="false">S211*(1-MIN(1,INDEX(Tabla_Mortalidad!$B$5:$B$75,MIN(71,Cartera_Polizas!$B$213+17-49))*(1+(Cartera_Polizas!$P$213-1)*MAX(0,1-17/Supuestos!$C$20))*(1-Supuestos!$C$18)^17))</f>
        <v>0.230374230438234</v>
      </c>
      <c r="U211" s="29" t="n">
        <f aca="false">T211*(1-MIN(1,INDEX(Tabla_Mortalidad!$B$5:$B$75,MIN(71,Cartera_Polizas!$B$213+18-49))*(1+(Cartera_Polizas!$P$213-1)*MAX(0,1-18/Supuestos!$C$20))*(1-Supuestos!$C$18)^18))</f>
        <v>0.197685681871658</v>
      </c>
      <c r="V211" s="29" t="n">
        <f aca="false">U211*(1-MIN(1,INDEX(Tabla_Mortalidad!$B$5:$B$75,MIN(71,Cartera_Polizas!$B$213+19-49))*(1+(Cartera_Polizas!$P$213-1)*MAX(0,1-19/Supuestos!$C$20))*(1-Supuestos!$C$18)^19))</f>
        <v>0.166825627202631</v>
      </c>
      <c r="W211" s="29" t="n">
        <f aca="false">V211*(1-MIN(1,INDEX(Tabla_Mortalidad!$B$5:$B$75,MIN(71,Cartera_Polizas!$B$213+20-49))*(1+(Cartera_Polizas!$P$213-1)*MAX(0,1-20/Supuestos!$C$20))*(1-Supuestos!$C$18)^20))</f>
        <v>0.138204824610252</v>
      </c>
      <c r="X211" s="29" t="n">
        <f aca="false">W211*(1-MIN(1,INDEX(Tabla_Mortalidad!$B$5:$B$75,MIN(71,Cartera_Polizas!$B$213+21-49))*(1+(Cartera_Polizas!$P$213-1)*MAX(0,1-21/Supuestos!$C$20))*(1-Supuestos!$C$18)^21))</f>
        <v>0.112177733775203</v>
      </c>
      <c r="Y211" s="29" t="n">
        <f aca="false">X211*(1-MIN(1,INDEX(Tabla_Mortalidad!$B$5:$B$75,MIN(71,Cartera_Polizas!$B$213+22-49))*(1+(Cartera_Polizas!$P$213-1)*MAX(0,1-22/Supuestos!$C$20))*(1-Supuestos!$C$18)^22))</f>
        <v>0.0890186611078436</v>
      </c>
      <c r="Z211" s="29" t="n">
        <f aca="false">Y211*(1-MIN(1,INDEX(Tabla_Mortalidad!$B$5:$B$75,MIN(71,Cartera_Polizas!$B$213+23-49))*(1+(Cartera_Polizas!$P$213-1)*MAX(0,1-23/Supuestos!$C$20))*(1-Supuestos!$C$18)^23))</f>
        <v>0.068900883561333</v>
      </c>
      <c r="AA211" s="29" t="n">
        <f aca="false">Z211*(1-MIN(1,INDEX(Tabla_Mortalidad!$B$5:$B$75,MIN(71,Cartera_Polizas!$B$213+24-49))*(1+(Cartera_Polizas!$P$213-1)*MAX(0,1-24/Supuestos!$C$20))*(1-Supuestos!$C$18)^24))</f>
        <v>0.0518826440206687</v>
      </c>
      <c r="AB211" s="29" t="n">
        <f aca="false">AA211*(1-MIN(1,INDEX(Tabla_Mortalidad!$B$5:$B$75,MIN(71,Cartera_Polizas!$B$213+25-49))*(1+(Cartera_Polizas!$P$213-1)*MAX(0,1-25/Supuestos!$C$20))*(1-Supuestos!$C$18)^25))</f>
        <v>0.0379017029631548</v>
      </c>
      <c r="AC211" s="29" t="n">
        <f aca="false">AB211*(1-MIN(1,INDEX(Tabla_Mortalidad!$B$5:$B$75,MIN(71,Cartera_Polizas!$B$213+26-49))*(1+(Cartera_Polizas!$P$213-1)*MAX(0,1-26/Supuestos!$C$20))*(1-Supuestos!$C$18)^26))</f>
        <v>0.0267803858482431</v>
      </c>
      <c r="AD211" s="29" t="n">
        <f aca="false">AC211*(1-MIN(1,INDEX(Tabla_Mortalidad!$B$5:$B$75,MIN(71,Cartera_Polizas!$B$213+27-49))*(1+(Cartera_Polizas!$P$213-1)*MAX(0,1-27/Supuestos!$C$20))*(1-Supuestos!$C$18)^27))</f>
        <v>0.0182420949309766</v>
      </c>
      <c r="AE211" s="29" t="n">
        <f aca="false">AD211*(1-MIN(1,INDEX(Tabla_Mortalidad!$B$5:$B$75,MIN(71,Cartera_Polizas!$B$213+28-49))*(1+(Cartera_Polizas!$P$213-1)*MAX(0,1-28/Supuestos!$C$20))*(1-Supuestos!$C$18)^28))</f>
        <v>0.0119372979984613</v>
      </c>
      <c r="AF211" s="29" t="n">
        <f aca="false">AE211*(1-MIN(1,INDEX(Tabla_Mortalidad!$B$5:$B$75,MIN(71,Cartera_Polizas!$B$213+29-49))*(1+(Cartera_Polizas!$P$213-1)*MAX(0,1-29/Supuestos!$C$20))*(1-Supuestos!$C$18)^29))</f>
        <v>0.00747625897015513</v>
      </c>
      <c r="AG211" s="29" t="n">
        <f aca="false">AF211*(1-MIN(1,INDEX(Tabla_Mortalidad!$B$5:$B$75,MIN(71,Cartera_Polizas!$B$213+30-49))*(1+(Cartera_Polizas!$P$213-1)*MAX(0,1-30/Supuestos!$C$20))*(1-Supuestos!$C$18)^30))</f>
        <v>0.00446368298019571</v>
      </c>
      <c r="AH211" s="29" t="n">
        <f aca="false">AG211*(1-MIN(1,INDEX(Tabla_Mortalidad!$B$5:$B$75,MIN(71,Cartera_Polizas!$B$213+31-49))*(1+(Cartera_Polizas!$P$213-1)*MAX(0,1-31/Supuestos!$C$20))*(1-Supuestos!$C$18)^31))</f>
        <v>0.00253013447616513</v>
      </c>
      <c r="AI211" s="29" t="n">
        <f aca="false">AH211*(1-MIN(1,INDEX(Tabla_Mortalidad!$B$5:$B$75,MIN(71,Cartera_Polizas!$B$213+32-49))*(1+(Cartera_Polizas!$P$213-1)*MAX(0,1-32/Supuestos!$C$20))*(1-Supuestos!$C$18)^32))</f>
        <v>0.00135580858849175</v>
      </c>
      <c r="AJ211" s="29" t="n">
        <f aca="false">AI211*(1-MIN(1,INDEX(Tabla_Mortalidad!$B$5:$B$75,MIN(71,Cartera_Polizas!$B$213+33-49))*(1+(Cartera_Polizas!$P$213-1)*MAX(0,1-33/Supuestos!$C$20))*(1-Supuestos!$C$18)^33))</f>
        <v>0.000683930979478418</v>
      </c>
      <c r="AK211" s="29" t="n">
        <f aca="false">AJ211*(1-MIN(1,INDEX(Tabla_Mortalidad!$B$5:$B$75,MIN(71,Cartera_Polizas!$B$213+34-49))*(1+(Cartera_Polizas!$P$213-1)*MAX(0,1-34/Supuestos!$C$20))*(1-Supuestos!$C$18)^34))</f>
        <v>0.000323433648716624</v>
      </c>
      <c r="AL211" s="29" t="n">
        <f aca="false">AK211*(1-MIN(1,INDEX(Tabla_Mortalidad!$B$5:$B$75,MIN(71,Cartera_Polizas!$B$213+35-49))*(1+(Cartera_Polizas!$P$213-1)*MAX(0,1-35/Supuestos!$C$20))*(1-Supuestos!$C$18)^35))</f>
        <v>0.00014283615508389</v>
      </c>
      <c r="AM211" s="29" t="n">
        <f aca="false">AL211*(1-MIN(1,INDEX(Tabla_Mortalidad!$B$5:$B$75,MIN(71,Cartera_Polizas!$B$213+36-49))*(1+(Cartera_Polizas!$P$213-1)*MAX(0,1-36/Supuestos!$C$20))*(1-Supuestos!$C$18)^36))</f>
        <v>5.87091756678631E-005</v>
      </c>
      <c r="AN211" s="29" t="n">
        <f aca="false">AM211*(1-MIN(1,INDEX(Tabla_Mortalidad!$B$5:$B$75,MIN(71,Cartera_Polizas!$B$213+37-49))*(1+(Cartera_Polizas!$P$213-1)*MAX(0,1-37/Supuestos!$C$20))*(1-Supuestos!$C$18)^37))</f>
        <v>2.24005267621647E-005</v>
      </c>
      <c r="AO211" s="29" t="n">
        <f aca="false">AN211*(1-MIN(1,INDEX(Tabla_Mortalidad!$B$5:$B$75,MIN(71,Cartera_Polizas!$B$213+38-49))*(1+(Cartera_Polizas!$P$213-1)*MAX(0,1-38/Supuestos!$C$20))*(1-Supuestos!$C$18)^38))</f>
        <v>7.92211418223594E-006</v>
      </c>
      <c r="AP211" s="29" t="n">
        <f aca="false">AO211*(1-MIN(1,INDEX(Tabla_Mortalidad!$B$5:$B$75,MIN(71,Cartera_Polizas!$B$213+39-49))*(1+(Cartera_Polizas!$P$213-1)*MAX(0,1-39/Supuestos!$C$20))*(1-Supuestos!$C$18)^39))</f>
        <v>2.59674347546555E-006</v>
      </c>
      <c r="AQ211" s="29" t="n">
        <f aca="false">AP211*(1-MIN(1,INDEX(Tabla_Mortalidad!$B$5:$B$75,MIN(71,Cartera_Polizas!$B$213+40-49))*(1+(Cartera_Polizas!$P$213-1)*MAX(0,1-40/Supuestos!$C$20))*(1-Supuestos!$C$18)^40))</f>
        <v>7.90276784368875E-007</v>
      </c>
      <c r="AR211" s="29" t="n">
        <f aca="false">AQ211*(1-MIN(1,INDEX(Tabla_Mortalidad!$B$5:$B$75,MIN(71,Cartera_Polizas!$B$213+41-49))*(1+(Cartera_Polizas!$P$213-1)*MAX(0,1-41/Supuestos!$C$20))*(1-Supuestos!$C$18)^41))</f>
        <v>2.24158062177659E-007</v>
      </c>
      <c r="AS211" s="29" t="n">
        <f aca="false">AR211*(1-MIN(1,INDEX(Tabla_Mortalidad!$B$5:$B$75,MIN(71,Cartera_Polizas!$B$213+42-49))*(1+(Cartera_Polizas!$P$213-1)*MAX(0,1-42/Supuestos!$C$20))*(1-Supuestos!$C$18)^42))</f>
        <v>5.96178379084632E-008</v>
      </c>
      <c r="AT211" s="29" t="n">
        <f aca="false">AS211*(1-MIN(1,INDEX(Tabla_Mortalidad!$B$5:$B$75,MIN(71,Cartera_Polizas!$B$213+43-49))*(1+(Cartera_Polizas!$P$213-1)*MAX(0,1-43/Supuestos!$C$20))*(1-Supuestos!$C$18)^43))</f>
        <v>1.49893809355154E-008</v>
      </c>
      <c r="AU211" s="29" t="n">
        <f aca="false">AT211*(1-MIN(1,INDEX(Tabla_Mortalidad!$B$5:$B$75,MIN(71,Cartera_Polizas!$B$213+44-49))*(1+(Cartera_Polizas!$P$213-1)*MAX(0,1-44/Supuestos!$C$20))*(1-Supuestos!$C$18)^44))</f>
        <v>3.59799319135465E-009</v>
      </c>
    </row>
    <row r="212" customFormat="false" ht="15" hidden="false" customHeight="false" outlineLevel="0" collapsed="false">
      <c r="A212" s="14" t="n">
        <f aca="false">Cartera_Polizas!A214</f>
        <v>209</v>
      </c>
      <c r="B212" s="26" t="n">
        <f aca="false">SUM(C212:AU212)+0.5</f>
        <v>3.71819833310186</v>
      </c>
      <c r="C212" s="29" t="n">
        <f aca="false">1-MIN(1,INDEX(Tabla_Mortalidad!$B$5:$B$75,MIN(71,Cartera_Polizas!$B$214+0-49))*(1+(Cartera_Polizas!$P$214-1)*MAX(0,1-0/Supuestos!$C$20))*(1-Supuestos!$C$18)^0)</f>
        <v>0.79785982</v>
      </c>
      <c r="D212" s="29" t="n">
        <f aca="false">C212*(1-MIN(1,INDEX(Tabla_Mortalidad!$B$5:$B$75,MIN(71,Cartera_Polizas!$B$214+1-49))*(1+(Cartera_Polizas!$P$214-1)*MAX(0,1-1/Supuestos!$C$20))*(1-Supuestos!$C$18)^1))</f>
        <v>0.626590371648031</v>
      </c>
      <c r="E212" s="29" t="n">
        <f aca="false">D212*(1-MIN(1,INDEX(Tabla_Mortalidad!$B$5:$B$75,MIN(71,Cartera_Polizas!$B$214+2-49))*(1+(Cartera_Polizas!$P$214-1)*MAX(0,1-2/Supuestos!$C$20))*(1-Supuestos!$C$18)^2))</f>
        <v>0.484074303829664</v>
      </c>
      <c r="F212" s="29" t="n">
        <f aca="false">E212*(1-MIN(1,INDEX(Tabla_Mortalidad!$B$5:$B$75,MIN(71,Cartera_Polizas!$B$214+3-49))*(1+(Cartera_Polizas!$P$214-1)*MAX(0,1-3/Supuestos!$C$20))*(1-Supuestos!$C$18)^3))</f>
        <v>0.367698810270893</v>
      </c>
      <c r="G212" s="29" t="n">
        <f aca="false">F212*(1-MIN(1,INDEX(Tabla_Mortalidad!$B$5:$B$75,MIN(71,Cartera_Polizas!$B$214+4-49))*(1+(Cartera_Polizas!$P$214-1)*MAX(0,1-4/Supuestos!$C$20))*(1-Supuestos!$C$18)^4))</f>
        <v>0.274512594923486</v>
      </c>
      <c r="H212" s="29" t="n">
        <f aca="false">G212*(1-MIN(1,INDEX(Tabla_Mortalidad!$B$5:$B$75,MIN(71,Cartera_Polizas!$B$214+5-49))*(1+(Cartera_Polizas!$P$214-1)*MAX(0,1-5/Supuestos!$C$20))*(1-Supuestos!$C$18)^5))</f>
        <v>0.20138893909717</v>
      </c>
      <c r="I212" s="29" t="n">
        <f aca="false">H212*(1-MIN(1,INDEX(Tabla_Mortalidad!$B$5:$B$75,MIN(71,Cartera_Polizas!$B$214+6-49))*(1+(Cartera_Polizas!$P$214-1)*MAX(0,1-6/Supuestos!$C$20))*(1-Supuestos!$C$18)^6))</f>
        <v>0.145185697150016</v>
      </c>
      <c r="J212" s="29" t="n">
        <f aca="false">I212*(1-MIN(1,INDEX(Tabla_Mortalidad!$B$5:$B$75,MIN(71,Cartera_Polizas!$B$214+7-49))*(1+(Cartera_Polizas!$P$214-1)*MAX(0,1-7/Supuestos!$C$20))*(1-Supuestos!$C$18)^7))</f>
        <v>0.102887438527601</v>
      </c>
      <c r="K212" s="29" t="n">
        <f aca="false">J212*(1-MIN(1,INDEX(Tabla_Mortalidad!$B$5:$B$75,MIN(71,Cartera_Polizas!$B$214+8-49))*(1+(Cartera_Polizas!$P$214-1)*MAX(0,1-8/Supuestos!$C$20))*(1-Supuestos!$C$18)^8))</f>
        <v>0.071719389507557</v>
      </c>
      <c r="L212" s="29" t="n">
        <f aca="false">K212*(1-MIN(1,INDEX(Tabla_Mortalidad!$B$5:$B$75,MIN(71,Cartera_Polizas!$B$214+9-49))*(1+(Cartera_Polizas!$P$214-1)*MAX(0,1-9/Supuestos!$C$20))*(1-Supuestos!$C$18)^9))</f>
        <v>0.0492284241247411</v>
      </c>
      <c r="M212" s="29" t="n">
        <f aca="false">L212*(1-MIN(1,INDEX(Tabla_Mortalidad!$B$5:$B$75,MIN(71,Cartera_Polizas!$B$214+10-49))*(1+(Cartera_Polizas!$P$214-1)*MAX(0,1-10/Supuestos!$C$20))*(1-Supuestos!$C$18)^10))</f>
        <v>0.0333263240363366</v>
      </c>
      <c r="N212" s="29" t="n">
        <f aca="false">M212*(1-MIN(1,INDEX(Tabla_Mortalidad!$B$5:$B$75,MIN(71,Cartera_Polizas!$B$214+11-49))*(1+(Cartera_Polizas!$P$214-1)*MAX(0,1-11/Supuestos!$C$20))*(1-Supuestos!$C$18)^11))</f>
        <v>0.0222990374184371</v>
      </c>
      <c r="O212" s="29" t="n">
        <f aca="false">N212*(1-MIN(1,INDEX(Tabla_Mortalidad!$B$5:$B$75,MIN(71,Cartera_Polizas!$B$214+12-49))*(1+(Cartera_Polizas!$P$214-1)*MAX(0,1-12/Supuestos!$C$20))*(1-Supuestos!$C$18)^12))</f>
        <v>0.0147886210892309</v>
      </c>
      <c r="P212" s="29" t="n">
        <f aca="false">O212*(1-MIN(1,INDEX(Tabla_Mortalidad!$B$5:$B$75,MIN(71,Cartera_Polizas!$B$214+13-49))*(1+(Cartera_Polizas!$P$214-1)*MAX(0,1-13/Supuestos!$C$20))*(1-Supuestos!$C$18)^13))</f>
        <v>0.00975513806585563</v>
      </c>
      <c r="Q212" s="29" t="n">
        <f aca="false">P212*(1-MIN(1,INDEX(Tabla_Mortalidad!$B$5:$B$75,MIN(71,Cartera_Polizas!$B$214+14-49))*(1+(Cartera_Polizas!$P$214-1)*MAX(0,1-14/Supuestos!$C$20))*(1-Supuestos!$C$18)^14))</f>
        <v>0.00642750182162347</v>
      </c>
      <c r="R212" s="29" t="n">
        <f aca="false">Q212*(1-MIN(1,INDEX(Tabla_Mortalidad!$B$5:$B$75,MIN(71,Cartera_Polizas!$B$214+15-49))*(1+(Cartera_Polizas!$P$214-1)*MAX(0,1-15/Supuestos!$C$20))*(1-Supuestos!$C$18)^15))</f>
        <v>0.00425119883776605</v>
      </c>
      <c r="S212" s="29" t="n">
        <f aca="false">R212*(1-MIN(1,INDEX(Tabla_Mortalidad!$B$5:$B$75,MIN(71,Cartera_Polizas!$B$214+16-49))*(1+(Cartera_Polizas!$P$214-1)*MAX(0,1-16/Supuestos!$C$20))*(1-Supuestos!$C$18)^16))</f>
        <v>0.00269081716351333</v>
      </c>
      <c r="T212" s="29" t="n">
        <f aca="false">S212*(1-MIN(1,INDEX(Tabla_Mortalidad!$B$5:$B$75,MIN(71,Cartera_Polizas!$B$214+17-49))*(1+(Cartera_Polizas!$P$214-1)*MAX(0,1-17/Supuestos!$C$20))*(1-Supuestos!$C$18)^17))</f>
        <v>0.0016229008829909</v>
      </c>
      <c r="U212" s="29" t="n">
        <f aca="false">T212*(1-MIN(1,INDEX(Tabla_Mortalidad!$B$5:$B$75,MIN(71,Cartera_Polizas!$B$214+18-49))*(1+(Cartera_Polizas!$P$214-1)*MAX(0,1-18/Supuestos!$C$20))*(1-Supuestos!$C$18)^18))</f>
        <v>0.000928406557534591</v>
      </c>
      <c r="V212" s="29" t="n">
        <f aca="false">U212*(1-MIN(1,INDEX(Tabla_Mortalidad!$B$5:$B$75,MIN(71,Cartera_Polizas!$B$214+19-49))*(1+(Cartera_Polizas!$P$214-1)*MAX(0,1-19/Supuestos!$C$20))*(1-Supuestos!$C$18)^19))</f>
        <v>0.000501313060518878</v>
      </c>
      <c r="W212" s="29" t="n">
        <f aca="false">V212*(1-MIN(1,INDEX(Tabla_Mortalidad!$B$5:$B$75,MIN(71,Cartera_Polizas!$B$214+20-49))*(1+(Cartera_Polizas!$P$214-1)*MAX(0,1-20/Supuestos!$C$20))*(1-Supuestos!$C$18)^20))</f>
        <v>0.000254210593831415</v>
      </c>
      <c r="X212" s="29" t="n">
        <f aca="false">W212*(1-MIN(1,INDEX(Tabla_Mortalidad!$B$5:$B$75,MIN(71,Cartera_Polizas!$B$214+21-49))*(1+(Cartera_Polizas!$P$214-1)*MAX(0,1-21/Supuestos!$C$20))*(1-Supuestos!$C$18)^21))</f>
        <v>0.000120425273275504</v>
      </c>
      <c r="Y212" s="29" t="n">
        <f aca="false">X212*(1-MIN(1,INDEX(Tabla_Mortalidad!$B$5:$B$75,MIN(71,Cartera_Polizas!$B$214+22-49))*(1+(Cartera_Polizas!$P$214-1)*MAX(0,1-22/Supuestos!$C$20))*(1-Supuestos!$C$18)^22))</f>
        <v>5.30143230652164E-005</v>
      </c>
      <c r="Z212" s="29" t="n">
        <f aca="false">Y212*(1-MIN(1,INDEX(Tabla_Mortalidad!$B$5:$B$75,MIN(71,Cartera_Polizas!$B$214+23-49))*(1+(Cartera_Polizas!$P$214-1)*MAX(0,1-23/Supuestos!$C$20))*(1-Supuestos!$C$18)^23))</f>
        <v>2.15772018222844E-005</v>
      </c>
      <c r="AA212" s="29" t="n">
        <f aca="false">Z212*(1-MIN(1,INDEX(Tabla_Mortalidad!$B$5:$B$75,MIN(71,Cartera_Polizas!$B$214+24-49))*(1+(Cartera_Polizas!$P$214-1)*MAX(0,1-24/Supuestos!$C$20))*(1-Supuestos!$C$18)^24))</f>
        <v>8.08088391802109E-006</v>
      </c>
      <c r="AB212" s="29" t="n">
        <f aca="false">AA212*(1-MIN(1,INDEX(Tabla_Mortalidad!$B$5:$B$75,MIN(71,Cartera_Polizas!$B$214+25-49))*(1+(Cartera_Polizas!$P$214-1)*MAX(0,1-25/Supuestos!$C$20))*(1-Supuestos!$C$18)^25))</f>
        <v>2.77343277251089E-006</v>
      </c>
      <c r="AC212" s="29" t="n">
        <f aca="false">AB212*(1-MIN(1,INDEX(Tabla_Mortalidad!$B$5:$B$75,MIN(71,Cartera_Polizas!$B$214+26-49))*(1+(Cartera_Polizas!$P$214-1)*MAX(0,1-26/Supuestos!$C$20))*(1-Supuestos!$C$18)^26))</f>
        <v>8.6971137540187E-007</v>
      </c>
      <c r="AD212" s="29" t="n">
        <f aca="false">AC212*(1-MIN(1,INDEX(Tabla_Mortalidad!$B$5:$B$75,MIN(71,Cartera_Polizas!$B$214+27-49))*(1+(Cartera_Polizas!$P$214-1)*MAX(0,1-27/Supuestos!$C$20))*(1-Supuestos!$C$18)^27))</f>
        <v>2.48832435495319E-007</v>
      </c>
      <c r="AE212" s="29" t="n">
        <f aca="false">AD212*(1-MIN(1,INDEX(Tabla_Mortalidad!$B$5:$B$75,MIN(71,Cartera_Polizas!$B$214+28-49))*(1+(Cartera_Polizas!$P$214-1)*MAX(0,1-28/Supuestos!$C$20))*(1-Supuestos!$C$18)^28))</f>
        <v>6.49962794717462E-008</v>
      </c>
      <c r="AF212" s="29" t="n">
        <f aca="false">AE212*(1-MIN(1,INDEX(Tabla_Mortalidad!$B$5:$B$75,MIN(71,Cartera_Polizas!$B$214+29-49))*(1+(Cartera_Polizas!$P$214-1)*MAX(0,1-29/Supuestos!$C$20))*(1-Supuestos!$C$18)^29))</f>
        <v>1.55492937606857E-008</v>
      </c>
      <c r="AG212" s="29" t="n">
        <f aca="false">AF212*(1-MIN(1,INDEX(Tabla_Mortalidad!$B$5:$B$75,MIN(71,Cartera_Polizas!$B$214+30-49))*(1+(Cartera_Polizas!$P$214-1)*MAX(0,1-30/Supuestos!$C$20))*(1-Supuestos!$C$18)^30))</f>
        <v>3.42793177758932E-009</v>
      </c>
      <c r="AH212" s="29" t="n">
        <f aca="false">AG212*(1-MIN(1,INDEX(Tabla_Mortalidad!$B$5:$B$75,MIN(71,Cartera_Polizas!$B$214+31-49))*(1+(Cartera_Polizas!$P$214-1)*MAX(0,1-31/Supuestos!$C$20))*(1-Supuestos!$C$18)^31))</f>
        <v>7.02779026139005E-010</v>
      </c>
      <c r="AI212" s="29" t="n">
        <f aca="false">AH212*(1-MIN(1,INDEX(Tabla_Mortalidad!$B$5:$B$75,MIN(71,Cartera_Polizas!$B$214+32-49))*(1+(Cartera_Polizas!$P$214-1)*MAX(0,1-32/Supuestos!$C$20))*(1-Supuestos!$C$18)^32))</f>
        <v>1.35580934570655E-010</v>
      </c>
      <c r="AJ212" s="29" t="n">
        <f aca="false">AI212*(1-MIN(1,INDEX(Tabla_Mortalidad!$B$5:$B$75,MIN(71,Cartera_Polizas!$B$214+33-49))*(1+(Cartera_Polizas!$P$214-1)*MAX(0,1-33/Supuestos!$C$20))*(1-Supuestos!$C$18)^33))</f>
        <v>2.06702828379862E-011</v>
      </c>
      <c r="AK212" s="29" t="n">
        <f aca="false">AJ212*(1-MIN(1,INDEX(Tabla_Mortalidad!$B$5:$B$75,MIN(71,Cartera_Polizas!$B$214+34-49))*(1+(Cartera_Polizas!$P$214-1)*MAX(0,1-34/Supuestos!$C$20))*(1-Supuestos!$C$18)^34))</f>
        <v>3.23892715708905E-012</v>
      </c>
      <c r="AL212" s="29" t="n">
        <f aca="false">AK212*(1-MIN(1,INDEX(Tabla_Mortalidad!$B$5:$B$75,MIN(71,Cartera_Polizas!$B$214+35-49))*(1+(Cartera_Polizas!$P$214-1)*MAX(0,1-35/Supuestos!$C$20))*(1-Supuestos!$C$18)^35))</f>
        <v>5.21180269755668E-013</v>
      </c>
      <c r="AM212" s="29" t="n">
        <f aca="false">AL212*(1-MIN(1,INDEX(Tabla_Mortalidad!$B$5:$B$75,MIN(71,Cartera_Polizas!$B$214+36-49))*(1+(Cartera_Polizas!$P$214-1)*MAX(0,1-36/Supuestos!$C$20))*(1-Supuestos!$C$18)^36))</f>
        <v>8.60504235953301E-014</v>
      </c>
      <c r="AN212" s="29" t="n">
        <f aca="false">AM212*(1-MIN(1,INDEX(Tabla_Mortalidad!$B$5:$B$75,MIN(71,Cartera_Polizas!$B$214+37-49))*(1+(Cartera_Polizas!$P$214-1)*MAX(0,1-37/Supuestos!$C$20))*(1-Supuestos!$C$18)^37))</f>
        <v>1.456672744423E-014</v>
      </c>
      <c r="AO212" s="29" t="n">
        <f aca="false">AN212*(1-MIN(1,INDEX(Tabla_Mortalidad!$B$5:$B$75,MIN(71,Cartera_Polizas!$B$214+38-49))*(1+(Cartera_Polizas!$P$214-1)*MAX(0,1-38/Supuestos!$C$20))*(1-Supuestos!$C$18)^38))</f>
        <v>2.52637880145168E-015</v>
      </c>
      <c r="AP212" s="29" t="n">
        <f aca="false">AO212*(1-MIN(1,INDEX(Tabla_Mortalidad!$B$5:$B$75,MIN(71,Cartera_Polizas!$B$214+39-49))*(1+(Cartera_Polizas!$P$214-1)*MAX(0,1-39/Supuestos!$C$20))*(1-Supuestos!$C$18)^39))</f>
        <v>4.48603317478758E-016</v>
      </c>
      <c r="AQ212" s="29" t="n">
        <f aca="false">AP212*(1-MIN(1,INDEX(Tabla_Mortalidad!$B$5:$B$75,MIN(71,Cartera_Polizas!$B$214+40-49))*(1+(Cartera_Polizas!$P$214-1)*MAX(0,1-40/Supuestos!$C$20))*(1-Supuestos!$C$18)^40))</f>
        <v>8.15021964283677E-017</v>
      </c>
      <c r="AR212" s="29" t="n">
        <f aca="false">AQ212*(1-MIN(1,INDEX(Tabla_Mortalidad!$B$5:$B$75,MIN(71,Cartera_Polizas!$B$214+41-49))*(1+(Cartera_Polizas!$P$214-1)*MAX(0,1-41/Supuestos!$C$20))*(1-Supuestos!$C$18)^41))</f>
        <v>1.51407836197164E-017</v>
      </c>
      <c r="AS212" s="29" t="n">
        <f aca="false">AR212*(1-MIN(1,INDEX(Tabla_Mortalidad!$B$5:$B$75,MIN(71,Cartera_Polizas!$B$214+42-49))*(1+(Cartera_Polizas!$P$214-1)*MAX(0,1-42/Supuestos!$C$20))*(1-Supuestos!$C$18)^42))</f>
        <v>2.8743660642955E-018</v>
      </c>
      <c r="AT212" s="29" t="n">
        <f aca="false">AS212*(1-MIN(1,INDEX(Tabla_Mortalidad!$B$5:$B$75,MIN(71,Cartera_Polizas!$B$214+43-49))*(1+(Cartera_Polizas!$P$214-1)*MAX(0,1-43/Supuestos!$C$20))*(1-Supuestos!$C$18)^43))</f>
        <v>5.57320635131734E-019</v>
      </c>
      <c r="AU212" s="29" t="n">
        <f aca="false">AT212*(1-MIN(1,INDEX(Tabla_Mortalidad!$B$5:$B$75,MIN(71,Cartera_Polizas!$B$214+44-49))*(1+(Cartera_Polizas!$P$214-1)*MAX(0,1-44/Supuestos!$C$20))*(1-Supuestos!$C$18)^44))</f>
        <v>1.10307097078953E-019</v>
      </c>
    </row>
    <row r="213" customFormat="false" ht="15" hidden="false" customHeight="false" outlineLevel="0" collapsed="false">
      <c r="A213" s="14" t="n">
        <f aca="false">Cartera_Polizas!A215</f>
        <v>210</v>
      </c>
      <c r="B213" s="26" t="n">
        <f aca="false">SUM(C213:AU213)+0.5</f>
        <v>9.31219481953123</v>
      </c>
      <c r="C213" s="29" t="n">
        <f aca="false">1-MIN(1,INDEX(Tabla_Mortalidad!$B$5:$B$75,MIN(71,Cartera_Polizas!$B$215+0-49))*(1+(Cartera_Polizas!$P$215-1)*MAX(0,1-0/Supuestos!$C$20))*(1-Supuestos!$C$18)^0)</f>
        <v>0.9366804195</v>
      </c>
      <c r="D213" s="29" t="n">
        <f aca="false">C213*(1-MIN(1,INDEX(Tabla_Mortalidad!$B$5:$B$75,MIN(71,Cartera_Polizas!$B$215+1-49))*(1+(Cartera_Polizas!$P$215-1)*MAX(0,1-1/Supuestos!$C$20))*(1-Supuestos!$C$18)^1))</f>
        <v>0.873103074792827</v>
      </c>
      <c r="E213" s="29" t="n">
        <f aca="false">D213*(1-MIN(1,INDEX(Tabla_Mortalidad!$B$5:$B$75,MIN(71,Cartera_Polizas!$B$215+2-49))*(1+(Cartera_Polizas!$P$215-1)*MAX(0,1-2/Supuestos!$C$20))*(1-Supuestos!$C$18)^2))</f>
        <v>0.809666084877012</v>
      </c>
      <c r="F213" s="29" t="n">
        <f aca="false">E213*(1-MIN(1,INDEX(Tabla_Mortalidad!$B$5:$B$75,MIN(71,Cartera_Polizas!$B$215+3-49))*(1+(Cartera_Polizas!$P$215-1)*MAX(0,1-3/Supuestos!$C$20))*(1-Supuestos!$C$18)^3))</f>
        <v>0.746789160564665</v>
      </c>
      <c r="G213" s="29" t="n">
        <f aca="false">F213*(1-MIN(1,INDEX(Tabla_Mortalidad!$B$5:$B$75,MIN(71,Cartera_Polizas!$B$215+4-49))*(1+(Cartera_Polizas!$P$215-1)*MAX(0,1-4/Supuestos!$C$20))*(1-Supuestos!$C$18)^4))</f>
        <v>0.684902693935159</v>
      </c>
      <c r="H213" s="29" t="n">
        <f aca="false">G213*(1-MIN(1,INDEX(Tabla_Mortalidad!$B$5:$B$75,MIN(71,Cartera_Polizas!$B$215+5-49))*(1+(Cartera_Polizas!$P$215-1)*MAX(0,1-5/Supuestos!$C$20))*(1-Supuestos!$C$18)^5))</f>
        <v>0.624440752634252</v>
      </c>
      <c r="I213" s="29" t="n">
        <f aca="false">H213*(1-MIN(1,INDEX(Tabla_Mortalidad!$B$5:$B$75,MIN(71,Cartera_Polizas!$B$215+6-49))*(1+(Cartera_Polizas!$P$215-1)*MAX(0,1-6/Supuestos!$C$20))*(1-Supuestos!$C$18)^6))</f>
        <v>0.565831805857221</v>
      </c>
      <c r="J213" s="29" t="n">
        <f aca="false">I213*(1-MIN(1,INDEX(Tabla_Mortalidad!$B$5:$B$75,MIN(71,Cartera_Polizas!$B$215+7-49))*(1+(Cartera_Polizas!$P$215-1)*MAX(0,1-7/Supuestos!$C$20))*(1-Supuestos!$C$18)^7))</f>
        <v>0.509484281211967</v>
      </c>
      <c r="K213" s="29" t="n">
        <f aca="false">J213*(1-MIN(1,INDEX(Tabla_Mortalidad!$B$5:$B$75,MIN(71,Cartera_Polizas!$B$215+8-49))*(1+(Cartera_Polizas!$P$215-1)*MAX(0,1-8/Supuestos!$C$20))*(1-Supuestos!$C$18)^8))</f>
        <v>0.455774398267245</v>
      </c>
      <c r="L213" s="29" t="n">
        <f aca="false">K213*(1-MIN(1,INDEX(Tabla_Mortalidad!$B$5:$B$75,MIN(71,Cartera_Polizas!$B$215+9-49))*(1+(Cartera_Polizas!$P$215-1)*MAX(0,1-9/Supuestos!$C$20))*(1-Supuestos!$C$18)^9))</f>
        <v>0.405037955630373</v>
      </c>
      <c r="M213" s="29" t="n">
        <f aca="false">L213*(1-MIN(1,INDEX(Tabla_Mortalidad!$B$5:$B$75,MIN(71,Cartera_Polizas!$B$215+10-49))*(1+(Cartera_Polizas!$P$215-1)*MAX(0,1-10/Supuestos!$C$20))*(1-Supuestos!$C$18)^10))</f>
        <v>0.357555508338843</v>
      </c>
      <c r="N213" s="29" t="n">
        <f aca="false">M213*(1-MIN(1,INDEX(Tabla_Mortalidad!$B$5:$B$75,MIN(71,Cartera_Polizas!$B$215+11-49))*(1+(Cartera_Polizas!$P$215-1)*MAX(0,1-11/Supuestos!$C$20))*(1-Supuestos!$C$18)^11))</f>
        <v>0.313547551157706</v>
      </c>
      <c r="O213" s="29" t="n">
        <f aca="false">N213*(1-MIN(1,INDEX(Tabla_Mortalidad!$B$5:$B$75,MIN(71,Cartera_Polizas!$B$215+12-49))*(1+(Cartera_Polizas!$P$215-1)*MAX(0,1-12/Supuestos!$C$20))*(1-Supuestos!$C$18)^12))</f>
        <v>0.273165364794586</v>
      </c>
      <c r="P213" s="29" t="n">
        <f aca="false">O213*(1-MIN(1,INDEX(Tabla_Mortalidad!$B$5:$B$75,MIN(71,Cartera_Polizas!$B$215+13-49))*(1+(Cartera_Polizas!$P$215-1)*MAX(0,1-13/Supuestos!$C$20))*(1-Supuestos!$C$18)^13))</f>
        <v>0.236488259146821</v>
      </c>
      <c r="Q213" s="29" t="n">
        <f aca="false">P213*(1-MIN(1,INDEX(Tabla_Mortalidad!$B$5:$B$75,MIN(71,Cartera_Polizas!$B$215+14-49))*(1+(Cartera_Polizas!$P$215-1)*MAX(0,1-14/Supuestos!$C$20))*(1-Supuestos!$C$18)^14))</f>
        <v>0.203523014345388</v>
      </c>
      <c r="R213" s="29" t="n">
        <f aca="false">Q213*(1-MIN(1,INDEX(Tabla_Mortalidad!$B$5:$B$75,MIN(71,Cartera_Polizas!$B$215+15-49))*(1+(Cartera_Polizas!$P$215-1)*MAX(0,1-15/Supuestos!$C$20))*(1-Supuestos!$C$18)^15))</f>
        <v>0.174206925845508</v>
      </c>
      <c r="S213" s="29" t="n">
        <f aca="false">R213*(1-MIN(1,INDEX(Tabla_Mortalidad!$B$5:$B$75,MIN(71,Cartera_Polizas!$B$215+16-49))*(1+(Cartera_Polizas!$P$215-1)*MAX(0,1-16/Supuestos!$C$20))*(1-Supuestos!$C$18)^16))</f>
        <v>0.146600025292254</v>
      </c>
      <c r="T213" s="29" t="n">
        <f aca="false">S213*(1-MIN(1,INDEX(Tabla_Mortalidad!$B$5:$B$75,MIN(71,Cartera_Polizas!$B$215+17-49))*(1+(Cartera_Polizas!$P$215-1)*MAX(0,1-17/Supuestos!$C$20))*(1-Supuestos!$C$18)^17))</f>
        <v>0.121068083545402</v>
      </c>
      <c r="U213" s="29" t="n">
        <f aca="false">T213*(1-MIN(1,INDEX(Tabla_Mortalidad!$B$5:$B$75,MIN(71,Cartera_Polizas!$B$215+18-49))*(1+(Cartera_Polizas!$P$215-1)*MAX(0,1-18/Supuestos!$C$20))*(1-Supuestos!$C$18)^18))</f>
        <v>0.0979227816873789</v>
      </c>
      <c r="V213" s="29" t="n">
        <f aca="false">U213*(1-MIN(1,INDEX(Tabla_Mortalidad!$B$5:$B$75,MIN(71,Cartera_Polizas!$B$215+19-49))*(1+(Cartera_Polizas!$P$215-1)*MAX(0,1-19/Supuestos!$C$20))*(1-Supuestos!$C$18)^19))</f>
        <v>0.0774003412890135</v>
      </c>
      <c r="W213" s="29" t="n">
        <f aca="false">V213*(1-MIN(1,INDEX(Tabla_Mortalidad!$B$5:$B$75,MIN(71,Cartera_Polizas!$B$215+20-49))*(1+(Cartera_Polizas!$P$215-1)*MAX(0,1-20/Supuestos!$C$20))*(1-Supuestos!$C$18)^20))</f>
        <v>0.0596432193478713</v>
      </c>
      <c r="X213" s="29" t="n">
        <f aca="false">W213*(1-MIN(1,INDEX(Tabla_Mortalidad!$B$5:$B$75,MIN(71,Cartera_Polizas!$B$215+21-49))*(1+(Cartera_Polizas!$P$215-1)*MAX(0,1-21/Supuestos!$C$20))*(1-Supuestos!$C$18)^21))</f>
        <v>0.0446883826137528</v>
      </c>
      <c r="Y213" s="29" t="n">
        <f aca="false">X213*(1-MIN(1,INDEX(Tabla_Mortalidad!$B$5:$B$75,MIN(71,Cartera_Polizas!$B$215+22-49))*(1+(Cartera_Polizas!$P$215-1)*MAX(0,1-22/Supuestos!$C$20))*(1-Supuestos!$C$18)^22))</f>
        <v>0.0324636407057998</v>
      </c>
      <c r="Z213" s="29" t="n">
        <f aca="false">Y213*(1-MIN(1,INDEX(Tabla_Mortalidad!$B$5:$B$75,MIN(71,Cartera_Polizas!$B$215+23-49))*(1+(Cartera_Polizas!$P$215-1)*MAX(0,1-23/Supuestos!$C$20))*(1-Supuestos!$C$18)^23))</f>
        <v>0.0227936628035393</v>
      </c>
      <c r="AA213" s="29" t="n">
        <f aca="false">Z213*(1-MIN(1,INDEX(Tabla_Mortalidad!$B$5:$B$75,MIN(71,Cartera_Polizas!$B$215+24-49))*(1+(Cartera_Polizas!$P$215-1)*MAX(0,1-24/Supuestos!$C$20))*(1-Supuestos!$C$18)^24))</f>
        <v>0.0154163364641342</v>
      </c>
      <c r="AB213" s="29" t="n">
        <f aca="false">AA213*(1-MIN(1,INDEX(Tabla_Mortalidad!$B$5:$B$75,MIN(71,Cartera_Polizas!$B$215+25-49))*(1+(Cartera_Polizas!$P$215-1)*MAX(0,1-25/Supuestos!$C$20))*(1-Supuestos!$C$18)^25))</f>
        <v>0.0100074442162789</v>
      </c>
      <c r="AC213" s="29" t="n">
        <f aca="false">AB213*(1-MIN(1,INDEX(Tabla_Mortalidad!$B$5:$B$75,MIN(71,Cartera_Polizas!$B$215+26-49))*(1+(Cartera_Polizas!$P$215-1)*MAX(0,1-26/Supuestos!$C$20))*(1-Supuestos!$C$18)^26))</f>
        <v>0.00621093968213217</v>
      </c>
      <c r="AD213" s="29" t="n">
        <f aca="false">AC213*(1-MIN(1,INDEX(Tabla_Mortalidad!$B$5:$B$75,MIN(71,Cartera_Polizas!$B$215+27-49))*(1+(Cartera_Polizas!$P$215-1)*MAX(0,1-27/Supuestos!$C$20))*(1-Supuestos!$C$18)^27))</f>
        <v>0.0036703078021773</v>
      </c>
      <c r="AE213" s="29" t="n">
        <f aca="false">AD213*(1-MIN(1,INDEX(Tabla_Mortalidad!$B$5:$B$75,MIN(71,Cartera_Polizas!$B$215+28-49))*(1+(Cartera_Polizas!$P$215-1)*MAX(0,1-28/Supuestos!$C$20))*(1-Supuestos!$C$18)^28))</f>
        <v>0.00205633960366926</v>
      </c>
      <c r="AF213" s="29" t="n">
        <f aca="false">AE213*(1-MIN(1,INDEX(Tabla_Mortalidad!$B$5:$B$75,MIN(71,Cartera_Polizas!$B$215+29-49))*(1+(Cartera_Polizas!$P$215-1)*MAX(0,1-29/Supuestos!$C$20))*(1-Supuestos!$C$18)^29))</f>
        <v>0.00108745818284931</v>
      </c>
      <c r="AG213" s="29" t="n">
        <f aca="false">AF213*(1-MIN(1,INDEX(Tabla_Mortalidad!$B$5:$B$75,MIN(71,Cartera_Polizas!$B$215+30-49))*(1+(Cartera_Polizas!$P$215-1)*MAX(0,1-30/Supuestos!$C$20))*(1-Supuestos!$C$18)^30))</f>
        <v>0.000540397994438879</v>
      </c>
      <c r="AH213" s="29" t="n">
        <f aca="false">AG213*(1-MIN(1,INDEX(Tabla_Mortalidad!$B$5:$B$75,MIN(71,Cartera_Polizas!$B$215+31-49))*(1+(Cartera_Polizas!$P$215-1)*MAX(0,1-31/Supuestos!$C$20))*(1-Supuestos!$C$18)^31))</f>
        <v>0.000251240625996988</v>
      </c>
      <c r="AI213" s="29" t="n">
        <f aca="false">AH213*(1-MIN(1,INDEX(Tabla_Mortalidad!$B$5:$B$75,MIN(71,Cartera_Polizas!$B$215+32-49))*(1+(Cartera_Polizas!$P$215-1)*MAX(0,1-32/Supuestos!$C$20))*(1-Supuestos!$C$18)^32))</f>
        <v>0.000108828443139358</v>
      </c>
      <c r="AJ213" s="29" t="n">
        <f aca="false">AI213*(1-MIN(1,INDEX(Tabla_Mortalidad!$B$5:$B$75,MIN(71,Cartera_Polizas!$B$215+33-49))*(1+(Cartera_Polizas!$P$215-1)*MAX(0,1-33/Supuestos!$C$20))*(1-Supuestos!$C$18)^33))</f>
        <v>4.37600145242861E-005</v>
      </c>
      <c r="AK213" s="29" t="n">
        <f aca="false">AJ213*(1-MIN(1,INDEX(Tabla_Mortalidad!$B$5:$B$75,MIN(71,Cartera_Polizas!$B$215+34-49))*(1+(Cartera_Polizas!$P$215-1)*MAX(0,1-34/Supuestos!$C$20))*(1-Supuestos!$C$18)^34))</f>
        <v>1.62866200964299E-005</v>
      </c>
      <c r="AL213" s="29" t="n">
        <f aca="false">AK213*(1-MIN(1,INDEX(Tabla_Mortalidad!$B$5:$B$75,MIN(71,Cartera_Polizas!$B$215+35-49))*(1+(Cartera_Polizas!$P$215-1)*MAX(0,1-35/Supuestos!$C$20))*(1-Supuestos!$C$18)^35))</f>
        <v>5.60039197545274E-006</v>
      </c>
      <c r="AM213" s="29" t="n">
        <f aca="false">AL213*(1-MIN(1,INDEX(Tabla_Mortalidad!$B$5:$B$75,MIN(71,Cartera_Polizas!$B$215+36-49))*(1+(Cartera_Polizas!$P$215-1)*MAX(0,1-36/Supuestos!$C$20))*(1-Supuestos!$C$18)^36))</f>
        <v>1.77868020597753E-006</v>
      </c>
      <c r="AN213" s="29" t="n">
        <f aca="false">AM213*(1-MIN(1,INDEX(Tabla_Mortalidad!$B$5:$B$75,MIN(71,Cartera_Polizas!$B$215+37-49))*(1+(Cartera_Polizas!$P$215-1)*MAX(0,1-37/Supuestos!$C$20))*(1-Supuestos!$C$18)^37))</f>
        <v>5.22564809540377E-007</v>
      </c>
      <c r="AO213" s="29" t="n">
        <f aca="false">AN213*(1-MIN(1,INDEX(Tabla_Mortalidad!$B$5:$B$75,MIN(71,Cartera_Polizas!$B$215+38-49))*(1+(Cartera_Polizas!$P$215-1)*MAX(0,1-38/Supuestos!$C$20))*(1-Supuestos!$C$18)^38))</f>
        <v>1.42551146408426E-007</v>
      </c>
      <c r="AP213" s="29" t="n">
        <f aca="false">AO213*(1-MIN(1,INDEX(Tabla_Mortalidad!$B$5:$B$75,MIN(71,Cartera_Polizas!$B$215+39-49))*(1+(Cartera_Polizas!$P$215-1)*MAX(0,1-39/Supuestos!$C$20))*(1-Supuestos!$C$18)^39))</f>
        <v>3.63279921623347E-008</v>
      </c>
      <c r="AQ213" s="29" t="n">
        <f aca="false">AP213*(1-MIN(1,INDEX(Tabla_Mortalidad!$B$5:$B$75,MIN(71,Cartera_Polizas!$B$215+40-49))*(1+(Cartera_Polizas!$P$215-1)*MAX(0,1-40/Supuestos!$C$20))*(1-Supuestos!$C$18)^40))</f>
        <v>8.72171763752236E-009</v>
      </c>
      <c r="AR213" s="29" t="n">
        <f aca="false">AQ213*(1-MIN(1,INDEX(Tabla_Mortalidad!$B$5:$B$75,MIN(71,Cartera_Polizas!$B$215+41-49))*(1+(Cartera_Polizas!$P$215-1)*MAX(0,1-41/Supuestos!$C$20))*(1-Supuestos!$C$18)^41))</f>
        <v>1.9931020364015E-009</v>
      </c>
      <c r="AS213" s="29" t="n">
        <f aca="false">AR213*(1-MIN(1,INDEX(Tabla_Mortalidad!$B$5:$B$75,MIN(71,Cartera_Polizas!$B$215+42-49))*(1+(Cartera_Polizas!$P$215-1)*MAX(0,1-42/Supuestos!$C$20))*(1-Supuestos!$C$18)^42))</f>
        <v>3.78375716871782E-010</v>
      </c>
      <c r="AT213" s="29" t="n">
        <f aca="false">AS213*(1-MIN(1,INDEX(Tabla_Mortalidad!$B$5:$B$75,MIN(71,Cartera_Polizas!$B$215+43-49))*(1+(Cartera_Polizas!$P$215-1)*MAX(0,1-43/Supuestos!$C$20))*(1-Supuestos!$C$18)^43))</f>
        <v>7.33645576549387E-011</v>
      </c>
      <c r="AU213" s="29" t="n">
        <f aca="false">AT213*(1-MIN(1,INDEX(Tabla_Mortalidad!$B$5:$B$75,MIN(71,Cartera_Polizas!$B$215+44-49))*(1+(Cartera_Polizas!$P$215-1)*MAX(0,1-44/Supuestos!$C$20))*(1-Supuestos!$C$18)^44))</f>
        <v>1.45206024562233E-011</v>
      </c>
    </row>
    <row r="214" customFormat="false" ht="15" hidden="false" customHeight="false" outlineLevel="0" collapsed="false">
      <c r="A214" s="14" t="n">
        <f aca="false">Cartera_Polizas!A216</f>
        <v>211</v>
      </c>
      <c r="B214" s="26" t="n">
        <f aca="false">SUM(C214:AU214)+0.5</f>
        <v>9.05192472491636</v>
      </c>
      <c r="C214" s="29" t="n">
        <f aca="false">1-MIN(1,INDEX(Tabla_Mortalidad!$B$5:$B$75,MIN(71,Cartera_Polizas!$B$216+0-49))*(1+(Cartera_Polizas!$P$216-1)*MAX(0,1-0/Supuestos!$C$20))*(1-Supuestos!$C$18)^0)</f>
        <v>0.95069823</v>
      </c>
      <c r="D214" s="29" t="n">
        <f aca="false">C214*(1-MIN(1,INDEX(Tabla_Mortalidad!$B$5:$B$75,MIN(71,Cartera_Polizas!$B$216+1-49))*(1+(Cartera_Polizas!$P$216-1)*MAX(0,1-1/Supuestos!$C$20))*(1-Supuestos!$C$18)^1))</f>
        <v>0.898433130613079</v>
      </c>
      <c r="E214" s="29" t="n">
        <f aca="false">D214*(1-MIN(1,INDEX(Tabla_Mortalidad!$B$5:$B$75,MIN(71,Cartera_Polizas!$B$216+2-49))*(1+(Cartera_Polizas!$P$216-1)*MAX(0,1-2/Supuestos!$C$20))*(1-Supuestos!$C$18)^2))</f>
        <v>0.843380825294451</v>
      </c>
      <c r="F214" s="29" t="n">
        <f aca="false">E214*(1-MIN(1,INDEX(Tabla_Mortalidad!$B$5:$B$75,MIN(71,Cartera_Polizas!$B$216+3-49))*(1+(Cartera_Polizas!$P$216-1)*MAX(0,1-3/Supuestos!$C$20))*(1-Supuestos!$C$18)^3))</f>
        <v>0.78580508271374</v>
      </c>
      <c r="G214" s="29" t="n">
        <f aca="false">F214*(1-MIN(1,INDEX(Tabla_Mortalidad!$B$5:$B$75,MIN(71,Cartera_Polizas!$B$216+4-49))*(1+(Cartera_Polizas!$P$216-1)*MAX(0,1-4/Supuestos!$C$20))*(1-Supuestos!$C$18)^4))</f>
        <v>0.726070429503032</v>
      </c>
      <c r="H214" s="29" t="n">
        <f aca="false">G214*(1-MIN(1,INDEX(Tabla_Mortalidad!$B$5:$B$75,MIN(71,Cartera_Polizas!$B$216+5-49))*(1+(Cartera_Polizas!$P$216-1)*MAX(0,1-5/Supuestos!$C$20))*(1-Supuestos!$C$18)^5))</f>
        <v>0.664644636686967</v>
      </c>
      <c r="I214" s="29" t="n">
        <f aca="false">H214*(1-MIN(1,INDEX(Tabla_Mortalidad!$B$5:$B$75,MIN(71,Cartera_Polizas!$B$216+6-49))*(1+(Cartera_Polizas!$P$216-1)*MAX(0,1-6/Supuestos!$C$20))*(1-Supuestos!$C$18)^6))</f>
        <v>0.602106118252354</v>
      </c>
      <c r="J214" s="29" t="n">
        <f aca="false">I214*(1-MIN(1,INDEX(Tabla_Mortalidad!$B$5:$B$75,MIN(71,Cartera_Polizas!$B$216+7-49))*(1+(Cartera_Polizas!$P$216-1)*MAX(0,1-7/Supuestos!$C$20))*(1-Supuestos!$C$18)^7))</f>
        <v>0.539137819693078</v>
      </c>
      <c r="K214" s="29" t="n">
        <f aca="false">J214*(1-MIN(1,INDEX(Tabla_Mortalidad!$B$5:$B$75,MIN(71,Cartera_Polizas!$B$216+8-49))*(1+(Cartera_Polizas!$P$216-1)*MAX(0,1-8/Supuestos!$C$20))*(1-Supuestos!$C$18)^8))</f>
        <v>0.476517745845142</v>
      </c>
      <c r="L214" s="29" t="n">
        <f aca="false">K214*(1-MIN(1,INDEX(Tabla_Mortalidad!$B$5:$B$75,MIN(71,Cartera_Polizas!$B$216+9-49))*(1+(Cartera_Polizas!$P$216-1)*MAX(0,1-9/Supuestos!$C$20))*(1-Supuestos!$C$18)^9))</f>
        <v>0.415099300706199</v>
      </c>
      <c r="M214" s="29" t="n">
        <f aca="false">L214*(1-MIN(1,INDEX(Tabla_Mortalidad!$B$5:$B$75,MIN(71,Cartera_Polizas!$B$216+10-49))*(1+(Cartera_Polizas!$P$216-1)*MAX(0,1-10/Supuestos!$C$20))*(1-Supuestos!$C$18)^10))</f>
        <v>0.355782178962729</v>
      </c>
      <c r="N214" s="29" t="n">
        <f aca="false">M214*(1-MIN(1,INDEX(Tabla_Mortalidad!$B$5:$B$75,MIN(71,Cartera_Polizas!$B$216+11-49))*(1+(Cartera_Polizas!$P$216-1)*MAX(0,1-11/Supuestos!$C$20))*(1-Supuestos!$C$18)^11))</f>
        <v>0.299472898535948</v>
      </c>
      <c r="O214" s="29" t="n">
        <f aca="false">N214*(1-MIN(1,INDEX(Tabla_Mortalidad!$B$5:$B$75,MIN(71,Cartera_Polizas!$B$216+12-49))*(1+(Cartera_Polizas!$P$216-1)*MAX(0,1-12/Supuestos!$C$20))*(1-Supuestos!$C$18)^12))</f>
        <v>0.247035695340996</v>
      </c>
      <c r="P214" s="29" t="n">
        <f aca="false">O214*(1-MIN(1,INDEX(Tabla_Mortalidad!$B$5:$B$75,MIN(71,Cartera_Polizas!$B$216+13-49))*(1+(Cartera_Polizas!$P$216-1)*MAX(0,1-13/Supuestos!$C$20))*(1-Supuestos!$C$18)^13))</f>
        <v>0.199239355392019</v>
      </c>
      <c r="Q214" s="29" t="n">
        <f aca="false">P214*(1-MIN(1,INDEX(Tabla_Mortalidad!$B$5:$B$75,MIN(71,Cartera_Polizas!$B$216+14-49))*(1+(Cartera_Polizas!$P$216-1)*MAX(0,1-14/Supuestos!$C$20))*(1-Supuestos!$C$18)^14))</f>
        <v>0.156701767761391</v>
      </c>
      <c r="R214" s="29" t="n">
        <f aca="false">Q214*(1-MIN(1,INDEX(Tabla_Mortalidad!$B$5:$B$75,MIN(71,Cartera_Polizas!$B$216+15-49))*(1+(Cartera_Polizas!$P$216-1)*MAX(0,1-15/Supuestos!$C$20))*(1-Supuestos!$C$18)^15))</f>
        <v>0.119838978499428</v>
      </c>
      <c r="S214" s="29" t="n">
        <f aca="false">R214*(1-MIN(1,INDEX(Tabla_Mortalidad!$B$5:$B$75,MIN(71,Cartera_Polizas!$B$216+16-49))*(1+(Cartera_Polizas!$P$216-1)*MAX(0,1-16/Supuestos!$C$20))*(1-Supuestos!$C$18)^16))</f>
        <v>0.0890281558880973</v>
      </c>
      <c r="T214" s="29" t="n">
        <f aca="false">S214*(1-MIN(1,INDEX(Tabla_Mortalidad!$B$5:$B$75,MIN(71,Cartera_Polizas!$B$216+17-49))*(1+(Cartera_Polizas!$P$216-1)*MAX(0,1-17/Supuestos!$C$20))*(1-Supuestos!$C$18)^17))</f>
        <v>0.0640559425721019</v>
      </c>
      <c r="U214" s="29" t="n">
        <f aca="false">T214*(1-MIN(1,INDEX(Tabla_Mortalidad!$B$5:$B$75,MIN(71,Cartera_Polizas!$B$216+18-49))*(1+(Cartera_Polizas!$P$216-1)*MAX(0,1-18/Supuestos!$C$20))*(1-Supuestos!$C$18)^18))</f>
        <v>0.044491283657128</v>
      </c>
      <c r="V214" s="29" t="n">
        <f aca="false">U214*(1-MIN(1,INDEX(Tabla_Mortalidad!$B$5:$B$75,MIN(71,Cartera_Polizas!$B$216+19-49))*(1+(Cartera_Polizas!$P$216-1)*MAX(0,1-19/Supuestos!$C$20))*(1-Supuestos!$C$18)^19))</f>
        <v>0.0297259111424024</v>
      </c>
      <c r="W214" s="29" t="n">
        <f aca="false">V214*(1-MIN(1,INDEX(Tabla_Mortalidad!$B$5:$B$75,MIN(71,Cartera_Polizas!$B$216+20-49))*(1+(Cartera_Polizas!$P$216-1)*MAX(0,1-20/Supuestos!$C$20))*(1-Supuestos!$C$18)^20))</f>
        <v>0.0190317451449413</v>
      </c>
      <c r="X214" s="29" t="n">
        <f aca="false">W214*(1-MIN(1,INDEX(Tabla_Mortalidad!$B$5:$B$75,MIN(71,Cartera_Polizas!$B$216+21-49))*(1+(Cartera_Polizas!$P$216-1)*MAX(0,1-21/Supuestos!$C$20))*(1-Supuestos!$C$18)^21))</f>
        <v>0.0116284689043489</v>
      </c>
      <c r="Y214" s="29" t="n">
        <f aca="false">X214*(1-MIN(1,INDEX(Tabla_Mortalidad!$B$5:$B$75,MIN(71,Cartera_Polizas!$B$216+22-49))*(1+(Cartera_Polizas!$P$216-1)*MAX(0,1-22/Supuestos!$C$20))*(1-Supuestos!$C$18)^22))</f>
        <v>0.00675103307917641</v>
      </c>
      <c r="Z214" s="29" t="n">
        <f aca="false">Y214*(1-MIN(1,INDEX(Tabla_Mortalidad!$B$5:$B$75,MIN(71,Cartera_Polizas!$B$216+23-49))*(1+(Cartera_Polizas!$P$216-1)*MAX(0,1-23/Supuestos!$C$20))*(1-Supuestos!$C$18)^23))</f>
        <v>0.0037070143620707</v>
      </c>
      <c r="AA214" s="29" t="n">
        <f aca="false">Z214*(1-MIN(1,INDEX(Tabla_Mortalidad!$B$5:$B$75,MIN(71,Cartera_Polizas!$B$216+24-49))*(1+(Cartera_Polizas!$P$216-1)*MAX(0,1-24/Supuestos!$C$20))*(1-Supuestos!$C$18)^24))</f>
        <v>0.00191605944748856</v>
      </c>
      <c r="AB214" s="29" t="n">
        <f aca="false">AA214*(1-MIN(1,INDEX(Tabla_Mortalidad!$B$5:$B$75,MIN(71,Cartera_Polizas!$B$216+25-49))*(1+(Cartera_Polizas!$P$216-1)*MAX(0,1-25/Supuestos!$C$20))*(1-Supuestos!$C$18)^25))</f>
        <v>0.000927697262672058</v>
      </c>
      <c r="AC214" s="29" t="n">
        <f aca="false">AB214*(1-MIN(1,INDEX(Tabla_Mortalidad!$B$5:$B$75,MIN(71,Cartera_Polizas!$B$216+26-49))*(1+(Cartera_Polizas!$P$216-1)*MAX(0,1-26/Supuestos!$C$20))*(1-Supuestos!$C$18)^26))</f>
        <v>0.000418704735181597</v>
      </c>
      <c r="AD214" s="29" t="n">
        <f aca="false">AC214*(1-MIN(1,INDEX(Tabla_Mortalidad!$B$5:$B$75,MIN(71,Cartera_Polizas!$B$216+27-49))*(1+(Cartera_Polizas!$P$216-1)*MAX(0,1-27/Supuestos!$C$20))*(1-Supuestos!$C$18)^27))</f>
        <v>0.000175344427891727</v>
      </c>
      <c r="AE214" s="29" t="n">
        <f aca="false">AD214*(1-MIN(1,INDEX(Tabla_Mortalidad!$B$5:$B$75,MIN(71,Cartera_Polizas!$B$216+28-49))*(1+(Cartera_Polizas!$P$216-1)*MAX(0,1-28/Supuestos!$C$20))*(1-Supuestos!$C$18)^28))</f>
        <v>6.7845417051997E-005</v>
      </c>
      <c r="AF214" s="29" t="n">
        <f aca="false">AE214*(1-MIN(1,INDEX(Tabla_Mortalidad!$B$5:$B$75,MIN(71,Cartera_Polizas!$B$216+29-49))*(1+(Cartera_Polizas!$P$216-1)*MAX(0,1-29/Supuestos!$C$20))*(1-Supuestos!$C$18)^29))</f>
        <v>2.41697067684285E-005</v>
      </c>
      <c r="AG214" s="29" t="n">
        <f aca="false">AF214*(1-MIN(1,INDEX(Tabla_Mortalidad!$B$5:$B$75,MIN(71,Cartera_Polizas!$B$216+30-49))*(1+(Cartera_Polizas!$P$216-1)*MAX(0,1-30/Supuestos!$C$20))*(1-Supuestos!$C$18)^30))</f>
        <v>7.90862429117255E-006</v>
      </c>
      <c r="AH214" s="29" t="n">
        <f aca="false">AG214*(1-MIN(1,INDEX(Tabla_Mortalidad!$B$5:$B$75,MIN(71,Cartera_Polizas!$B$216+31-49))*(1+(Cartera_Polizas!$P$216-1)*MAX(0,1-31/Supuestos!$C$20))*(1-Supuestos!$C$18)^31))</f>
        <v>2.37480407278367E-006</v>
      </c>
      <c r="AI214" s="29" t="n">
        <f aca="false">AH214*(1-MIN(1,INDEX(Tabla_Mortalidad!$B$5:$B$75,MIN(71,Cartera_Polizas!$B$216+32-49))*(1+(Cartera_Polizas!$P$216-1)*MAX(0,1-32/Supuestos!$C$20))*(1-Supuestos!$C$18)^32))</f>
        <v>6.55138297017184E-007</v>
      </c>
      <c r="AJ214" s="29" t="n">
        <f aca="false">AI214*(1-MIN(1,INDEX(Tabla_Mortalidad!$B$5:$B$75,MIN(71,Cartera_Polizas!$B$216+33-49))*(1+(Cartera_Polizas!$P$216-1)*MAX(0,1-33/Supuestos!$C$20))*(1-Supuestos!$C$18)^33))</f>
        <v>1.66624723559593E-007</v>
      </c>
      <c r="AK214" s="29" t="n">
        <f aca="false">AJ214*(1-MIN(1,INDEX(Tabla_Mortalidad!$B$5:$B$75,MIN(71,Cartera_Polizas!$B$216+34-49))*(1+(Cartera_Polizas!$P$216-1)*MAX(0,1-34/Supuestos!$C$20))*(1-Supuestos!$C$18)^34))</f>
        <v>3.93117923444212E-008</v>
      </c>
      <c r="AL214" s="29" t="n">
        <f aca="false">AK214*(1-MIN(1,INDEX(Tabla_Mortalidad!$B$5:$B$75,MIN(71,Cartera_Polizas!$B$216+35-49))*(1+(Cartera_Polizas!$P$216-1)*MAX(0,1-35/Supuestos!$C$20))*(1-Supuestos!$C$18)^35))</f>
        <v>8.67989847932578E-009</v>
      </c>
      <c r="AM214" s="29" t="n">
        <f aca="false">AL214*(1-MIN(1,INDEX(Tabla_Mortalidad!$B$5:$B$75,MIN(71,Cartera_Polizas!$B$216+36-49))*(1+(Cartera_Polizas!$P$216-1)*MAX(0,1-36/Supuestos!$C$20))*(1-Supuestos!$C$18)^36))</f>
        <v>1.8135958995722E-009</v>
      </c>
      <c r="AN214" s="29" t="n">
        <f aca="false">AM214*(1-MIN(1,INDEX(Tabla_Mortalidad!$B$5:$B$75,MIN(71,Cartera_Polizas!$B$216+37-49))*(1+(Cartera_Polizas!$P$216-1)*MAX(0,1-37/Supuestos!$C$20))*(1-Supuestos!$C$18)^37))</f>
        <v>3.07007868866262E-010</v>
      </c>
      <c r="AO214" s="29" t="n">
        <f aca="false">AN214*(1-MIN(1,INDEX(Tabla_Mortalidad!$B$5:$B$75,MIN(71,Cartera_Polizas!$B$216+38-49))*(1+(Cartera_Polizas!$P$216-1)*MAX(0,1-38/Supuestos!$C$20))*(1-Supuestos!$C$18)^38))</f>
        <v>5.32458765877309E-011</v>
      </c>
      <c r="AP214" s="29" t="n">
        <f aca="false">AO214*(1-MIN(1,INDEX(Tabla_Mortalidad!$B$5:$B$75,MIN(71,Cartera_Polizas!$B$216+39-49))*(1+(Cartera_Polizas!$P$216-1)*MAX(0,1-39/Supuestos!$C$20))*(1-Supuestos!$C$18)^39))</f>
        <v>9.45474877543912E-012</v>
      </c>
      <c r="AQ214" s="29" t="n">
        <f aca="false">AP214*(1-MIN(1,INDEX(Tabla_Mortalidad!$B$5:$B$75,MIN(71,Cartera_Polizas!$B$216+40-49))*(1+(Cartera_Polizas!$P$216-1)*MAX(0,1-40/Supuestos!$C$20))*(1-Supuestos!$C$18)^40))</f>
        <v>1.7177376132828E-012</v>
      </c>
      <c r="AR214" s="29" t="n">
        <f aca="false">AQ214*(1-MIN(1,INDEX(Tabla_Mortalidad!$B$5:$B$75,MIN(71,Cartera_Polizas!$B$216+41-49))*(1+(Cartera_Polizas!$P$216-1)*MAX(0,1-41/Supuestos!$C$20))*(1-Supuestos!$C$18)^41))</f>
        <v>3.19106657953953E-013</v>
      </c>
      <c r="AS214" s="29" t="n">
        <f aca="false">AR214*(1-MIN(1,INDEX(Tabla_Mortalidad!$B$5:$B$75,MIN(71,Cartera_Polizas!$B$216+42-49))*(1+(Cartera_Polizas!$P$216-1)*MAX(0,1-42/Supuestos!$C$20))*(1-Supuestos!$C$18)^42))</f>
        <v>6.05800447025193E-014</v>
      </c>
      <c r="AT214" s="29" t="n">
        <f aca="false">AS214*(1-MIN(1,INDEX(Tabla_Mortalidad!$B$5:$B$75,MIN(71,Cartera_Polizas!$B$216+43-49))*(1+(Cartera_Polizas!$P$216-1)*MAX(0,1-43/Supuestos!$C$20))*(1-Supuestos!$C$18)^43))</f>
        <v>1.17460713892028E-014</v>
      </c>
      <c r="AU214" s="29" t="n">
        <f aca="false">AT214*(1-MIN(1,INDEX(Tabla_Mortalidad!$B$5:$B$75,MIN(71,Cartera_Polizas!$B$216+44-49))*(1+(Cartera_Polizas!$P$216-1)*MAX(0,1-44/Supuestos!$C$20))*(1-Supuestos!$C$18)^44))</f>
        <v>2.3248287526961E-015</v>
      </c>
    </row>
    <row r="215" customFormat="false" ht="15" hidden="false" customHeight="false" outlineLevel="0" collapsed="false">
      <c r="A215" s="14" t="n">
        <f aca="false">Cartera_Polizas!A217</f>
        <v>212</v>
      </c>
      <c r="B215" s="26" t="n">
        <f aca="false">SUM(C215:AU215)+0.5</f>
        <v>5.49033183384895</v>
      </c>
      <c r="C215" s="29" t="n">
        <f aca="false">1-MIN(1,INDEX(Tabla_Mortalidad!$B$5:$B$75,MIN(71,Cartera_Polizas!$B$217+0-49))*(1+(Cartera_Polizas!$P$217-1)*MAX(0,1-0/Supuestos!$C$20))*(1-Supuestos!$C$18)^0)</f>
        <v>0.88055353</v>
      </c>
      <c r="D215" s="29" t="n">
        <f aca="false">C215*(1-MIN(1,INDEX(Tabla_Mortalidad!$B$5:$B$75,MIN(71,Cartera_Polizas!$B$217+1-49))*(1+(Cartera_Polizas!$P$217-1)*MAX(0,1-1/Supuestos!$C$20))*(1-Supuestos!$C$18)^1))</f>
        <v>0.766642625045063</v>
      </c>
      <c r="E215" s="29" t="n">
        <f aca="false">D215*(1-MIN(1,INDEX(Tabla_Mortalidad!$B$5:$B$75,MIN(71,Cartera_Polizas!$B$217+2-49))*(1+(Cartera_Polizas!$P$217-1)*MAX(0,1-2/Supuestos!$C$20))*(1-Supuestos!$C$18)^2))</f>
        <v>0.65934169501149</v>
      </c>
      <c r="F215" s="29" t="n">
        <f aca="false">E215*(1-MIN(1,INDEX(Tabla_Mortalidad!$B$5:$B$75,MIN(71,Cartera_Polizas!$B$217+3-49))*(1+(Cartera_Polizas!$P$217-1)*MAX(0,1-3/Supuestos!$C$20))*(1-Supuestos!$C$18)^3))</f>
        <v>0.559604289435518</v>
      </c>
      <c r="G215" s="29" t="n">
        <f aca="false">F215*(1-MIN(1,INDEX(Tabla_Mortalidad!$B$5:$B$75,MIN(71,Cartera_Polizas!$B$217+4-49))*(1+(Cartera_Polizas!$P$217-1)*MAX(0,1-4/Supuestos!$C$20))*(1-Supuestos!$C$18)^4))</f>
        <v>0.468221926714455</v>
      </c>
      <c r="H215" s="29" t="n">
        <f aca="false">G215*(1-MIN(1,INDEX(Tabla_Mortalidad!$B$5:$B$75,MIN(71,Cartera_Polizas!$B$217+5-49))*(1+(Cartera_Polizas!$P$217-1)*MAX(0,1-5/Supuestos!$C$20))*(1-Supuestos!$C$18)^5))</f>
        <v>0.385784993673305</v>
      </c>
      <c r="I215" s="29" t="n">
        <f aca="false">H215*(1-MIN(1,INDEX(Tabla_Mortalidad!$B$5:$B$75,MIN(71,Cartera_Polizas!$B$217+6-49))*(1+(Cartera_Polizas!$P$217-1)*MAX(0,1-6/Supuestos!$C$20))*(1-Supuestos!$C$18)^6))</f>
        <v>0.312652439324717</v>
      </c>
      <c r="J215" s="29" t="n">
        <f aca="false">I215*(1-MIN(1,INDEX(Tabla_Mortalidad!$B$5:$B$75,MIN(71,Cartera_Polizas!$B$217+7-49))*(1+(Cartera_Polizas!$P$217-1)*MAX(0,1-7/Supuestos!$C$20))*(1-Supuestos!$C$18)^7))</f>
        <v>0.248932407187339</v>
      </c>
      <c r="K215" s="29" t="n">
        <f aca="false">J215*(1-MIN(1,INDEX(Tabla_Mortalidad!$B$5:$B$75,MIN(71,Cartera_Polizas!$B$217+8-49))*(1+(Cartera_Polizas!$P$217-1)*MAX(0,1-8/Supuestos!$C$20))*(1-Supuestos!$C$18)^8))</f>
        <v>0.194476378612875</v>
      </c>
      <c r="L215" s="29" t="n">
        <f aca="false">K215*(1-MIN(1,INDEX(Tabla_Mortalidad!$B$5:$B$75,MIN(71,Cartera_Polizas!$B$217+9-49))*(1+(Cartera_Polizas!$P$217-1)*MAX(0,1-9/Supuestos!$C$20))*(1-Supuestos!$C$18)^9))</f>
        <v>0.148891592103018</v>
      </c>
      <c r="M215" s="29" t="n">
        <f aca="false">L215*(1-MIN(1,INDEX(Tabla_Mortalidad!$B$5:$B$75,MIN(71,Cartera_Polizas!$B$217+10-49))*(1+(Cartera_Polizas!$P$217-1)*MAX(0,1-10/Supuestos!$C$20))*(1-Supuestos!$C$18)^10))</f>
        <v>0.111568245871166</v>
      </c>
      <c r="N215" s="29" t="n">
        <f aca="false">M215*(1-MIN(1,INDEX(Tabla_Mortalidad!$B$5:$B$75,MIN(71,Cartera_Polizas!$B$217+11-49))*(1+(Cartera_Polizas!$P$217-1)*MAX(0,1-11/Supuestos!$C$20))*(1-Supuestos!$C$18)^11))</f>
        <v>0.0817207711058046</v>
      </c>
      <c r="O215" s="29" t="n">
        <f aca="false">N215*(1-MIN(1,INDEX(Tabla_Mortalidad!$B$5:$B$75,MIN(71,Cartera_Polizas!$B$217+12-49))*(1+(Cartera_Polizas!$P$217-1)*MAX(0,1-12/Supuestos!$C$20))*(1-Supuestos!$C$18)^12))</f>
        <v>0.0584411904288811</v>
      </c>
      <c r="P215" s="29" t="n">
        <f aca="false">O215*(1-MIN(1,INDEX(Tabla_Mortalidad!$B$5:$B$75,MIN(71,Cartera_Polizas!$B$217+13-49))*(1+(Cartera_Polizas!$P$217-1)*MAX(0,1-13/Supuestos!$C$20))*(1-Supuestos!$C$18)^13))</f>
        <v>0.0407576869074757</v>
      </c>
      <c r="Q215" s="29" t="n">
        <f aca="false">P215*(1-MIN(1,INDEX(Tabla_Mortalidad!$B$5:$B$75,MIN(71,Cartera_Polizas!$B$217+14-49))*(1+(Cartera_Polizas!$P$217-1)*MAX(0,1-14/Supuestos!$C$20))*(1-Supuestos!$C$18)^14))</f>
        <v>0.027692827889867</v>
      </c>
      <c r="R215" s="29" t="n">
        <f aca="false">Q215*(1-MIN(1,INDEX(Tabla_Mortalidad!$B$5:$B$75,MIN(71,Cartera_Polizas!$B$217+15-49))*(1+(Cartera_Polizas!$P$217-1)*MAX(0,1-15/Supuestos!$C$20))*(1-Supuestos!$C$18)^15))</f>
        <v>0.0183162480551615</v>
      </c>
      <c r="S215" s="29" t="n">
        <f aca="false">R215*(1-MIN(1,INDEX(Tabla_Mortalidad!$B$5:$B$75,MIN(71,Cartera_Polizas!$B$217+16-49))*(1+(Cartera_Polizas!$P$217-1)*MAX(0,1-16/Supuestos!$C$20))*(1-Supuestos!$C$18)^16))</f>
        <v>0.0115933590779525</v>
      </c>
      <c r="T215" s="29" t="n">
        <f aca="false">S215*(1-MIN(1,INDEX(Tabla_Mortalidad!$B$5:$B$75,MIN(71,Cartera_Polizas!$B$217+17-49))*(1+(Cartera_Polizas!$P$217-1)*MAX(0,1-17/Supuestos!$C$20))*(1-Supuestos!$C$18)^17))</f>
        <v>0.00699225236837483</v>
      </c>
      <c r="U215" s="29" t="n">
        <f aca="false">T215*(1-MIN(1,INDEX(Tabla_Mortalidad!$B$5:$B$75,MIN(71,Cartera_Polizas!$B$217+18-49))*(1+(Cartera_Polizas!$P$217-1)*MAX(0,1-18/Supuestos!$C$20))*(1-Supuestos!$C$18)^18))</f>
        <v>0.0040000304508876</v>
      </c>
      <c r="V215" s="29" t="n">
        <f aca="false">U215*(1-MIN(1,INDEX(Tabla_Mortalidad!$B$5:$B$75,MIN(71,Cartera_Polizas!$B$217+19-49))*(1+(Cartera_Polizas!$P$217-1)*MAX(0,1-19/Supuestos!$C$20))*(1-Supuestos!$C$18)^19))</f>
        <v>0.00215990235229296</v>
      </c>
      <c r="W215" s="29" t="n">
        <f aca="false">V215*(1-MIN(1,INDEX(Tabla_Mortalidad!$B$5:$B$75,MIN(71,Cartera_Polizas!$B$217+20-49))*(1+(Cartera_Polizas!$P$217-1)*MAX(0,1-20/Supuestos!$C$20))*(1-Supuestos!$C$18)^20))</f>
        <v>0.0010952638238189</v>
      </c>
      <c r="X215" s="29" t="n">
        <f aca="false">W215*(1-MIN(1,INDEX(Tabla_Mortalidad!$B$5:$B$75,MIN(71,Cartera_Polizas!$B$217+21-49))*(1+(Cartera_Polizas!$P$217-1)*MAX(0,1-21/Supuestos!$C$20))*(1-Supuestos!$C$18)^21))</f>
        <v>0.000518851096267196</v>
      </c>
      <c r="Y215" s="29" t="n">
        <f aca="false">X215*(1-MIN(1,INDEX(Tabla_Mortalidad!$B$5:$B$75,MIN(71,Cartera_Polizas!$B$217+22-49))*(1+(Cartera_Polizas!$P$217-1)*MAX(0,1-22/Supuestos!$C$20))*(1-Supuestos!$C$18)^22))</f>
        <v>0.000228411685455116</v>
      </c>
      <c r="Z215" s="29" t="n">
        <f aca="false">Y215*(1-MIN(1,INDEX(Tabla_Mortalidad!$B$5:$B$75,MIN(71,Cartera_Polizas!$B$217+23-49))*(1+(Cartera_Polizas!$P$217-1)*MAX(0,1-23/Supuestos!$C$20))*(1-Supuestos!$C$18)^23))</f>
        <v>9.2965160180775E-005</v>
      </c>
      <c r="AA215" s="29" t="n">
        <f aca="false">Z215*(1-MIN(1,INDEX(Tabla_Mortalidad!$B$5:$B$75,MIN(71,Cartera_Polizas!$B$217+24-49))*(1+(Cartera_Polizas!$P$217-1)*MAX(0,1-24/Supuestos!$C$20))*(1-Supuestos!$C$18)^24))</f>
        <v>3.48164082640787E-005</v>
      </c>
      <c r="AB215" s="29" t="n">
        <f aca="false">AA215*(1-MIN(1,INDEX(Tabla_Mortalidad!$B$5:$B$75,MIN(71,Cartera_Polizas!$B$217+25-49))*(1+(Cartera_Polizas!$P$217-1)*MAX(0,1-25/Supuestos!$C$20))*(1-Supuestos!$C$18)^25))</f>
        <v>1.19493076104429E-005</v>
      </c>
      <c r="AC215" s="29" t="n">
        <f aca="false">AB215*(1-MIN(1,INDEX(Tabla_Mortalidad!$B$5:$B$75,MIN(71,Cartera_Polizas!$B$217+26-49))*(1+(Cartera_Polizas!$P$217-1)*MAX(0,1-26/Supuestos!$C$20))*(1-Supuestos!$C$18)^26))</f>
        <v>3.7471428404481E-006</v>
      </c>
      <c r="AD215" s="29" t="n">
        <f aca="false">AC215*(1-MIN(1,INDEX(Tabla_Mortalidad!$B$5:$B$75,MIN(71,Cartera_Polizas!$B$217+27-49))*(1+(Cartera_Polizas!$P$217-1)*MAX(0,1-27/Supuestos!$C$20))*(1-Supuestos!$C$18)^27))</f>
        <v>1.07209208193547E-006</v>
      </c>
      <c r="AE215" s="29" t="n">
        <f aca="false">AD215*(1-MIN(1,INDEX(Tabla_Mortalidad!$B$5:$B$75,MIN(71,Cartera_Polizas!$B$217+28-49))*(1+(Cartera_Polizas!$P$217-1)*MAX(0,1-28/Supuestos!$C$20))*(1-Supuestos!$C$18)^28))</f>
        <v>2.8003582586899E-007</v>
      </c>
      <c r="AF215" s="29" t="n">
        <f aca="false">AE215*(1-MIN(1,INDEX(Tabla_Mortalidad!$B$5:$B$75,MIN(71,Cartera_Polizas!$B$217+29-49))*(1+(Cartera_Polizas!$P$217-1)*MAX(0,1-29/Supuestos!$C$20))*(1-Supuestos!$C$18)^29))</f>
        <v>6.6993978045251E-008</v>
      </c>
      <c r="AG215" s="29" t="n">
        <f aca="false">AF215*(1-MIN(1,INDEX(Tabla_Mortalidad!$B$5:$B$75,MIN(71,Cartera_Polizas!$B$217+30-49))*(1+(Cartera_Polizas!$P$217-1)*MAX(0,1-30/Supuestos!$C$20))*(1-Supuestos!$C$18)^30))</f>
        <v>1.47692100865107E-008</v>
      </c>
      <c r="AH215" s="29" t="n">
        <f aca="false">AG215*(1-MIN(1,INDEX(Tabla_Mortalidad!$B$5:$B$75,MIN(71,Cartera_Polizas!$B$217+31-49))*(1+(Cartera_Polizas!$P$217-1)*MAX(0,1-31/Supuestos!$C$20))*(1-Supuestos!$C$18)^31))</f>
        <v>3.02791646826171E-009</v>
      </c>
      <c r="AI215" s="29" t="n">
        <f aca="false">AH215*(1-MIN(1,INDEX(Tabla_Mortalidad!$B$5:$B$75,MIN(71,Cartera_Polizas!$B$217+32-49))*(1+(Cartera_Polizas!$P$217-1)*MAX(0,1-32/Supuestos!$C$20))*(1-Supuestos!$C$18)^32))</f>
        <v>5.84149112736326E-010</v>
      </c>
      <c r="AJ215" s="29" t="n">
        <f aca="false">AI215*(1-MIN(1,INDEX(Tabla_Mortalidad!$B$5:$B$75,MIN(71,Cartera_Polizas!$B$217+33-49))*(1+(Cartera_Polizas!$P$217-1)*MAX(0,1-33/Supuestos!$C$20))*(1-Supuestos!$C$18)^33))</f>
        <v>8.90577087261943E-011</v>
      </c>
      <c r="AK215" s="29" t="n">
        <f aca="false">AJ215*(1-MIN(1,INDEX(Tabla_Mortalidad!$B$5:$B$75,MIN(71,Cartera_Polizas!$B$217+34-49))*(1+(Cartera_Polizas!$P$217-1)*MAX(0,1-34/Supuestos!$C$20))*(1-Supuestos!$C$18)^34))</f>
        <v>1.39548855524755E-011</v>
      </c>
      <c r="AL215" s="29" t="n">
        <f aca="false">AK215*(1-MIN(1,INDEX(Tabla_Mortalidad!$B$5:$B$75,MIN(71,Cartera_Polizas!$B$217+35-49))*(1+(Cartera_Polizas!$P$217-1)*MAX(0,1-35/Supuestos!$C$20))*(1-Supuestos!$C$18)^35))</f>
        <v>2.24550002636836E-012</v>
      </c>
      <c r="AM215" s="29" t="n">
        <f aca="false">AL215*(1-MIN(1,INDEX(Tabla_Mortalidad!$B$5:$B$75,MIN(71,Cartera_Polizas!$B$217+36-49))*(1+(Cartera_Polizas!$P$217-1)*MAX(0,1-36/Supuestos!$C$20))*(1-Supuestos!$C$18)^36))</f>
        <v>3.70747397139396E-013</v>
      </c>
      <c r="AN215" s="29" t="n">
        <f aca="false">AM215*(1-MIN(1,INDEX(Tabla_Mortalidad!$B$5:$B$75,MIN(71,Cartera_Polizas!$B$217+37-49))*(1+(Cartera_Polizas!$P$217-1)*MAX(0,1-37/Supuestos!$C$20))*(1-Supuestos!$C$18)^37))</f>
        <v>6.27606008098764E-014</v>
      </c>
      <c r="AO215" s="29" t="n">
        <f aca="false">AN215*(1-MIN(1,INDEX(Tabla_Mortalidad!$B$5:$B$75,MIN(71,Cartera_Polizas!$B$217+38-49))*(1+(Cartera_Polizas!$P$217-1)*MAX(0,1-38/Supuestos!$C$20))*(1-Supuestos!$C$18)^38))</f>
        <v>1.08848780249025E-014</v>
      </c>
      <c r="AP215" s="29" t="n">
        <f aca="false">AO215*(1-MIN(1,INDEX(Tabla_Mortalidad!$B$5:$B$75,MIN(71,Cartera_Polizas!$B$217+39-49))*(1+(Cartera_Polizas!$P$217-1)*MAX(0,1-39/Supuestos!$C$20))*(1-Supuestos!$C$18)^39))</f>
        <v>1.93280294685701E-015</v>
      </c>
      <c r="AQ215" s="29" t="n">
        <f aca="false">AP215*(1-MIN(1,INDEX(Tabla_Mortalidad!$B$5:$B$75,MIN(71,Cartera_Polizas!$B$217+40-49))*(1+(Cartera_Polizas!$P$217-1)*MAX(0,1-40/Supuestos!$C$20))*(1-Supuestos!$C$18)^40))</f>
        <v>3.51151405472E-016</v>
      </c>
      <c r="AR215" s="29" t="n">
        <f aca="false">AQ215*(1-MIN(1,INDEX(Tabla_Mortalidad!$B$5:$B$75,MIN(71,Cartera_Polizas!$B$217+41-49))*(1+(Cartera_Polizas!$P$217-1)*MAX(0,1-41/Supuestos!$C$20))*(1-Supuestos!$C$18)^41))</f>
        <v>6.52339161519865E-017</v>
      </c>
      <c r="AS215" s="29" t="n">
        <f aca="false">AR215*(1-MIN(1,INDEX(Tabla_Mortalidad!$B$5:$B$75,MIN(71,Cartera_Polizas!$B$217+42-49))*(1+(Cartera_Polizas!$P$217-1)*MAX(0,1-42/Supuestos!$C$20))*(1-Supuestos!$C$18)^42))</f>
        <v>1.23841776976587E-017</v>
      </c>
      <c r="AT215" s="29" t="n">
        <f aca="false">AS215*(1-MIN(1,INDEX(Tabla_Mortalidad!$B$5:$B$75,MIN(71,Cartera_Polizas!$B$217+43-49))*(1+(Cartera_Polizas!$P$217-1)*MAX(0,1-43/Supuestos!$C$20))*(1-Supuestos!$C$18)^43))</f>
        <v>2.40121043237234E-018</v>
      </c>
      <c r="AU215" s="29" t="n">
        <f aca="false">AT215*(1-MIN(1,INDEX(Tabla_Mortalidad!$B$5:$B$75,MIN(71,Cartera_Polizas!$B$217+44-49))*(1+(Cartera_Polizas!$P$217-1)*MAX(0,1-44/Supuestos!$C$20))*(1-Supuestos!$C$18)^44))</f>
        <v>4.7525703441446E-019</v>
      </c>
    </row>
    <row r="216" customFormat="false" ht="15" hidden="false" customHeight="false" outlineLevel="0" collapsed="false">
      <c r="A216" s="14" t="n">
        <f aca="false">Cartera_Polizas!A218</f>
        <v>213</v>
      </c>
      <c r="B216" s="26" t="n">
        <f aca="false">SUM(C216:AU216)+0.5</f>
        <v>12.720282433304</v>
      </c>
      <c r="C216" s="29" t="n">
        <f aca="false">1-MIN(1,INDEX(Tabla_Mortalidad!$B$5:$B$75,MIN(71,Cartera_Polizas!$B$218+0-49))*(1+(Cartera_Polizas!$P$218-1)*MAX(0,1-0/Supuestos!$C$20))*(1-Supuestos!$C$18)^0)</f>
        <v>0.966304184</v>
      </c>
      <c r="D216" s="29" t="n">
        <f aca="false">C216*(1-MIN(1,INDEX(Tabla_Mortalidad!$B$5:$B$75,MIN(71,Cartera_Polizas!$B$218+1-49))*(1+(Cartera_Polizas!$P$218-1)*MAX(0,1-1/Supuestos!$C$20))*(1-Supuestos!$C$18)^1))</f>
        <v>0.930950811744186</v>
      </c>
      <c r="E216" s="29" t="n">
        <f aca="false">D216*(1-MIN(1,INDEX(Tabla_Mortalidad!$B$5:$B$75,MIN(71,Cartera_Polizas!$B$218+2-49))*(1+(Cartera_Polizas!$P$218-1)*MAX(0,1-2/Supuestos!$C$20))*(1-Supuestos!$C$18)^2))</f>
        <v>0.893992017766332</v>
      </c>
      <c r="F216" s="29" t="n">
        <f aca="false">E216*(1-MIN(1,INDEX(Tabla_Mortalidad!$B$5:$B$75,MIN(71,Cartera_Polizas!$B$218+3-49))*(1+(Cartera_Polizas!$P$218-1)*MAX(0,1-3/Supuestos!$C$20))*(1-Supuestos!$C$18)^3))</f>
        <v>0.855504635726192</v>
      </c>
      <c r="G216" s="29" t="n">
        <f aca="false">F216*(1-MIN(1,INDEX(Tabla_Mortalidad!$B$5:$B$75,MIN(71,Cartera_Polizas!$B$218+4-49))*(1+(Cartera_Polizas!$P$218-1)*MAX(0,1-4/Supuestos!$C$20))*(1-Supuestos!$C$18)^4))</f>
        <v>0.815592948157204</v>
      </c>
      <c r="H216" s="29" t="n">
        <f aca="false">G216*(1-MIN(1,INDEX(Tabla_Mortalidad!$B$5:$B$75,MIN(71,Cartera_Polizas!$B$218+5-49))*(1+(Cartera_Polizas!$P$218-1)*MAX(0,1-5/Supuestos!$C$20))*(1-Supuestos!$C$18)^5))</f>
        <v>0.774391200224136</v>
      </c>
      <c r="I216" s="29" t="n">
        <f aca="false">H216*(1-MIN(1,INDEX(Tabla_Mortalidad!$B$5:$B$75,MIN(71,Cartera_Polizas!$B$218+6-49))*(1+(Cartera_Polizas!$P$218-1)*MAX(0,1-6/Supuestos!$C$20))*(1-Supuestos!$C$18)^6))</f>
        <v>0.73206461662973</v>
      </c>
      <c r="J216" s="29" t="n">
        <f aca="false">I216*(1-MIN(1,INDEX(Tabla_Mortalidad!$B$5:$B$75,MIN(71,Cartera_Polizas!$B$218+7-49))*(1+(Cartera_Polizas!$P$218-1)*MAX(0,1-7/Supuestos!$C$20))*(1-Supuestos!$C$18)^7))</f>
        <v>0.688808261553283</v>
      </c>
      <c r="K216" s="29" t="n">
        <f aca="false">J216*(1-MIN(1,INDEX(Tabla_Mortalidad!$B$5:$B$75,MIN(71,Cartera_Polizas!$B$218+8-49))*(1+(Cartera_Polizas!$P$218-1)*MAX(0,1-8/Supuestos!$C$20))*(1-Supuestos!$C$18)^8))</f>
        <v>0.64484846453902</v>
      </c>
      <c r="L216" s="29" t="n">
        <f aca="false">K216*(1-MIN(1,INDEX(Tabla_Mortalidad!$B$5:$B$75,MIN(71,Cartera_Polizas!$B$218+9-49))*(1+(Cartera_Polizas!$P$218-1)*MAX(0,1-9/Supuestos!$C$20))*(1-Supuestos!$C$18)^9))</f>
        <v>0.600442718496823</v>
      </c>
      <c r="M216" s="29" t="n">
        <f aca="false">L216*(1-MIN(1,INDEX(Tabla_Mortalidad!$B$5:$B$75,MIN(71,Cartera_Polizas!$B$218+10-49))*(1+(Cartera_Polizas!$P$218-1)*MAX(0,1-10/Supuestos!$C$20))*(1-Supuestos!$C$18)^10))</f>
        <v>0.555875157462171</v>
      </c>
      <c r="N216" s="29" t="n">
        <f aca="false">M216*(1-MIN(1,INDEX(Tabla_Mortalidad!$B$5:$B$75,MIN(71,Cartera_Polizas!$B$218+11-49))*(1+(Cartera_Polizas!$P$218-1)*MAX(0,1-11/Supuestos!$C$20))*(1-Supuestos!$C$18)^11))</f>
        <v>0.511452247204452</v>
      </c>
      <c r="O216" s="29" t="n">
        <f aca="false">N216*(1-MIN(1,INDEX(Tabla_Mortalidad!$B$5:$B$75,MIN(71,Cartera_Polizas!$B$218+12-49))*(1+(Cartera_Polizas!$P$218-1)*MAX(0,1-12/Supuestos!$C$20))*(1-Supuestos!$C$18)^12))</f>
        <v>0.467500055292204</v>
      </c>
      <c r="P216" s="29" t="n">
        <f aca="false">O216*(1-MIN(1,INDEX(Tabla_Mortalidad!$B$5:$B$75,MIN(71,Cartera_Polizas!$B$218+13-49))*(1+(Cartera_Polizas!$P$218-1)*MAX(0,1-13/Supuestos!$C$20))*(1-Supuestos!$C$18)^13))</f>
        <v>0.424353892786001</v>
      </c>
      <c r="Q216" s="29" t="n">
        <f aca="false">P216*(1-MIN(1,INDEX(Tabla_Mortalidad!$B$5:$B$75,MIN(71,Cartera_Polizas!$B$218+14-49))*(1+(Cartera_Polizas!$P$218-1)*MAX(0,1-14/Supuestos!$C$20))*(1-Supuestos!$C$18)^14))</f>
        <v>0.382353525063166</v>
      </c>
      <c r="R216" s="29" t="n">
        <f aca="false">Q216*(1-MIN(1,INDEX(Tabla_Mortalidad!$B$5:$B$75,MIN(71,Cartera_Polizas!$B$218+15-49))*(1+(Cartera_Polizas!$P$218-1)*MAX(0,1-15/Supuestos!$C$20))*(1-Supuestos!$C$18)^15))</f>
        <v>0.341831576085109</v>
      </c>
      <c r="S216" s="29" t="n">
        <f aca="false">R216*(1-MIN(1,INDEX(Tabla_Mortalidad!$B$5:$B$75,MIN(71,Cartera_Polizas!$B$218+16-49))*(1+(Cartera_Polizas!$P$218-1)*MAX(0,1-16/Supuestos!$C$20))*(1-Supuestos!$C$18)^16))</f>
        <v>0.301870730625136</v>
      </c>
      <c r="T216" s="29" t="n">
        <f aca="false">S216*(1-MIN(1,INDEX(Tabla_Mortalidad!$B$5:$B$75,MIN(71,Cartera_Polizas!$B$218+17-49))*(1+(Cartera_Polizas!$P$218-1)*MAX(0,1-17/Supuestos!$C$20))*(1-Supuestos!$C$18)^17))</f>
        <v>0.262974993782918</v>
      </c>
      <c r="U216" s="29" t="n">
        <f aca="false">T216*(1-MIN(1,INDEX(Tabla_Mortalidad!$B$5:$B$75,MIN(71,Cartera_Polizas!$B$218+18-49))*(1+(Cartera_Polizas!$P$218-1)*MAX(0,1-18/Supuestos!$C$20))*(1-Supuestos!$C$18)^18))</f>
        <v>0.225660616911357</v>
      </c>
      <c r="V216" s="29" t="n">
        <f aca="false">U216*(1-MIN(1,INDEX(Tabla_Mortalidad!$B$5:$B$75,MIN(71,Cartera_Polizas!$B$218+19-49))*(1+(Cartera_Polizas!$P$218-1)*MAX(0,1-19/Supuestos!$C$20))*(1-Supuestos!$C$18)^19))</f>
        <v>0.190433488124904</v>
      </c>
      <c r="W216" s="29" t="n">
        <f aca="false">V216*(1-MIN(1,INDEX(Tabla_Mortalidad!$B$5:$B$75,MIN(71,Cartera_Polizas!$B$218+20-49))*(1+(Cartera_Polizas!$P$218-1)*MAX(0,1-20/Supuestos!$C$20))*(1-Supuestos!$C$18)^20))</f>
        <v>0.157762492894771</v>
      </c>
      <c r="X216" s="29" t="n">
        <f aca="false">W216*(1-MIN(1,INDEX(Tabla_Mortalidad!$B$5:$B$75,MIN(71,Cartera_Polizas!$B$218+21-49))*(1+(Cartera_Polizas!$P$218-1)*MAX(0,1-21/Supuestos!$C$20))*(1-Supuestos!$C$18)^21))</f>
        <v>0.128052251269593</v>
      </c>
      <c r="Y216" s="29" t="n">
        <f aca="false">X216*(1-MIN(1,INDEX(Tabla_Mortalidad!$B$5:$B$75,MIN(71,Cartera_Polizas!$B$218+22-49))*(1+(Cartera_Polizas!$P$218-1)*MAX(0,1-22/Supuestos!$C$20))*(1-Supuestos!$C$18)^22))</f>
        <v>0.101615887362346</v>
      </c>
      <c r="Z216" s="29" t="n">
        <f aca="false">Y216*(1-MIN(1,INDEX(Tabla_Mortalidad!$B$5:$B$75,MIN(71,Cartera_Polizas!$B$218+23-49))*(1+(Cartera_Polizas!$P$218-1)*MAX(0,1-23/Supuestos!$C$20))*(1-Supuestos!$C$18)^23))</f>
        <v>0.0786511989284194</v>
      </c>
      <c r="AA216" s="29" t="n">
        <f aca="false">Z216*(1-MIN(1,INDEX(Tabla_Mortalidad!$B$5:$B$75,MIN(71,Cartera_Polizas!$B$218+24-49))*(1+(Cartera_Polizas!$P$218-1)*MAX(0,1-24/Supuestos!$C$20))*(1-Supuestos!$C$18)^24))</f>
        <v>0.0592246709313903</v>
      </c>
      <c r="AB216" s="29" t="n">
        <f aca="false">AA216*(1-MIN(1,INDEX(Tabla_Mortalidad!$B$5:$B$75,MIN(71,Cartera_Polizas!$B$218+25-49))*(1+(Cartera_Polizas!$P$218-1)*MAX(0,1-25/Supuestos!$C$20))*(1-Supuestos!$C$18)^25))</f>
        <v>0.0432652561970031</v>
      </c>
      <c r="AC216" s="29" t="n">
        <f aca="false">AB216*(1-MIN(1,INDEX(Tabla_Mortalidad!$B$5:$B$75,MIN(71,Cartera_Polizas!$B$218+26-49))*(1+(Cartera_Polizas!$P$218-1)*MAX(0,1-26/Supuestos!$C$20))*(1-Supuestos!$C$18)^26))</f>
        <v>0.0305701370702313</v>
      </c>
      <c r="AD216" s="29" t="n">
        <f aca="false">AC216*(1-MIN(1,INDEX(Tabla_Mortalidad!$B$5:$B$75,MIN(71,Cartera_Polizas!$B$218+27-49))*(1+(Cartera_Polizas!$P$218-1)*MAX(0,1-27/Supuestos!$C$20))*(1-Supuestos!$C$18)^27))</f>
        <v>0.020823573851708</v>
      </c>
      <c r="AE216" s="29" t="n">
        <f aca="false">AD216*(1-MIN(1,INDEX(Tabla_Mortalidad!$B$5:$B$75,MIN(71,Cartera_Polizas!$B$218+28-49))*(1+(Cartera_Polizas!$P$218-1)*MAX(0,1-28/Supuestos!$C$20))*(1-Supuestos!$C$18)^28))</f>
        <v>0.0136265712573779</v>
      </c>
      <c r="AF216" s="29" t="n">
        <f aca="false">AE216*(1-MIN(1,INDEX(Tabla_Mortalidad!$B$5:$B$75,MIN(71,Cartera_Polizas!$B$218+29-49))*(1+(Cartera_Polizas!$P$218-1)*MAX(0,1-29/Supuestos!$C$20))*(1-Supuestos!$C$18)^29))</f>
        <v>0.00853424079792272</v>
      </c>
      <c r="AG216" s="29" t="n">
        <f aca="false">AF216*(1-MIN(1,INDEX(Tabla_Mortalidad!$B$5:$B$75,MIN(71,Cartera_Polizas!$B$218+30-49))*(1+(Cartera_Polizas!$P$218-1)*MAX(0,1-30/Supuestos!$C$20))*(1-Supuestos!$C$18)^30))</f>
        <v>0.00509534856278381</v>
      </c>
      <c r="AH216" s="29" t="n">
        <f aca="false">AG216*(1-MIN(1,INDEX(Tabla_Mortalidad!$B$5:$B$75,MIN(71,Cartera_Polizas!$B$218+31-49))*(1+(Cartera_Polizas!$P$218-1)*MAX(0,1-31/Supuestos!$C$20))*(1-Supuestos!$C$18)^31))</f>
        <v>0.0028881793630901</v>
      </c>
      <c r="AI216" s="29" t="n">
        <f aca="false">AH216*(1-MIN(1,INDEX(Tabla_Mortalidad!$B$5:$B$75,MIN(71,Cartera_Polizas!$B$218+32-49))*(1+(Cartera_Polizas!$P$218-1)*MAX(0,1-32/Supuestos!$C$20))*(1-Supuestos!$C$18)^32))</f>
        <v>0.00154767203975549</v>
      </c>
      <c r="AJ216" s="29" t="n">
        <f aca="false">AI216*(1-MIN(1,INDEX(Tabla_Mortalidad!$B$5:$B$75,MIN(71,Cartera_Polizas!$B$218+33-49))*(1+(Cartera_Polizas!$P$218-1)*MAX(0,1-33/Supuestos!$C$20))*(1-Supuestos!$C$18)^33))</f>
        <v>0.000780715554574597</v>
      </c>
      <c r="AK216" s="29" t="n">
        <f aca="false">AJ216*(1-MIN(1,INDEX(Tabla_Mortalidad!$B$5:$B$75,MIN(71,Cartera_Polizas!$B$218+34-49))*(1+(Cartera_Polizas!$P$218-1)*MAX(0,1-34/Supuestos!$C$20))*(1-Supuestos!$C$18)^34))</f>
        <v>0.000369203454738158</v>
      </c>
      <c r="AL216" s="29" t="n">
        <f aca="false">AK216*(1-MIN(1,INDEX(Tabla_Mortalidad!$B$5:$B$75,MIN(71,Cartera_Polizas!$B$218+35-49))*(1+(Cartera_Polizas!$P$218-1)*MAX(0,1-35/Supuestos!$C$20))*(1-Supuestos!$C$18)^35))</f>
        <v>0.000163049213116017</v>
      </c>
      <c r="AM216" s="29" t="n">
        <f aca="false">AL216*(1-MIN(1,INDEX(Tabla_Mortalidad!$B$5:$B$75,MIN(71,Cartera_Polizas!$B$218+36-49))*(1+(Cartera_Polizas!$P$218-1)*MAX(0,1-36/Supuestos!$C$20))*(1-Supuestos!$C$18)^36))</f>
        <v>6.7017240065815E-005</v>
      </c>
      <c r="AN216" s="29" t="n">
        <f aca="false">AM216*(1-MIN(1,INDEX(Tabla_Mortalidad!$B$5:$B$75,MIN(71,Cartera_Polizas!$B$218+37-49))*(1+(Cartera_Polizas!$P$218-1)*MAX(0,1-37/Supuestos!$C$20))*(1-Supuestos!$C$18)^37))</f>
        <v>2.55704745049326E-005</v>
      </c>
      <c r="AO216" s="29" t="n">
        <f aca="false">AN216*(1-MIN(1,INDEX(Tabla_Mortalidad!$B$5:$B$75,MIN(71,Cartera_Polizas!$B$218+38-49))*(1+(Cartera_Polizas!$P$218-1)*MAX(0,1-38/Supuestos!$C$20))*(1-Supuestos!$C$18)^38))</f>
        <v>9.0431899603442E-006</v>
      </c>
      <c r="AP216" s="29" t="n">
        <f aca="false">AO216*(1-MIN(1,INDEX(Tabla_Mortalidad!$B$5:$B$75,MIN(71,Cartera_Polizas!$B$218+39-49))*(1+(Cartera_Polizas!$P$218-1)*MAX(0,1-39/Supuestos!$C$20))*(1-Supuestos!$C$18)^39))</f>
        <v>2.96421434818194E-006</v>
      </c>
      <c r="AQ216" s="29" t="n">
        <f aca="false">AP216*(1-MIN(1,INDEX(Tabla_Mortalidad!$B$5:$B$75,MIN(71,Cartera_Polizas!$B$218+40-49))*(1+(Cartera_Polizas!$P$218-1)*MAX(0,1-40/Supuestos!$C$20))*(1-Supuestos!$C$18)^40))</f>
        <v>9.02110587893679E-007</v>
      </c>
      <c r="AR216" s="29" t="n">
        <f aca="false">AQ216*(1-MIN(1,INDEX(Tabla_Mortalidad!$B$5:$B$75,MIN(71,Cartera_Polizas!$B$218+41-49))*(1+(Cartera_Polizas!$P$218-1)*MAX(0,1-41/Supuestos!$C$20))*(1-Supuestos!$C$18)^41))</f>
        <v>2.55879161898559E-007</v>
      </c>
      <c r="AS216" s="29" t="n">
        <f aca="false">AR216*(1-MIN(1,INDEX(Tabla_Mortalidad!$B$5:$B$75,MIN(71,Cartera_Polizas!$B$218+42-49))*(1+(Cartera_Polizas!$P$218-1)*MAX(0,1-42/Supuestos!$C$20))*(1-Supuestos!$C$18)^42))</f>
        <v>6.80544890958737E-008</v>
      </c>
      <c r="AT216" s="29" t="n">
        <f aca="false">AS216*(1-MIN(1,INDEX(Tabla_Mortalidad!$B$5:$B$75,MIN(71,Cartera_Polizas!$B$218+43-49))*(1+(Cartera_Polizas!$P$218-1)*MAX(0,1-43/Supuestos!$C$20))*(1-Supuestos!$C$18)^43))</f>
        <v>1.71105611544682E-008</v>
      </c>
      <c r="AU216" s="29" t="n">
        <f aca="false">AT216*(1-MIN(1,INDEX(Tabla_Mortalidad!$B$5:$B$75,MIN(71,Cartera_Polizas!$B$218+44-49))*(1+(Cartera_Polizas!$P$218-1)*MAX(0,1-44/Supuestos!$C$20))*(1-Supuestos!$C$18)^44))</f>
        <v>4.10715311051751E-009</v>
      </c>
    </row>
    <row r="217" customFormat="false" ht="15" hidden="false" customHeight="false" outlineLevel="0" collapsed="false">
      <c r="A217" s="14" t="n">
        <f aca="false">Cartera_Polizas!A219</f>
        <v>214</v>
      </c>
      <c r="B217" s="26" t="n">
        <f aca="false">SUM(C217:AU217)+0.5</f>
        <v>14.6092690987956</v>
      </c>
      <c r="C217" s="29" t="n">
        <f aca="false">1-MIN(1,INDEX(Tabla_Mortalidad!$B$5:$B$75,MIN(71,Cartera_Polizas!$B$219+0-49))*(1+(Cartera_Polizas!$P$219-1)*MAX(0,1-0/Supuestos!$C$20))*(1-Supuestos!$C$18)^0)</f>
        <v>0.972042004</v>
      </c>
      <c r="D217" s="29" t="n">
        <f aca="false">C217*(1-MIN(1,INDEX(Tabla_Mortalidad!$B$5:$B$75,MIN(71,Cartera_Polizas!$B$219+1-49))*(1+(Cartera_Polizas!$P$219-1)*MAX(0,1-1/Supuestos!$C$20))*(1-Supuestos!$C$18)^1))</f>
        <v>0.942701860030737</v>
      </c>
      <c r="E217" s="29" t="n">
        <f aca="false">D217*(1-MIN(1,INDEX(Tabla_Mortalidad!$B$5:$B$75,MIN(71,Cartera_Polizas!$B$219+2-49))*(1+(Cartera_Polizas!$P$219-1)*MAX(0,1-2/Supuestos!$C$20))*(1-Supuestos!$C$18)^2))</f>
        <v>0.912010746094181</v>
      </c>
      <c r="F217" s="29" t="n">
        <f aca="false">E217*(1-MIN(1,INDEX(Tabla_Mortalidad!$B$5:$B$75,MIN(71,Cartera_Polizas!$B$219+3-49))*(1+(Cartera_Polizas!$P$219-1)*MAX(0,1-3/Supuestos!$C$20))*(1-Supuestos!$C$18)^3))</f>
        <v>0.880012756655904</v>
      </c>
      <c r="G217" s="29" t="n">
        <f aca="false">F217*(1-MIN(1,INDEX(Tabla_Mortalidad!$B$5:$B$75,MIN(71,Cartera_Polizas!$B$219+4-49))*(1+(Cartera_Polizas!$P$219-1)*MAX(0,1-4/Supuestos!$C$20))*(1-Supuestos!$C$18)^4))</f>
        <v>0.84677483534888</v>
      </c>
      <c r="H217" s="29" t="n">
        <f aca="false">G217*(1-MIN(1,INDEX(Tabla_Mortalidad!$B$5:$B$75,MIN(71,Cartera_Polizas!$B$219+5-49))*(1+(Cartera_Polizas!$P$219-1)*MAX(0,1-5/Supuestos!$C$20))*(1-Supuestos!$C$18)^5))</f>
        <v>0.812381845860741</v>
      </c>
      <c r="I217" s="29" t="n">
        <f aca="false">H217*(1-MIN(1,INDEX(Tabla_Mortalidad!$B$5:$B$75,MIN(71,Cartera_Polizas!$B$219+6-49))*(1+(Cartera_Polizas!$P$219-1)*MAX(0,1-6/Supuestos!$C$20))*(1-Supuestos!$C$18)^6))</f>
        <v>0.776939346679549</v>
      </c>
      <c r="J217" s="29" t="n">
        <f aca="false">I217*(1-MIN(1,INDEX(Tabla_Mortalidad!$B$5:$B$75,MIN(71,Cartera_Polizas!$B$219+7-49))*(1+(Cartera_Polizas!$P$219-1)*MAX(0,1-7/Supuestos!$C$20))*(1-Supuestos!$C$18)^7))</f>
        <v>0.740574662073402</v>
      </c>
      <c r="K217" s="29" t="n">
        <f aca="false">J217*(1-MIN(1,INDEX(Tabla_Mortalidad!$B$5:$B$75,MIN(71,Cartera_Polizas!$B$219+8-49))*(1+(Cartera_Polizas!$P$219-1)*MAX(0,1-8/Supuestos!$C$20))*(1-Supuestos!$C$18)^8))</f>
        <v>0.703437542722128</v>
      </c>
      <c r="L217" s="29" t="n">
        <f aca="false">K217*(1-MIN(1,INDEX(Tabla_Mortalidad!$B$5:$B$75,MIN(71,Cartera_Polizas!$B$219+9-49))*(1+(Cartera_Polizas!$P$219-1)*MAX(0,1-9/Supuestos!$C$20))*(1-Supuestos!$C$18)^9))</f>
        <v>0.665699329157902</v>
      </c>
      <c r="M217" s="29" t="n">
        <f aca="false">L217*(1-MIN(1,INDEX(Tabla_Mortalidad!$B$5:$B$75,MIN(71,Cartera_Polizas!$B$219+10-49))*(1+(Cartera_Polizas!$P$219-1)*MAX(0,1-10/Supuestos!$C$20))*(1-Supuestos!$C$18)^10))</f>
        <v>0.627550158931766</v>
      </c>
      <c r="N217" s="29" t="n">
        <f aca="false">M217*(1-MIN(1,INDEX(Tabla_Mortalidad!$B$5:$B$75,MIN(71,Cartera_Polizas!$B$219+11-49))*(1+(Cartera_Polizas!$P$219-1)*MAX(0,1-11/Supuestos!$C$20))*(1-Supuestos!$C$18)^11))</f>
        <v>0.589198505124979</v>
      </c>
      <c r="O217" s="29" t="n">
        <f aca="false">N217*(1-MIN(1,INDEX(Tabla_Mortalidad!$B$5:$B$75,MIN(71,Cartera_Polizas!$B$219+12-49))*(1+(Cartera_Polizas!$P$219-1)*MAX(0,1-12/Supuestos!$C$20))*(1-Supuestos!$C$18)^12))</f>
        <v>0.550869425735574</v>
      </c>
      <c r="P217" s="29" t="n">
        <f aca="false">O217*(1-MIN(1,INDEX(Tabla_Mortalidad!$B$5:$B$75,MIN(71,Cartera_Polizas!$B$219+13-49))*(1+(Cartera_Polizas!$P$219-1)*MAX(0,1-13/Supuestos!$C$20))*(1-Supuestos!$C$18)^13))</f>
        <v>0.512799217925722</v>
      </c>
      <c r="Q217" s="29" t="n">
        <f aca="false">P217*(1-MIN(1,INDEX(Tabla_Mortalidad!$B$5:$B$75,MIN(71,Cartera_Polizas!$B$219+14-49))*(1+(Cartera_Polizas!$P$219-1)*MAX(0,1-14/Supuestos!$C$20))*(1-Supuestos!$C$18)^14))</f>
        <v>0.475230702830651</v>
      </c>
      <c r="R217" s="29" t="n">
        <f aca="false">Q217*(1-MIN(1,INDEX(Tabla_Mortalidad!$B$5:$B$75,MIN(71,Cartera_Polizas!$B$219+15-49))*(1+(Cartera_Polizas!$P$219-1)*MAX(0,1-15/Supuestos!$C$20))*(1-Supuestos!$C$18)^15))</f>
        <v>0.438410346738866</v>
      </c>
      <c r="S217" s="29" t="n">
        <f aca="false">R217*(1-MIN(1,INDEX(Tabla_Mortalidad!$B$5:$B$75,MIN(71,Cartera_Polizas!$B$219+16-49))*(1+(Cartera_Polizas!$P$219-1)*MAX(0,1-16/Supuestos!$C$20))*(1-Supuestos!$C$18)^16))</f>
        <v>0.400870275416651</v>
      </c>
      <c r="T217" s="29" t="n">
        <f aca="false">S217*(1-MIN(1,INDEX(Tabla_Mortalidad!$B$5:$B$75,MIN(71,Cartera_Polizas!$B$219+17-49))*(1+(Cartera_Polizas!$P$219-1)*MAX(0,1-17/Supuestos!$C$20))*(1-Supuestos!$C$18)^17))</f>
        <v>0.362956633662979</v>
      </c>
      <c r="U217" s="29" t="n">
        <f aca="false">T217*(1-MIN(1,INDEX(Tabla_Mortalidad!$B$5:$B$75,MIN(71,Cartera_Polizas!$B$219+18-49))*(1+(Cartera_Polizas!$P$219-1)*MAX(0,1-18/Supuestos!$C$20))*(1-Supuestos!$C$18)^18))</f>
        <v>0.325064487186527</v>
      </c>
      <c r="V217" s="29" t="n">
        <f aca="false">U217*(1-MIN(1,INDEX(Tabla_Mortalidad!$B$5:$B$75,MIN(71,Cartera_Polizas!$B$219+19-49))*(1+(Cartera_Polizas!$P$219-1)*MAX(0,1-19/Supuestos!$C$20))*(1-Supuestos!$C$18)^19))</f>
        <v>0.287630916178756</v>
      </c>
      <c r="W217" s="29" t="n">
        <f aca="false">V217*(1-MIN(1,INDEX(Tabla_Mortalidad!$B$5:$B$75,MIN(71,Cartera_Polizas!$B$219+20-49))*(1+(Cartera_Polizas!$P$219-1)*MAX(0,1-20/Supuestos!$C$20))*(1-Supuestos!$C$18)^20))</f>
        <v>0.251123104285295</v>
      </c>
      <c r="X217" s="29" t="n">
        <f aca="false">W217*(1-MIN(1,INDEX(Tabla_Mortalidad!$B$5:$B$75,MIN(71,Cartera_Polizas!$B$219+21-49))*(1+(Cartera_Polizas!$P$219-1)*MAX(0,1-21/Supuestos!$C$20))*(1-Supuestos!$C$18)^21))</f>
        <v>0.216022252657899</v>
      </c>
      <c r="Y217" s="29" t="n">
        <f aca="false">X217*(1-MIN(1,INDEX(Tabla_Mortalidad!$B$5:$B$75,MIN(71,Cartera_Polizas!$B$219+22-49))*(1+(Cartera_Polizas!$P$219-1)*MAX(0,1-22/Supuestos!$C$20))*(1-Supuestos!$C$18)^22))</f>
        <v>0.182803049639476</v>
      </c>
      <c r="Z217" s="29" t="n">
        <f aca="false">Y217*(1-MIN(1,INDEX(Tabla_Mortalidad!$B$5:$B$75,MIN(71,Cartera_Polizas!$B$219+23-49))*(1+(Cartera_Polizas!$P$219-1)*MAX(0,1-23/Supuestos!$C$20))*(1-Supuestos!$C$18)^23))</f>
        <v>0.15190922189109</v>
      </c>
      <c r="AA217" s="29" t="n">
        <f aca="false">Z217*(1-MIN(1,INDEX(Tabla_Mortalidad!$B$5:$B$75,MIN(71,Cartera_Polizas!$B$219+24-49))*(1+(Cartera_Polizas!$P$219-1)*MAX(0,1-24/Supuestos!$C$20))*(1-Supuestos!$C$18)^24))</f>
        <v>0.123728260492048</v>
      </c>
      <c r="AB217" s="29" t="n">
        <f aca="false">AA217*(1-MIN(1,INDEX(Tabla_Mortalidad!$B$5:$B$75,MIN(71,Cartera_Polizas!$B$219+25-49))*(1+(Cartera_Polizas!$P$219-1)*MAX(0,1-25/Supuestos!$C$20))*(1-Supuestos!$C$18)^25))</f>
        <v>0.0985658262609749</v>
      </c>
      <c r="AC217" s="29" t="n">
        <f aca="false">AB217*(1-MIN(1,INDEX(Tabla_Mortalidad!$B$5:$B$75,MIN(71,Cartera_Polizas!$B$219+26-49))*(1+(Cartera_Polizas!$P$219-1)*MAX(0,1-26/Supuestos!$C$20))*(1-Supuestos!$C$18)^26))</f>
        <v>0.0766228995404683</v>
      </c>
      <c r="AD217" s="29" t="n">
        <f aca="false">AC217*(1-MIN(1,INDEX(Tabla_Mortalidad!$B$5:$B$75,MIN(71,Cartera_Polizas!$B$219+27-49))*(1+(Cartera_Polizas!$P$219-1)*MAX(0,1-27/Supuestos!$C$20))*(1-Supuestos!$C$18)^27))</f>
        <v>0.0579798194314542</v>
      </c>
      <c r="AE217" s="29" t="n">
        <f aca="false">AD217*(1-MIN(1,INDEX(Tabla_Mortalidad!$B$5:$B$75,MIN(71,Cartera_Polizas!$B$219+28-49))*(1+(Cartera_Polizas!$P$219-1)*MAX(0,1-28/Supuestos!$C$20))*(1-Supuestos!$C$18)^28))</f>
        <v>0.0425890474092206</v>
      </c>
      <c r="AF217" s="29" t="n">
        <f aca="false">AE217*(1-MIN(1,INDEX(Tabla_Mortalidad!$B$5:$B$75,MIN(71,Cartera_Polizas!$B$219+29-49))*(1+(Cartera_Polizas!$P$219-1)*MAX(0,1-29/Supuestos!$C$20))*(1-Supuestos!$C$18)^29))</f>
        <v>0.030278859868242</v>
      </c>
      <c r="AG217" s="29" t="n">
        <f aca="false">AF217*(1-MIN(1,INDEX(Tabla_Mortalidad!$B$5:$B$75,MIN(71,Cartera_Polizas!$B$219+30-49))*(1+(Cartera_Polizas!$P$219-1)*MAX(0,1-30/Supuestos!$C$20))*(1-Supuestos!$C$18)^30))</f>
        <v>0.0207692461031258</v>
      </c>
      <c r="AH217" s="29" t="n">
        <f aca="false">AG217*(1-MIN(1,INDEX(Tabla_Mortalidad!$B$5:$B$75,MIN(71,Cartera_Polizas!$B$219+31-49))*(1+(Cartera_Polizas!$P$219-1)*MAX(0,1-31/Supuestos!$C$20))*(1-Supuestos!$C$18)^31))</f>
        <v>0.0136981560777977</v>
      </c>
      <c r="AI217" s="29" t="n">
        <f aca="false">AH217*(1-MIN(1,INDEX(Tabla_Mortalidad!$B$5:$B$75,MIN(71,Cartera_Polizas!$B$219+32-49))*(1+(Cartera_Polizas!$P$219-1)*MAX(0,1-32/Supuestos!$C$20))*(1-Supuestos!$C$18)^32))</f>
        <v>0.00865547688727856</v>
      </c>
      <c r="AJ217" s="29" t="n">
        <f aca="false">AI217*(1-MIN(1,INDEX(Tabla_Mortalidad!$B$5:$B$75,MIN(71,Cartera_Polizas!$B$219+33-49))*(1+(Cartera_Polizas!$P$219-1)*MAX(0,1-33/Supuestos!$C$20))*(1-Supuestos!$C$18)^33))</f>
        <v>0.00521978731128253</v>
      </c>
      <c r="AK217" s="29" t="n">
        <f aca="false">AJ217*(1-MIN(1,INDEX(Tabla_Mortalidad!$B$5:$B$75,MIN(71,Cartera_Polizas!$B$219+34-49))*(1+(Cartera_Polizas!$P$219-1)*MAX(0,1-34/Supuestos!$C$20))*(1-Supuestos!$C$18)^34))</f>
        <v>0.00299246135560883</v>
      </c>
      <c r="AL217" s="29" t="n">
        <f aca="false">AK217*(1-MIN(1,INDEX(Tabla_Mortalidad!$B$5:$B$75,MIN(71,Cartera_Polizas!$B$219+35-49))*(1+(Cartera_Polizas!$P$219-1)*MAX(0,1-35/Supuestos!$C$20))*(1-Supuestos!$C$18)^35))</f>
        <v>0.00162428266080232</v>
      </c>
      <c r="AM217" s="29" t="n">
        <f aca="false">AL217*(1-MIN(1,INDEX(Tabla_Mortalidad!$B$5:$B$75,MIN(71,Cartera_Polizas!$B$219+36-49))*(1+(Cartera_Polizas!$P$219-1)*MAX(0,1-36/Supuestos!$C$20))*(1-Supuestos!$C$18)^36))</f>
        <v>0.000831374956211479</v>
      </c>
      <c r="AN217" s="29" t="n">
        <f aca="false">AM217*(1-MIN(1,INDEX(Tabla_Mortalidad!$B$5:$B$75,MIN(71,Cartera_Polizas!$B$219+37-49))*(1+(Cartera_Polizas!$P$219-1)*MAX(0,1-37/Supuestos!$C$20))*(1-Supuestos!$C$18)^37))</f>
        <v>0.000399700890674434</v>
      </c>
      <c r="AO217" s="29" t="n">
        <f aca="false">AN217*(1-MIN(1,INDEX(Tabla_Mortalidad!$B$5:$B$75,MIN(71,Cartera_Polizas!$B$219+38-49))*(1+(Cartera_Polizas!$P$219-1)*MAX(0,1-38/Supuestos!$C$20))*(1-Supuestos!$C$18)^38))</f>
        <v>0.000179848659760441</v>
      </c>
      <c r="AP217" s="29" t="n">
        <f aca="false">AO217*(1-MIN(1,INDEX(Tabla_Mortalidad!$B$5:$B$75,MIN(71,Cartera_Polizas!$B$219+39-49))*(1+(Cartera_Polizas!$P$219-1)*MAX(0,1-39/Supuestos!$C$20))*(1-Supuestos!$C$18)^39))</f>
        <v>7.55031914193206E-005</v>
      </c>
      <c r="AQ217" s="29" t="n">
        <f aca="false">AP217*(1-MIN(1,INDEX(Tabla_Mortalidad!$B$5:$B$75,MIN(71,Cartera_Polizas!$B$219+40-49))*(1+(Cartera_Polizas!$P$219-1)*MAX(0,1-40/Supuestos!$C$20))*(1-Supuestos!$C$18)^40))</f>
        <v>2.95052223030159E-005</v>
      </c>
      <c r="AR217" s="29" t="n">
        <f aca="false">AQ217*(1-MIN(1,INDEX(Tabla_Mortalidad!$B$5:$B$75,MIN(71,Cartera_Polizas!$B$219+41-49))*(1+(Cartera_Polizas!$P$219-1)*MAX(0,1-41/Supuestos!$C$20))*(1-Supuestos!$C$18)^41))</f>
        <v>1.0719372297475E-005</v>
      </c>
      <c r="AS217" s="29" t="n">
        <f aca="false">AR217*(1-MIN(1,INDEX(Tabla_Mortalidad!$B$5:$B$75,MIN(71,Cartera_Polizas!$B$219+42-49))*(1+(Cartera_Polizas!$P$219-1)*MAX(0,1-42/Supuestos!$C$20))*(1-Supuestos!$C$18)^42))</f>
        <v>3.62118680333303E-006</v>
      </c>
      <c r="AT217" s="29" t="n">
        <f aca="false">AS217*(1-MIN(1,INDEX(Tabla_Mortalidad!$B$5:$B$75,MIN(71,Cartera_Polizas!$B$219+43-49))*(1+(Cartera_Polizas!$P$219-1)*MAX(0,1-43/Supuestos!$C$20))*(1-Supuestos!$C$18)^43))</f>
        <v>1.1396479443688E-006</v>
      </c>
      <c r="AU217" s="29" t="n">
        <f aca="false">AT217*(1-MIN(1,INDEX(Tabla_Mortalidad!$B$5:$B$75,MIN(71,Cartera_Polizas!$B$219+44-49))*(1+(Cartera_Polizas!$P$219-1)*MAX(0,1-44/Supuestos!$C$20))*(1-Supuestos!$C$18)^44))</f>
        <v>3.35440206560706E-007</v>
      </c>
    </row>
    <row r="218" customFormat="false" ht="15" hidden="false" customHeight="false" outlineLevel="0" collapsed="false">
      <c r="A218" s="14" t="n">
        <f aca="false">Cartera_Polizas!A220</f>
        <v>215</v>
      </c>
      <c r="B218" s="26" t="n">
        <f aca="false">SUM(C218:AU218)+0.5</f>
        <v>8.66411010150022</v>
      </c>
      <c r="C218" s="29" t="n">
        <f aca="false">1-MIN(1,INDEX(Tabla_Mortalidad!$B$5:$B$75,MIN(71,Cartera_Polizas!$B$220+0-49))*(1+(Cartera_Polizas!$P$220-1)*MAX(0,1-0/Supuestos!$C$20))*(1-Supuestos!$C$18)^0)</f>
        <v>0.948030535</v>
      </c>
      <c r="D218" s="29" t="n">
        <f aca="false">C218*(1-MIN(1,INDEX(Tabla_Mortalidad!$B$5:$B$75,MIN(71,Cartera_Polizas!$B$220+1-49))*(1+(Cartera_Polizas!$P$220-1)*MAX(0,1-1/Supuestos!$C$20))*(1-Supuestos!$C$18)^1))</f>
        <v>0.89288893487004</v>
      </c>
      <c r="E218" s="29" t="n">
        <f aca="false">D218*(1-MIN(1,INDEX(Tabla_Mortalidad!$B$5:$B$75,MIN(71,Cartera_Polizas!$B$220+2-49))*(1+(Cartera_Polizas!$P$220-1)*MAX(0,1-2/Supuestos!$C$20))*(1-Supuestos!$C$18)^2))</f>
        <v>0.834794263388897</v>
      </c>
      <c r="F218" s="29" t="n">
        <f aca="false">E218*(1-MIN(1,INDEX(Tabla_Mortalidad!$B$5:$B$75,MIN(71,Cartera_Polizas!$B$220+3-49))*(1+(Cartera_Polizas!$P$220-1)*MAX(0,1-3/Supuestos!$C$20))*(1-Supuestos!$C$18)^3))</f>
        <v>0.774073357050798</v>
      </c>
      <c r="G218" s="29" t="n">
        <f aca="false">F218*(1-MIN(1,INDEX(Tabla_Mortalidad!$B$5:$B$75,MIN(71,Cartera_Polizas!$B$220+4-49))*(1+(Cartera_Polizas!$P$220-1)*MAX(0,1-4/Supuestos!$C$20))*(1-Supuestos!$C$18)^4))</f>
        <v>0.71116693155213</v>
      </c>
      <c r="H218" s="29" t="n">
        <f aca="false">G218*(1-MIN(1,INDEX(Tabla_Mortalidad!$B$5:$B$75,MIN(71,Cartera_Polizas!$B$220+5-49))*(1+(Cartera_Polizas!$P$220-1)*MAX(0,1-5/Supuestos!$C$20))*(1-Supuestos!$C$18)^5))</f>
        <v>0.646641002081133</v>
      </c>
      <c r="I218" s="29" t="n">
        <f aca="false">H218*(1-MIN(1,INDEX(Tabla_Mortalidad!$B$5:$B$75,MIN(71,Cartera_Polizas!$B$220+6-49))*(1+(Cartera_Polizas!$P$220-1)*MAX(0,1-6/Supuestos!$C$20))*(1-Supuestos!$C$18)^6))</f>
        <v>0.581184692446851</v>
      </c>
      <c r="J218" s="29" t="n">
        <f aca="false">I218*(1-MIN(1,INDEX(Tabla_Mortalidad!$B$5:$B$75,MIN(71,Cartera_Polizas!$B$220+7-49))*(1+(Cartera_Polizas!$P$220-1)*MAX(0,1-7/Supuestos!$C$20))*(1-Supuestos!$C$18)^7))</f>
        <v>0.515604337616688</v>
      </c>
      <c r="K218" s="29" t="n">
        <f aca="false">J218*(1-MIN(1,INDEX(Tabla_Mortalidad!$B$5:$B$75,MIN(71,Cartera_Polizas!$B$220+8-49))*(1+(Cartera_Polizas!$P$220-1)*MAX(0,1-8/Supuestos!$C$20))*(1-Supuestos!$C$18)^8))</f>
        <v>0.450806420720861</v>
      </c>
      <c r="L218" s="29" t="n">
        <f aca="false">K218*(1-MIN(1,INDEX(Tabla_Mortalidad!$B$5:$B$75,MIN(71,Cartera_Polizas!$B$220+9-49))*(1+(Cartera_Polizas!$P$220-1)*MAX(0,1-9/Supuestos!$C$20))*(1-Supuestos!$C$18)^9))</f>
        <v>0.387769497263336</v>
      </c>
      <c r="M218" s="29" t="n">
        <f aca="false">L218*(1-MIN(1,INDEX(Tabla_Mortalidad!$B$5:$B$75,MIN(71,Cartera_Polizas!$B$220+10-49))*(1+(Cartera_Polizas!$P$220-1)*MAX(0,1-10/Supuestos!$C$20))*(1-Supuestos!$C$18)^10))</f>
        <v>0.32750351342372</v>
      </c>
      <c r="N218" s="29" t="n">
        <f aca="false">M218*(1-MIN(1,INDEX(Tabla_Mortalidad!$B$5:$B$75,MIN(71,Cartera_Polizas!$B$220+11-49))*(1+(Cartera_Polizas!$P$220-1)*MAX(0,1-11/Supuestos!$C$20))*(1-Supuestos!$C$18)^11))</f>
        <v>0.270996639757378</v>
      </c>
      <c r="O218" s="29" t="n">
        <f aca="false">N218*(1-MIN(1,INDEX(Tabla_Mortalidad!$B$5:$B$75,MIN(71,Cartera_Polizas!$B$220+12-49))*(1+(Cartera_Polizas!$P$220-1)*MAX(0,1-12/Supuestos!$C$20))*(1-Supuestos!$C$18)^12))</f>
        <v>0.219155107098371</v>
      </c>
      <c r="P218" s="29" t="n">
        <f aca="false">O218*(1-MIN(1,INDEX(Tabla_Mortalidad!$B$5:$B$75,MIN(71,Cartera_Polizas!$B$220+13-49))*(1+(Cartera_Polizas!$P$220-1)*MAX(0,1-13/Supuestos!$C$20))*(1-Supuestos!$C$18)^13))</f>
        <v>0.172737816590309</v>
      </c>
      <c r="Q218" s="29" t="n">
        <f aca="false">P218*(1-MIN(1,INDEX(Tabla_Mortalidad!$B$5:$B$75,MIN(71,Cartera_Polizas!$B$220+14-49))*(1+(Cartera_Polizas!$P$220-1)*MAX(0,1-14/Supuestos!$C$20))*(1-Supuestos!$C$18)^14))</f>
        <v>0.132293263595764</v>
      </c>
      <c r="R218" s="29" t="n">
        <f aca="false">Q218*(1-MIN(1,INDEX(Tabla_Mortalidad!$B$5:$B$75,MIN(71,Cartera_Polizas!$B$220+15-49))*(1+(Cartera_Polizas!$P$220-1)*MAX(0,1-15/Supuestos!$C$20))*(1-Supuestos!$C$18)^15))</f>
        <v>0.0981095024883165</v>
      </c>
      <c r="S218" s="29" t="n">
        <f aca="false">R218*(1-MIN(1,INDEX(Tabla_Mortalidad!$B$5:$B$75,MIN(71,Cartera_Polizas!$B$220+16-49))*(1+(Cartera_Polizas!$P$220-1)*MAX(0,1-16/Supuestos!$C$20))*(1-Supuestos!$C$18)^16))</f>
        <v>0.0704517012556625</v>
      </c>
      <c r="T218" s="29" t="n">
        <f aca="false">S218*(1-MIN(1,INDEX(Tabla_Mortalidad!$B$5:$B$75,MIN(71,Cartera_Polizas!$B$220+17-49))*(1+(Cartera_Polizas!$P$220-1)*MAX(0,1-17/Supuestos!$C$20))*(1-Supuestos!$C$18)^17))</f>
        <v>0.0488254492765977</v>
      </c>
      <c r="U218" s="29" t="n">
        <f aca="false">T218*(1-MIN(1,INDEX(Tabla_Mortalidad!$B$5:$B$75,MIN(71,Cartera_Polizas!$B$220+18-49))*(1+(Cartera_Polizas!$P$220-1)*MAX(0,1-18/Supuestos!$C$20))*(1-Supuestos!$C$18)^18))</f>
        <v>0.0325402664124072</v>
      </c>
      <c r="V218" s="29" t="n">
        <f aca="false">U218*(1-MIN(1,INDEX(Tabla_Mortalidad!$B$5:$B$75,MIN(71,Cartera_Polizas!$B$220+19-49))*(1+(Cartera_Polizas!$P$220-1)*MAX(0,1-19/Supuestos!$C$20))*(1-Supuestos!$C$18)^19))</f>
        <v>0.0207747831783941</v>
      </c>
      <c r="W218" s="29" t="n">
        <f aca="false">V218*(1-MIN(1,INDEX(Tabla_Mortalidad!$B$5:$B$75,MIN(71,Cartera_Polizas!$B$220+20-49))*(1+(Cartera_Polizas!$P$220-1)*MAX(0,1-20/Supuestos!$C$20))*(1-Supuestos!$C$18)^20))</f>
        <v>0.0126528621888758</v>
      </c>
      <c r="X218" s="29" t="n">
        <f aca="false">W218*(1-MIN(1,INDEX(Tabla_Mortalidad!$B$5:$B$75,MIN(71,Cartera_Polizas!$B$220+21-49))*(1+(Cartera_Polizas!$P$220-1)*MAX(0,1-21/Supuestos!$C$20))*(1-Supuestos!$C$18)^21))</f>
        <v>0.00731908677537394</v>
      </c>
      <c r="Y218" s="29" t="n">
        <f aca="false">X218*(1-MIN(1,INDEX(Tabla_Mortalidad!$B$5:$B$75,MIN(71,Cartera_Polizas!$B$220+22-49))*(1+(Cartera_Polizas!$P$220-1)*MAX(0,1-22/Supuestos!$C$20))*(1-Supuestos!$C$18)^22))</f>
        <v>0.00400235082632934</v>
      </c>
      <c r="Z218" s="29" t="n">
        <f aca="false">Y218*(1-MIN(1,INDEX(Tabla_Mortalidad!$B$5:$B$75,MIN(71,Cartera_Polizas!$B$220+23-49))*(1+(Cartera_Polizas!$P$220-1)*MAX(0,1-23/Supuestos!$C$20))*(1-Supuestos!$C$18)^23))</f>
        <v>0.00205899441350521</v>
      </c>
      <c r="AA218" s="29" t="n">
        <f aca="false">Z218*(1-MIN(1,INDEX(Tabla_Mortalidad!$B$5:$B$75,MIN(71,Cartera_Polizas!$B$220+24-49))*(1+(Cartera_Polizas!$P$220-1)*MAX(0,1-24/Supuestos!$C$20))*(1-Supuestos!$C$18)^24))</f>
        <v>0.000991564844821532</v>
      </c>
      <c r="AB218" s="29" t="n">
        <f aca="false">AA218*(1-MIN(1,INDEX(Tabla_Mortalidad!$B$5:$B$75,MIN(71,Cartera_Polizas!$B$220+25-49))*(1+(Cartera_Polizas!$P$220-1)*MAX(0,1-25/Supuestos!$C$20))*(1-Supuestos!$C$18)^25))</f>
        <v>0.000444796741356499</v>
      </c>
      <c r="AC218" s="29" t="n">
        <f aca="false">AB218*(1-MIN(1,INDEX(Tabla_Mortalidad!$B$5:$B$75,MIN(71,Cartera_Polizas!$B$220+26-49))*(1+(Cartera_Polizas!$P$220-1)*MAX(0,1-26/Supuestos!$C$20))*(1-Supuestos!$C$18)^26))</f>
        <v>0.000184972068691462</v>
      </c>
      <c r="AD218" s="29" t="n">
        <f aca="false">AC218*(1-MIN(1,INDEX(Tabla_Mortalidad!$B$5:$B$75,MIN(71,Cartera_Polizas!$B$220+27-49))*(1+(Cartera_Polizas!$P$220-1)*MAX(0,1-27/Supuestos!$C$20))*(1-Supuestos!$C$18)^27))</f>
        <v>7.10007504376123E-005</v>
      </c>
      <c r="AE218" s="29" t="n">
        <f aca="false">AD218*(1-MIN(1,INDEX(Tabla_Mortalidad!$B$5:$B$75,MIN(71,Cartera_Polizas!$B$220+28-49))*(1+(Cartera_Polizas!$P$220-1)*MAX(0,1-28/Supuestos!$C$20))*(1-Supuestos!$C$18)^28))</f>
        <v>2.50641006643531E-005</v>
      </c>
      <c r="AF218" s="29" t="n">
        <f aca="false">AE218*(1-MIN(1,INDEX(Tabla_Mortalidad!$B$5:$B$75,MIN(71,Cartera_Polizas!$B$220+29-49))*(1+(Cartera_Polizas!$P$220-1)*MAX(0,1-29/Supuestos!$C$20))*(1-Supuestos!$C$18)^29))</f>
        <v>8.11654314849826E-006</v>
      </c>
      <c r="AG218" s="29" t="n">
        <f aca="false">AF218*(1-MIN(1,INDEX(Tabla_Mortalidad!$B$5:$B$75,MIN(71,Cartera_Polizas!$B$220+30-49))*(1+(Cartera_Polizas!$P$220-1)*MAX(0,1-30/Supuestos!$C$20))*(1-Supuestos!$C$18)^30))</f>
        <v>2.40869878778206E-006</v>
      </c>
      <c r="AH218" s="29" t="n">
        <f aca="false">AG218*(1-MIN(1,INDEX(Tabla_Mortalidad!$B$5:$B$75,MIN(71,Cartera_Polizas!$B$220+31-49))*(1+(Cartera_Polizas!$P$220-1)*MAX(0,1-31/Supuestos!$C$20))*(1-Supuestos!$C$18)^31))</f>
        <v>6.55723973636688E-007</v>
      </c>
      <c r="AI218" s="29" t="n">
        <f aca="false">AH218*(1-MIN(1,INDEX(Tabla_Mortalidad!$B$5:$B$75,MIN(71,Cartera_Polizas!$B$220+32-49))*(1+(Cartera_Polizas!$P$220-1)*MAX(0,1-32/Supuestos!$C$20))*(1-Supuestos!$C$18)^32))</f>
        <v>1.64316645091446E-007</v>
      </c>
      <c r="AJ218" s="29" t="n">
        <f aca="false">AI218*(1-MIN(1,INDEX(Tabla_Mortalidad!$B$5:$B$75,MIN(71,Cartera_Polizas!$B$220+33-49))*(1+(Cartera_Polizas!$P$220-1)*MAX(0,1-33/Supuestos!$C$20))*(1-Supuestos!$C$18)^33))</f>
        <v>3.81363455987129E-008</v>
      </c>
      <c r="AK218" s="29" t="n">
        <f aca="false">AJ218*(1-MIN(1,INDEX(Tabla_Mortalidad!$B$5:$B$75,MIN(71,Cartera_Polizas!$B$220+34-49))*(1+(Cartera_Polizas!$P$220-1)*MAX(0,1-34/Supuestos!$C$20))*(1-Supuestos!$C$18)^34))</f>
        <v>8.27103764176053E-009</v>
      </c>
      <c r="AL218" s="29" t="n">
        <f aca="false">AK218*(1-MIN(1,INDEX(Tabla_Mortalidad!$B$5:$B$75,MIN(71,Cartera_Polizas!$B$220+35-49))*(1+(Cartera_Polizas!$P$220-1)*MAX(0,1-35/Supuestos!$C$20))*(1-Supuestos!$C$18)^35))</f>
        <v>1.69528892890711E-009</v>
      </c>
      <c r="AM218" s="29" t="n">
        <f aca="false">AL218*(1-MIN(1,INDEX(Tabla_Mortalidad!$B$5:$B$75,MIN(71,Cartera_Polizas!$B$220+36-49))*(1+(Cartera_Polizas!$P$220-1)*MAX(0,1-36/Supuestos!$C$20))*(1-Supuestos!$C$18)^36))</f>
        <v>2.79903785531481E-010</v>
      </c>
      <c r="AN218" s="29" t="n">
        <f aca="false">AM218*(1-MIN(1,INDEX(Tabla_Mortalidad!$B$5:$B$75,MIN(71,Cartera_Polizas!$B$220+37-49))*(1+(Cartera_Polizas!$P$220-1)*MAX(0,1-37/Supuestos!$C$20))*(1-Supuestos!$C$18)^37))</f>
        <v>4.73824762748357E-011</v>
      </c>
      <c r="AO218" s="29" t="n">
        <f aca="false">AN218*(1-MIN(1,INDEX(Tabla_Mortalidad!$B$5:$B$75,MIN(71,Cartera_Polizas!$B$220+38-49))*(1+(Cartera_Polizas!$P$220-1)*MAX(0,1-38/Supuestos!$C$20))*(1-Supuestos!$C$18)^38))</f>
        <v>8.21777465661643E-012</v>
      </c>
      <c r="AP218" s="29" t="n">
        <f aca="false">AO218*(1-MIN(1,INDEX(Tabla_Mortalidad!$B$5:$B$75,MIN(71,Cartera_Polizas!$B$220+39-49))*(1+(Cartera_Polizas!$P$220-1)*MAX(0,1-39/Supuestos!$C$20))*(1-Supuestos!$C$18)^39))</f>
        <v>1.45921148924013E-012</v>
      </c>
      <c r="AQ218" s="29" t="n">
        <f aca="false">AP218*(1-MIN(1,INDEX(Tabla_Mortalidad!$B$5:$B$75,MIN(71,Cartera_Polizas!$B$220+40-49))*(1+(Cartera_Polizas!$P$220-1)*MAX(0,1-40/Supuestos!$C$20))*(1-Supuestos!$C$18)^40))</f>
        <v>2.65109366767469E-013</v>
      </c>
      <c r="AR218" s="29" t="n">
        <f aca="false">AQ218*(1-MIN(1,INDEX(Tabla_Mortalidad!$B$5:$B$75,MIN(71,Cartera_Polizas!$B$220+41-49))*(1+(Cartera_Polizas!$P$220-1)*MAX(0,1-41/Supuestos!$C$20))*(1-Supuestos!$C$18)^41))</f>
        <v>4.92497593155563E-014</v>
      </c>
      <c r="AS218" s="29" t="n">
        <f aca="false">AR218*(1-MIN(1,INDEX(Tabla_Mortalidad!$B$5:$B$75,MIN(71,Cartera_Polizas!$B$220+42-49))*(1+(Cartera_Polizas!$P$220-1)*MAX(0,1-42/Supuestos!$C$20))*(1-Supuestos!$C$18)^42))</f>
        <v>9.34970345042205E-015</v>
      </c>
      <c r="AT218" s="29" t="n">
        <f aca="false">AS218*(1-MIN(1,INDEX(Tabla_Mortalidad!$B$5:$B$75,MIN(71,Cartera_Polizas!$B$220+43-49))*(1+(Cartera_Polizas!$P$220-1)*MAX(0,1-43/Supuestos!$C$20))*(1-Supuestos!$C$18)^43))</f>
        <v>1.81284587582957E-015</v>
      </c>
      <c r="AU218" s="29" t="n">
        <f aca="false">AT218*(1-MIN(1,INDEX(Tabla_Mortalidad!$B$5:$B$75,MIN(71,Cartera_Polizas!$B$220+44-49))*(1+(Cartera_Polizas!$P$220-1)*MAX(0,1-44/Supuestos!$C$20))*(1-Supuestos!$C$18)^44))</f>
        <v>3.58805602033819E-016</v>
      </c>
    </row>
    <row r="219" customFormat="false" ht="15" hidden="false" customHeight="false" outlineLevel="0" collapsed="false">
      <c r="A219" s="14" t="n">
        <f aca="false">Cartera_Polizas!A221</f>
        <v>216</v>
      </c>
      <c r="B219" s="26" t="n">
        <f aca="false">SUM(C219:AU219)+0.5</f>
        <v>3.93434134995689</v>
      </c>
      <c r="C219" s="29" t="n">
        <f aca="false">1-MIN(1,INDEX(Tabla_Mortalidad!$B$5:$B$75,MIN(71,Cartera_Polizas!$B$221+0-49))*(1+(Cartera_Polizas!$P$221-1)*MAX(0,1-0/Supuestos!$C$20))*(1-Supuestos!$C$18)^0)</f>
        <v>0.80279292</v>
      </c>
      <c r="D219" s="29" t="n">
        <f aca="false">C219*(1-MIN(1,INDEX(Tabla_Mortalidad!$B$5:$B$75,MIN(71,Cartera_Polizas!$B$221+1-49))*(1+(Cartera_Polizas!$P$221-1)*MAX(0,1-1/Supuestos!$C$20))*(1-Supuestos!$C$18)^1))</f>
        <v>0.635967625238475</v>
      </c>
      <c r="E219" s="29" t="n">
        <f aca="false">D219*(1-MIN(1,INDEX(Tabla_Mortalidad!$B$5:$B$75,MIN(71,Cartera_Polizas!$B$221+2-49))*(1+(Cartera_Polizas!$P$221-1)*MAX(0,1-2/Supuestos!$C$20))*(1-Supuestos!$C$18)^2))</f>
        <v>0.497116191930452</v>
      </c>
      <c r="F219" s="29" t="n">
        <f aca="false">E219*(1-MIN(1,INDEX(Tabla_Mortalidad!$B$5:$B$75,MIN(71,Cartera_Polizas!$B$221+3-49))*(1+(Cartera_Polizas!$P$221-1)*MAX(0,1-3/Supuestos!$C$20))*(1-Supuestos!$C$18)^3))</f>
        <v>0.383452932765768</v>
      </c>
      <c r="G219" s="29" t="n">
        <f aca="false">F219*(1-MIN(1,INDEX(Tabla_Mortalidad!$B$5:$B$75,MIN(71,Cartera_Polizas!$B$221+4-49))*(1+(Cartera_Polizas!$P$221-1)*MAX(0,1-4/Supuestos!$C$20))*(1-Supuestos!$C$18)^4))</f>
        <v>0.291971866849349</v>
      </c>
      <c r="H219" s="29" t="n">
        <f aca="false">G219*(1-MIN(1,INDEX(Tabla_Mortalidad!$B$5:$B$75,MIN(71,Cartera_Polizas!$B$221+5-49))*(1+(Cartera_Polizas!$P$221-1)*MAX(0,1-5/Supuestos!$C$20))*(1-Supuestos!$C$18)^5))</f>
        <v>0.219586300026558</v>
      </c>
      <c r="I219" s="29" t="n">
        <f aca="false">H219*(1-MIN(1,INDEX(Tabla_Mortalidad!$B$5:$B$75,MIN(71,Cartera_Polizas!$B$221+6-49))*(1+(Cartera_Polizas!$P$221-1)*MAX(0,1-6/Supuestos!$C$20))*(1-Supuestos!$C$18)^6))</f>
        <v>0.163274468546221</v>
      </c>
      <c r="J219" s="29" t="n">
        <f aca="false">I219*(1-MIN(1,INDEX(Tabla_Mortalidad!$B$5:$B$75,MIN(71,Cartera_Polizas!$B$221+7-49))*(1+(Cartera_Polizas!$P$221-1)*MAX(0,1-7/Supuestos!$C$20))*(1-Supuestos!$C$18)^7))</f>
        <v>0.120190069953529</v>
      </c>
      <c r="K219" s="29" t="n">
        <f aca="false">J219*(1-MIN(1,INDEX(Tabla_Mortalidad!$B$5:$B$75,MIN(71,Cartera_Polizas!$B$221+8-49))*(1+(Cartera_Polizas!$P$221-1)*MAX(0,1-8/Supuestos!$C$20))*(1-Supuestos!$C$18)^8))</f>
        <v>0.0877510313538735</v>
      </c>
      <c r="L219" s="29" t="n">
        <f aca="false">K219*(1-MIN(1,INDEX(Tabla_Mortalidad!$B$5:$B$75,MIN(71,Cartera_Polizas!$B$221+9-49))*(1+(Cartera_Polizas!$P$221-1)*MAX(0,1-9/Supuestos!$C$20))*(1-Supuestos!$C$18)^9))</f>
        <v>0.0636946958361389</v>
      </c>
      <c r="M219" s="29" t="n">
        <f aca="false">L219*(1-MIN(1,INDEX(Tabla_Mortalidad!$B$5:$B$75,MIN(71,Cartera_Polizas!$B$221+10-49))*(1+(Cartera_Polizas!$P$221-1)*MAX(0,1-10/Supuestos!$C$20))*(1-Supuestos!$C$18)^10))</f>
        <v>0.0461024223179216</v>
      </c>
      <c r="N219" s="29" t="n">
        <f aca="false">M219*(1-MIN(1,INDEX(Tabla_Mortalidad!$B$5:$B$75,MIN(71,Cartera_Polizas!$B$221+11-49))*(1+(Cartera_Polizas!$P$221-1)*MAX(0,1-11/Supuestos!$C$20))*(1-Supuestos!$C$18)^11))</f>
        <v>0.0333970784769077</v>
      </c>
      <c r="O219" s="29" t="n">
        <f aca="false">N219*(1-MIN(1,INDEX(Tabla_Mortalidad!$B$5:$B$75,MIN(71,Cartera_Polizas!$B$221+12-49))*(1+(Cartera_Polizas!$P$221-1)*MAX(0,1-12/Supuestos!$C$20))*(1-Supuestos!$C$18)^12))</f>
        <v>0.0243197609918671</v>
      </c>
      <c r="P219" s="29" t="n">
        <f aca="false">O219*(1-MIN(1,INDEX(Tabla_Mortalidad!$B$5:$B$75,MIN(71,Cartera_Polizas!$B$221+13-49))*(1+(Cartera_Polizas!$P$221-1)*MAX(0,1-13/Supuestos!$C$20))*(1-Supuestos!$C$18)^13))</f>
        <v>0.0178933725574653</v>
      </c>
      <c r="Q219" s="29" t="n">
        <f aca="false">P219*(1-MIN(1,INDEX(Tabla_Mortalidad!$B$5:$B$75,MIN(71,Cartera_Polizas!$B$221+14-49))*(1+(Cartera_Polizas!$P$221-1)*MAX(0,1-14/Supuestos!$C$20))*(1-Supuestos!$C$18)^14))</f>
        <v>0.0133790752414554</v>
      </c>
      <c r="R219" s="29" t="n">
        <f aca="false">Q219*(1-MIN(1,INDEX(Tabla_Mortalidad!$B$5:$B$75,MIN(71,Cartera_Polizas!$B$221+15-49))*(1+(Cartera_Polizas!$P$221-1)*MAX(0,1-15/Supuestos!$C$20))*(1-Supuestos!$C$18)^15))</f>
        <v>0.0102317589208336</v>
      </c>
      <c r="S219" s="29" t="n">
        <f aca="false">R219*(1-MIN(1,INDEX(Tabla_Mortalidad!$B$5:$B$75,MIN(71,Cartera_Polizas!$B$221+16-49))*(1+(Cartera_Polizas!$P$221-1)*MAX(0,1-16/Supuestos!$C$20))*(1-Supuestos!$C$18)^16))</f>
        <v>0.00760115481306238</v>
      </c>
      <c r="T219" s="29" t="n">
        <f aca="false">S219*(1-MIN(1,INDEX(Tabla_Mortalidad!$B$5:$B$75,MIN(71,Cartera_Polizas!$B$221+17-49))*(1+(Cartera_Polizas!$P$221-1)*MAX(0,1-17/Supuestos!$C$20))*(1-Supuestos!$C$18)^17))</f>
        <v>0.00546904663283356</v>
      </c>
      <c r="U219" s="29" t="n">
        <f aca="false">T219*(1-MIN(1,INDEX(Tabla_Mortalidad!$B$5:$B$75,MIN(71,Cartera_Polizas!$B$221+18-49))*(1+(Cartera_Polizas!$P$221-1)*MAX(0,1-18/Supuestos!$C$20))*(1-Supuestos!$C$18)^18))</f>
        <v>0.00379863124801529</v>
      </c>
      <c r="V219" s="29" t="n">
        <f aca="false">U219*(1-MIN(1,INDEX(Tabla_Mortalidad!$B$5:$B$75,MIN(71,Cartera_Polizas!$B$221+19-49))*(1+(Cartera_Polizas!$P$221-1)*MAX(0,1-19/Supuestos!$C$20))*(1-Supuestos!$C$18)^19))</f>
        <v>0.00253797520906468</v>
      </c>
      <c r="W219" s="29" t="n">
        <f aca="false">V219*(1-MIN(1,INDEX(Tabla_Mortalidad!$B$5:$B$75,MIN(71,Cartera_Polizas!$B$221+20-49))*(1+(Cartera_Polizas!$P$221-1)*MAX(0,1-20/Supuestos!$C$20))*(1-Supuestos!$C$18)^20))</f>
        <v>0.00162491562097815</v>
      </c>
      <c r="X219" s="29" t="n">
        <f aca="false">W219*(1-MIN(1,INDEX(Tabla_Mortalidad!$B$5:$B$75,MIN(71,Cartera_Polizas!$B$221+21-49))*(1+(Cartera_Polizas!$P$221-1)*MAX(0,1-21/Supuestos!$C$20))*(1-Supuestos!$C$18)^21))</f>
        <v>0.000992829644724288</v>
      </c>
      <c r="Y219" s="29" t="n">
        <f aca="false">X219*(1-MIN(1,INDEX(Tabla_Mortalidad!$B$5:$B$75,MIN(71,Cartera_Polizas!$B$221+22-49))*(1+(Cartera_Polizas!$P$221-1)*MAX(0,1-22/Supuestos!$C$20))*(1-Supuestos!$C$18)^22))</f>
        <v>0.000576397961645141</v>
      </c>
      <c r="Z219" s="29" t="n">
        <f aca="false">Y219*(1-MIN(1,INDEX(Tabla_Mortalidad!$B$5:$B$75,MIN(71,Cartera_Polizas!$B$221+23-49))*(1+(Cartera_Polizas!$P$221-1)*MAX(0,1-23/Supuestos!$C$20))*(1-Supuestos!$C$18)^23))</f>
        <v>0.000316502007474607</v>
      </c>
      <c r="AA219" s="29" t="n">
        <f aca="false">Z219*(1-MIN(1,INDEX(Tabla_Mortalidad!$B$5:$B$75,MIN(71,Cartera_Polizas!$B$221+24-49))*(1+(Cartera_Polizas!$P$221-1)*MAX(0,1-24/Supuestos!$C$20))*(1-Supuestos!$C$18)^24))</f>
        <v>0.000163591667670817</v>
      </c>
      <c r="AB219" s="29" t="n">
        <f aca="false">AA219*(1-MIN(1,INDEX(Tabla_Mortalidad!$B$5:$B$75,MIN(71,Cartera_Polizas!$B$221+25-49))*(1+(Cartera_Polizas!$P$221-1)*MAX(0,1-25/Supuestos!$C$20))*(1-Supuestos!$C$18)^25))</f>
        <v>7.92060718643649E-005</v>
      </c>
      <c r="AC219" s="29" t="n">
        <f aca="false">AB219*(1-MIN(1,INDEX(Tabla_Mortalidad!$B$5:$B$75,MIN(71,Cartera_Polizas!$B$221+26-49))*(1+(Cartera_Polizas!$P$221-1)*MAX(0,1-26/Supuestos!$C$20))*(1-Supuestos!$C$18)^26))</f>
        <v>3.57486851359471E-005</v>
      </c>
      <c r="AD219" s="29" t="n">
        <f aca="false">AC219*(1-MIN(1,INDEX(Tabla_Mortalidad!$B$5:$B$75,MIN(71,Cartera_Polizas!$B$221+27-49))*(1+(Cartera_Polizas!$P$221-1)*MAX(0,1-27/Supuestos!$C$20))*(1-Supuestos!$C$18)^27))</f>
        <v>1.49707710860387E-005</v>
      </c>
      <c r="AE219" s="29" t="n">
        <f aca="false">AD219*(1-MIN(1,INDEX(Tabla_Mortalidad!$B$5:$B$75,MIN(71,Cartera_Polizas!$B$221+28-49))*(1+(Cartera_Polizas!$P$221-1)*MAX(0,1-28/Supuestos!$C$20))*(1-Supuestos!$C$18)^28))</f>
        <v>5.7925890211319E-006</v>
      </c>
      <c r="AF219" s="29" t="n">
        <f aca="false">AE219*(1-MIN(1,INDEX(Tabla_Mortalidad!$B$5:$B$75,MIN(71,Cartera_Polizas!$B$221+29-49))*(1+(Cartera_Polizas!$P$221-1)*MAX(0,1-29/Supuestos!$C$20))*(1-Supuestos!$C$18)^29))</f>
        <v>2.06359079440069E-006</v>
      </c>
      <c r="AG219" s="29" t="n">
        <f aca="false">AF219*(1-MIN(1,INDEX(Tabla_Mortalidad!$B$5:$B$75,MIN(71,Cartera_Polizas!$B$221+30-49))*(1+(Cartera_Polizas!$P$221-1)*MAX(0,1-30/Supuestos!$C$20))*(1-Supuestos!$C$18)^30))</f>
        <v>6.75232200373876E-007</v>
      </c>
      <c r="AH219" s="29" t="n">
        <f aca="false">AG219*(1-MIN(1,INDEX(Tabla_Mortalidad!$B$5:$B$75,MIN(71,Cartera_Polizas!$B$221+31-49))*(1+(Cartera_Polizas!$P$221-1)*MAX(0,1-31/Supuestos!$C$20))*(1-Supuestos!$C$18)^31))</f>
        <v>2.02758927530848E-007</v>
      </c>
      <c r="AI219" s="29" t="n">
        <f aca="false">AH219*(1-MIN(1,INDEX(Tabla_Mortalidad!$B$5:$B$75,MIN(71,Cartera_Polizas!$B$221+32-49))*(1+(Cartera_Polizas!$P$221-1)*MAX(0,1-32/Supuestos!$C$20))*(1-Supuestos!$C$18)^32))</f>
        <v>5.59351990380769E-008</v>
      </c>
      <c r="AJ219" s="29" t="n">
        <f aca="false">AI219*(1-MIN(1,INDEX(Tabla_Mortalidad!$B$5:$B$75,MIN(71,Cartera_Polizas!$B$221+33-49))*(1+(Cartera_Polizas!$P$221-1)*MAX(0,1-33/Supuestos!$C$20))*(1-Supuestos!$C$18)^33))</f>
        <v>1.42262895016286E-008</v>
      </c>
      <c r="AK219" s="29" t="n">
        <f aca="false">AJ219*(1-MIN(1,INDEX(Tabla_Mortalidad!$B$5:$B$75,MIN(71,Cartera_Polizas!$B$221+34-49))*(1+(Cartera_Polizas!$P$221-1)*MAX(0,1-34/Supuestos!$C$20))*(1-Supuestos!$C$18)^34))</f>
        <v>3.35641030197792E-009</v>
      </c>
      <c r="AL219" s="29" t="n">
        <f aca="false">AK219*(1-MIN(1,INDEX(Tabla_Mortalidad!$B$5:$B$75,MIN(71,Cartera_Polizas!$B$221+35-49))*(1+(Cartera_Polizas!$P$221-1)*MAX(0,1-35/Supuestos!$C$20))*(1-Supuestos!$C$18)^35))</f>
        <v>7.4108299160941E-010</v>
      </c>
      <c r="AM219" s="29" t="n">
        <f aca="false">AL219*(1-MIN(1,INDEX(Tabla_Mortalidad!$B$5:$B$75,MIN(71,Cartera_Polizas!$B$221+36-49))*(1+(Cartera_Polizas!$P$221-1)*MAX(0,1-36/Supuestos!$C$20))*(1-Supuestos!$C$18)^36))</f>
        <v>1.54843409519915E-010</v>
      </c>
      <c r="AN219" s="29" t="n">
        <f aca="false">AM219*(1-MIN(1,INDEX(Tabla_Mortalidad!$B$5:$B$75,MIN(71,Cartera_Polizas!$B$221+37-49))*(1+(Cartera_Polizas!$P$221-1)*MAX(0,1-37/Supuestos!$C$20))*(1-Supuestos!$C$18)^37))</f>
        <v>2.62120934304651E-011</v>
      </c>
      <c r="AO219" s="29" t="n">
        <f aca="false">AN219*(1-MIN(1,INDEX(Tabla_Mortalidad!$B$5:$B$75,MIN(71,Cartera_Polizas!$B$221+38-49))*(1+(Cartera_Polizas!$P$221-1)*MAX(0,1-38/Supuestos!$C$20))*(1-Supuestos!$C$18)^38))</f>
        <v>4.54609159386921E-012</v>
      </c>
      <c r="AP219" s="29" t="n">
        <f aca="false">AO219*(1-MIN(1,INDEX(Tabla_Mortalidad!$B$5:$B$75,MIN(71,Cartera_Polizas!$B$221+39-49))*(1+(Cartera_Polizas!$P$221-1)*MAX(0,1-39/Supuestos!$C$20))*(1-Supuestos!$C$18)^39))</f>
        <v>8.07239108165477E-013</v>
      </c>
      <c r="AQ219" s="29" t="n">
        <f aca="false">AP219*(1-MIN(1,INDEX(Tabla_Mortalidad!$B$5:$B$75,MIN(71,Cartera_Polizas!$B$221+40-49))*(1+(Cartera_Polizas!$P$221-1)*MAX(0,1-40/Supuestos!$C$20))*(1-Supuestos!$C$18)^40))</f>
        <v>1.46659103477268E-013</v>
      </c>
      <c r="AR219" s="29" t="n">
        <f aca="false">AQ219*(1-MIN(1,INDEX(Tabla_Mortalidad!$B$5:$B$75,MIN(71,Cartera_Polizas!$B$221+41-49))*(1+(Cartera_Polizas!$P$221-1)*MAX(0,1-41/Supuestos!$C$20))*(1-Supuestos!$C$18)^41))</f>
        <v>2.72450786472062E-014</v>
      </c>
      <c r="AS219" s="29" t="n">
        <f aca="false">AR219*(1-MIN(1,INDEX(Tabla_Mortalidad!$B$5:$B$75,MIN(71,Cartera_Polizas!$B$221+42-49))*(1+(Cartera_Polizas!$P$221-1)*MAX(0,1-42/Supuestos!$C$20))*(1-Supuestos!$C$18)^42))</f>
        <v>5.17227717200928E-015</v>
      </c>
      <c r="AT219" s="29" t="n">
        <f aca="false">AS219*(1-MIN(1,INDEX(Tabla_Mortalidad!$B$5:$B$75,MIN(71,Cartera_Polizas!$B$221+43-49))*(1+(Cartera_Polizas!$P$221-1)*MAX(0,1-43/Supuestos!$C$20))*(1-Supuestos!$C$18)^43))</f>
        <v>1.00287045355446E-015</v>
      </c>
      <c r="AU219" s="29" t="n">
        <f aca="false">AT219*(1-MIN(1,INDEX(Tabla_Mortalidad!$B$5:$B$75,MIN(71,Cartera_Polizas!$B$221+44-49))*(1+(Cartera_Polizas!$P$221-1)*MAX(0,1-44/Supuestos!$C$20))*(1-Supuestos!$C$18)^44))</f>
        <v>1.98492073511144E-016</v>
      </c>
    </row>
    <row r="220" customFormat="false" ht="15" hidden="false" customHeight="false" outlineLevel="0" collapsed="false">
      <c r="A220" s="14" t="n">
        <f aca="false">Cartera_Polizas!A222</f>
        <v>217</v>
      </c>
      <c r="B220" s="26" t="n">
        <f aca="false">SUM(C220:AU220)+0.5</f>
        <v>7.51749858914591</v>
      </c>
      <c r="C220" s="29" t="n">
        <f aca="false">1-MIN(1,INDEX(Tabla_Mortalidad!$B$5:$B$75,MIN(71,Cartera_Polizas!$B$222+0-49))*(1+(Cartera_Polizas!$P$222-1)*MAX(0,1-0/Supuestos!$C$20))*(1-Supuestos!$C$18)^0)</f>
        <v>0.918755850375</v>
      </c>
      <c r="D220" s="29" t="n">
        <f aca="false">C220*(1-MIN(1,INDEX(Tabla_Mortalidad!$B$5:$B$75,MIN(71,Cartera_Polizas!$B$222+1-49))*(1+(Cartera_Polizas!$P$222-1)*MAX(0,1-1/Supuestos!$C$20))*(1-Supuestos!$C$18)^1))</f>
        <v>0.838270245201222</v>
      </c>
      <c r="E220" s="29" t="n">
        <f aca="false">D220*(1-MIN(1,INDEX(Tabla_Mortalidad!$B$5:$B$75,MIN(71,Cartera_Polizas!$B$222+2-49))*(1+(Cartera_Polizas!$P$222-1)*MAX(0,1-2/Supuestos!$C$20))*(1-Supuestos!$C$18)^2))</f>
        <v>0.759173958756345</v>
      </c>
      <c r="F220" s="29" t="n">
        <f aca="false">E220*(1-MIN(1,INDEX(Tabla_Mortalidad!$B$5:$B$75,MIN(71,Cartera_Polizas!$B$222+3-49))*(1+(Cartera_Polizas!$P$222-1)*MAX(0,1-3/Supuestos!$C$20))*(1-Supuestos!$C$18)^3))</f>
        <v>0.682107352354527</v>
      </c>
      <c r="G220" s="29" t="n">
        <f aca="false">F220*(1-MIN(1,INDEX(Tabla_Mortalidad!$B$5:$B$75,MIN(71,Cartera_Polizas!$B$222+4-49))*(1+(Cartera_Polizas!$P$222-1)*MAX(0,1-4/Supuestos!$C$20))*(1-Supuestos!$C$18)^4))</f>
        <v>0.60770256069702</v>
      </c>
      <c r="H220" s="29" t="n">
        <f aca="false">G220*(1-MIN(1,INDEX(Tabla_Mortalidad!$B$5:$B$75,MIN(71,Cartera_Polizas!$B$222+5-49))*(1+(Cartera_Polizas!$P$222-1)*MAX(0,1-5/Supuestos!$C$20))*(1-Supuestos!$C$18)^5))</f>
        <v>0.536568871286089</v>
      </c>
      <c r="I220" s="29" t="n">
        <f aca="false">H220*(1-MIN(1,INDEX(Tabla_Mortalidad!$B$5:$B$75,MIN(71,Cartera_Polizas!$B$222+6-49))*(1+(Cartera_Polizas!$P$222-1)*MAX(0,1-6/Supuestos!$C$20))*(1-Supuestos!$C$18)^6))</f>
        <v>0.469266522132897</v>
      </c>
      <c r="J220" s="29" t="n">
        <f aca="false">I220*(1-MIN(1,INDEX(Tabla_Mortalidad!$B$5:$B$75,MIN(71,Cartera_Polizas!$B$222+7-49))*(1+(Cartera_Polizas!$P$222-1)*MAX(0,1-7/Supuestos!$C$20))*(1-Supuestos!$C$18)^7))</f>
        <v>0.406292123543203</v>
      </c>
      <c r="K220" s="29" t="n">
        <f aca="false">J220*(1-MIN(1,INDEX(Tabla_Mortalidad!$B$5:$B$75,MIN(71,Cartera_Polizas!$B$222+8-49))*(1+(Cartera_Polizas!$P$222-1)*MAX(0,1-8/Supuestos!$C$20))*(1-Supuestos!$C$18)^8))</f>
        <v>0.34805598283344</v>
      </c>
      <c r="L220" s="29" t="n">
        <f aca="false">K220*(1-MIN(1,INDEX(Tabla_Mortalidad!$B$5:$B$75,MIN(71,Cartera_Polizas!$B$222+9-49))*(1+(Cartera_Polizas!$P$222-1)*MAX(0,1-9/Supuestos!$C$20))*(1-Supuestos!$C$18)^9))</f>
        <v>0.294867083849297</v>
      </c>
      <c r="M220" s="29" t="n">
        <f aca="false">L220*(1-MIN(1,INDEX(Tabla_Mortalidad!$B$5:$B$75,MIN(71,Cartera_Polizas!$B$222+10-49))*(1+(Cartera_Polizas!$P$222-1)*MAX(0,1-10/Supuestos!$C$20))*(1-Supuestos!$C$18)^10))</f>
        <v>0.246920639119277</v>
      </c>
      <c r="N220" s="29" t="n">
        <f aca="false">M220*(1-MIN(1,INDEX(Tabla_Mortalidad!$B$5:$B$75,MIN(71,Cartera_Polizas!$B$222+11-49))*(1+(Cartera_Polizas!$P$222-1)*MAX(0,1-11/Supuestos!$C$20))*(1-Supuestos!$C$18)^11))</f>
        <v>0.204291242819285</v>
      </c>
      <c r="O220" s="29" t="n">
        <f aca="false">N220*(1-MIN(1,INDEX(Tabla_Mortalidad!$B$5:$B$75,MIN(71,Cartera_Polizas!$B$222+12-49))*(1+(Cartera_Polizas!$P$222-1)*MAX(0,1-12/Supuestos!$C$20))*(1-Supuestos!$C$18)^12))</f>
        <v>0.166931742007935</v>
      </c>
      <c r="P220" s="29" t="n">
        <f aca="false">O220*(1-MIN(1,INDEX(Tabla_Mortalidad!$B$5:$B$75,MIN(71,Cartera_Polizas!$B$222+13-49))*(1+(Cartera_Polizas!$P$222-1)*MAX(0,1-13/Supuestos!$C$20))*(1-Supuestos!$C$18)^13))</f>
        <v>0.134678076754997</v>
      </c>
      <c r="Q220" s="29" t="n">
        <f aca="false">P220*(1-MIN(1,INDEX(Tabla_Mortalidad!$B$5:$B$75,MIN(71,Cartera_Polizas!$B$222+14-49))*(1+(Cartera_Polizas!$P$222-1)*MAX(0,1-14/Supuestos!$C$20))*(1-Supuestos!$C$18)^14))</f>
        <v>0.107261705009163</v>
      </c>
      <c r="R220" s="29" t="n">
        <f aca="false">Q220*(1-MIN(1,INDEX(Tabla_Mortalidad!$B$5:$B$75,MIN(71,Cartera_Polizas!$B$222+15-49))*(1+(Cartera_Polizas!$P$222-1)*MAX(0,1-15/Supuestos!$C$20))*(1-Supuestos!$C$18)^15))</f>
        <v>0.0843267636395754</v>
      </c>
      <c r="S220" s="29" t="n">
        <f aca="false">R220*(1-MIN(1,INDEX(Tabla_Mortalidad!$B$5:$B$75,MIN(71,Cartera_Polizas!$B$222+16-49))*(1+(Cartera_Polizas!$P$222-1)*MAX(0,1-16/Supuestos!$C$20))*(1-Supuestos!$C$18)^16))</f>
        <v>0.0645887787859983</v>
      </c>
      <c r="T220" s="29" t="n">
        <f aca="false">S220*(1-MIN(1,INDEX(Tabla_Mortalidad!$B$5:$B$75,MIN(71,Cartera_Polizas!$B$222+17-49))*(1+(Cartera_Polizas!$P$222-1)*MAX(0,1-17/Supuestos!$C$20))*(1-Supuestos!$C$18)^17))</f>
        <v>0.0480659139917359</v>
      </c>
      <c r="U220" s="29" t="n">
        <f aca="false">T220*(1-MIN(1,INDEX(Tabla_Mortalidad!$B$5:$B$75,MIN(71,Cartera_Polizas!$B$222+18-49))*(1+(Cartera_Polizas!$P$222-1)*MAX(0,1-18/Supuestos!$C$20))*(1-Supuestos!$C$18)^18))</f>
        <v>0.0346509366261041</v>
      </c>
      <c r="V220" s="29" t="n">
        <f aca="false">U220*(1-MIN(1,INDEX(Tabla_Mortalidad!$B$5:$B$75,MIN(71,Cartera_Polizas!$B$222+19-49))*(1+(Cartera_Polizas!$P$222-1)*MAX(0,1-19/Supuestos!$C$20))*(1-Supuestos!$C$18)^19))</f>
        <v>0.0241203900396736</v>
      </c>
      <c r="W220" s="29" t="n">
        <f aca="false">V220*(1-MIN(1,INDEX(Tabla_Mortalidad!$B$5:$B$75,MIN(71,Cartera_Polizas!$B$222+20-49))*(1+(Cartera_Polizas!$P$222-1)*MAX(0,1-20/Supuestos!$C$20))*(1-Supuestos!$C$18)^20))</f>
        <v>0.0161555532831868</v>
      </c>
      <c r="X220" s="29" t="n">
        <f aca="false">W220*(1-MIN(1,INDEX(Tabla_Mortalidad!$B$5:$B$75,MIN(71,Cartera_Polizas!$B$222+21-49))*(1+(Cartera_Polizas!$P$222-1)*MAX(0,1-21/Supuestos!$C$20))*(1-Supuestos!$C$18)^21))</f>
        <v>0.0103725070739469</v>
      </c>
      <c r="Y220" s="29" t="n">
        <f aca="false">X220*(1-MIN(1,INDEX(Tabla_Mortalidad!$B$5:$B$75,MIN(71,Cartera_Polizas!$B$222+22-49))*(1+(Cartera_Polizas!$P$222-1)*MAX(0,1-22/Supuestos!$C$20))*(1-Supuestos!$C$18)^22))</f>
        <v>0.00635781572966119</v>
      </c>
      <c r="Z220" s="29" t="n">
        <f aca="false">Y220*(1-MIN(1,INDEX(Tabla_Mortalidad!$B$5:$B$75,MIN(71,Cartera_Polizas!$B$222+23-49))*(1+(Cartera_Polizas!$P$222-1)*MAX(0,1-23/Supuestos!$C$20))*(1-Supuestos!$C$18)^23))</f>
        <v>0.0037044321008752</v>
      </c>
      <c r="AA220" s="29" t="n">
        <f aca="false">Z220*(1-MIN(1,INDEX(Tabla_Mortalidad!$B$5:$B$75,MIN(71,Cartera_Polizas!$B$222+24-49))*(1+(Cartera_Polizas!$P$222-1)*MAX(0,1-24/Supuestos!$C$20))*(1-Supuestos!$C$18)^24))</f>
        <v>0.00204246737392654</v>
      </c>
      <c r="AB220" s="29" t="n">
        <f aca="false">AA220*(1-MIN(1,INDEX(Tabla_Mortalidad!$B$5:$B$75,MIN(71,Cartera_Polizas!$B$222+25-49))*(1+(Cartera_Polizas!$P$222-1)*MAX(0,1-25/Supuestos!$C$20))*(1-Supuestos!$C$18)^25))</f>
        <v>0.00106063218506358</v>
      </c>
      <c r="AC220" s="29" t="n">
        <f aca="false">AB220*(1-MIN(1,INDEX(Tabla_Mortalidad!$B$5:$B$75,MIN(71,Cartera_Polizas!$B$222+26-49))*(1+(Cartera_Polizas!$P$222-1)*MAX(0,1-26/Supuestos!$C$20))*(1-Supuestos!$C$18)^26))</f>
        <v>0.000516261131563799</v>
      </c>
      <c r="AD220" s="29" t="n">
        <f aca="false">AC220*(1-MIN(1,INDEX(Tabla_Mortalidad!$B$5:$B$75,MIN(71,Cartera_Polizas!$B$222+27-49))*(1+(Cartera_Polizas!$P$222-1)*MAX(0,1-27/Supuestos!$C$20))*(1-Supuestos!$C$18)^27))</f>
        <v>0.000234424369260911</v>
      </c>
      <c r="AE220" s="29" t="n">
        <f aca="false">AD220*(1-MIN(1,INDEX(Tabla_Mortalidad!$B$5:$B$75,MIN(71,Cartera_Polizas!$B$222+28-49))*(1+(Cartera_Polizas!$P$222-1)*MAX(0,1-28/Supuestos!$C$20))*(1-Supuestos!$C$18)^28))</f>
        <v>9.88530851619814E-005</v>
      </c>
      <c r="AF220" s="29" t="n">
        <f aca="false">AE220*(1-MIN(1,INDEX(Tabla_Mortalidad!$B$5:$B$75,MIN(71,Cartera_Polizas!$B$222+29-49))*(1+(Cartera_Polizas!$P$222-1)*MAX(0,1-29/Supuestos!$C$20))*(1-Supuestos!$C$18)^29))</f>
        <v>3.85519056142016E-005</v>
      </c>
      <c r="AG220" s="29" t="n">
        <f aca="false">AF220*(1-MIN(1,INDEX(Tabla_Mortalidad!$B$5:$B$75,MIN(71,Cartera_Polizas!$B$222+30-49))*(1+(Cartera_Polizas!$P$222-1)*MAX(0,1-30/Supuestos!$C$20))*(1-Supuestos!$C$18)^30))</f>
        <v>1.38580792073433E-005</v>
      </c>
      <c r="AH220" s="29" t="n">
        <f aca="false">AG220*(1-MIN(1,INDEX(Tabla_Mortalidad!$B$5:$B$75,MIN(71,Cartera_Polizas!$B$222+31-49))*(1+(Cartera_Polizas!$P$222-1)*MAX(0,1-31/Supuestos!$C$20))*(1-Supuestos!$C$18)^31))</f>
        <v>4.58115109768964E-006</v>
      </c>
      <c r="AI220" s="29" t="n">
        <f aca="false">AH220*(1-MIN(1,INDEX(Tabla_Mortalidad!$B$5:$B$75,MIN(71,Cartera_Polizas!$B$222+32-49))*(1+(Cartera_Polizas!$P$222-1)*MAX(0,1-32/Supuestos!$C$20))*(1-Supuestos!$C$18)^32))</f>
        <v>1.39165703319033E-006</v>
      </c>
      <c r="AJ220" s="29" t="n">
        <f aca="false">AI220*(1-MIN(1,INDEX(Tabla_Mortalidad!$B$5:$B$75,MIN(71,Cartera_Polizas!$B$222+33-49))*(1+(Cartera_Polizas!$P$222-1)*MAX(0,1-33/Supuestos!$C$20))*(1-Supuestos!$C$18)^33))</f>
        <v>3.88955768688525E-007</v>
      </c>
      <c r="AK220" s="29" t="n">
        <f aca="false">AJ220*(1-MIN(1,INDEX(Tabla_Mortalidad!$B$5:$B$75,MIN(71,Cartera_Polizas!$B$222+34-49))*(1+(Cartera_Polizas!$P$222-1)*MAX(0,1-34/Supuestos!$C$20))*(1-Supuestos!$C$18)^34))</f>
        <v>1.00375292661764E-007</v>
      </c>
      <c r="AL220" s="29" t="n">
        <f aca="false">AK220*(1-MIN(1,INDEX(Tabla_Mortalidad!$B$5:$B$75,MIN(71,Cartera_Polizas!$B$222+35-49))*(1+(Cartera_Polizas!$P$222-1)*MAX(0,1-35/Supuestos!$C$20))*(1-Supuestos!$C$18)^35))</f>
        <v>2.40650243230405E-008</v>
      </c>
      <c r="AM220" s="29" t="n">
        <f aca="false">AL220*(1-MIN(1,INDEX(Tabla_Mortalidad!$B$5:$B$75,MIN(71,Cartera_Polizas!$B$222+36-49))*(1+(Cartera_Polizas!$P$222-1)*MAX(0,1-36/Supuestos!$C$20))*(1-Supuestos!$C$18)^36))</f>
        <v>5.40722622155601E-009</v>
      </c>
      <c r="AN220" s="29" t="n">
        <f aca="false">AM220*(1-MIN(1,INDEX(Tabla_Mortalidad!$B$5:$B$75,MIN(71,Cartera_Polizas!$B$222+37-49))*(1+(Cartera_Polizas!$P$222-1)*MAX(0,1-37/Supuestos!$C$20))*(1-Supuestos!$C$18)^37))</f>
        <v>1.15118415083368E-009</v>
      </c>
      <c r="AO220" s="29" t="n">
        <f aca="false">AN220*(1-MIN(1,INDEX(Tabla_Mortalidad!$B$5:$B$75,MIN(71,Cartera_Polizas!$B$222+38-49))*(1+(Cartera_Polizas!$P$222-1)*MAX(0,1-38/Supuestos!$C$20))*(1-Supuestos!$C$18)^38))</f>
        <v>1.9965549890105E-010</v>
      </c>
      <c r="AP220" s="29" t="n">
        <f aca="false">AO220*(1-MIN(1,INDEX(Tabla_Mortalidad!$B$5:$B$75,MIN(71,Cartera_Polizas!$B$222+39-49))*(1+(Cartera_Polizas!$P$222-1)*MAX(0,1-39/Supuestos!$C$20))*(1-Supuestos!$C$18)^39))</f>
        <v>3.54523712391911E-011</v>
      </c>
      <c r="AQ220" s="29" t="n">
        <f aca="false">AP220*(1-MIN(1,INDEX(Tabla_Mortalidad!$B$5:$B$75,MIN(71,Cartera_Polizas!$B$222+40-49))*(1+(Cartera_Polizas!$P$222-1)*MAX(0,1-40/Supuestos!$C$20))*(1-Supuestos!$C$18)^40))</f>
        <v>6.44098251619547E-012</v>
      </c>
      <c r="AR220" s="29" t="n">
        <f aca="false">AQ220*(1-MIN(1,INDEX(Tabla_Mortalidad!$B$5:$B$75,MIN(71,Cartera_Polizas!$B$222+41-49))*(1+(Cartera_Polizas!$P$222-1)*MAX(0,1-41/Supuestos!$C$20))*(1-Supuestos!$C$18)^41))</f>
        <v>1.19655085199825E-012</v>
      </c>
      <c r="AS220" s="29" t="n">
        <f aca="false">AR220*(1-MIN(1,INDEX(Tabla_Mortalidad!$B$5:$B$75,MIN(71,Cartera_Polizas!$B$222+42-49))*(1+(Cartera_Polizas!$P$222-1)*MAX(0,1-42/Supuestos!$C$20))*(1-Supuestos!$C$18)^42))</f>
        <v>2.27156351320478E-013</v>
      </c>
      <c r="AT220" s="29" t="n">
        <f aca="false">AS220*(1-MIN(1,INDEX(Tabla_Mortalidad!$B$5:$B$75,MIN(71,Cartera_Polizas!$B$222+43-49))*(1+(Cartera_Polizas!$P$222-1)*MAX(0,1-43/Supuestos!$C$20))*(1-Supuestos!$C$18)^43))</f>
        <v>4.40441193502489E-014</v>
      </c>
      <c r="AU220" s="29" t="n">
        <f aca="false">AT220*(1-MIN(1,INDEX(Tabla_Mortalidad!$B$5:$B$75,MIN(71,Cartera_Polizas!$B$222+44-49))*(1+(Cartera_Polizas!$P$222-1)*MAX(0,1-44/Supuestos!$C$20))*(1-Supuestos!$C$18)^44))</f>
        <v>8.71738572496337E-015</v>
      </c>
    </row>
    <row r="221" customFormat="false" ht="15" hidden="false" customHeight="false" outlineLevel="0" collapsed="false">
      <c r="A221" s="14" t="n">
        <f aca="false">Cartera_Polizas!A223</f>
        <v>218</v>
      </c>
      <c r="B221" s="26" t="n">
        <f aca="false">SUM(C221:AU221)+0.5</f>
        <v>8.01443233035714</v>
      </c>
      <c r="C221" s="29" t="n">
        <f aca="false">1-MIN(1,INDEX(Tabla_Mortalidad!$B$5:$B$75,MIN(71,Cartera_Polizas!$B$223+0-49))*(1+(Cartera_Polizas!$P$223-1)*MAX(0,1-0/Supuestos!$C$20))*(1-Supuestos!$C$18)^0)</f>
        <v>0.93221006625</v>
      </c>
      <c r="D221" s="29" t="n">
        <f aca="false">C221*(1-MIN(1,INDEX(Tabla_Mortalidad!$B$5:$B$75,MIN(71,Cartera_Polizas!$B$223+1-49))*(1+(Cartera_Polizas!$P$223-1)*MAX(0,1-1/Supuestos!$C$20))*(1-Supuestos!$C$18)^1))</f>
        <v>0.863152579154107</v>
      </c>
      <c r="E221" s="29" t="n">
        <f aca="false">D221*(1-MIN(1,INDEX(Tabla_Mortalidad!$B$5:$B$75,MIN(71,Cartera_Polizas!$B$223+2-49))*(1+(Cartera_Polizas!$P$223-1)*MAX(0,1-2/Supuestos!$C$20))*(1-Supuestos!$C$18)^2))</f>
        <v>0.793316810531458</v>
      </c>
      <c r="F221" s="29" t="n">
        <f aca="false">E221*(1-MIN(1,INDEX(Tabla_Mortalidad!$B$5:$B$75,MIN(71,Cartera_Polizas!$B$223+3-49))*(1+(Cartera_Polizas!$P$223-1)*MAX(0,1-3/Supuestos!$C$20))*(1-Supuestos!$C$18)^3))</f>
        <v>0.723255059640744</v>
      </c>
      <c r="G221" s="29" t="n">
        <f aca="false">F221*(1-MIN(1,INDEX(Tabla_Mortalidad!$B$5:$B$75,MIN(71,Cartera_Polizas!$B$223+4-49))*(1+(Cartera_Polizas!$P$223-1)*MAX(0,1-4/Supuestos!$C$20))*(1-Supuestos!$C$18)^4))</f>
        <v>0.653579217659217</v>
      </c>
      <c r="H221" s="29" t="n">
        <f aca="false">G221*(1-MIN(1,INDEX(Tabla_Mortalidad!$B$5:$B$75,MIN(71,Cartera_Polizas!$B$223+5-49))*(1+(Cartera_Polizas!$P$223-1)*MAX(0,1-5/Supuestos!$C$20))*(1-Supuestos!$C$18)^5))</f>
        <v>0.584943438966295</v>
      </c>
      <c r="I221" s="29" t="n">
        <f aca="false">H221*(1-MIN(1,INDEX(Tabla_Mortalidad!$B$5:$B$75,MIN(71,Cartera_Polizas!$B$223+6-49))*(1+(Cartera_Polizas!$P$223-1)*MAX(0,1-6/Supuestos!$C$20))*(1-Supuestos!$C$18)^6))</f>
        <v>0.51803342103429</v>
      </c>
      <c r="J221" s="29" t="n">
        <f aca="false">I221*(1-MIN(1,INDEX(Tabla_Mortalidad!$B$5:$B$75,MIN(71,Cartera_Polizas!$B$223+7-49))*(1+(Cartera_Polizas!$P$223-1)*MAX(0,1-7/Supuestos!$C$20))*(1-Supuestos!$C$18)^7))</f>
        <v>0.453542300390698</v>
      </c>
      <c r="K221" s="29" t="n">
        <f aca="false">J221*(1-MIN(1,INDEX(Tabla_Mortalidad!$B$5:$B$75,MIN(71,Cartera_Polizas!$B$223+8-49))*(1+(Cartera_Polizas!$P$223-1)*MAX(0,1-8/Supuestos!$C$20))*(1-Supuestos!$C$18)^8))</f>
        <v>0.392147546380369</v>
      </c>
      <c r="L221" s="29" t="n">
        <f aca="false">K221*(1-MIN(1,INDEX(Tabla_Mortalidad!$B$5:$B$75,MIN(71,Cartera_Polizas!$B$223+9-49))*(1+(Cartera_Polizas!$P$223-1)*MAX(0,1-9/Supuestos!$C$20))*(1-Supuestos!$C$18)^9))</f>
        <v>0.334483518176038</v>
      </c>
      <c r="M221" s="29" t="n">
        <f aca="false">L221*(1-MIN(1,INDEX(Tabla_Mortalidad!$B$5:$B$75,MIN(71,Cartera_Polizas!$B$223+10-49))*(1+(Cartera_Polizas!$P$223-1)*MAX(0,1-10/Supuestos!$C$20))*(1-Supuestos!$C$18)^10))</f>
        <v>0.281113024766323</v>
      </c>
      <c r="N221" s="29" t="n">
        <f aca="false">M221*(1-MIN(1,INDEX(Tabla_Mortalidad!$B$5:$B$75,MIN(71,Cartera_Polizas!$B$223+11-49))*(1+(Cartera_Polizas!$P$223-1)*MAX(0,1-11/Supuestos!$C$20))*(1-Supuestos!$C$18)^11))</f>
        <v>0.232499013522498</v>
      </c>
      <c r="O221" s="29" t="n">
        <f aca="false">N221*(1-MIN(1,INDEX(Tabla_Mortalidad!$B$5:$B$75,MIN(71,Cartera_Polizas!$B$223+12-49))*(1+(Cartera_Polizas!$P$223-1)*MAX(0,1-12/Supuestos!$C$20))*(1-Supuestos!$C$18)^12))</f>
        <v>0.188978452344876</v>
      </c>
      <c r="P221" s="29" t="n">
        <f aca="false">O221*(1-MIN(1,INDEX(Tabla_Mortalidad!$B$5:$B$75,MIN(71,Cartera_Polizas!$B$223+13-49))*(1+(Cartera_Polizas!$P$223-1)*MAX(0,1-13/Supuestos!$C$20))*(1-Supuestos!$C$18)^13))</f>
        <v>0.150743340647496</v>
      </c>
      <c r="Q221" s="29" t="n">
        <f aca="false">P221*(1-MIN(1,INDEX(Tabla_Mortalidad!$B$5:$B$75,MIN(71,Cartera_Polizas!$B$223+14-49))*(1+(Cartera_Polizas!$P$223-1)*MAX(0,1-14/Supuestos!$C$20))*(1-Supuestos!$C$18)^14))</f>
        <v>0.117828753203377</v>
      </c>
      <c r="R221" s="29" t="n">
        <f aca="false">Q221*(1-MIN(1,INDEX(Tabla_Mortalidad!$B$5:$B$75,MIN(71,Cartera_Polizas!$B$223+15-49))*(1+(Cartera_Polizas!$P$223-1)*MAX(0,1-15/Supuestos!$C$20))*(1-Supuestos!$C$18)^15))</f>
        <v>0.0901105177272476</v>
      </c>
      <c r="S221" s="29" t="n">
        <f aca="false">R221*(1-MIN(1,INDEX(Tabla_Mortalidad!$B$5:$B$75,MIN(71,Cartera_Polizas!$B$223+16-49))*(1+(Cartera_Polizas!$P$223-1)*MAX(0,1-16/Supuestos!$C$20))*(1-Supuestos!$C$18)^16))</f>
        <v>0.066942937263245</v>
      </c>
      <c r="T221" s="29" t="n">
        <f aca="false">S221*(1-MIN(1,INDEX(Tabla_Mortalidad!$B$5:$B$75,MIN(71,Cartera_Polizas!$B$223+17-49))*(1+(Cartera_Polizas!$P$223-1)*MAX(0,1-17/Supuestos!$C$20))*(1-Supuestos!$C$18)^17))</f>
        <v>0.0481655820247709</v>
      </c>
      <c r="U221" s="29" t="n">
        <f aca="false">T221*(1-MIN(1,INDEX(Tabla_Mortalidad!$B$5:$B$75,MIN(71,Cartera_Polizas!$B$223+18-49))*(1+(Cartera_Polizas!$P$223-1)*MAX(0,1-18/Supuestos!$C$20))*(1-Supuestos!$C$18)^18))</f>
        <v>0.0334543289244808</v>
      </c>
      <c r="V221" s="29" t="n">
        <f aca="false">U221*(1-MIN(1,INDEX(Tabla_Mortalidad!$B$5:$B$75,MIN(71,Cartera_Polizas!$B$223+19-49))*(1+(Cartera_Polizas!$P$223-1)*MAX(0,1-19/Supuestos!$C$20))*(1-Supuestos!$C$18)^19))</f>
        <v>0.0223518030318393</v>
      </c>
      <c r="W221" s="29" t="n">
        <f aca="false">V221*(1-MIN(1,INDEX(Tabla_Mortalidad!$B$5:$B$75,MIN(71,Cartera_Polizas!$B$223+20-49))*(1+(Cartera_Polizas!$P$223-1)*MAX(0,1-20/Supuestos!$C$20))*(1-Supuestos!$C$18)^20))</f>
        <v>0.0143105392730953</v>
      </c>
      <c r="X221" s="29" t="n">
        <f aca="false">W221*(1-MIN(1,INDEX(Tabla_Mortalidad!$B$5:$B$75,MIN(71,Cartera_Polizas!$B$223+21-49))*(1+(Cartera_Polizas!$P$223-1)*MAX(0,1-21/Supuestos!$C$20))*(1-Supuestos!$C$18)^21))</f>
        <v>0.00874379410160849</v>
      </c>
      <c r="Y221" s="29" t="n">
        <f aca="false">X221*(1-MIN(1,INDEX(Tabla_Mortalidad!$B$5:$B$75,MIN(71,Cartera_Polizas!$B$223+22-49))*(1+(Cartera_Polizas!$P$223-1)*MAX(0,1-22/Supuestos!$C$20))*(1-Supuestos!$C$18)^22))</f>
        <v>0.0050763040003822</v>
      </c>
      <c r="Z221" s="29" t="n">
        <f aca="false">Y221*(1-MIN(1,INDEX(Tabla_Mortalidad!$B$5:$B$75,MIN(71,Cartera_Polizas!$B$223+23-49))*(1+(Cartera_Polizas!$P$223-1)*MAX(0,1-23/Supuestos!$C$20))*(1-Supuestos!$C$18)^23))</f>
        <v>0.00278741514297978</v>
      </c>
      <c r="AA221" s="29" t="n">
        <f aca="false">Z221*(1-MIN(1,INDEX(Tabla_Mortalidad!$B$5:$B$75,MIN(71,Cartera_Polizas!$B$223+24-49))*(1+(Cartera_Polizas!$P$223-1)*MAX(0,1-24/Supuestos!$C$20))*(1-Supuestos!$C$18)^24))</f>
        <v>0.00144074249439803</v>
      </c>
      <c r="AB221" s="29" t="n">
        <f aca="false">AA221*(1-MIN(1,INDEX(Tabla_Mortalidad!$B$5:$B$75,MIN(71,Cartera_Polizas!$B$223+25-49))*(1+(Cartera_Polizas!$P$223-1)*MAX(0,1-25/Supuestos!$C$20))*(1-Supuestos!$C$18)^25))</f>
        <v>0.000697563361105659</v>
      </c>
      <c r="AC221" s="29" t="n">
        <f aca="false">AB221*(1-MIN(1,INDEX(Tabla_Mortalidad!$B$5:$B$75,MIN(71,Cartera_Polizas!$B$223+26-49))*(1+(Cartera_Polizas!$P$223-1)*MAX(0,1-26/Supuestos!$C$20))*(1-Supuestos!$C$18)^26))</f>
        <v>0.000314836632742526</v>
      </c>
      <c r="AD221" s="29" t="n">
        <f aca="false">AC221*(1-MIN(1,INDEX(Tabla_Mortalidad!$B$5:$B$75,MIN(71,Cartera_Polizas!$B$223+27-49))*(1+(Cartera_Polizas!$P$223-1)*MAX(0,1-27/Supuestos!$C$20))*(1-Supuestos!$C$18)^27))</f>
        <v>0.000131846727798894</v>
      </c>
      <c r="AE221" s="29" t="n">
        <f aca="false">AD221*(1-MIN(1,INDEX(Tabla_Mortalidad!$B$5:$B$75,MIN(71,Cartera_Polizas!$B$223+28-49))*(1+(Cartera_Polizas!$P$223-1)*MAX(0,1-28/Supuestos!$C$20))*(1-Supuestos!$C$18)^28))</f>
        <v>5.10150014004473E-005</v>
      </c>
      <c r="AF221" s="29" t="n">
        <f aca="false">AE221*(1-MIN(1,INDEX(Tabla_Mortalidad!$B$5:$B$75,MIN(71,Cartera_Polizas!$B$223+29-49))*(1+(Cartera_Polizas!$P$223-1)*MAX(0,1-29/Supuestos!$C$20))*(1-Supuestos!$C$18)^29))</f>
        <v>1.81739265261615E-005</v>
      </c>
      <c r="AG221" s="29" t="n">
        <f aca="false">AF221*(1-MIN(1,INDEX(Tabla_Mortalidad!$B$5:$B$75,MIN(71,Cartera_Polizas!$B$223+30-49))*(1+(Cartera_Polizas!$P$223-1)*MAX(0,1-30/Supuestos!$C$20))*(1-Supuestos!$C$18)^30))</f>
        <v>5.94673150849036E-006</v>
      </c>
      <c r="AH221" s="29" t="n">
        <f aca="false">AG221*(1-MIN(1,INDEX(Tabla_Mortalidad!$B$5:$B$75,MIN(71,Cartera_Polizas!$B$223+31-49))*(1+(Cartera_Polizas!$P$223-1)*MAX(0,1-31/Supuestos!$C$20))*(1-Supuestos!$C$18)^31))</f>
        <v>1.78568631991748E-006</v>
      </c>
      <c r="AI221" s="29" t="n">
        <f aca="false">AH221*(1-MIN(1,INDEX(Tabla_Mortalidad!$B$5:$B$75,MIN(71,Cartera_Polizas!$B$223+32-49))*(1+(Cartera_Polizas!$P$223-1)*MAX(0,1-32/Supuestos!$C$20))*(1-Supuestos!$C$18)^32))</f>
        <v>4.92618110287444E-007</v>
      </c>
      <c r="AJ221" s="29" t="n">
        <f aca="false">AI221*(1-MIN(1,INDEX(Tabla_Mortalidad!$B$5:$B$75,MIN(71,Cartera_Polizas!$B$223+33-49))*(1+(Cartera_Polizas!$P$223-1)*MAX(0,1-33/Supuestos!$C$20))*(1-Supuestos!$C$18)^33))</f>
        <v>1.25290120911588E-007</v>
      </c>
      <c r="AK221" s="29" t="n">
        <f aca="false">AJ221*(1-MIN(1,INDEX(Tabla_Mortalidad!$B$5:$B$75,MIN(71,Cartera_Polizas!$B$223+34-49))*(1+(Cartera_Polizas!$P$223-1)*MAX(0,1-34/Supuestos!$C$20))*(1-Supuestos!$C$18)^34))</f>
        <v>2.95597142540626E-008</v>
      </c>
      <c r="AL221" s="29" t="n">
        <f aca="false">AK221*(1-MIN(1,INDEX(Tabla_Mortalidad!$B$5:$B$75,MIN(71,Cartera_Polizas!$B$223+35-49))*(1+(Cartera_Polizas!$P$223-1)*MAX(0,1-35/Supuestos!$C$20))*(1-Supuestos!$C$18)^35))</f>
        <v>6.52667567419002E-009</v>
      </c>
      <c r="AM221" s="29" t="n">
        <f aca="false">AL221*(1-MIN(1,INDEX(Tabla_Mortalidad!$B$5:$B$75,MIN(71,Cartera_Polizas!$B$223+36-49))*(1+(Cartera_Polizas!$P$223-1)*MAX(0,1-36/Supuestos!$C$20))*(1-Supuestos!$C$18)^36))</f>
        <v>1.36369708340968E-009</v>
      </c>
      <c r="AN221" s="29" t="n">
        <f aca="false">AM221*(1-MIN(1,INDEX(Tabla_Mortalidad!$B$5:$B$75,MIN(71,Cartera_Polizas!$B$223+37-49))*(1+(Cartera_Polizas!$P$223-1)*MAX(0,1-37/Supuestos!$C$20))*(1-Supuestos!$C$18)^37))</f>
        <v>2.30848413064619E-010</v>
      </c>
      <c r="AO221" s="29" t="n">
        <f aca="false">AN221*(1-MIN(1,INDEX(Tabla_Mortalidad!$B$5:$B$75,MIN(71,Cartera_Polizas!$B$223+38-49))*(1+(Cartera_Polizas!$P$223-1)*MAX(0,1-38/Supuestos!$C$20))*(1-Supuestos!$C$18)^38))</f>
        <v>4.00371695940689E-011</v>
      </c>
      <c r="AP221" s="29" t="n">
        <f aca="false">AO221*(1-MIN(1,INDEX(Tabla_Mortalidad!$B$5:$B$75,MIN(71,Cartera_Polizas!$B$223+39-49))*(1+(Cartera_Polizas!$P$223-1)*MAX(0,1-39/Supuestos!$C$20))*(1-Supuestos!$C$18)^39))</f>
        <v>7.1093088225877E-012</v>
      </c>
      <c r="AQ221" s="29" t="n">
        <f aca="false">AP221*(1-MIN(1,INDEX(Tabla_Mortalidad!$B$5:$B$75,MIN(71,Cartera_Polizas!$B$223+40-49))*(1+(Cartera_Polizas!$P$223-1)*MAX(0,1-40/Supuestos!$C$20))*(1-Supuestos!$C$18)^40))</f>
        <v>1.29161836650017E-012</v>
      </c>
      <c r="AR221" s="29" t="n">
        <f aca="false">AQ221*(1-MIN(1,INDEX(Tabla_Mortalidad!$B$5:$B$75,MIN(71,Cartera_Polizas!$B$223+41-49))*(1+(Cartera_Polizas!$P$223-1)*MAX(0,1-41/Supuestos!$C$20))*(1-Supuestos!$C$18)^41))</f>
        <v>2.39945855000589E-013</v>
      </c>
      <c r="AS221" s="29" t="n">
        <f aca="false">AR221*(1-MIN(1,INDEX(Tabla_Mortalidad!$B$5:$B$75,MIN(71,Cartera_Polizas!$B$223+42-49))*(1+(Cartera_Polizas!$P$223-1)*MAX(0,1-42/Supuestos!$C$20))*(1-Supuestos!$C$18)^42))</f>
        <v>4.55519502956201E-014</v>
      </c>
      <c r="AT221" s="29" t="n">
        <f aca="false">AS221*(1-MIN(1,INDEX(Tabla_Mortalidad!$B$5:$B$75,MIN(71,Cartera_Polizas!$B$223+43-49))*(1+(Cartera_Polizas!$P$223-1)*MAX(0,1-43/Supuestos!$C$20))*(1-Supuestos!$C$18)^43))</f>
        <v>8.83222293276917E-015</v>
      </c>
      <c r="AU221" s="29" t="n">
        <f aca="false">AT221*(1-MIN(1,INDEX(Tabla_Mortalidad!$B$5:$B$75,MIN(71,Cartera_Polizas!$B$223+44-49))*(1+(Cartera_Polizas!$P$223-1)*MAX(0,1-44/Supuestos!$C$20))*(1-Supuestos!$C$18)^44))</f>
        <v>1.74810837972586E-015</v>
      </c>
    </row>
    <row r="222" customFormat="false" ht="15" hidden="false" customHeight="false" outlineLevel="0" collapsed="false">
      <c r="A222" s="14" t="n">
        <f aca="false">Cartera_Polizas!A224</f>
        <v>219</v>
      </c>
      <c r="B222" s="26" t="n">
        <f aca="false">SUM(C222:AU222)+0.5</f>
        <v>11.4561372123393</v>
      </c>
      <c r="C222" s="29" t="n">
        <f aca="false">1-MIN(1,INDEX(Tabla_Mortalidad!$B$5:$B$75,MIN(71,Cartera_Polizas!$B$224+0-49))*(1+(Cartera_Polizas!$P$224-1)*MAX(0,1-0/Supuestos!$C$20))*(1-Supuestos!$C$18)^0)</f>
        <v>0.9679314675</v>
      </c>
      <c r="D222" s="29" t="n">
        <f aca="false">C222*(1-MIN(1,INDEX(Tabla_Mortalidad!$B$5:$B$75,MIN(71,Cartera_Polizas!$B$224+1-49))*(1+(Cartera_Polizas!$P$224-1)*MAX(0,1-1/Supuestos!$C$20))*(1-Supuestos!$C$18)^1))</f>
        <v>0.933279387572864</v>
      </c>
      <c r="E222" s="29" t="n">
        <f aca="false">D222*(1-MIN(1,INDEX(Tabla_Mortalidad!$B$5:$B$75,MIN(71,Cartera_Polizas!$B$224+2-49))*(1+(Cartera_Polizas!$P$224-1)*MAX(0,1-2/Supuestos!$C$20))*(1-Supuestos!$C$18)^2))</f>
        <v>0.895991513574725</v>
      </c>
      <c r="F222" s="29" t="n">
        <f aca="false">E222*(1-MIN(1,INDEX(Tabla_Mortalidad!$B$5:$B$75,MIN(71,Cartera_Polizas!$B$224+3-49))*(1+(Cartera_Polizas!$P$224-1)*MAX(0,1-3/Supuestos!$C$20))*(1-Supuestos!$C$18)^3))</f>
        <v>0.856052276487566</v>
      </c>
      <c r="G222" s="29" t="n">
        <f aca="false">F222*(1-MIN(1,INDEX(Tabla_Mortalidad!$B$5:$B$75,MIN(71,Cartera_Polizas!$B$224+4-49))*(1+(Cartera_Polizas!$P$224-1)*MAX(0,1-4/Supuestos!$C$20))*(1-Supuestos!$C$18)^4))</f>
        <v>0.81349343294379</v>
      </c>
      <c r="H222" s="29" t="n">
        <f aca="false">G222*(1-MIN(1,INDEX(Tabla_Mortalidad!$B$5:$B$75,MIN(71,Cartera_Polizas!$B$224+5-49))*(1+(Cartera_Polizas!$P$224-1)*MAX(0,1-5/Supuestos!$C$20))*(1-Supuestos!$C$18)^5))</f>
        <v>0.768405201861164</v>
      </c>
      <c r="I222" s="29" t="n">
        <f aca="false">H222*(1-MIN(1,INDEX(Tabla_Mortalidad!$B$5:$B$75,MIN(71,Cartera_Polizas!$B$224+6-49))*(1+(Cartera_Polizas!$P$224-1)*MAX(0,1-6/Supuestos!$C$20))*(1-Supuestos!$C$18)^6))</f>
        <v>0.720944479263256</v>
      </c>
      <c r="J222" s="29" t="n">
        <f aca="false">I222*(1-MIN(1,INDEX(Tabla_Mortalidad!$B$5:$B$75,MIN(71,Cartera_Polizas!$B$224+7-49))*(1+(Cartera_Polizas!$P$224-1)*MAX(0,1-7/Supuestos!$C$20))*(1-Supuestos!$C$18)^7))</f>
        <v>0.671343827315975</v>
      </c>
      <c r="K222" s="29" t="n">
        <f aca="false">J222*(1-MIN(1,INDEX(Tabla_Mortalidad!$B$5:$B$75,MIN(71,Cartera_Polizas!$B$224+8-49))*(1+(Cartera_Polizas!$P$224-1)*MAX(0,1-8/Supuestos!$C$20))*(1-Supuestos!$C$18)^8))</f>
        <v>0.619922549936489</v>
      </c>
      <c r="L222" s="29" t="n">
        <f aca="false">K222*(1-MIN(1,INDEX(Tabla_Mortalidad!$B$5:$B$75,MIN(71,Cartera_Polizas!$B$224+9-49))*(1+(Cartera_Polizas!$P$224-1)*MAX(0,1-9/Supuestos!$C$20))*(1-Supuestos!$C$18)^9))</f>
        <v>0.567088542263507</v>
      </c>
      <c r="M222" s="29" t="n">
        <f aca="false">L222*(1-MIN(1,INDEX(Tabla_Mortalidad!$B$5:$B$75,MIN(71,Cartera_Polizas!$B$224+10-49))*(1+(Cartera_Polizas!$P$224-1)*MAX(0,1-10/Supuestos!$C$20))*(1-Supuestos!$C$18)^10))</f>
        <v>0.513344301901718</v>
      </c>
      <c r="N222" s="29" t="n">
        <f aca="false">M222*(1-MIN(1,INDEX(Tabla_Mortalidad!$B$5:$B$75,MIN(71,Cartera_Polizas!$B$224+11-49))*(1+(Cartera_Polizas!$P$224-1)*MAX(0,1-11/Supuestos!$C$20))*(1-Supuestos!$C$18)^11))</f>
        <v>0.459281243996209</v>
      </c>
      <c r="O222" s="29" t="n">
        <f aca="false">N222*(1-MIN(1,INDEX(Tabla_Mortalidad!$B$5:$B$75,MIN(71,Cartera_Polizas!$B$224+12-49))*(1+(Cartera_Polizas!$P$224-1)*MAX(0,1-12/Supuestos!$C$20))*(1-Supuestos!$C$18)^12))</f>
        <v>0.405571080314403</v>
      </c>
      <c r="P222" s="29" t="n">
        <f aca="false">O222*(1-MIN(1,INDEX(Tabla_Mortalidad!$B$5:$B$75,MIN(71,Cartera_Polizas!$B$224+13-49))*(1+(Cartera_Polizas!$P$224-1)*MAX(0,1-13/Supuestos!$C$20))*(1-Supuestos!$C$18)^13))</f>
        <v>0.352948419185739</v>
      </c>
      <c r="Q222" s="29" t="n">
        <f aca="false">P222*(1-MIN(1,INDEX(Tabla_Mortalidad!$B$5:$B$75,MIN(71,Cartera_Polizas!$B$224+14-49))*(1+(Cartera_Polizas!$P$224-1)*MAX(0,1-14/Supuestos!$C$20))*(1-Supuestos!$C$18)^14))</f>
        <v>0.302185273148596</v>
      </c>
      <c r="R222" s="29" t="n">
        <f aca="false">Q222*(1-MIN(1,INDEX(Tabla_Mortalidad!$B$5:$B$75,MIN(71,Cartera_Polizas!$B$224+15-49))*(1+(Cartera_Polizas!$P$224-1)*MAX(0,1-15/Supuestos!$C$20))*(1-Supuestos!$C$18)^15))</f>
        <v>0.254056759625324</v>
      </c>
      <c r="S222" s="29" t="n">
        <f aca="false">R222*(1-MIN(1,INDEX(Tabla_Mortalidad!$B$5:$B$75,MIN(71,Cartera_Polizas!$B$224+16-49))*(1+(Cartera_Polizas!$P$224-1)*MAX(0,1-16/Supuestos!$C$20))*(1-Supuestos!$C$18)^16))</f>
        <v>0.209587748347585</v>
      </c>
      <c r="T222" s="29" t="n">
        <f aca="false">S222*(1-MIN(1,INDEX(Tabla_Mortalidad!$B$5:$B$75,MIN(71,Cartera_Polizas!$B$224+17-49))*(1+(Cartera_Polizas!$P$224-1)*MAX(0,1-17/Supuestos!$C$20))*(1-Supuestos!$C$18)^17))</f>
        <v>0.169318271036191</v>
      </c>
      <c r="U222" s="29" t="n">
        <f aca="false">T222*(1-MIN(1,INDEX(Tabla_Mortalidad!$B$5:$B$75,MIN(71,Cartera_Polizas!$B$224+18-49))*(1+(Cartera_Polizas!$P$224-1)*MAX(0,1-18/Supuestos!$C$20))*(1-Supuestos!$C$18)^18))</f>
        <v>0.133654603263649</v>
      </c>
      <c r="V222" s="29" t="n">
        <f aca="false">U222*(1-MIN(1,INDEX(Tabla_Mortalidad!$B$5:$B$75,MIN(71,Cartera_Polizas!$B$224+19-49))*(1+(Cartera_Polizas!$P$224-1)*MAX(0,1-19/Supuestos!$C$20))*(1-Supuestos!$C$18)^19))</f>
        <v>0.102837590249909</v>
      </c>
      <c r="W222" s="29" t="n">
        <f aca="false">V222*(1-MIN(1,INDEX(Tabla_Mortalidad!$B$5:$B$75,MIN(71,Cartera_Polizas!$B$224+20-49))*(1+(Cartera_Polizas!$P$224-1)*MAX(0,1-20/Supuestos!$C$20))*(1-Supuestos!$C$18)^20))</f>
        <v>0.0769226978737219</v>
      </c>
      <c r="X222" s="29" t="n">
        <f aca="false">W222*(1-MIN(1,INDEX(Tabla_Mortalidad!$B$5:$B$75,MIN(71,Cartera_Polizas!$B$224+21-49))*(1+(Cartera_Polizas!$P$224-1)*MAX(0,1-21/Supuestos!$C$20))*(1-Supuestos!$C$18)^21))</f>
        <v>0.0557743478804152</v>
      </c>
      <c r="Y222" s="29" t="n">
        <f aca="false">X222*(1-MIN(1,INDEX(Tabla_Mortalidad!$B$5:$B$75,MIN(71,Cartera_Polizas!$B$224+22-49))*(1+(Cartera_Polizas!$P$224-1)*MAX(0,1-22/Supuestos!$C$20))*(1-Supuestos!$C$18)^22))</f>
        <v>0.0390773005233389</v>
      </c>
      <c r="Z222" s="29" t="n">
        <f aca="false">Y222*(1-MIN(1,INDEX(Tabla_Mortalidad!$B$5:$B$75,MIN(71,Cartera_Polizas!$B$224+23-49))*(1+(Cartera_Polizas!$P$224-1)*MAX(0,1-23/Supuestos!$C$20))*(1-Supuestos!$C$18)^23))</f>
        <v>0.026366106439271</v>
      </c>
      <c r="AA222" s="29" t="n">
        <f aca="false">Z222*(1-MIN(1,INDEX(Tabla_Mortalidad!$B$5:$B$75,MIN(71,Cartera_Polizas!$B$224+24-49))*(1+(Cartera_Polizas!$P$224-1)*MAX(0,1-24/Supuestos!$C$20))*(1-Supuestos!$C$18)^24))</f>
        <v>0.0170689514761379</v>
      </c>
      <c r="AB222" s="29" t="n">
        <f aca="false">AA222*(1-MIN(1,INDEX(Tabla_Mortalidad!$B$5:$B$75,MIN(71,Cartera_Polizas!$B$224+25-49))*(1+(Cartera_Polizas!$P$224-1)*MAX(0,1-25/Supuestos!$C$20))*(1-Supuestos!$C$18)^25))</f>
        <v>0.0105609969751777</v>
      </c>
      <c r="AC222" s="29" t="n">
        <f aca="false">AB222*(1-MIN(1,INDEX(Tabla_Mortalidad!$B$5:$B$75,MIN(71,Cartera_Polizas!$B$224+26-49))*(1+(Cartera_Polizas!$P$224-1)*MAX(0,1-26/Supuestos!$C$20))*(1-Supuestos!$C$18)^26))</f>
        <v>0.00621923241646491</v>
      </c>
      <c r="AD222" s="29" t="n">
        <f aca="false">AC222*(1-MIN(1,INDEX(Tabla_Mortalidad!$B$5:$B$75,MIN(71,Cartera_Polizas!$B$224+27-49))*(1+(Cartera_Polizas!$P$224-1)*MAX(0,1-27/Supuestos!$C$20))*(1-Supuestos!$C$18)^27))</f>
        <v>0.00347066627383493</v>
      </c>
      <c r="AE222" s="29" t="n">
        <f aca="false">AD222*(1-MIN(1,INDEX(Tabla_Mortalidad!$B$5:$B$75,MIN(71,Cartera_Polizas!$B$224+28-49))*(1+(Cartera_Polizas!$P$224-1)*MAX(0,1-28/Supuestos!$C$20))*(1-Supuestos!$C$18)^28))</f>
        <v>0.00182718196124638</v>
      </c>
      <c r="AF222" s="29" t="n">
        <f aca="false">AE222*(1-MIN(1,INDEX(Tabla_Mortalidad!$B$5:$B$75,MIN(71,Cartera_Polizas!$B$224+29-49))*(1+(Cartera_Polizas!$P$224-1)*MAX(0,1-29/Supuestos!$C$20))*(1-Supuestos!$C$18)^29))</f>
        <v>0.000903374929949637</v>
      </c>
      <c r="AG222" s="29" t="n">
        <f aca="false">AF222*(1-MIN(1,INDEX(Tabla_Mortalidad!$B$5:$B$75,MIN(71,Cartera_Polizas!$B$224+30-49))*(1+(Cartera_Polizas!$P$224-1)*MAX(0,1-30/Supuestos!$C$20))*(1-Supuestos!$C$18)^30))</f>
        <v>0.000417566005779363</v>
      </c>
      <c r="AH222" s="29" t="n">
        <f aca="false">AG222*(1-MIN(1,INDEX(Tabla_Mortalidad!$B$5:$B$75,MIN(71,Cartera_Polizas!$B$224+31-49))*(1+(Cartera_Polizas!$P$224-1)*MAX(0,1-31/Supuestos!$C$20))*(1-Supuestos!$C$18)^31))</f>
        <v>0.000179685238297229</v>
      </c>
      <c r="AI222" s="29" t="n">
        <f aca="false">AH222*(1-MIN(1,INDEX(Tabla_Mortalidad!$B$5:$B$75,MIN(71,Cartera_Polizas!$B$224+32-49))*(1+(Cartera_Polizas!$P$224-1)*MAX(0,1-32/Supuestos!$C$20))*(1-Supuestos!$C$18)^32))</f>
        <v>7.17117278105338E-005</v>
      </c>
      <c r="AJ222" s="29" t="n">
        <f aca="false">AI222*(1-MIN(1,INDEX(Tabla_Mortalidad!$B$5:$B$75,MIN(71,Cartera_Polizas!$B$224+33-49))*(1+(Cartera_Polizas!$P$224-1)*MAX(0,1-33/Supuestos!$C$20))*(1-Supuestos!$C$18)^33))</f>
        <v>2.64634588301417E-005</v>
      </c>
      <c r="AK222" s="29" t="n">
        <f aca="false">AJ222*(1-MIN(1,INDEX(Tabla_Mortalidad!$B$5:$B$75,MIN(71,Cartera_Polizas!$B$224+34-49))*(1+(Cartera_Polizas!$P$224-1)*MAX(0,1-34/Supuestos!$C$20))*(1-Supuestos!$C$18)^34))</f>
        <v>9.01259214161186E-006</v>
      </c>
      <c r="AL222" s="29" t="n">
        <f aca="false">AK222*(1-MIN(1,INDEX(Tabla_Mortalidad!$B$5:$B$75,MIN(71,Cartera_Polizas!$B$224+35-49))*(1+(Cartera_Polizas!$P$224-1)*MAX(0,1-35/Supuestos!$C$20))*(1-Supuestos!$C$18)^35))</f>
        <v>2.83148684122833E-006</v>
      </c>
      <c r="AM222" s="29" t="n">
        <f aca="false">AL222*(1-MIN(1,INDEX(Tabla_Mortalidad!$B$5:$B$75,MIN(71,Cartera_Polizas!$B$224+36-49))*(1+(Cartera_Polizas!$P$224-1)*MAX(0,1-36/Supuestos!$C$20))*(1-Supuestos!$C$18)^36))</f>
        <v>8.21824317961112E-007</v>
      </c>
      <c r="AN222" s="29" t="n">
        <f aca="false">AM222*(1-MIN(1,INDEX(Tabla_Mortalidad!$B$5:$B$75,MIN(71,Cartera_Polizas!$B$224+37-49))*(1+(Cartera_Polizas!$P$224-1)*MAX(0,1-37/Supuestos!$C$20))*(1-Supuestos!$C$18)^37))</f>
        <v>2.21183339114962E-007</v>
      </c>
      <c r="AO222" s="29" t="n">
        <f aca="false">AN222*(1-MIN(1,INDEX(Tabla_Mortalidad!$B$5:$B$75,MIN(71,Cartera_Polizas!$B$224+38-49))*(1+(Cartera_Polizas!$P$224-1)*MAX(0,1-38/Supuestos!$C$20))*(1-Supuestos!$C$18)^38))</f>
        <v>5.55385384694199E-008</v>
      </c>
      <c r="AP222" s="29" t="n">
        <f aca="false">AO222*(1-MIN(1,INDEX(Tabla_Mortalidad!$B$5:$B$75,MIN(71,Cartera_Polizas!$B$224+39-49))*(1+(Cartera_Polizas!$P$224-1)*MAX(0,1-39/Supuestos!$C$20))*(1-Supuestos!$C$18)^39))</f>
        <v>1.31217509843178E-008</v>
      </c>
      <c r="AQ222" s="29" t="n">
        <f aca="false">AP222*(1-MIN(1,INDEX(Tabla_Mortalidad!$B$5:$B$75,MIN(71,Cartera_Polizas!$B$224+40-49))*(1+(Cartera_Polizas!$P$224-1)*MAX(0,1-40/Supuestos!$C$20))*(1-Supuestos!$C$18)^40))</f>
        <v>2.94773520678248E-009</v>
      </c>
      <c r="AR222" s="29" t="n">
        <f aca="false">AQ222*(1-MIN(1,INDEX(Tabla_Mortalidad!$B$5:$B$75,MIN(71,Cartera_Polizas!$B$224+41-49))*(1+(Cartera_Polizas!$P$224-1)*MAX(0,1-41/Supuestos!$C$20))*(1-Supuestos!$C$18)^41))</f>
        <v>5.47605130781228E-010</v>
      </c>
      <c r="AS222" s="29" t="n">
        <f aca="false">AR222*(1-MIN(1,INDEX(Tabla_Mortalidad!$B$5:$B$75,MIN(71,Cartera_Polizas!$B$224+42-49))*(1+(Cartera_Polizas!$P$224-1)*MAX(0,1-42/Supuestos!$C$20))*(1-Supuestos!$C$18)^42))</f>
        <v>1.03958793949209E-010</v>
      </c>
      <c r="AT222" s="29" t="n">
        <f aca="false">AS222*(1-MIN(1,INDEX(Tabla_Mortalidad!$B$5:$B$75,MIN(71,Cartera_Polizas!$B$224+43-49))*(1+(Cartera_Polizas!$P$224-1)*MAX(0,1-43/Supuestos!$C$20))*(1-Supuestos!$C$18)^43))</f>
        <v>2.01569249619925E-011</v>
      </c>
      <c r="AU222" s="29" t="n">
        <f aca="false">AT222*(1-MIN(1,INDEX(Tabla_Mortalidad!$B$5:$B$75,MIN(71,Cartera_Polizas!$B$224+44-49))*(1+(Cartera_Polizas!$P$224-1)*MAX(0,1-44/Supuestos!$C$20))*(1-Supuestos!$C$18)^44))</f>
        <v>3.98953804764492E-012</v>
      </c>
    </row>
    <row r="223" customFormat="false" ht="15" hidden="false" customHeight="false" outlineLevel="0" collapsed="false">
      <c r="A223" s="14" t="n">
        <f aca="false">Cartera_Polizas!A225</f>
        <v>220</v>
      </c>
      <c r="B223" s="26" t="n">
        <f aca="false">SUM(C223:AU223)+0.5</f>
        <v>12.720282433304</v>
      </c>
      <c r="C223" s="29" t="n">
        <f aca="false">1-MIN(1,INDEX(Tabla_Mortalidad!$B$5:$B$75,MIN(71,Cartera_Polizas!$B$225+0-49))*(1+(Cartera_Polizas!$P$225-1)*MAX(0,1-0/Supuestos!$C$20))*(1-Supuestos!$C$18)^0)</f>
        <v>0.966304184</v>
      </c>
      <c r="D223" s="29" t="n">
        <f aca="false">C223*(1-MIN(1,INDEX(Tabla_Mortalidad!$B$5:$B$75,MIN(71,Cartera_Polizas!$B$225+1-49))*(1+(Cartera_Polizas!$P$225-1)*MAX(0,1-1/Supuestos!$C$20))*(1-Supuestos!$C$18)^1))</f>
        <v>0.930950811744186</v>
      </c>
      <c r="E223" s="29" t="n">
        <f aca="false">D223*(1-MIN(1,INDEX(Tabla_Mortalidad!$B$5:$B$75,MIN(71,Cartera_Polizas!$B$225+2-49))*(1+(Cartera_Polizas!$P$225-1)*MAX(0,1-2/Supuestos!$C$20))*(1-Supuestos!$C$18)^2))</f>
        <v>0.893992017766332</v>
      </c>
      <c r="F223" s="29" t="n">
        <f aca="false">E223*(1-MIN(1,INDEX(Tabla_Mortalidad!$B$5:$B$75,MIN(71,Cartera_Polizas!$B$225+3-49))*(1+(Cartera_Polizas!$P$225-1)*MAX(0,1-3/Supuestos!$C$20))*(1-Supuestos!$C$18)^3))</f>
        <v>0.855504635726192</v>
      </c>
      <c r="G223" s="29" t="n">
        <f aca="false">F223*(1-MIN(1,INDEX(Tabla_Mortalidad!$B$5:$B$75,MIN(71,Cartera_Polizas!$B$225+4-49))*(1+(Cartera_Polizas!$P$225-1)*MAX(0,1-4/Supuestos!$C$20))*(1-Supuestos!$C$18)^4))</f>
        <v>0.815592948157204</v>
      </c>
      <c r="H223" s="29" t="n">
        <f aca="false">G223*(1-MIN(1,INDEX(Tabla_Mortalidad!$B$5:$B$75,MIN(71,Cartera_Polizas!$B$225+5-49))*(1+(Cartera_Polizas!$P$225-1)*MAX(0,1-5/Supuestos!$C$20))*(1-Supuestos!$C$18)^5))</f>
        <v>0.774391200224136</v>
      </c>
      <c r="I223" s="29" t="n">
        <f aca="false">H223*(1-MIN(1,INDEX(Tabla_Mortalidad!$B$5:$B$75,MIN(71,Cartera_Polizas!$B$225+6-49))*(1+(Cartera_Polizas!$P$225-1)*MAX(0,1-6/Supuestos!$C$20))*(1-Supuestos!$C$18)^6))</f>
        <v>0.73206461662973</v>
      </c>
      <c r="J223" s="29" t="n">
        <f aca="false">I223*(1-MIN(1,INDEX(Tabla_Mortalidad!$B$5:$B$75,MIN(71,Cartera_Polizas!$B$225+7-49))*(1+(Cartera_Polizas!$P$225-1)*MAX(0,1-7/Supuestos!$C$20))*(1-Supuestos!$C$18)^7))</f>
        <v>0.688808261553283</v>
      </c>
      <c r="K223" s="29" t="n">
        <f aca="false">J223*(1-MIN(1,INDEX(Tabla_Mortalidad!$B$5:$B$75,MIN(71,Cartera_Polizas!$B$225+8-49))*(1+(Cartera_Polizas!$P$225-1)*MAX(0,1-8/Supuestos!$C$20))*(1-Supuestos!$C$18)^8))</f>
        <v>0.64484846453902</v>
      </c>
      <c r="L223" s="29" t="n">
        <f aca="false">K223*(1-MIN(1,INDEX(Tabla_Mortalidad!$B$5:$B$75,MIN(71,Cartera_Polizas!$B$225+9-49))*(1+(Cartera_Polizas!$P$225-1)*MAX(0,1-9/Supuestos!$C$20))*(1-Supuestos!$C$18)^9))</f>
        <v>0.600442718496823</v>
      </c>
      <c r="M223" s="29" t="n">
        <f aca="false">L223*(1-MIN(1,INDEX(Tabla_Mortalidad!$B$5:$B$75,MIN(71,Cartera_Polizas!$B$225+10-49))*(1+(Cartera_Polizas!$P$225-1)*MAX(0,1-10/Supuestos!$C$20))*(1-Supuestos!$C$18)^10))</f>
        <v>0.555875157462171</v>
      </c>
      <c r="N223" s="29" t="n">
        <f aca="false">M223*(1-MIN(1,INDEX(Tabla_Mortalidad!$B$5:$B$75,MIN(71,Cartera_Polizas!$B$225+11-49))*(1+(Cartera_Polizas!$P$225-1)*MAX(0,1-11/Supuestos!$C$20))*(1-Supuestos!$C$18)^11))</f>
        <v>0.511452247204452</v>
      </c>
      <c r="O223" s="29" t="n">
        <f aca="false">N223*(1-MIN(1,INDEX(Tabla_Mortalidad!$B$5:$B$75,MIN(71,Cartera_Polizas!$B$225+12-49))*(1+(Cartera_Polizas!$P$225-1)*MAX(0,1-12/Supuestos!$C$20))*(1-Supuestos!$C$18)^12))</f>
        <v>0.467500055292204</v>
      </c>
      <c r="P223" s="29" t="n">
        <f aca="false">O223*(1-MIN(1,INDEX(Tabla_Mortalidad!$B$5:$B$75,MIN(71,Cartera_Polizas!$B$225+13-49))*(1+(Cartera_Polizas!$P$225-1)*MAX(0,1-13/Supuestos!$C$20))*(1-Supuestos!$C$18)^13))</f>
        <v>0.424353892786001</v>
      </c>
      <c r="Q223" s="29" t="n">
        <f aca="false">P223*(1-MIN(1,INDEX(Tabla_Mortalidad!$B$5:$B$75,MIN(71,Cartera_Polizas!$B$225+14-49))*(1+(Cartera_Polizas!$P$225-1)*MAX(0,1-14/Supuestos!$C$20))*(1-Supuestos!$C$18)^14))</f>
        <v>0.382353525063166</v>
      </c>
      <c r="R223" s="29" t="n">
        <f aca="false">Q223*(1-MIN(1,INDEX(Tabla_Mortalidad!$B$5:$B$75,MIN(71,Cartera_Polizas!$B$225+15-49))*(1+(Cartera_Polizas!$P$225-1)*MAX(0,1-15/Supuestos!$C$20))*(1-Supuestos!$C$18)^15))</f>
        <v>0.341831576085109</v>
      </c>
      <c r="S223" s="29" t="n">
        <f aca="false">R223*(1-MIN(1,INDEX(Tabla_Mortalidad!$B$5:$B$75,MIN(71,Cartera_Polizas!$B$225+16-49))*(1+(Cartera_Polizas!$P$225-1)*MAX(0,1-16/Supuestos!$C$20))*(1-Supuestos!$C$18)^16))</f>
        <v>0.301870730625136</v>
      </c>
      <c r="T223" s="29" t="n">
        <f aca="false">S223*(1-MIN(1,INDEX(Tabla_Mortalidad!$B$5:$B$75,MIN(71,Cartera_Polizas!$B$225+17-49))*(1+(Cartera_Polizas!$P$225-1)*MAX(0,1-17/Supuestos!$C$20))*(1-Supuestos!$C$18)^17))</f>
        <v>0.262974993782918</v>
      </c>
      <c r="U223" s="29" t="n">
        <f aca="false">T223*(1-MIN(1,INDEX(Tabla_Mortalidad!$B$5:$B$75,MIN(71,Cartera_Polizas!$B$225+18-49))*(1+(Cartera_Polizas!$P$225-1)*MAX(0,1-18/Supuestos!$C$20))*(1-Supuestos!$C$18)^18))</f>
        <v>0.225660616911357</v>
      </c>
      <c r="V223" s="29" t="n">
        <f aca="false">U223*(1-MIN(1,INDEX(Tabla_Mortalidad!$B$5:$B$75,MIN(71,Cartera_Polizas!$B$225+19-49))*(1+(Cartera_Polizas!$P$225-1)*MAX(0,1-19/Supuestos!$C$20))*(1-Supuestos!$C$18)^19))</f>
        <v>0.190433488124904</v>
      </c>
      <c r="W223" s="29" t="n">
        <f aca="false">V223*(1-MIN(1,INDEX(Tabla_Mortalidad!$B$5:$B$75,MIN(71,Cartera_Polizas!$B$225+20-49))*(1+(Cartera_Polizas!$P$225-1)*MAX(0,1-20/Supuestos!$C$20))*(1-Supuestos!$C$18)^20))</f>
        <v>0.157762492894771</v>
      </c>
      <c r="X223" s="29" t="n">
        <f aca="false">W223*(1-MIN(1,INDEX(Tabla_Mortalidad!$B$5:$B$75,MIN(71,Cartera_Polizas!$B$225+21-49))*(1+(Cartera_Polizas!$P$225-1)*MAX(0,1-21/Supuestos!$C$20))*(1-Supuestos!$C$18)^21))</f>
        <v>0.128052251269593</v>
      </c>
      <c r="Y223" s="29" t="n">
        <f aca="false">X223*(1-MIN(1,INDEX(Tabla_Mortalidad!$B$5:$B$75,MIN(71,Cartera_Polizas!$B$225+22-49))*(1+(Cartera_Polizas!$P$225-1)*MAX(0,1-22/Supuestos!$C$20))*(1-Supuestos!$C$18)^22))</f>
        <v>0.101615887362346</v>
      </c>
      <c r="Z223" s="29" t="n">
        <f aca="false">Y223*(1-MIN(1,INDEX(Tabla_Mortalidad!$B$5:$B$75,MIN(71,Cartera_Polizas!$B$225+23-49))*(1+(Cartera_Polizas!$P$225-1)*MAX(0,1-23/Supuestos!$C$20))*(1-Supuestos!$C$18)^23))</f>
        <v>0.0786511989284194</v>
      </c>
      <c r="AA223" s="29" t="n">
        <f aca="false">Z223*(1-MIN(1,INDEX(Tabla_Mortalidad!$B$5:$B$75,MIN(71,Cartera_Polizas!$B$225+24-49))*(1+(Cartera_Polizas!$P$225-1)*MAX(0,1-24/Supuestos!$C$20))*(1-Supuestos!$C$18)^24))</f>
        <v>0.0592246709313903</v>
      </c>
      <c r="AB223" s="29" t="n">
        <f aca="false">AA223*(1-MIN(1,INDEX(Tabla_Mortalidad!$B$5:$B$75,MIN(71,Cartera_Polizas!$B$225+25-49))*(1+(Cartera_Polizas!$P$225-1)*MAX(0,1-25/Supuestos!$C$20))*(1-Supuestos!$C$18)^25))</f>
        <v>0.0432652561970031</v>
      </c>
      <c r="AC223" s="29" t="n">
        <f aca="false">AB223*(1-MIN(1,INDEX(Tabla_Mortalidad!$B$5:$B$75,MIN(71,Cartera_Polizas!$B$225+26-49))*(1+(Cartera_Polizas!$P$225-1)*MAX(0,1-26/Supuestos!$C$20))*(1-Supuestos!$C$18)^26))</f>
        <v>0.0305701370702313</v>
      </c>
      <c r="AD223" s="29" t="n">
        <f aca="false">AC223*(1-MIN(1,INDEX(Tabla_Mortalidad!$B$5:$B$75,MIN(71,Cartera_Polizas!$B$225+27-49))*(1+(Cartera_Polizas!$P$225-1)*MAX(0,1-27/Supuestos!$C$20))*(1-Supuestos!$C$18)^27))</f>
        <v>0.020823573851708</v>
      </c>
      <c r="AE223" s="29" t="n">
        <f aca="false">AD223*(1-MIN(1,INDEX(Tabla_Mortalidad!$B$5:$B$75,MIN(71,Cartera_Polizas!$B$225+28-49))*(1+(Cartera_Polizas!$P$225-1)*MAX(0,1-28/Supuestos!$C$20))*(1-Supuestos!$C$18)^28))</f>
        <v>0.0136265712573779</v>
      </c>
      <c r="AF223" s="29" t="n">
        <f aca="false">AE223*(1-MIN(1,INDEX(Tabla_Mortalidad!$B$5:$B$75,MIN(71,Cartera_Polizas!$B$225+29-49))*(1+(Cartera_Polizas!$P$225-1)*MAX(0,1-29/Supuestos!$C$20))*(1-Supuestos!$C$18)^29))</f>
        <v>0.00853424079792272</v>
      </c>
      <c r="AG223" s="29" t="n">
        <f aca="false">AF223*(1-MIN(1,INDEX(Tabla_Mortalidad!$B$5:$B$75,MIN(71,Cartera_Polizas!$B$225+30-49))*(1+(Cartera_Polizas!$P$225-1)*MAX(0,1-30/Supuestos!$C$20))*(1-Supuestos!$C$18)^30))</f>
        <v>0.00509534856278381</v>
      </c>
      <c r="AH223" s="29" t="n">
        <f aca="false">AG223*(1-MIN(1,INDEX(Tabla_Mortalidad!$B$5:$B$75,MIN(71,Cartera_Polizas!$B$225+31-49))*(1+(Cartera_Polizas!$P$225-1)*MAX(0,1-31/Supuestos!$C$20))*(1-Supuestos!$C$18)^31))</f>
        <v>0.0028881793630901</v>
      </c>
      <c r="AI223" s="29" t="n">
        <f aca="false">AH223*(1-MIN(1,INDEX(Tabla_Mortalidad!$B$5:$B$75,MIN(71,Cartera_Polizas!$B$225+32-49))*(1+(Cartera_Polizas!$P$225-1)*MAX(0,1-32/Supuestos!$C$20))*(1-Supuestos!$C$18)^32))</f>
        <v>0.00154767203975549</v>
      </c>
      <c r="AJ223" s="29" t="n">
        <f aca="false">AI223*(1-MIN(1,INDEX(Tabla_Mortalidad!$B$5:$B$75,MIN(71,Cartera_Polizas!$B$225+33-49))*(1+(Cartera_Polizas!$P$225-1)*MAX(0,1-33/Supuestos!$C$20))*(1-Supuestos!$C$18)^33))</f>
        <v>0.000780715554574597</v>
      </c>
      <c r="AK223" s="29" t="n">
        <f aca="false">AJ223*(1-MIN(1,INDEX(Tabla_Mortalidad!$B$5:$B$75,MIN(71,Cartera_Polizas!$B$225+34-49))*(1+(Cartera_Polizas!$P$225-1)*MAX(0,1-34/Supuestos!$C$20))*(1-Supuestos!$C$18)^34))</f>
        <v>0.000369203454738158</v>
      </c>
      <c r="AL223" s="29" t="n">
        <f aca="false">AK223*(1-MIN(1,INDEX(Tabla_Mortalidad!$B$5:$B$75,MIN(71,Cartera_Polizas!$B$225+35-49))*(1+(Cartera_Polizas!$P$225-1)*MAX(0,1-35/Supuestos!$C$20))*(1-Supuestos!$C$18)^35))</f>
        <v>0.000163049213116017</v>
      </c>
      <c r="AM223" s="29" t="n">
        <f aca="false">AL223*(1-MIN(1,INDEX(Tabla_Mortalidad!$B$5:$B$75,MIN(71,Cartera_Polizas!$B$225+36-49))*(1+(Cartera_Polizas!$P$225-1)*MAX(0,1-36/Supuestos!$C$20))*(1-Supuestos!$C$18)^36))</f>
        <v>6.7017240065815E-005</v>
      </c>
      <c r="AN223" s="29" t="n">
        <f aca="false">AM223*(1-MIN(1,INDEX(Tabla_Mortalidad!$B$5:$B$75,MIN(71,Cartera_Polizas!$B$225+37-49))*(1+(Cartera_Polizas!$P$225-1)*MAX(0,1-37/Supuestos!$C$20))*(1-Supuestos!$C$18)^37))</f>
        <v>2.55704745049326E-005</v>
      </c>
      <c r="AO223" s="29" t="n">
        <f aca="false">AN223*(1-MIN(1,INDEX(Tabla_Mortalidad!$B$5:$B$75,MIN(71,Cartera_Polizas!$B$225+38-49))*(1+(Cartera_Polizas!$P$225-1)*MAX(0,1-38/Supuestos!$C$20))*(1-Supuestos!$C$18)^38))</f>
        <v>9.0431899603442E-006</v>
      </c>
      <c r="AP223" s="29" t="n">
        <f aca="false">AO223*(1-MIN(1,INDEX(Tabla_Mortalidad!$B$5:$B$75,MIN(71,Cartera_Polizas!$B$225+39-49))*(1+(Cartera_Polizas!$P$225-1)*MAX(0,1-39/Supuestos!$C$20))*(1-Supuestos!$C$18)^39))</f>
        <v>2.96421434818194E-006</v>
      </c>
      <c r="AQ223" s="29" t="n">
        <f aca="false">AP223*(1-MIN(1,INDEX(Tabla_Mortalidad!$B$5:$B$75,MIN(71,Cartera_Polizas!$B$225+40-49))*(1+(Cartera_Polizas!$P$225-1)*MAX(0,1-40/Supuestos!$C$20))*(1-Supuestos!$C$18)^40))</f>
        <v>9.02110587893679E-007</v>
      </c>
      <c r="AR223" s="29" t="n">
        <f aca="false">AQ223*(1-MIN(1,INDEX(Tabla_Mortalidad!$B$5:$B$75,MIN(71,Cartera_Polizas!$B$225+41-49))*(1+(Cartera_Polizas!$P$225-1)*MAX(0,1-41/Supuestos!$C$20))*(1-Supuestos!$C$18)^41))</f>
        <v>2.55879161898559E-007</v>
      </c>
      <c r="AS223" s="29" t="n">
        <f aca="false">AR223*(1-MIN(1,INDEX(Tabla_Mortalidad!$B$5:$B$75,MIN(71,Cartera_Polizas!$B$225+42-49))*(1+(Cartera_Polizas!$P$225-1)*MAX(0,1-42/Supuestos!$C$20))*(1-Supuestos!$C$18)^42))</f>
        <v>6.80544890958737E-008</v>
      </c>
      <c r="AT223" s="29" t="n">
        <f aca="false">AS223*(1-MIN(1,INDEX(Tabla_Mortalidad!$B$5:$B$75,MIN(71,Cartera_Polizas!$B$225+43-49))*(1+(Cartera_Polizas!$P$225-1)*MAX(0,1-43/Supuestos!$C$20))*(1-Supuestos!$C$18)^43))</f>
        <v>1.71105611544682E-008</v>
      </c>
      <c r="AU223" s="29" t="n">
        <f aca="false">AT223*(1-MIN(1,INDEX(Tabla_Mortalidad!$B$5:$B$75,MIN(71,Cartera_Polizas!$B$225+44-49))*(1+(Cartera_Polizas!$P$225-1)*MAX(0,1-44/Supuestos!$C$20))*(1-Supuestos!$C$18)^44))</f>
        <v>4.10715311051751E-009</v>
      </c>
    </row>
    <row r="224" customFormat="false" ht="15" hidden="false" customHeight="false" outlineLevel="0" collapsed="false">
      <c r="A224" s="14" t="n">
        <f aca="false">Cartera_Polizas!A226</f>
        <v>221</v>
      </c>
      <c r="B224" s="26" t="n">
        <f aca="false">SUM(C224:AU224)+0.5</f>
        <v>7.4784270766979</v>
      </c>
      <c r="C224" s="29" t="n">
        <f aca="false">1-MIN(1,INDEX(Tabla_Mortalidad!$B$5:$B$75,MIN(71,Cartera_Polizas!$B$226+0-49))*(1+(Cartera_Polizas!$P$226-1)*MAX(0,1-0/Supuestos!$C$20))*(1-Supuestos!$C$18)^0)</f>
        <v>0.917939912</v>
      </c>
      <c r="D224" s="29" t="n">
        <f aca="false">C224*(1-MIN(1,INDEX(Tabla_Mortalidad!$B$5:$B$75,MIN(71,Cartera_Polizas!$B$226+1-49))*(1+(Cartera_Polizas!$P$226-1)*MAX(0,1-1/Supuestos!$C$20))*(1-Supuestos!$C$18)^1))</f>
        <v>0.836751589076704</v>
      </c>
      <c r="E224" s="29" t="n">
        <f aca="false">D224*(1-MIN(1,INDEX(Tabla_Mortalidad!$B$5:$B$75,MIN(71,Cartera_Polizas!$B$226+2-49))*(1+(Cartera_Polizas!$P$226-1)*MAX(0,1-2/Supuestos!$C$20))*(1-Supuestos!$C$18)^2))</f>
        <v>0.757073095828133</v>
      </c>
      <c r="F224" s="29" t="n">
        <f aca="false">E224*(1-MIN(1,INDEX(Tabla_Mortalidad!$B$5:$B$75,MIN(71,Cartera_Polizas!$B$226+3-49))*(1+(Cartera_Polizas!$P$226-1)*MAX(0,1-3/Supuestos!$C$20))*(1-Supuestos!$C$18)^3))</f>
        <v>0.679549186213019</v>
      </c>
      <c r="G224" s="29" t="n">
        <f aca="false">F224*(1-MIN(1,INDEX(Tabla_Mortalidad!$B$5:$B$75,MIN(71,Cartera_Polizas!$B$226+4-49))*(1+(Cartera_Polizas!$P$226-1)*MAX(0,1-4/Supuestos!$C$20))*(1-Supuestos!$C$18)^4))</f>
        <v>0.604813072986603</v>
      </c>
      <c r="H224" s="29" t="n">
        <f aca="false">G224*(1-MIN(1,INDEX(Tabla_Mortalidad!$B$5:$B$75,MIN(71,Cartera_Polizas!$B$226+5-49))*(1+(Cartera_Polizas!$P$226-1)*MAX(0,1-5/Supuestos!$C$20))*(1-Supuestos!$C$18)^5))</f>
        <v>0.533471543233573</v>
      </c>
      <c r="I224" s="29" t="n">
        <f aca="false">H224*(1-MIN(1,INDEX(Tabla_Mortalidad!$B$5:$B$75,MIN(71,Cartera_Polizas!$B$226+6-49))*(1+(Cartera_Polizas!$P$226-1)*MAX(0,1-6/Supuestos!$C$20))*(1-Supuestos!$C$18)^6))</f>
        <v>0.46607861534225</v>
      </c>
      <c r="J224" s="29" t="n">
        <f aca="false">I224*(1-MIN(1,INDEX(Tabla_Mortalidad!$B$5:$B$75,MIN(71,Cartera_Polizas!$B$226+7-49))*(1+(Cartera_Polizas!$P$226-1)*MAX(0,1-7/Supuestos!$C$20))*(1-Supuestos!$C$18)^7))</f>
        <v>0.4031210840286</v>
      </c>
      <c r="K224" s="29" t="n">
        <f aca="false">J224*(1-MIN(1,INDEX(Tabla_Mortalidad!$B$5:$B$75,MIN(71,Cartera_Polizas!$B$226+8-49))*(1+(Cartera_Polizas!$P$226-1)*MAX(0,1-8/Supuestos!$C$20))*(1-Supuestos!$C$18)^8))</f>
        <v>0.344996171186389</v>
      </c>
      <c r="L224" s="29" t="n">
        <f aca="false">K224*(1-MIN(1,INDEX(Tabla_Mortalidad!$B$5:$B$75,MIN(71,Cartera_Polizas!$B$226+9-49))*(1+(Cartera_Polizas!$P$226-1)*MAX(0,1-9/Supuestos!$C$20))*(1-Supuestos!$C$18)^9))</f>
        <v>0.291997086323619</v>
      </c>
      <c r="M224" s="29" t="n">
        <f aca="false">L224*(1-MIN(1,INDEX(Tabla_Mortalidad!$B$5:$B$75,MIN(71,Cartera_Polizas!$B$226+10-49))*(1+(Cartera_Polizas!$P$226-1)*MAX(0,1-10/Supuestos!$C$20))*(1-Supuestos!$C$18)^10))</f>
        <v>0.244301370866734</v>
      </c>
      <c r="N224" s="29" t="n">
        <f aca="false">M224*(1-MIN(1,INDEX(Tabla_Mortalidad!$B$5:$B$75,MIN(71,Cartera_Polizas!$B$226+11-49))*(1+(Cartera_Polizas!$P$226-1)*MAX(0,1-11/Supuestos!$C$20))*(1-Supuestos!$C$18)^11))</f>
        <v>0.201965007568982</v>
      </c>
      <c r="O224" s="29" t="n">
        <f aca="false">N224*(1-MIN(1,INDEX(Tabla_Mortalidad!$B$5:$B$75,MIN(71,Cartera_Polizas!$B$226+12-49))*(1+(Cartera_Polizas!$P$226-1)*MAX(0,1-12/Supuestos!$C$20))*(1-Supuestos!$C$18)^12))</f>
        <v>0.164922339602811</v>
      </c>
      <c r="P224" s="29" t="n">
        <f aca="false">O224*(1-MIN(1,INDEX(Tabla_Mortalidad!$B$5:$B$75,MIN(71,Cartera_Polizas!$B$226+13-49))*(1+(Cartera_Polizas!$P$226-1)*MAX(0,1-13/Supuestos!$C$20))*(1-Supuestos!$C$18)^13))</f>
        <v>0.132991961713913</v>
      </c>
      <c r="Q224" s="29" t="n">
        <f aca="false">P224*(1-MIN(1,INDEX(Tabla_Mortalidad!$B$5:$B$75,MIN(71,Cartera_Polizas!$B$226+14-49))*(1+(Cartera_Polizas!$P$226-1)*MAX(0,1-14/Supuestos!$C$20))*(1-Supuestos!$C$18)^14))</f>
        <v>0.105890081931556</v>
      </c>
      <c r="R224" s="29" t="n">
        <f aca="false">Q224*(1-MIN(1,INDEX(Tabla_Mortalidad!$B$5:$B$75,MIN(71,Cartera_Polizas!$B$226+15-49))*(1+(Cartera_Polizas!$P$226-1)*MAX(0,1-15/Supuestos!$C$20))*(1-Supuestos!$C$18)^15))</f>
        <v>0.0832484241235466</v>
      </c>
      <c r="S224" s="29" t="n">
        <f aca="false">R224*(1-MIN(1,INDEX(Tabla_Mortalidad!$B$5:$B$75,MIN(71,Cartera_Polizas!$B$226+16-49))*(1+(Cartera_Polizas!$P$226-1)*MAX(0,1-16/Supuestos!$C$20))*(1-Supuestos!$C$18)^16))</f>
        <v>0.0637628413320877</v>
      </c>
      <c r="T224" s="29" t="n">
        <f aca="false">S224*(1-MIN(1,INDEX(Tabla_Mortalidad!$B$5:$B$75,MIN(71,Cartera_Polizas!$B$226+17-49))*(1+(Cartera_Polizas!$P$226-1)*MAX(0,1-17/Supuestos!$C$20))*(1-Supuestos!$C$18)^17))</f>
        <v>0.0474512648317981</v>
      </c>
      <c r="U224" s="29" t="n">
        <f aca="false">T224*(1-MIN(1,INDEX(Tabla_Mortalidad!$B$5:$B$75,MIN(71,Cartera_Polizas!$B$226+18-49))*(1+(Cartera_Polizas!$P$226-1)*MAX(0,1-18/Supuestos!$C$20))*(1-Supuestos!$C$18)^18))</f>
        <v>0.0342078332432795</v>
      </c>
      <c r="V224" s="29" t="n">
        <f aca="false">U224*(1-MIN(1,INDEX(Tabla_Mortalidad!$B$5:$B$75,MIN(71,Cartera_Polizas!$B$226+19-49))*(1+(Cartera_Polizas!$P$226-1)*MAX(0,1-19/Supuestos!$C$20))*(1-Supuestos!$C$18)^19))</f>
        <v>0.023811947398225</v>
      </c>
      <c r="W224" s="29" t="n">
        <f aca="false">V224*(1-MIN(1,INDEX(Tabla_Mortalidad!$B$5:$B$75,MIN(71,Cartera_Polizas!$B$226+20-49))*(1+(Cartera_Polizas!$P$226-1)*MAX(0,1-20/Supuestos!$C$20))*(1-Supuestos!$C$18)^20))</f>
        <v>0.0159489620331889</v>
      </c>
      <c r="X224" s="29" t="n">
        <f aca="false">W224*(1-MIN(1,INDEX(Tabla_Mortalidad!$B$5:$B$75,MIN(71,Cartera_Polizas!$B$226+21-49))*(1+(Cartera_Polizas!$P$226-1)*MAX(0,1-21/Supuestos!$C$20))*(1-Supuestos!$C$18)^21))</f>
        <v>0.0102398672835011</v>
      </c>
      <c r="Y224" s="29" t="n">
        <f aca="false">X224*(1-MIN(1,INDEX(Tabla_Mortalidad!$B$5:$B$75,MIN(71,Cartera_Polizas!$B$226+22-49))*(1+(Cartera_Polizas!$P$226-1)*MAX(0,1-22/Supuestos!$C$20))*(1-Supuestos!$C$18)^22))</f>
        <v>0.00627651432971388</v>
      </c>
      <c r="Z224" s="29" t="n">
        <f aca="false">Y224*(1-MIN(1,INDEX(Tabla_Mortalidad!$B$5:$B$75,MIN(71,Cartera_Polizas!$B$226+23-49))*(1+(Cartera_Polizas!$P$226-1)*MAX(0,1-23/Supuestos!$C$20))*(1-Supuestos!$C$18)^23))</f>
        <v>0.00365706119101919</v>
      </c>
      <c r="AA224" s="29" t="n">
        <f aca="false">Z224*(1-MIN(1,INDEX(Tabla_Mortalidad!$B$5:$B$75,MIN(71,Cartera_Polizas!$B$226+24-49))*(1+(Cartera_Polizas!$P$226-1)*MAX(0,1-24/Supuestos!$C$20))*(1-Supuestos!$C$18)^24))</f>
        <v>0.00201634905532346</v>
      </c>
      <c r="AB224" s="29" t="n">
        <f aca="false">AA224*(1-MIN(1,INDEX(Tabla_Mortalidad!$B$5:$B$75,MIN(71,Cartera_Polizas!$B$226+25-49))*(1+(Cartera_Polizas!$P$226-1)*MAX(0,1-25/Supuestos!$C$20))*(1-Supuestos!$C$18)^25))</f>
        <v>0.00104706921231611</v>
      </c>
      <c r="AC224" s="29" t="n">
        <f aca="false">AB224*(1-MIN(1,INDEX(Tabla_Mortalidad!$B$5:$B$75,MIN(71,Cartera_Polizas!$B$226+26-49))*(1+(Cartera_Polizas!$P$226-1)*MAX(0,1-26/Supuestos!$C$20))*(1-Supuestos!$C$18)^26))</f>
        <v>0.000509659374841171</v>
      </c>
      <c r="AD224" s="29" t="n">
        <f aca="false">AC224*(1-MIN(1,INDEX(Tabla_Mortalidad!$B$5:$B$75,MIN(71,Cartera_Polizas!$B$226+27-49))*(1+(Cartera_Polizas!$P$226-1)*MAX(0,1-27/Supuestos!$C$20))*(1-Supuestos!$C$18)^27))</f>
        <v>0.000231426636987268</v>
      </c>
      <c r="AE224" s="29" t="n">
        <f aca="false">AD224*(1-MIN(1,INDEX(Tabla_Mortalidad!$B$5:$B$75,MIN(71,Cartera_Polizas!$B$226+28-49))*(1+(Cartera_Polizas!$P$226-1)*MAX(0,1-28/Supuestos!$C$20))*(1-Supuestos!$C$18)^28))</f>
        <v>9.75889884101229E-005</v>
      </c>
      <c r="AF224" s="29" t="n">
        <f aca="false">AE224*(1-MIN(1,INDEX(Tabla_Mortalidad!$B$5:$B$75,MIN(71,Cartera_Polizas!$B$226+29-49))*(1+(Cartera_Polizas!$P$226-1)*MAX(0,1-29/Supuestos!$C$20))*(1-Supuestos!$C$18)^29))</f>
        <v>3.80589180803779E-005</v>
      </c>
      <c r="AG224" s="29" t="n">
        <f aca="false">AF224*(1-MIN(1,INDEX(Tabla_Mortalidad!$B$5:$B$75,MIN(71,Cartera_Polizas!$B$226+30-49))*(1+(Cartera_Polizas!$P$226-1)*MAX(0,1-30/Supuestos!$C$20))*(1-Supuestos!$C$18)^30))</f>
        <v>1.36808672074922E-005</v>
      </c>
      <c r="AH224" s="29" t="n">
        <f aca="false">AG224*(1-MIN(1,INDEX(Tabla_Mortalidad!$B$5:$B$75,MIN(71,Cartera_Polizas!$B$226+31-49))*(1+(Cartera_Polizas!$P$226-1)*MAX(0,1-31/Supuestos!$C$20))*(1-Supuestos!$C$18)^31))</f>
        <v>4.52256902902812E-006</v>
      </c>
      <c r="AI224" s="29" t="n">
        <f aca="false">AH224*(1-MIN(1,INDEX(Tabla_Mortalidad!$B$5:$B$75,MIN(71,Cartera_Polizas!$B$226+32-49))*(1+(Cartera_Polizas!$P$226-1)*MAX(0,1-32/Supuestos!$C$20))*(1-Supuestos!$C$18)^32))</f>
        <v>1.3738610369149E-006</v>
      </c>
      <c r="AJ224" s="29" t="n">
        <f aca="false">AI224*(1-MIN(1,INDEX(Tabla_Mortalidad!$B$5:$B$75,MIN(71,Cartera_Polizas!$B$226+33-49))*(1+(Cartera_Polizas!$P$226-1)*MAX(0,1-33/Supuestos!$C$20))*(1-Supuestos!$C$18)^33))</f>
        <v>3.83981945939238E-007</v>
      </c>
      <c r="AK224" s="29" t="n">
        <f aca="false">AJ224*(1-MIN(1,INDEX(Tabla_Mortalidad!$B$5:$B$75,MIN(71,Cartera_Polizas!$B$226+34-49))*(1+(Cartera_Polizas!$P$226-1)*MAX(0,1-34/Supuestos!$C$20))*(1-Supuestos!$C$18)^34))</f>
        <v>9.90917304824684E-008</v>
      </c>
      <c r="AL224" s="29" t="n">
        <f aca="false">AK224*(1-MIN(1,INDEX(Tabla_Mortalidad!$B$5:$B$75,MIN(71,Cartera_Polizas!$B$226+35-49))*(1+(Cartera_Polizas!$P$226-1)*MAX(0,1-35/Supuestos!$C$20))*(1-Supuestos!$C$18)^35))</f>
        <v>2.37572896779325E-008</v>
      </c>
      <c r="AM224" s="29" t="n">
        <f aca="false">AL224*(1-MIN(1,INDEX(Tabla_Mortalidad!$B$5:$B$75,MIN(71,Cartera_Polizas!$B$226+36-49))*(1+(Cartera_Polizas!$P$226-1)*MAX(0,1-36/Supuestos!$C$20))*(1-Supuestos!$C$18)^36))</f>
        <v>5.33808060923614E-009</v>
      </c>
      <c r="AN224" s="29" t="n">
        <f aca="false">AM224*(1-MIN(1,INDEX(Tabla_Mortalidad!$B$5:$B$75,MIN(71,Cartera_Polizas!$B$226+37-49))*(1+(Cartera_Polizas!$P$226-1)*MAX(0,1-37/Supuestos!$C$20))*(1-Supuestos!$C$18)^37))</f>
        <v>1.13646323298397E-009</v>
      </c>
      <c r="AO224" s="29" t="n">
        <f aca="false">AN224*(1-MIN(1,INDEX(Tabla_Mortalidad!$B$5:$B$75,MIN(71,Cartera_Polizas!$B$226+38-49))*(1+(Cartera_Polizas!$P$226-1)*MAX(0,1-38/Supuestos!$C$20))*(1-Supuestos!$C$18)^38))</f>
        <v>1.97102378103273E-010</v>
      </c>
      <c r="AP224" s="29" t="n">
        <f aca="false">AO224*(1-MIN(1,INDEX(Tabla_Mortalidad!$B$5:$B$75,MIN(71,Cartera_Polizas!$B$226+39-49))*(1+(Cartera_Polizas!$P$226-1)*MAX(0,1-39/Supuestos!$C$20))*(1-Supuestos!$C$18)^39))</f>
        <v>3.49990194064617E-011</v>
      </c>
      <c r="AQ224" s="29" t="n">
        <f aca="false">AP224*(1-MIN(1,INDEX(Tabla_Mortalidad!$B$5:$B$75,MIN(71,Cartera_Polizas!$B$226+40-49))*(1+(Cartera_Polizas!$P$226-1)*MAX(0,1-40/Supuestos!$C$20))*(1-Supuestos!$C$18)^40))</f>
        <v>6.35861761009103E-012</v>
      </c>
      <c r="AR224" s="29" t="n">
        <f aca="false">AQ224*(1-MIN(1,INDEX(Tabla_Mortalidad!$B$5:$B$75,MIN(71,Cartera_Polizas!$B$226+41-49))*(1+(Cartera_Polizas!$P$226-1)*MAX(0,1-41/Supuestos!$C$20))*(1-Supuestos!$C$18)^41))</f>
        <v>1.18124980152556E-012</v>
      </c>
      <c r="AS224" s="29" t="n">
        <f aca="false">AR224*(1-MIN(1,INDEX(Tabla_Mortalidad!$B$5:$B$75,MIN(71,Cartera_Polizas!$B$226+42-49))*(1+(Cartera_Polizas!$P$226-1)*MAX(0,1-42/Supuestos!$C$20))*(1-Supuestos!$C$18)^42))</f>
        <v>2.24251559776565E-013</v>
      </c>
      <c r="AT224" s="29" t="n">
        <f aca="false">AS224*(1-MIN(1,INDEX(Tabla_Mortalidad!$B$5:$B$75,MIN(71,Cartera_Polizas!$B$226+43-49))*(1+(Cartera_Polizas!$P$226-1)*MAX(0,1-43/Supuestos!$C$20))*(1-Supuestos!$C$18)^43))</f>
        <v>4.34808994151514E-014</v>
      </c>
      <c r="AU224" s="29" t="n">
        <f aca="false">AT224*(1-MIN(1,INDEX(Tabla_Mortalidad!$B$5:$B$75,MIN(71,Cartera_Polizas!$B$226+44-49))*(1+(Cartera_Polizas!$P$226-1)*MAX(0,1-44/Supuestos!$C$20))*(1-Supuestos!$C$18)^44))</f>
        <v>8.60591101517999E-015</v>
      </c>
    </row>
    <row r="225" customFormat="false" ht="15" hidden="false" customHeight="false" outlineLevel="0" collapsed="false">
      <c r="A225" s="14" t="n">
        <f aca="false">Cartera_Polizas!A227</f>
        <v>222</v>
      </c>
      <c r="B225" s="26" t="n">
        <f aca="false">SUM(C225:AU225)+0.5</f>
        <v>11.0949922106871</v>
      </c>
      <c r="C225" s="29" t="n">
        <f aca="false">1-MIN(1,INDEX(Tabla_Mortalidad!$B$5:$B$75,MIN(71,Cartera_Polizas!$B$227+0-49))*(1+(Cartera_Polizas!$P$227-1)*MAX(0,1-0/Supuestos!$C$20))*(1-Supuestos!$C$18)^0)</f>
        <v>0.960008686</v>
      </c>
      <c r="D225" s="29" t="n">
        <f aca="false">C225*(1-MIN(1,INDEX(Tabla_Mortalidad!$B$5:$B$75,MIN(71,Cartera_Polizas!$B$227+1-49))*(1+(Cartera_Polizas!$P$227-1)*MAX(0,1-1/Supuestos!$C$20))*(1-Supuestos!$C$18)^1))</f>
        <v>0.918020875940591</v>
      </c>
      <c r="E225" s="29" t="n">
        <f aca="false">D225*(1-MIN(1,INDEX(Tabla_Mortalidad!$B$5:$B$75,MIN(71,Cartera_Polizas!$B$227+2-49))*(1+(Cartera_Polizas!$P$227-1)*MAX(0,1-2/Supuestos!$C$20))*(1-Supuestos!$C$18)^2))</f>
        <v>0.874127018868536</v>
      </c>
      <c r="F225" s="29" t="n">
        <f aca="false">E225*(1-MIN(1,INDEX(Tabla_Mortalidad!$B$5:$B$75,MIN(71,Cartera_Polizas!$B$227+3-49))*(1+(Cartera_Polizas!$P$227-1)*MAX(0,1-3/Supuestos!$C$20))*(1-Supuestos!$C$18)^3))</f>
        <v>0.828456804731187</v>
      </c>
      <c r="G225" s="29" t="n">
        <f aca="false">F225*(1-MIN(1,INDEX(Tabla_Mortalidad!$B$5:$B$75,MIN(71,Cartera_Polizas!$B$227+4-49))*(1+(Cartera_Polizas!$P$227-1)*MAX(0,1-4/Supuestos!$C$20))*(1-Supuestos!$C$18)^4))</f>
        <v>0.781180859059648</v>
      </c>
      <c r="H225" s="29" t="n">
        <f aca="false">G225*(1-MIN(1,INDEX(Tabla_Mortalidad!$B$5:$B$75,MIN(71,Cartera_Polizas!$B$227+5-49))*(1+(Cartera_Polizas!$P$227-1)*MAX(0,1-5/Supuestos!$C$20))*(1-Supuestos!$C$18)^5))</f>
        <v>0.73251542202602</v>
      </c>
      <c r="I225" s="29" t="n">
        <f aca="false">H225*(1-MIN(1,INDEX(Tabla_Mortalidad!$B$5:$B$75,MIN(71,Cartera_Polizas!$B$227+6-49))*(1+(Cartera_Polizas!$P$227-1)*MAX(0,1-6/Supuestos!$C$20))*(1-Supuestos!$C$18)^6))</f>
        <v>0.68272559266139</v>
      </c>
      <c r="J225" s="29" t="n">
        <f aca="false">I225*(1-MIN(1,INDEX(Tabla_Mortalidad!$B$5:$B$75,MIN(71,Cartera_Polizas!$B$227+7-49))*(1+(Cartera_Polizas!$P$227-1)*MAX(0,1-7/Supuestos!$C$20))*(1-Supuestos!$C$18)^7))</f>
        <v>0.632123628022768</v>
      </c>
      <c r="K225" s="29" t="n">
        <f aca="false">J225*(1-MIN(1,INDEX(Tabla_Mortalidad!$B$5:$B$75,MIN(71,Cartera_Polizas!$B$227+8-49))*(1+(Cartera_Polizas!$P$227-1)*MAX(0,1-8/Supuestos!$C$20))*(1-Supuestos!$C$18)^8))</f>
        <v>0.581067101823016</v>
      </c>
      <c r="L225" s="29" t="n">
        <f aca="false">K225*(1-MIN(1,INDEX(Tabla_Mortalidad!$B$5:$B$75,MIN(71,Cartera_Polizas!$B$227+9-49))*(1+(Cartera_Polizas!$P$227-1)*MAX(0,1-9/Supuestos!$C$20))*(1-Supuestos!$C$18)^9))</f>
        <v>0.529958355992756</v>
      </c>
      <c r="M225" s="29" t="n">
        <f aca="false">L225*(1-MIN(1,INDEX(Tabla_Mortalidad!$B$5:$B$75,MIN(71,Cartera_Polizas!$B$227+10-49))*(1+(Cartera_Polizas!$P$227-1)*MAX(0,1-10/Supuestos!$C$20))*(1-Supuestos!$C$18)^10))</f>
        <v>0.479234314190056</v>
      </c>
      <c r="N225" s="29" t="n">
        <f aca="false">M225*(1-MIN(1,INDEX(Tabla_Mortalidad!$B$5:$B$75,MIN(71,Cartera_Polizas!$B$227+11-49))*(1+(Cartera_Polizas!$P$227-1)*MAX(0,1-11/Supuestos!$C$20))*(1-Supuestos!$C$18)^11))</f>
        <v>0.42936150043922</v>
      </c>
      <c r="O225" s="29" t="n">
        <f aca="false">N225*(1-MIN(1,INDEX(Tabla_Mortalidad!$B$5:$B$75,MIN(71,Cartera_Polizas!$B$227+12-49))*(1+(Cartera_Polizas!$P$227-1)*MAX(0,1-12/Supuestos!$C$20))*(1-Supuestos!$C$18)^12))</f>
        <v>0.380821570097461</v>
      </c>
      <c r="P225" s="29" t="n">
        <f aca="false">O225*(1-MIN(1,INDEX(Tabla_Mortalidad!$B$5:$B$75,MIN(71,Cartera_Polizas!$B$227+13-49))*(1+(Cartera_Polizas!$P$227-1)*MAX(0,1-13/Supuestos!$C$20))*(1-Supuestos!$C$18)^13))</f>
        <v>0.334097644790368</v>
      </c>
      <c r="Q225" s="29" t="n">
        <f aca="false">P225*(1-MIN(1,INDEX(Tabla_Mortalidad!$B$5:$B$75,MIN(71,Cartera_Polizas!$B$227+14-49))*(1+(Cartera_Polizas!$P$227-1)*MAX(0,1-14/Supuestos!$C$20))*(1-Supuestos!$C$18)^14))</f>
        <v>0.28965727621747</v>
      </c>
      <c r="R225" s="29" t="n">
        <f aca="false">Q225*(1-MIN(1,INDEX(Tabla_Mortalidad!$B$5:$B$75,MIN(71,Cartera_Polizas!$B$227+15-49))*(1+(Cartera_Polizas!$P$227-1)*MAX(0,1-15/Supuestos!$C$20))*(1-Supuestos!$C$18)^15))</f>
        <v>0.247934140524252</v>
      </c>
      <c r="S225" s="29" t="n">
        <f aca="false">R225*(1-MIN(1,INDEX(Tabla_Mortalidad!$B$5:$B$75,MIN(71,Cartera_Polizas!$B$227+16-49))*(1+(Cartera_Polizas!$P$227-1)*MAX(0,1-16/Supuestos!$C$20))*(1-Supuestos!$C$18)^16))</f>
        <v>0.208643549016544</v>
      </c>
      <c r="T225" s="29" t="n">
        <f aca="false">S225*(1-MIN(1,INDEX(Tabla_Mortalidad!$B$5:$B$75,MIN(71,Cartera_Polizas!$B$227+17-49))*(1+(Cartera_Polizas!$P$227-1)*MAX(0,1-17/Supuestos!$C$20))*(1-Supuestos!$C$18)^17))</f>
        <v>0.172306072752626</v>
      </c>
      <c r="U225" s="29" t="n">
        <f aca="false">T225*(1-MIN(1,INDEX(Tabla_Mortalidad!$B$5:$B$75,MIN(71,Cartera_Polizas!$B$227+18-49))*(1+(Cartera_Polizas!$P$227-1)*MAX(0,1-18/Supuestos!$C$20))*(1-Supuestos!$C$18)^18))</f>
        <v>0.139365301336728</v>
      </c>
      <c r="V225" s="29" t="n">
        <f aca="false">U225*(1-MIN(1,INDEX(Tabla_Mortalidad!$B$5:$B$75,MIN(71,Cartera_Polizas!$B$227+19-49))*(1+(Cartera_Polizas!$P$227-1)*MAX(0,1-19/Supuestos!$C$20))*(1-Supuestos!$C$18)^19))</f>
        <v>0.110157429164405</v>
      </c>
      <c r="W225" s="29" t="n">
        <f aca="false">V225*(1-MIN(1,INDEX(Tabla_Mortalidad!$B$5:$B$75,MIN(71,Cartera_Polizas!$B$227+20-49))*(1+(Cartera_Polizas!$P$227-1)*MAX(0,1-20/Supuestos!$C$20))*(1-Supuestos!$C$18)^20))</f>
        <v>0.0848852033599857</v>
      </c>
      <c r="X225" s="29" t="n">
        <f aca="false">W225*(1-MIN(1,INDEX(Tabla_Mortalidad!$B$5:$B$75,MIN(71,Cartera_Polizas!$B$227+21-49))*(1+(Cartera_Polizas!$P$227-1)*MAX(0,1-21/Supuestos!$C$20))*(1-Supuestos!$C$18)^21))</f>
        <v>0.0636012356052113</v>
      </c>
      <c r="Y225" s="29" t="n">
        <f aca="false">X225*(1-MIN(1,INDEX(Tabla_Mortalidad!$B$5:$B$75,MIN(71,Cartera_Polizas!$B$227+22-49))*(1+(Cartera_Polizas!$P$227-1)*MAX(0,1-22/Supuestos!$C$20))*(1-Supuestos!$C$18)^22))</f>
        <v>0.0462027833716471</v>
      </c>
      <c r="Z225" s="29" t="n">
        <f aca="false">Y225*(1-MIN(1,INDEX(Tabla_Mortalidad!$B$5:$B$75,MIN(71,Cartera_Polizas!$B$227+23-49))*(1+(Cartera_Polizas!$P$227-1)*MAX(0,1-23/Supuestos!$C$20))*(1-Supuestos!$C$18)^23))</f>
        <v>0.0324403129735891</v>
      </c>
      <c r="AA225" s="29" t="n">
        <f aca="false">Z225*(1-MIN(1,INDEX(Tabla_Mortalidad!$B$5:$B$75,MIN(71,Cartera_Polizas!$B$227+24-49))*(1+(Cartera_Polizas!$P$227-1)*MAX(0,1-24/Supuestos!$C$20))*(1-Supuestos!$C$18)^24))</f>
        <v>0.0219407817038082</v>
      </c>
      <c r="AB225" s="29" t="n">
        <f aca="false">AA225*(1-MIN(1,INDEX(Tabla_Mortalidad!$B$5:$B$75,MIN(71,Cartera_Polizas!$B$227+25-49))*(1+(Cartera_Polizas!$P$227-1)*MAX(0,1-25/Supuestos!$C$20))*(1-Supuestos!$C$18)^25))</f>
        <v>0.0142427579647889</v>
      </c>
      <c r="AC225" s="29" t="n">
        <f aca="false">AB225*(1-MIN(1,INDEX(Tabla_Mortalidad!$B$5:$B$75,MIN(71,Cartera_Polizas!$B$227+26-49))*(1+(Cartera_Polizas!$P$227-1)*MAX(0,1-26/Supuestos!$C$20))*(1-Supuestos!$C$18)^26))</f>
        <v>0.00883951073967658</v>
      </c>
      <c r="AD225" s="29" t="n">
        <f aca="false">AC225*(1-MIN(1,INDEX(Tabla_Mortalidad!$B$5:$B$75,MIN(71,Cartera_Polizas!$B$227+27-49))*(1+(Cartera_Polizas!$P$227-1)*MAX(0,1-27/Supuestos!$C$20))*(1-Supuestos!$C$18)^27))</f>
        <v>0.00522364197620532</v>
      </c>
      <c r="AE225" s="29" t="n">
        <f aca="false">AD225*(1-MIN(1,INDEX(Tabla_Mortalidad!$B$5:$B$75,MIN(71,Cartera_Polizas!$B$227+28-49))*(1+(Cartera_Polizas!$P$227-1)*MAX(0,1-28/Supuestos!$C$20))*(1-Supuestos!$C$18)^28))</f>
        <v>0.0029266160905328</v>
      </c>
      <c r="AF225" s="29" t="n">
        <f aca="false">AE225*(1-MIN(1,INDEX(Tabla_Mortalidad!$B$5:$B$75,MIN(71,Cartera_Polizas!$B$227+29-49))*(1+(Cartera_Polizas!$P$227-1)*MAX(0,1-29/Supuestos!$C$20))*(1-Supuestos!$C$18)^29))</f>
        <v>0.0015476882369184</v>
      </c>
      <c r="AG225" s="29" t="n">
        <f aca="false">AF225*(1-MIN(1,INDEX(Tabla_Mortalidad!$B$5:$B$75,MIN(71,Cartera_Polizas!$B$227+30-49))*(1+(Cartera_Polizas!$P$227-1)*MAX(0,1-30/Supuestos!$C$20))*(1-Supuestos!$C$18)^30))</f>
        <v>0.000769103246853992</v>
      </c>
      <c r="AH225" s="29" t="n">
        <f aca="false">AG225*(1-MIN(1,INDEX(Tabla_Mortalidad!$B$5:$B$75,MIN(71,Cartera_Polizas!$B$227+31-49))*(1+(Cartera_Polizas!$P$227-1)*MAX(0,1-31/Supuestos!$C$20))*(1-Supuestos!$C$18)^31))</f>
        <v>0.000357569760036864</v>
      </c>
      <c r="AI225" s="29" t="n">
        <f aca="false">AH225*(1-MIN(1,INDEX(Tabla_Mortalidad!$B$5:$B$75,MIN(71,Cartera_Polizas!$B$227+32-49))*(1+(Cartera_Polizas!$P$227-1)*MAX(0,1-32/Supuestos!$C$20))*(1-Supuestos!$C$18)^32))</f>
        <v>0.000154886416733384</v>
      </c>
      <c r="AJ225" s="29" t="n">
        <f aca="false">AI225*(1-MIN(1,INDEX(Tabla_Mortalidad!$B$5:$B$75,MIN(71,Cartera_Polizas!$B$227+33-49))*(1+(Cartera_Polizas!$P$227-1)*MAX(0,1-33/Supuestos!$C$20))*(1-Supuestos!$C$18)^33))</f>
        <v>6.22799669860967E-005</v>
      </c>
      <c r="AK225" s="29" t="n">
        <f aca="false">AJ225*(1-MIN(1,INDEX(Tabla_Mortalidad!$B$5:$B$75,MIN(71,Cartera_Polizas!$B$227+34-49))*(1+(Cartera_Polizas!$P$227-1)*MAX(0,1-34/Supuestos!$C$20))*(1-Supuestos!$C$18)^34))</f>
        <v>2.31793835753372E-005</v>
      </c>
      <c r="AL225" s="29" t="n">
        <f aca="false">AK225*(1-MIN(1,INDEX(Tabla_Mortalidad!$B$5:$B$75,MIN(71,Cartera_Polizas!$B$227+35-49))*(1+(Cartera_Polizas!$P$227-1)*MAX(0,1-35/Supuestos!$C$20))*(1-Supuestos!$C$18)^35))</f>
        <v>7.97056927727535E-006</v>
      </c>
      <c r="AM225" s="29" t="n">
        <f aca="false">AL225*(1-MIN(1,INDEX(Tabla_Mortalidad!$B$5:$B$75,MIN(71,Cartera_Polizas!$B$227+36-49))*(1+(Cartera_Polizas!$P$227-1)*MAX(0,1-36/Supuestos!$C$20))*(1-Supuestos!$C$18)^36))</f>
        <v>2.53144670337405E-006</v>
      </c>
      <c r="AN225" s="29" t="n">
        <f aca="false">AM225*(1-MIN(1,INDEX(Tabla_Mortalidad!$B$5:$B$75,MIN(71,Cartera_Polizas!$B$227+37-49))*(1+(Cartera_Polizas!$P$227-1)*MAX(0,1-37/Supuestos!$C$20))*(1-Supuestos!$C$18)^37))</f>
        <v>7.43722767007046E-007</v>
      </c>
      <c r="AO225" s="29" t="n">
        <f aca="false">AN225*(1-MIN(1,INDEX(Tabla_Mortalidad!$B$5:$B$75,MIN(71,Cartera_Polizas!$B$227+38-49))*(1+(Cartera_Polizas!$P$227-1)*MAX(0,1-38/Supuestos!$C$20))*(1-Supuestos!$C$18)^38))</f>
        <v>2.0288111849734E-007</v>
      </c>
      <c r="AP225" s="29" t="n">
        <f aca="false">AO225*(1-MIN(1,INDEX(Tabla_Mortalidad!$B$5:$B$75,MIN(71,Cartera_Polizas!$B$227+39-49))*(1+(Cartera_Polizas!$P$227-1)*MAX(0,1-39/Supuestos!$C$20))*(1-Supuestos!$C$18)^39))</f>
        <v>5.17025914441992E-008</v>
      </c>
      <c r="AQ225" s="29" t="n">
        <f aca="false">AP225*(1-MIN(1,INDEX(Tabla_Mortalidad!$B$5:$B$75,MIN(71,Cartera_Polizas!$B$227+40-49))*(1+(Cartera_Polizas!$P$227-1)*MAX(0,1-40/Supuestos!$C$20))*(1-Supuestos!$C$18)^40))</f>
        <v>1.24128909103878E-008</v>
      </c>
      <c r="AR225" s="29" t="n">
        <f aca="false">AQ225*(1-MIN(1,INDEX(Tabla_Mortalidad!$B$5:$B$75,MIN(71,Cartera_Polizas!$B$227+41-49))*(1+(Cartera_Polizas!$P$227-1)*MAX(0,1-41/Supuestos!$C$20))*(1-Supuestos!$C$18)^41))</f>
        <v>2.83661535254102E-009</v>
      </c>
      <c r="AS225" s="29" t="n">
        <f aca="false">AR225*(1-MIN(1,INDEX(Tabla_Mortalidad!$B$5:$B$75,MIN(71,Cartera_Polizas!$B$227+42-49))*(1+(Cartera_Polizas!$P$227-1)*MAX(0,1-42/Supuestos!$C$20))*(1-Supuestos!$C$18)^42))</f>
        <v>5.38510496655273E-010</v>
      </c>
      <c r="AT225" s="29" t="n">
        <f aca="false">AS225*(1-MIN(1,INDEX(Tabla_Mortalidad!$B$5:$B$75,MIN(71,Cartera_Polizas!$B$227+43-49))*(1+(Cartera_Polizas!$P$227-1)*MAX(0,1-43/Supuestos!$C$20))*(1-Supuestos!$C$18)^43))</f>
        <v>1.04413636018411E-010</v>
      </c>
      <c r="AU225" s="29" t="n">
        <f aca="false">AT225*(1-MIN(1,INDEX(Tabla_Mortalidad!$B$5:$B$75,MIN(71,Cartera_Polizas!$B$227+44-49))*(1+(Cartera_Polizas!$P$227-1)*MAX(0,1-44/Supuestos!$C$20))*(1-Supuestos!$C$18)^44))</f>
        <v>2.06659584422653E-011</v>
      </c>
    </row>
    <row r="226" customFormat="false" ht="15" hidden="false" customHeight="false" outlineLevel="0" collapsed="false">
      <c r="A226" s="14" t="n">
        <f aca="false">Cartera_Polizas!A228</f>
        <v>223</v>
      </c>
      <c r="B226" s="26" t="n">
        <f aca="false">SUM(C226:AU226)+0.5</f>
        <v>12.2627668804306</v>
      </c>
      <c r="C226" s="29" t="n">
        <f aca="false">1-MIN(1,INDEX(Tabla_Mortalidad!$B$5:$B$75,MIN(71,Cartera_Polizas!$B$228+0-49))*(1+(Cartera_Polizas!$P$228-1)*MAX(0,1-0/Supuestos!$C$20))*(1-Supuestos!$C$18)^0)</f>
        <v>0.961873403</v>
      </c>
      <c r="D226" s="29" t="n">
        <f aca="false">C226*(1-MIN(1,INDEX(Tabla_Mortalidad!$B$5:$B$75,MIN(71,Cartera_Polizas!$B$228+1-49))*(1+(Cartera_Polizas!$P$228-1)*MAX(0,1-1/Supuestos!$C$20))*(1-Supuestos!$C$18)^1))</f>
        <v>0.922270122301639</v>
      </c>
      <c r="E226" s="29" t="n">
        <f aca="false">D226*(1-MIN(1,INDEX(Tabla_Mortalidad!$B$5:$B$75,MIN(71,Cartera_Polizas!$B$228+2-49))*(1+(Cartera_Polizas!$P$228-1)*MAX(0,1-2/Supuestos!$C$20))*(1-Supuestos!$C$18)^2))</f>
        <v>0.881299538275198</v>
      </c>
      <c r="F226" s="29" t="n">
        <f aca="false">E226*(1-MIN(1,INDEX(Tabla_Mortalidad!$B$5:$B$75,MIN(71,Cartera_Polizas!$B$228+3-49))*(1+(Cartera_Polizas!$P$228-1)*MAX(0,1-3/Supuestos!$C$20))*(1-Supuestos!$C$18)^3))</f>
        <v>0.839097699694841</v>
      </c>
      <c r="G226" s="29" t="n">
        <f aca="false">F226*(1-MIN(1,INDEX(Tabla_Mortalidad!$B$5:$B$75,MIN(71,Cartera_Polizas!$B$228+4-49))*(1+(Cartera_Polizas!$P$228-1)*MAX(0,1-4/Supuestos!$C$20))*(1-Supuestos!$C$18)^4))</f>
        <v>0.795828693661099</v>
      </c>
      <c r="H226" s="29" t="n">
        <f aca="false">G226*(1-MIN(1,INDEX(Tabla_Mortalidad!$B$5:$B$75,MIN(71,Cartera_Polizas!$B$228+5-49))*(1+(Cartera_Polizas!$P$228-1)*MAX(0,1-5/Supuestos!$C$20))*(1-Supuestos!$C$18)^5))</f>
        <v>0.751685442697237</v>
      </c>
      <c r="I226" s="29" t="n">
        <f aca="false">H226*(1-MIN(1,INDEX(Tabla_Mortalidad!$B$5:$B$75,MIN(71,Cartera_Polizas!$B$228+6-49))*(1+(Cartera_Polizas!$P$228-1)*MAX(0,1-6/Supuestos!$C$20))*(1-Supuestos!$C$18)^6))</f>
        <v>0.706888608732498</v>
      </c>
      <c r="J226" s="29" t="n">
        <f aca="false">I226*(1-MIN(1,INDEX(Tabla_Mortalidad!$B$5:$B$75,MIN(71,Cartera_Polizas!$B$228+7-49))*(1+(Cartera_Polizas!$P$228-1)*MAX(0,1-7/Supuestos!$C$20))*(1-Supuestos!$C$18)^7))</f>
        <v>0.661683047051113</v>
      </c>
      <c r="K226" s="29" t="n">
        <f aca="false">J226*(1-MIN(1,INDEX(Tabla_Mortalidad!$B$5:$B$75,MIN(71,Cartera_Polizas!$B$228+8-49))*(1+(Cartera_Polizas!$P$228-1)*MAX(0,1-8/Supuestos!$C$20))*(1-Supuestos!$C$18)^8))</f>
        <v>0.616336891195871</v>
      </c>
      <c r="L226" s="29" t="n">
        <f aca="false">K226*(1-MIN(1,INDEX(Tabla_Mortalidad!$B$5:$B$75,MIN(71,Cartera_Polizas!$B$228+9-49))*(1+(Cartera_Polizas!$P$228-1)*MAX(0,1-9/Supuestos!$C$20))*(1-Supuestos!$C$18)^9))</f>
        <v>0.571138914586468</v>
      </c>
      <c r="M226" s="29" t="n">
        <f aca="false">L226*(1-MIN(1,INDEX(Tabla_Mortalidad!$B$5:$B$75,MIN(71,Cartera_Polizas!$B$228+10-49))*(1+(Cartera_Polizas!$P$228-1)*MAX(0,1-10/Supuestos!$C$20))*(1-Supuestos!$C$18)^10))</f>
        <v>0.526391444855612</v>
      </c>
      <c r="N226" s="29" t="n">
        <f aca="false">M226*(1-MIN(1,INDEX(Tabla_Mortalidad!$B$5:$B$75,MIN(71,Cartera_Polizas!$B$228+11-49))*(1+(Cartera_Polizas!$P$228-1)*MAX(0,1-11/Supuestos!$C$20))*(1-Supuestos!$C$18)^11))</f>
        <v>0.482403873181796</v>
      </c>
      <c r="O226" s="29" t="n">
        <f aca="false">N226*(1-MIN(1,INDEX(Tabla_Mortalidad!$B$5:$B$75,MIN(71,Cartera_Polizas!$B$228+12-49))*(1+(Cartera_Polizas!$P$228-1)*MAX(0,1-12/Supuestos!$C$20))*(1-Supuestos!$C$18)^12))</f>
        <v>0.439488149490955</v>
      </c>
      <c r="P226" s="29" t="n">
        <f aca="false">O226*(1-MIN(1,INDEX(Tabla_Mortalidad!$B$5:$B$75,MIN(71,Cartera_Polizas!$B$228+13-49))*(1+(Cartera_Polizas!$P$228-1)*MAX(0,1-13/Supuestos!$C$20))*(1-Supuestos!$C$18)^13))</f>
        <v>0.397947345548604</v>
      </c>
      <c r="Q226" s="29" t="n">
        <f aca="false">P226*(1-MIN(1,INDEX(Tabla_Mortalidad!$B$5:$B$75,MIN(71,Cartera_Polizas!$B$228+14-49))*(1+(Cartera_Polizas!$P$228-1)*MAX(0,1-14/Supuestos!$C$20))*(1-Supuestos!$C$18)^14))</f>
        <v>0.358070551672855</v>
      </c>
      <c r="R226" s="29" t="n">
        <f aca="false">Q226*(1-MIN(1,INDEX(Tabla_Mortalidad!$B$5:$B$75,MIN(71,Cartera_Polizas!$B$228+15-49))*(1+(Cartera_Polizas!$P$228-1)*MAX(0,1-15/Supuestos!$C$20))*(1-Supuestos!$C$18)^15))</f>
        <v>0.320122119987715</v>
      </c>
      <c r="S226" s="29" t="n">
        <f aca="false">R226*(1-MIN(1,INDEX(Tabla_Mortalidad!$B$5:$B$75,MIN(71,Cartera_Polizas!$B$228+16-49))*(1+(Cartera_Polizas!$P$228-1)*MAX(0,1-16/Supuestos!$C$20))*(1-Supuestos!$C$18)^16))</f>
        <v>0.282699156574988</v>
      </c>
      <c r="T226" s="29" t="n">
        <f aca="false">S226*(1-MIN(1,INDEX(Tabla_Mortalidad!$B$5:$B$75,MIN(71,Cartera_Polizas!$B$228+17-49))*(1+(Cartera_Polizas!$P$228-1)*MAX(0,1-17/Supuestos!$C$20))*(1-Supuestos!$C$18)^17))</f>
        <v>0.246273657564577</v>
      </c>
      <c r="U226" s="29" t="n">
        <f aca="false">T226*(1-MIN(1,INDEX(Tabla_Mortalidad!$B$5:$B$75,MIN(71,Cartera_Polizas!$B$228+18-49))*(1+(Cartera_Polizas!$P$228-1)*MAX(0,1-18/Supuestos!$C$20))*(1-Supuestos!$C$18)^18))</f>
        <v>0.211329087589653</v>
      </c>
      <c r="V226" s="29" t="n">
        <f aca="false">U226*(1-MIN(1,INDEX(Tabla_Mortalidad!$B$5:$B$75,MIN(71,Cartera_Polizas!$B$228+19-49))*(1+(Cartera_Polizas!$P$228-1)*MAX(0,1-19/Supuestos!$C$20))*(1-Supuestos!$C$18)^19))</f>
        <v>0.178339206206103</v>
      </c>
      <c r="W226" s="29" t="n">
        <f aca="false">V226*(1-MIN(1,INDEX(Tabla_Mortalidad!$B$5:$B$75,MIN(71,Cartera_Polizas!$B$228+20-49))*(1+(Cartera_Polizas!$P$228-1)*MAX(0,1-20/Supuestos!$C$20))*(1-Supuestos!$C$18)^20))</f>
        <v>0.147743120335515</v>
      </c>
      <c r="X226" s="29" t="n">
        <f aca="false">W226*(1-MIN(1,INDEX(Tabla_Mortalidad!$B$5:$B$75,MIN(71,Cartera_Polizas!$B$228+21-49))*(1+(Cartera_Polizas!$P$228-1)*MAX(0,1-21/Supuestos!$C$20))*(1-Supuestos!$C$18)^21))</f>
        <v>0.119919752923631</v>
      </c>
      <c r="Y226" s="29" t="n">
        <f aca="false">X226*(1-MIN(1,INDEX(Tabla_Mortalidad!$B$5:$B$75,MIN(71,Cartera_Polizas!$B$228+22-49))*(1+(Cartera_Polizas!$P$228-1)*MAX(0,1-22/Supuestos!$C$20))*(1-Supuestos!$C$18)^22))</f>
        <v>0.0951623418158655</v>
      </c>
      <c r="Z226" s="29" t="n">
        <f aca="false">Y226*(1-MIN(1,INDEX(Tabla_Mortalidad!$B$5:$B$75,MIN(71,Cartera_Polizas!$B$228+23-49))*(1+(Cartera_Polizas!$P$228-1)*MAX(0,1-23/Supuestos!$C$20))*(1-Supuestos!$C$18)^23))</f>
        <v>0.073656122786832</v>
      </c>
      <c r="AA226" s="29" t="n">
        <f aca="false">Z226*(1-MIN(1,INDEX(Tabla_Mortalidad!$B$5:$B$75,MIN(71,Cartera_Polizas!$B$228+24-49))*(1+(Cartera_Polizas!$P$228-1)*MAX(0,1-24/Supuestos!$C$20))*(1-Supuestos!$C$18)^24))</f>
        <v>0.055463358392061</v>
      </c>
      <c r="AB226" s="29" t="n">
        <f aca="false">AA226*(1-MIN(1,INDEX(Tabla_Mortalidad!$B$5:$B$75,MIN(71,Cartera_Polizas!$B$228+25-49))*(1+(Cartera_Polizas!$P$228-1)*MAX(0,1-25/Supuestos!$C$20))*(1-Supuestos!$C$18)^25))</f>
        <v>0.0405175136077769</v>
      </c>
      <c r="AC226" s="29" t="n">
        <f aca="false">AB226*(1-MIN(1,INDEX(Tabla_Mortalidad!$B$5:$B$75,MIN(71,Cartera_Polizas!$B$228+26-49))*(1+(Cartera_Polizas!$P$228-1)*MAX(0,1-26/Supuestos!$C$20))*(1-Supuestos!$C$18)^26))</f>
        <v>0.0286286515696283</v>
      </c>
      <c r="AD226" s="29" t="n">
        <f aca="false">AC226*(1-MIN(1,INDEX(Tabla_Mortalidad!$B$5:$B$75,MIN(71,Cartera_Polizas!$B$228+27-49))*(1+(Cartera_Polizas!$P$228-1)*MAX(0,1-27/Supuestos!$C$20))*(1-Supuestos!$C$18)^27))</f>
        <v>0.019501084959658</v>
      </c>
      <c r="AE226" s="29" t="n">
        <f aca="false">AD226*(1-MIN(1,INDEX(Tabla_Mortalidad!$B$5:$B$75,MIN(71,Cartera_Polizas!$B$228+28-49))*(1+(Cartera_Polizas!$P$228-1)*MAX(0,1-28/Supuestos!$C$20))*(1-Supuestos!$C$18)^28))</f>
        <v>0.0127611583723014</v>
      </c>
      <c r="AF226" s="29" t="n">
        <f aca="false">AE226*(1-MIN(1,INDEX(Tabla_Mortalidad!$B$5:$B$75,MIN(71,Cartera_Polizas!$B$228+29-49))*(1+(Cartera_Polizas!$P$228-1)*MAX(0,1-29/Supuestos!$C$20))*(1-Supuestos!$C$18)^29))</f>
        <v>0.00799223783831034</v>
      </c>
      <c r="AG226" s="29" t="n">
        <f aca="false">AF226*(1-MIN(1,INDEX(Tabla_Mortalidad!$B$5:$B$75,MIN(71,Cartera_Polizas!$B$228+30-49))*(1+(Cartera_Polizas!$P$228-1)*MAX(0,1-30/Supuestos!$C$20))*(1-Supuestos!$C$18)^30))</f>
        <v>0.00477174695993735</v>
      </c>
      <c r="AH226" s="29" t="n">
        <f aca="false">AG226*(1-MIN(1,INDEX(Tabla_Mortalidad!$B$5:$B$75,MIN(71,Cartera_Polizas!$B$228+31-49))*(1+(Cartera_Polizas!$P$228-1)*MAX(0,1-31/Supuestos!$C$20))*(1-Supuestos!$C$18)^31))</f>
        <v>0.00270475335019071</v>
      </c>
      <c r="AI226" s="29" t="n">
        <f aca="false">AH226*(1-MIN(1,INDEX(Tabla_Mortalidad!$B$5:$B$75,MIN(71,Cartera_Polizas!$B$228+32-49))*(1+(Cartera_Polizas!$P$228-1)*MAX(0,1-32/Supuestos!$C$20))*(1-Supuestos!$C$18)^32))</f>
        <v>0.00144938059873346</v>
      </c>
      <c r="AJ226" s="29" t="n">
        <f aca="false">AI226*(1-MIN(1,INDEX(Tabla_Mortalidad!$B$5:$B$75,MIN(71,Cartera_Polizas!$B$228+33-49))*(1+(Cartera_Polizas!$P$228-1)*MAX(0,1-33/Supuestos!$C$20))*(1-Supuestos!$C$18)^33))</f>
        <v>0.00073113292019453</v>
      </c>
      <c r="AK226" s="29" t="n">
        <f aca="false">AJ226*(1-MIN(1,INDEX(Tabla_Mortalidad!$B$5:$B$75,MIN(71,Cartera_Polizas!$B$228+34-49))*(1+(Cartera_Polizas!$P$228-1)*MAX(0,1-34/Supuestos!$C$20))*(1-Supuestos!$C$18)^34))</f>
        <v>0.000345755632031315</v>
      </c>
      <c r="AL226" s="29" t="n">
        <f aca="false">AK226*(1-MIN(1,INDEX(Tabla_Mortalidad!$B$5:$B$75,MIN(71,Cartera_Polizas!$B$228+35-49))*(1+(Cartera_Polizas!$P$228-1)*MAX(0,1-35/Supuestos!$C$20))*(1-Supuestos!$C$18)^35))</f>
        <v>0.00015269408508953</v>
      </c>
      <c r="AM226" s="29" t="n">
        <f aca="false">AL226*(1-MIN(1,INDEX(Tabla_Mortalidad!$B$5:$B$75,MIN(71,Cartera_Polizas!$B$228+36-49))*(1+(Cartera_Polizas!$P$228-1)*MAX(0,1-36/Supuestos!$C$20))*(1-Supuestos!$C$18)^36))</f>
        <v>6.2761027554262E-005</v>
      </c>
      <c r="AN226" s="29" t="n">
        <f aca="false">AM226*(1-MIN(1,INDEX(Tabla_Mortalidad!$B$5:$B$75,MIN(71,Cartera_Polizas!$B$228+37-49))*(1+(Cartera_Polizas!$P$228-1)*MAX(0,1-37/Supuestos!$C$20))*(1-Supuestos!$C$18)^37))</f>
        <v>2.39465136642988E-005</v>
      </c>
      <c r="AO226" s="29" t="n">
        <f aca="false">AN226*(1-MIN(1,INDEX(Tabla_Mortalidad!$B$5:$B$75,MIN(71,Cartera_Polizas!$B$228+38-49))*(1+(Cartera_Polizas!$P$228-1)*MAX(0,1-38/Supuestos!$C$20))*(1-Supuestos!$C$18)^38))</f>
        <v>8.46886403740603E-006</v>
      </c>
      <c r="AP226" s="29" t="n">
        <f aca="false">AO226*(1-MIN(1,INDEX(Tabla_Mortalidad!$B$5:$B$75,MIN(71,Cartera_Polizas!$B$228+39-49))*(1+(Cartera_Polizas!$P$228-1)*MAX(0,1-39/Supuestos!$C$20))*(1-Supuestos!$C$18)^39))</f>
        <v>2.77595941283594E-006</v>
      </c>
      <c r="AQ226" s="29" t="n">
        <f aca="false">AP226*(1-MIN(1,INDEX(Tabla_Mortalidad!$B$5:$B$75,MIN(71,Cartera_Polizas!$B$228+40-49))*(1+(Cartera_Polizas!$P$228-1)*MAX(0,1-40/Supuestos!$C$20))*(1-Supuestos!$C$18)^40))</f>
        <v>8.44818249873986E-007</v>
      </c>
      <c r="AR226" s="29" t="n">
        <f aca="false">AQ226*(1-MIN(1,INDEX(Tabla_Mortalidad!$B$5:$B$75,MIN(71,Cartera_Polizas!$B$228+41-49))*(1+(Cartera_Polizas!$P$228-1)*MAX(0,1-41/Supuestos!$C$20))*(1-Supuestos!$C$18)^41))</f>
        <v>2.39628476414513E-007</v>
      </c>
      <c r="AS226" s="29" t="n">
        <f aca="false">AR226*(1-MIN(1,INDEX(Tabla_Mortalidad!$B$5:$B$75,MIN(71,Cartera_Polizas!$B$228+42-49))*(1+(Cartera_Polizas!$P$228-1)*MAX(0,1-42/Supuestos!$C$20))*(1-Supuestos!$C$18)^42))</f>
        <v>6.37324017095124E-008</v>
      </c>
      <c r="AT226" s="29" t="n">
        <f aca="false">AS226*(1-MIN(1,INDEX(Tabla_Mortalidad!$B$5:$B$75,MIN(71,Cartera_Polizas!$B$228+43-49))*(1+(Cartera_Polizas!$P$228-1)*MAX(0,1-43/Supuestos!$C$20))*(1-Supuestos!$C$18)^43))</f>
        <v>1.602388279538E-008</v>
      </c>
      <c r="AU226" s="29" t="n">
        <f aca="false">AT226*(1-MIN(1,INDEX(Tabla_Mortalidad!$B$5:$B$75,MIN(71,Cartera_Polizas!$B$228+44-49))*(1+(Cartera_Polizas!$P$228-1)*MAX(0,1-44/Supuestos!$C$20))*(1-Supuestos!$C$18)^44))</f>
        <v>3.84631102811182E-009</v>
      </c>
    </row>
    <row r="227" customFormat="false" ht="15" hidden="false" customHeight="false" outlineLevel="0" collapsed="false">
      <c r="A227" s="14" t="n">
        <f aca="false">Cartera_Polizas!A229</f>
        <v>224</v>
      </c>
      <c r="B227" s="26" t="n">
        <f aca="false">SUM(C227:AU227)+0.5</f>
        <v>6.45134428665813</v>
      </c>
      <c r="C227" s="29" t="n">
        <f aca="false">1-MIN(1,INDEX(Tabla_Mortalidad!$B$5:$B$75,MIN(71,Cartera_Polizas!$B$229+0-49))*(1+(Cartera_Polizas!$P$229-1)*MAX(0,1-0/Supuestos!$C$20))*(1-Supuestos!$C$18)^0)</f>
        <v>0.9069833125</v>
      </c>
      <c r="D227" s="29" t="n">
        <f aca="false">C227*(1-MIN(1,INDEX(Tabla_Mortalidad!$B$5:$B$75,MIN(71,Cartera_Polizas!$B$229+1-49))*(1+(Cartera_Polizas!$P$229-1)*MAX(0,1-1/Supuestos!$C$20))*(1-Supuestos!$C$18)^1))</f>
        <v>0.814893331428158</v>
      </c>
      <c r="E227" s="29" t="n">
        <f aca="false">D227*(1-MIN(1,INDEX(Tabla_Mortalidad!$B$5:$B$75,MIN(71,Cartera_Polizas!$B$229+2-49))*(1+(Cartera_Polizas!$P$229-1)*MAX(0,1-2/Supuestos!$C$20))*(1-Supuestos!$C$18)^2))</f>
        <v>0.724636680053512</v>
      </c>
      <c r="F227" s="29" t="n">
        <f aca="false">E227*(1-MIN(1,INDEX(Tabla_Mortalidad!$B$5:$B$75,MIN(71,Cartera_Polizas!$B$229+3-49))*(1+(Cartera_Polizas!$P$229-1)*MAX(0,1-3/Supuestos!$C$20))*(1-Supuestos!$C$18)^3))</f>
        <v>0.63715123767302</v>
      </c>
      <c r="G227" s="29" t="n">
        <f aca="false">F227*(1-MIN(1,INDEX(Tabla_Mortalidad!$B$5:$B$75,MIN(71,Cartera_Polizas!$B$229+4-49))*(1+(Cartera_Polizas!$P$229-1)*MAX(0,1-4/Supuestos!$C$20))*(1-Supuestos!$C$18)^4))</f>
        <v>0.553370608624874</v>
      </c>
      <c r="H227" s="29" t="n">
        <f aca="false">G227*(1-MIN(1,INDEX(Tabla_Mortalidad!$B$5:$B$75,MIN(71,Cartera_Polizas!$B$229+5-49))*(1+(Cartera_Polizas!$P$229-1)*MAX(0,1-5/Supuestos!$C$20))*(1-Supuestos!$C$18)^5))</f>
        <v>0.474190107638111</v>
      </c>
      <c r="I227" s="29" t="n">
        <f aca="false">H227*(1-MIN(1,INDEX(Tabla_Mortalidad!$B$5:$B$75,MIN(71,Cartera_Polizas!$B$229+6-49))*(1+(Cartera_Polizas!$P$229-1)*MAX(0,1-6/Supuestos!$C$20))*(1-Supuestos!$C$18)^6))</f>
        <v>0.400427577090137</v>
      </c>
      <c r="J227" s="29" t="n">
        <f aca="false">I227*(1-MIN(1,INDEX(Tabla_Mortalidad!$B$5:$B$75,MIN(71,Cartera_Polizas!$B$229+7-49))*(1+(Cartera_Polizas!$P$229-1)*MAX(0,1-7/Supuestos!$C$20))*(1-Supuestos!$C$18)^7))</f>
        <v>0.332783889250354</v>
      </c>
      <c r="K227" s="29" t="n">
        <f aca="false">J227*(1-MIN(1,INDEX(Tabla_Mortalidad!$B$5:$B$75,MIN(71,Cartera_Polizas!$B$229+8-49))*(1+(Cartera_Polizas!$P$229-1)*MAX(0,1-8/Supuestos!$C$20))*(1-Supuestos!$C$18)^8))</f>
        <v>0.271805101802343</v>
      </c>
      <c r="L227" s="29" t="n">
        <f aca="false">K227*(1-MIN(1,INDEX(Tabla_Mortalidad!$B$5:$B$75,MIN(71,Cartera_Polizas!$B$229+9-49))*(1+(Cartera_Polizas!$P$229-1)*MAX(0,1-9/Supuestos!$C$20))*(1-Supuestos!$C$18)^9))</f>
        <v>0.217849458231406</v>
      </c>
      <c r="M227" s="29" t="n">
        <f aca="false">L227*(1-MIN(1,INDEX(Tabla_Mortalidad!$B$5:$B$75,MIN(71,Cartera_Polizas!$B$229+10-49))*(1+(Cartera_Polizas!$P$229-1)*MAX(0,1-10/Supuestos!$C$20))*(1-Supuestos!$C$18)^10))</f>
        <v>0.171065868541887</v>
      </c>
      <c r="N227" s="29" t="n">
        <f aca="false">M227*(1-MIN(1,INDEX(Tabla_Mortalidad!$B$5:$B$75,MIN(71,Cartera_Polizas!$B$229+11-49))*(1+(Cartera_Polizas!$P$229-1)*MAX(0,1-11/Supuestos!$C$20))*(1-Supuestos!$C$18)^11))</f>
        <v>0.13138388156786</v>
      </c>
      <c r="O227" s="29" t="n">
        <f aca="false">N227*(1-MIN(1,INDEX(Tabla_Mortalidad!$B$5:$B$75,MIN(71,Cartera_Polizas!$B$229+12-49))*(1+(Cartera_Polizas!$P$229-1)*MAX(0,1-12/Supuestos!$C$20))*(1-Supuestos!$C$18)^12))</f>
        <v>0.0985183110637871</v>
      </c>
      <c r="P227" s="29" t="n">
        <f aca="false">O227*(1-MIN(1,INDEX(Tabla_Mortalidad!$B$5:$B$75,MIN(71,Cartera_Polizas!$B$229+13-49))*(1+(Cartera_Polizas!$P$229-1)*MAX(0,1-13/Supuestos!$C$20))*(1-Supuestos!$C$18)^13))</f>
        <v>0.0719910562276851</v>
      </c>
      <c r="Q227" s="29" t="n">
        <f aca="false">P227*(1-MIN(1,INDEX(Tabla_Mortalidad!$B$5:$B$75,MIN(71,Cartera_Polizas!$B$229+14-49))*(1+(Cartera_Polizas!$P$229-1)*MAX(0,1-14/Supuestos!$C$20))*(1-Supuestos!$C$18)^14))</f>
        <v>0.0511671873122844</v>
      </c>
      <c r="R227" s="29" t="n">
        <f aca="false">Q227*(1-MIN(1,INDEX(Tabla_Mortalidad!$B$5:$B$75,MIN(71,Cartera_Polizas!$B$229+15-49))*(1+(Cartera_Polizas!$P$229-1)*MAX(0,1-15/Supuestos!$C$20))*(1-Supuestos!$C$18)^15))</f>
        <v>0.0353023670289428</v>
      </c>
      <c r="S227" s="29" t="n">
        <f aca="false">R227*(1-MIN(1,INDEX(Tabla_Mortalidad!$B$5:$B$75,MIN(71,Cartera_Polizas!$B$229+16-49))*(1+(Cartera_Polizas!$P$229-1)*MAX(0,1-16/Supuestos!$C$20))*(1-Supuestos!$C$18)^16))</f>
        <v>0.0234090209684826</v>
      </c>
      <c r="T227" s="29" t="n">
        <f aca="false">S227*(1-MIN(1,INDEX(Tabla_Mortalidad!$B$5:$B$75,MIN(71,Cartera_Polizas!$B$229+17-49))*(1+(Cartera_Polizas!$P$229-1)*MAX(0,1-17/Supuestos!$C$20))*(1-Supuestos!$C$18)^17))</f>
        <v>0.0148598155133317</v>
      </c>
      <c r="U227" s="29" t="n">
        <f aca="false">T227*(1-MIN(1,INDEX(Tabla_Mortalidad!$B$5:$B$75,MIN(71,Cartera_Polizas!$B$229+18-49))*(1+(Cartera_Polizas!$P$229-1)*MAX(0,1-18/Supuestos!$C$20))*(1-Supuestos!$C$18)^18))</f>
        <v>0.00899182346549247</v>
      </c>
      <c r="V227" s="29" t="n">
        <f aca="false">U227*(1-MIN(1,INDEX(Tabla_Mortalidad!$B$5:$B$75,MIN(71,Cartera_Polizas!$B$229+19-49))*(1+(Cartera_Polizas!$P$229-1)*MAX(0,1-19/Supuestos!$C$20))*(1-Supuestos!$C$18)^19))</f>
        <v>0.0051631567948719</v>
      </c>
      <c r="W227" s="29" t="n">
        <f aca="false">V227*(1-MIN(1,INDEX(Tabla_Mortalidad!$B$5:$B$75,MIN(71,Cartera_Polizas!$B$229+20-49))*(1+(Cartera_Polizas!$P$229-1)*MAX(0,1-20/Supuestos!$C$20))*(1-Supuestos!$C$18)^20))</f>
        <v>0.00279983339964188</v>
      </c>
      <c r="X227" s="29" t="n">
        <f aca="false">W227*(1-MIN(1,INDEX(Tabla_Mortalidad!$B$5:$B$75,MIN(71,Cartera_Polizas!$B$229+21-49))*(1+(Cartera_Polizas!$P$229-1)*MAX(0,1-21/Supuestos!$C$20))*(1-Supuestos!$C$18)^21))</f>
        <v>0.00142666648083845</v>
      </c>
      <c r="Y227" s="29" t="n">
        <f aca="false">X227*(1-MIN(1,INDEX(Tabla_Mortalidad!$B$5:$B$75,MIN(71,Cartera_Polizas!$B$229+22-49))*(1+(Cartera_Polizas!$P$229-1)*MAX(0,1-22/Supuestos!$C$20))*(1-Supuestos!$C$18)^22))</f>
        <v>0.000679598097728642</v>
      </c>
      <c r="Z227" s="29" t="n">
        <f aca="false">Y227*(1-MIN(1,INDEX(Tabla_Mortalidad!$B$5:$B$75,MIN(71,Cartera_Polizas!$B$229+23-49))*(1+(Cartera_Polizas!$P$229-1)*MAX(0,1-23/Supuestos!$C$20))*(1-Supuestos!$C$18)^23))</f>
        <v>0.000301078784286329</v>
      </c>
      <c r="AA227" s="29" t="n">
        <f aca="false">Z227*(1-MIN(1,INDEX(Tabla_Mortalidad!$B$5:$B$75,MIN(71,Cartera_Polizas!$B$229+24-49))*(1+(Cartera_Polizas!$P$229-1)*MAX(0,1-24/Supuestos!$C$20))*(1-Supuestos!$C$18)^24))</f>
        <v>0.000123433867789478</v>
      </c>
      <c r="AB227" s="29" t="n">
        <f aca="false">AA227*(1-MIN(1,INDEX(Tabla_Mortalidad!$B$5:$B$75,MIN(71,Cartera_Polizas!$B$229+25-49))*(1+(Cartera_Polizas!$P$229-1)*MAX(0,1-25/Supuestos!$C$20))*(1-Supuestos!$C$18)^25))</f>
        <v>4.66132855892176E-005</v>
      </c>
      <c r="AC227" s="29" t="n">
        <f aca="false">AB227*(1-MIN(1,INDEX(Tabla_Mortalidad!$B$5:$B$75,MIN(71,Cartera_Polizas!$B$229+26-49))*(1+(Cartera_Polizas!$P$229-1)*MAX(0,1-26/Supuestos!$C$20))*(1-Supuestos!$C$18)^26))</f>
        <v>1.61511789912569E-005</v>
      </c>
      <c r="AD227" s="29" t="n">
        <f aca="false">AC227*(1-MIN(1,INDEX(Tabla_Mortalidad!$B$5:$B$75,MIN(71,Cartera_Polizas!$B$229+27-49))*(1+(Cartera_Polizas!$P$229-1)*MAX(0,1-27/Supuestos!$C$20))*(1-Supuestos!$C$18)^27))</f>
        <v>5.12022536142546E-006</v>
      </c>
      <c r="AE227" s="29" t="n">
        <f aca="false">AD227*(1-MIN(1,INDEX(Tabla_Mortalidad!$B$5:$B$75,MIN(71,Cartera_Polizas!$B$229+28-49))*(1+(Cartera_Polizas!$P$229-1)*MAX(0,1-28/Supuestos!$C$20))*(1-Supuestos!$C$18)^28))</f>
        <v>1.48322004739188E-006</v>
      </c>
      <c r="AF227" s="29" t="n">
        <f aca="false">AE227*(1-MIN(1,INDEX(Tabla_Mortalidad!$B$5:$B$75,MIN(71,Cartera_Polizas!$B$229+29-49))*(1+(Cartera_Polizas!$P$229-1)*MAX(0,1-29/Supuestos!$C$20))*(1-Supuestos!$C$18)^29))</f>
        <v>3.92903488984525E-007</v>
      </c>
      <c r="AG227" s="29" t="n">
        <f aca="false">AF227*(1-MIN(1,INDEX(Tabla_Mortalidad!$B$5:$B$75,MIN(71,Cartera_Polizas!$B$229+30-49))*(1+(Cartera_Polizas!$P$229-1)*MAX(0,1-30/Supuestos!$C$20))*(1-Supuestos!$C$18)^30))</f>
        <v>9.54902540005372E-008</v>
      </c>
      <c r="AH227" s="29" t="n">
        <f aca="false">AG227*(1-MIN(1,INDEX(Tabla_Mortalidad!$B$5:$B$75,MIN(71,Cartera_Polizas!$B$229+31-49))*(1+(Cartera_Polizas!$P$229-1)*MAX(0,1-31/Supuestos!$C$20))*(1-Supuestos!$C$18)^31))</f>
        <v>2.14235733750018E-008</v>
      </c>
      <c r="AI227" s="29" t="n">
        <f aca="false">AH227*(1-MIN(1,INDEX(Tabla_Mortalidad!$B$5:$B$75,MIN(71,Cartera_Polizas!$B$229+32-49))*(1+(Cartera_Polizas!$P$229-1)*MAX(0,1-32/Supuestos!$C$20))*(1-Supuestos!$C$18)^32))</f>
        <v>4.47732089736588E-009</v>
      </c>
      <c r="AJ227" s="29" t="n">
        <f aca="false">AI227*(1-MIN(1,INDEX(Tabla_Mortalidad!$B$5:$B$75,MIN(71,Cartera_Polizas!$B$229+33-49))*(1+(Cartera_Polizas!$P$229-1)*MAX(0,1-33/Supuestos!$C$20))*(1-Supuestos!$C$18)^33))</f>
        <v>8.81837630220674E-010</v>
      </c>
      <c r="AK227" s="29" t="n">
        <f aca="false">AJ227*(1-MIN(1,INDEX(Tabla_Mortalidad!$B$5:$B$75,MIN(71,Cartera_Polizas!$B$229+34-49))*(1+(Cartera_Polizas!$P$229-1)*MAX(0,1-34/Supuestos!$C$20))*(1-Supuestos!$C$18)^34))</f>
        <v>1.38179427492684E-010</v>
      </c>
      <c r="AL227" s="29" t="n">
        <f aca="false">AK227*(1-MIN(1,INDEX(Tabla_Mortalidad!$B$5:$B$75,MIN(71,Cartera_Polizas!$B$229+35-49))*(1+(Cartera_Polizas!$P$229-1)*MAX(0,1-35/Supuestos!$C$20))*(1-Supuestos!$C$18)^35))</f>
        <v>2.22346436960456E-011</v>
      </c>
      <c r="AM227" s="29" t="n">
        <f aca="false">AL227*(1-MIN(1,INDEX(Tabla_Mortalidad!$B$5:$B$75,MIN(71,Cartera_Polizas!$B$229+36-49))*(1+(Cartera_Polizas!$P$229-1)*MAX(0,1-36/Supuestos!$C$20))*(1-Supuestos!$C$18)^36))</f>
        <v>3.67109159645073E-012</v>
      </c>
      <c r="AN227" s="29" t="n">
        <f aca="false">AM227*(1-MIN(1,INDEX(Tabla_Mortalidad!$B$5:$B$75,MIN(71,Cartera_Polizas!$B$229+37-49))*(1+(Cartera_Polizas!$P$229-1)*MAX(0,1-37/Supuestos!$C$20))*(1-Supuestos!$C$18)^37))</f>
        <v>6.21447152425209E-013</v>
      </c>
      <c r="AO227" s="29" t="n">
        <f aca="false">AN227*(1-MIN(1,INDEX(Tabla_Mortalidad!$B$5:$B$75,MIN(71,Cartera_Polizas!$B$229+38-49))*(1+(Cartera_Polizas!$P$229-1)*MAX(0,1-38/Supuestos!$C$20))*(1-Supuestos!$C$18)^38))</f>
        <v>1.07780619780283E-013</v>
      </c>
      <c r="AP227" s="29" t="n">
        <f aca="false">AO227*(1-MIN(1,INDEX(Tabla_Mortalidad!$B$5:$B$75,MIN(71,Cartera_Polizas!$B$229+39-49))*(1+(Cartera_Polizas!$P$229-1)*MAX(0,1-39/Supuestos!$C$20))*(1-Supuestos!$C$18)^39))</f>
        <v>1.91383586521422E-014</v>
      </c>
      <c r="AQ227" s="29" t="n">
        <f aca="false">AP227*(1-MIN(1,INDEX(Tabla_Mortalidad!$B$5:$B$75,MIN(71,Cartera_Polizas!$B$229+40-49))*(1+(Cartera_Polizas!$P$229-1)*MAX(0,1-40/Supuestos!$C$20))*(1-Supuestos!$C$18)^40))</f>
        <v>3.47705468374585E-015</v>
      </c>
      <c r="AR227" s="29" t="n">
        <f aca="false">AQ227*(1-MIN(1,INDEX(Tabla_Mortalidad!$B$5:$B$75,MIN(71,Cartera_Polizas!$B$229+41-49))*(1+(Cartera_Polizas!$P$229-1)*MAX(0,1-41/Supuestos!$C$20))*(1-Supuestos!$C$18)^41))</f>
        <v>6.45937593188517E-016</v>
      </c>
      <c r="AS227" s="29" t="n">
        <f aca="false">AR227*(1-MIN(1,INDEX(Tabla_Mortalidad!$B$5:$B$75,MIN(71,Cartera_Polizas!$B$229+42-49))*(1+(Cartera_Polizas!$P$229-1)*MAX(0,1-42/Supuestos!$C$20))*(1-Supuestos!$C$18)^42))</f>
        <v>1.2262648645847E-016</v>
      </c>
      <c r="AT227" s="29" t="n">
        <f aca="false">AS227*(1-MIN(1,INDEX(Tabla_Mortalidad!$B$5:$B$75,MIN(71,Cartera_Polizas!$B$229+43-49))*(1+(Cartera_Polizas!$P$229-1)*MAX(0,1-43/Supuestos!$C$20))*(1-Supuestos!$C$18)^43))</f>
        <v>2.3776467502151E-017</v>
      </c>
      <c r="AU227" s="29" t="n">
        <f aca="false">AT227*(1-MIN(1,INDEX(Tabla_Mortalidad!$B$5:$B$75,MIN(71,Cartera_Polizas!$B$229+44-49))*(1+(Cartera_Polizas!$P$229-1)*MAX(0,1-44/Supuestos!$C$20))*(1-Supuestos!$C$18)^44))</f>
        <v>4.70593217553197E-018</v>
      </c>
    </row>
    <row r="228" customFormat="false" ht="15" hidden="false" customHeight="false" outlineLevel="0" collapsed="false">
      <c r="A228" s="14" t="n">
        <f aca="false">Cartera_Polizas!A230</f>
        <v>225</v>
      </c>
      <c r="B228" s="26" t="n">
        <f aca="false">SUM(C228:AU228)+0.5</f>
        <v>5.48526665530951</v>
      </c>
      <c r="C228" s="29" t="n">
        <f aca="false">1-MIN(1,INDEX(Tabla_Mortalidad!$B$5:$B$75,MIN(71,Cartera_Polizas!$B$230+0-49))*(1+(Cartera_Polizas!$P$230-1)*MAX(0,1-0/Supuestos!$C$20))*(1-Supuestos!$C$18)^0)</f>
        <v>0.868701602</v>
      </c>
      <c r="D228" s="29" t="n">
        <f aca="false">C228*(1-MIN(1,INDEX(Tabla_Mortalidad!$B$5:$B$75,MIN(71,Cartera_Polizas!$B$230+1-49))*(1+(Cartera_Polizas!$P$230-1)*MAX(0,1-1/Supuestos!$C$20))*(1-Supuestos!$C$18)^1))</f>
        <v>0.747341682309512</v>
      </c>
      <c r="E228" s="29" t="n">
        <f aca="false">D228*(1-MIN(1,INDEX(Tabla_Mortalidad!$B$5:$B$75,MIN(71,Cartera_Polizas!$B$230+2-49))*(1+(Cartera_Polizas!$P$230-1)*MAX(0,1-2/Supuestos!$C$20))*(1-Supuestos!$C$18)^2))</f>
        <v>0.636477255030126</v>
      </c>
      <c r="F228" s="29" t="n">
        <f aca="false">E228*(1-MIN(1,INDEX(Tabla_Mortalidad!$B$5:$B$75,MIN(71,Cartera_Polizas!$B$230+3-49))*(1+(Cartera_Polizas!$P$230-1)*MAX(0,1-3/Supuestos!$C$20))*(1-Supuestos!$C$18)^3))</f>
        <v>0.536436520582765</v>
      </c>
      <c r="G228" s="29" t="n">
        <f aca="false">F228*(1-MIN(1,INDEX(Tabla_Mortalidad!$B$5:$B$75,MIN(71,Cartera_Polizas!$B$230+4-49))*(1+(Cartera_Polizas!$P$230-1)*MAX(0,1-4/Supuestos!$C$20))*(1-Supuestos!$C$18)^4))</f>
        <v>0.447315545461984</v>
      </c>
      <c r="H228" s="29" t="n">
        <f aca="false">G228*(1-MIN(1,INDEX(Tabla_Mortalidad!$B$5:$B$75,MIN(71,Cartera_Polizas!$B$230+5-49))*(1+(Cartera_Polizas!$P$230-1)*MAX(0,1-5/Supuestos!$C$20))*(1-Supuestos!$C$18)^5))</f>
        <v>0.368971684149955</v>
      </c>
      <c r="I228" s="29" t="n">
        <f aca="false">H228*(1-MIN(1,INDEX(Tabla_Mortalidad!$B$5:$B$75,MIN(71,Cartera_Polizas!$B$230+6-49))*(1+(Cartera_Polizas!$P$230-1)*MAX(0,1-6/Supuestos!$C$20))*(1-Supuestos!$C$18)^6))</f>
        <v>0.301044439185734</v>
      </c>
      <c r="J228" s="29" t="n">
        <f aca="false">I228*(1-MIN(1,INDEX(Tabla_Mortalidad!$B$5:$B$75,MIN(71,Cartera_Polizas!$B$230+7-49))*(1+(Cartera_Polizas!$P$230-1)*MAX(0,1-7/Supuestos!$C$20))*(1-Supuestos!$C$18)^7))</f>
        <v>0.242975337677473</v>
      </c>
      <c r="K228" s="29" t="n">
        <f aca="false">J228*(1-MIN(1,INDEX(Tabla_Mortalidad!$B$5:$B$75,MIN(71,Cartera_Polizas!$B$230+8-49))*(1+(Cartera_Polizas!$P$230-1)*MAX(0,1-8/Supuestos!$C$20))*(1-Supuestos!$C$18)^8))</f>
        <v>0.194043751971511</v>
      </c>
      <c r="L228" s="29" t="n">
        <f aca="false">K228*(1-MIN(1,INDEX(Tabla_Mortalidad!$B$5:$B$75,MIN(71,Cartera_Polizas!$B$230+9-49))*(1+(Cartera_Polizas!$P$230-1)*MAX(0,1-9/Supuestos!$C$20))*(1-Supuestos!$C$18)^9))</f>
        <v>0.153407823257183</v>
      </c>
      <c r="M228" s="29" t="n">
        <f aca="false">L228*(1-MIN(1,INDEX(Tabla_Mortalidad!$B$5:$B$75,MIN(71,Cartera_Polizas!$B$230+10-49))*(1+(Cartera_Polizas!$P$230-1)*MAX(0,1-10/Supuestos!$C$20))*(1-Supuestos!$C$18)^10))</f>
        <v>0.120149423608736</v>
      </c>
      <c r="N228" s="29" t="n">
        <f aca="false">M228*(1-MIN(1,INDEX(Tabla_Mortalidad!$B$5:$B$75,MIN(71,Cartera_Polizas!$B$230+11-49))*(1+(Cartera_Polizas!$P$230-1)*MAX(0,1-11/Supuestos!$C$20))*(1-Supuestos!$C$18)^11))</f>
        <v>0.093318876137556</v>
      </c>
      <c r="O228" s="29" t="n">
        <f aca="false">N228*(1-MIN(1,INDEX(Tabla_Mortalidad!$B$5:$B$75,MIN(71,Cartera_Polizas!$B$230+12-49))*(1+(Cartera_Polizas!$P$230-1)*MAX(0,1-12/Supuestos!$C$20))*(1-Supuestos!$C$18)^12))</f>
        <v>0.0719760805316119</v>
      </c>
      <c r="P228" s="29" t="n">
        <f aca="false">O228*(1-MIN(1,INDEX(Tabla_Mortalidad!$B$5:$B$75,MIN(71,Cartera_Polizas!$B$230+13-49))*(1+(Cartera_Polizas!$P$230-1)*MAX(0,1-13/Supuestos!$C$20))*(1-Supuestos!$C$18)^13))</f>
        <v>0.0552264407817163</v>
      </c>
      <c r="Q228" s="29" t="n">
        <f aca="false">P228*(1-MIN(1,INDEX(Tabla_Mortalidad!$B$5:$B$75,MIN(71,Cartera_Polizas!$B$230+14-49))*(1+(Cartera_Polizas!$P$230-1)*MAX(0,1-14/Supuestos!$C$20))*(1-Supuestos!$C$18)^14))</f>
        <v>0.0422480102723772</v>
      </c>
      <c r="R228" s="29" t="n">
        <f aca="false">Q228*(1-MIN(1,INDEX(Tabla_Mortalidad!$B$5:$B$75,MIN(71,Cartera_Polizas!$B$230+15-49))*(1+(Cartera_Polizas!$P$230-1)*MAX(0,1-15/Supuestos!$C$20))*(1-Supuestos!$C$18)^15))</f>
        <v>0.0323095167782942</v>
      </c>
      <c r="S228" s="29" t="n">
        <f aca="false">R228*(1-MIN(1,INDEX(Tabla_Mortalidad!$B$5:$B$75,MIN(71,Cartera_Polizas!$B$230+16-49))*(1+(Cartera_Polizas!$P$230-1)*MAX(0,1-16/Supuestos!$C$20))*(1-Supuestos!$C$18)^16))</f>
        <v>0.0240026803668124</v>
      </c>
      <c r="T228" s="29" t="n">
        <f aca="false">S228*(1-MIN(1,INDEX(Tabla_Mortalidad!$B$5:$B$75,MIN(71,Cartera_Polizas!$B$230+17-49))*(1+(Cartera_Polizas!$P$230-1)*MAX(0,1-17/Supuestos!$C$20))*(1-Supuestos!$C$18)^17))</f>
        <v>0.0172699782424519</v>
      </c>
      <c r="U228" s="29" t="n">
        <f aca="false">T228*(1-MIN(1,INDEX(Tabla_Mortalidad!$B$5:$B$75,MIN(71,Cartera_Polizas!$B$230+18-49))*(1+(Cartera_Polizas!$P$230-1)*MAX(0,1-18/Supuestos!$C$20))*(1-Supuestos!$C$18)^18))</f>
        <v>0.0119951946671065</v>
      </c>
      <c r="V228" s="29" t="n">
        <f aca="false">U228*(1-MIN(1,INDEX(Tabla_Mortalidad!$B$5:$B$75,MIN(71,Cartera_Polizas!$B$230+19-49))*(1+(Cartera_Polizas!$P$230-1)*MAX(0,1-19/Supuestos!$C$20))*(1-Supuestos!$C$18)^19))</f>
        <v>0.00801433587662064</v>
      </c>
      <c r="W228" s="29" t="n">
        <f aca="false">V228*(1-MIN(1,INDEX(Tabla_Mortalidad!$B$5:$B$75,MIN(71,Cartera_Polizas!$B$230+20-49))*(1+(Cartera_Polizas!$P$230-1)*MAX(0,1-20/Supuestos!$C$20))*(1-Supuestos!$C$18)^20))</f>
        <v>0.0051311058954298</v>
      </c>
      <c r="X228" s="29" t="n">
        <f aca="false">W228*(1-MIN(1,INDEX(Tabla_Mortalidad!$B$5:$B$75,MIN(71,Cartera_Polizas!$B$230+21-49))*(1+(Cartera_Polizas!$P$230-1)*MAX(0,1-21/Supuestos!$C$20))*(1-Supuestos!$C$18)^21))</f>
        <v>0.00313512528123501</v>
      </c>
      <c r="Y228" s="29" t="n">
        <f aca="false">X228*(1-MIN(1,INDEX(Tabla_Mortalidad!$B$5:$B$75,MIN(71,Cartera_Polizas!$B$230+22-49))*(1+(Cartera_Polizas!$P$230-1)*MAX(0,1-22/Supuestos!$C$20))*(1-Supuestos!$C$18)^22))</f>
        <v>0.00182013080613426</v>
      </c>
      <c r="Z228" s="29" t="n">
        <f aca="false">Y228*(1-MIN(1,INDEX(Tabla_Mortalidad!$B$5:$B$75,MIN(71,Cartera_Polizas!$B$230+23-49))*(1+(Cartera_Polizas!$P$230-1)*MAX(0,1-23/Supuestos!$C$20))*(1-Supuestos!$C$18)^23))</f>
        <v>0.000999439783519789</v>
      </c>
      <c r="AA228" s="29" t="n">
        <f aca="false">Z228*(1-MIN(1,INDEX(Tabla_Mortalidad!$B$5:$B$75,MIN(71,Cartera_Polizas!$B$230+24-49))*(1+(Cartera_Polizas!$P$230-1)*MAX(0,1-24/Supuestos!$C$20))*(1-Supuestos!$C$18)^24))</f>
        <v>0.000516584467274446</v>
      </c>
      <c r="AB228" s="29" t="n">
        <f aca="false">AA228*(1-MIN(1,INDEX(Tabla_Mortalidad!$B$5:$B$75,MIN(71,Cartera_Polizas!$B$230+25-49))*(1+(Cartera_Polizas!$P$230-1)*MAX(0,1-25/Supuestos!$C$20))*(1-Supuestos!$C$18)^25))</f>
        <v>0.000250114367201683</v>
      </c>
      <c r="AC228" s="29" t="n">
        <f aca="false">AB228*(1-MIN(1,INDEX(Tabla_Mortalidad!$B$5:$B$75,MIN(71,Cartera_Polizas!$B$230+26-49))*(1+(Cartera_Polizas!$P$230-1)*MAX(0,1-26/Supuestos!$C$20))*(1-Supuestos!$C$18)^26))</f>
        <v>0.000112886039549858</v>
      </c>
      <c r="AD228" s="29" t="n">
        <f aca="false">AC228*(1-MIN(1,INDEX(Tabla_Mortalidad!$B$5:$B$75,MIN(71,Cartera_Polizas!$B$230+27-49))*(1+(Cartera_Polizas!$P$230-1)*MAX(0,1-27/Supuestos!$C$20))*(1-Supuestos!$C$18)^27))</f>
        <v>4.72742158343349E-005</v>
      </c>
      <c r="AE228" s="29" t="n">
        <f aca="false">AD228*(1-MIN(1,INDEX(Tabla_Mortalidad!$B$5:$B$75,MIN(71,Cartera_Polizas!$B$230+28-49))*(1+(Cartera_Polizas!$P$230-1)*MAX(0,1-28/Supuestos!$C$20))*(1-Supuestos!$C$18)^28))</f>
        <v>1.82916499124059E-005</v>
      </c>
      <c r="AF228" s="29" t="n">
        <f aca="false">AE228*(1-MIN(1,INDEX(Tabla_Mortalidad!$B$5:$B$75,MIN(71,Cartera_Polizas!$B$230+29-49))*(1+(Cartera_Polizas!$P$230-1)*MAX(0,1-29/Supuestos!$C$20))*(1-Supuestos!$C$18)^29))</f>
        <v>6.51634014357624E-006</v>
      </c>
      <c r="AG228" s="29" t="n">
        <f aca="false">AF228*(1-MIN(1,INDEX(Tabla_Mortalidad!$B$5:$B$75,MIN(71,Cartera_Polizas!$B$230+30-49))*(1+(Cartera_Polizas!$P$230-1)*MAX(0,1-30/Supuestos!$C$20))*(1-Supuestos!$C$18)^30))</f>
        <v>2.13222636264448E-006</v>
      </c>
      <c r="AH228" s="29" t="n">
        <f aca="false">AG228*(1-MIN(1,INDEX(Tabla_Mortalidad!$B$5:$B$75,MIN(71,Cartera_Polizas!$B$230+31-49))*(1+(Cartera_Polizas!$P$230-1)*MAX(0,1-31/Supuestos!$C$20))*(1-Supuestos!$C$18)^31))</f>
        <v>6.40265571315194E-007</v>
      </c>
      <c r="AI228" s="29" t="n">
        <f aca="false">AH228*(1-MIN(1,INDEX(Tabla_Mortalidad!$B$5:$B$75,MIN(71,Cartera_Polizas!$B$230+32-49))*(1+(Cartera_Polizas!$P$230-1)*MAX(0,1-32/Supuestos!$C$20))*(1-Supuestos!$C$18)^32))</f>
        <v>1.76630359041995E-007</v>
      </c>
      <c r="AJ228" s="29" t="n">
        <f aca="false">AI228*(1-MIN(1,INDEX(Tabla_Mortalidad!$B$5:$B$75,MIN(71,Cartera_Polizas!$B$230+33-49))*(1+(Cartera_Polizas!$P$230-1)*MAX(0,1-33/Supuestos!$C$20))*(1-Supuestos!$C$18)^33))</f>
        <v>4.49233160106836E-008</v>
      </c>
      <c r="AK228" s="29" t="n">
        <f aca="false">AJ228*(1-MIN(1,INDEX(Tabla_Mortalidad!$B$5:$B$75,MIN(71,Cartera_Polizas!$B$230+34-49))*(1+(Cartera_Polizas!$P$230-1)*MAX(0,1-34/Supuestos!$C$20))*(1-Supuestos!$C$18)^34))</f>
        <v>1.05987636930914E-008</v>
      </c>
      <c r="AL228" s="29" t="n">
        <f aca="false">AK228*(1-MIN(1,INDEX(Tabla_Mortalidad!$B$5:$B$75,MIN(71,Cartera_Polizas!$B$230+35-49))*(1+(Cartera_Polizas!$P$230-1)*MAX(0,1-35/Supuestos!$C$20))*(1-Supuestos!$C$18)^35))</f>
        <v>2.34016785743051E-009</v>
      </c>
      <c r="AM228" s="29" t="n">
        <f aca="false">AL228*(1-MIN(1,INDEX(Tabla_Mortalidad!$B$5:$B$75,MIN(71,Cartera_Polizas!$B$230+36-49))*(1+(Cartera_Polizas!$P$230-1)*MAX(0,1-36/Supuestos!$C$20))*(1-Supuestos!$C$18)^36))</f>
        <v>4.88959501157243E-010</v>
      </c>
      <c r="AN228" s="29" t="n">
        <f aca="false">AM228*(1-MIN(1,INDEX(Tabla_Mortalidad!$B$5:$B$75,MIN(71,Cartera_Polizas!$B$230+37-49))*(1+(Cartera_Polizas!$P$230-1)*MAX(0,1-37/Supuestos!$C$20))*(1-Supuestos!$C$18)^37))</f>
        <v>8.27716992785466E-011</v>
      </c>
      <c r="AO228" s="29" t="n">
        <f aca="false">AN228*(1-MIN(1,INDEX(Tabla_Mortalidad!$B$5:$B$75,MIN(71,Cartera_Polizas!$B$230+38-49))*(1+(Cartera_Polizas!$P$230-1)*MAX(0,1-38/Supuestos!$C$20))*(1-Supuestos!$C$18)^38))</f>
        <v>1.43555007271235E-011</v>
      </c>
      <c r="AP228" s="29" t="n">
        <f aca="false">AO228*(1-MIN(1,INDEX(Tabla_Mortalidad!$B$5:$B$75,MIN(71,Cartera_Polizas!$B$230+39-49))*(1+(Cartera_Polizas!$P$230-1)*MAX(0,1-39/Supuestos!$C$20))*(1-Supuestos!$C$18)^39))</f>
        <v>2.5490734986202E-012</v>
      </c>
      <c r="AQ228" s="29" t="n">
        <f aca="false">AP228*(1-MIN(1,INDEX(Tabla_Mortalidad!$B$5:$B$75,MIN(71,Cartera_Polizas!$B$230+40-49))*(1+(Cartera_Polizas!$P$230-1)*MAX(0,1-40/Supuestos!$C$20))*(1-Supuestos!$C$18)^40))</f>
        <v>4.63115364733625E-013</v>
      </c>
      <c r="AR228" s="29" t="n">
        <f aca="false">AQ228*(1-MIN(1,INDEX(Tabla_Mortalidad!$B$5:$B$75,MIN(71,Cartera_Polizas!$B$230+41-49))*(1+(Cartera_Polizas!$P$230-1)*MAX(0,1-41/Supuestos!$C$20))*(1-Supuestos!$C$18)^41))</f>
        <v>8.60336265239265E-014</v>
      </c>
      <c r="AS228" s="29" t="n">
        <f aca="false">AR228*(1-MIN(1,INDEX(Tabla_Mortalidad!$B$5:$B$75,MIN(71,Cartera_Polizas!$B$230+42-49))*(1+(Cartera_Polizas!$P$230-1)*MAX(0,1-42/Supuestos!$C$20))*(1-Supuestos!$C$18)^42))</f>
        <v>1.63328492553465E-014</v>
      </c>
      <c r="AT228" s="29" t="n">
        <f aca="false">AS228*(1-MIN(1,INDEX(Tabla_Mortalidad!$B$5:$B$75,MIN(71,Cartera_Polizas!$B$230+43-49))*(1+(Cartera_Polizas!$P$230-1)*MAX(0,1-43/Supuestos!$C$20))*(1-Supuestos!$C$18)^43))</f>
        <v>3.16683182200441E-015</v>
      </c>
      <c r="AU228" s="29" t="n">
        <f aca="false">AT228*(1-MIN(1,INDEX(Tabla_Mortalidad!$B$5:$B$75,MIN(71,Cartera_Polizas!$B$230+44-49))*(1+(Cartera_Polizas!$P$230-1)*MAX(0,1-44/Supuestos!$C$20))*(1-Supuestos!$C$18)^44))</f>
        <v>6.26791837951574E-016</v>
      </c>
    </row>
    <row r="229" customFormat="false" ht="15" hidden="false" customHeight="false" outlineLevel="0" collapsed="false">
      <c r="A229" s="14" t="n">
        <f aca="false">Cartera_Polizas!A231</f>
        <v>226</v>
      </c>
      <c r="B229" s="26" t="n">
        <f aca="false">SUM(C229:AU229)+0.5</f>
        <v>6.97118665055771</v>
      </c>
      <c r="C229" s="29" t="n">
        <f aca="false">1-MIN(1,INDEX(Tabla_Mortalidad!$B$5:$B$75,MIN(71,Cartera_Polizas!$B$231+0-49))*(1+(Cartera_Polizas!$P$231-1)*MAX(0,1-0/Supuestos!$C$20))*(1-Supuestos!$C$18)^0)</f>
        <v>0.91684462</v>
      </c>
      <c r="D229" s="29" t="n">
        <f aca="false">C229*(1-MIN(1,INDEX(Tabla_Mortalidad!$B$5:$B$75,MIN(71,Cartera_Polizas!$B$231+1-49))*(1+(Cartera_Polizas!$P$231-1)*MAX(0,1-1/Supuestos!$C$20))*(1-Supuestos!$C$18)^1))</f>
        <v>0.833554862613663</v>
      </c>
      <c r="E229" s="29" t="n">
        <f aca="false">D229*(1-MIN(1,INDEX(Tabla_Mortalidad!$B$5:$B$75,MIN(71,Cartera_Polizas!$B$231+2-49))*(1+(Cartera_Polizas!$P$231-1)*MAX(0,1-2/Supuestos!$C$20))*(1-Supuestos!$C$18)^2))</f>
        <v>0.750883035263015</v>
      </c>
      <c r="F229" s="29" t="n">
        <f aca="false">E229*(1-MIN(1,INDEX(Tabla_Mortalidad!$B$5:$B$75,MIN(71,Cartera_Polizas!$B$231+3-49))*(1+(Cartera_Polizas!$P$231-1)*MAX(0,1-3/Supuestos!$C$20))*(1-Supuestos!$C$18)^3))</f>
        <v>0.669630252578942</v>
      </c>
      <c r="G229" s="29" t="n">
        <f aca="false">F229*(1-MIN(1,INDEX(Tabla_Mortalidad!$B$5:$B$75,MIN(71,Cartera_Polizas!$B$231+4-49))*(1+(Cartera_Polizas!$P$231-1)*MAX(0,1-4/Supuestos!$C$20))*(1-Supuestos!$C$18)^4))</f>
        <v>0.590632029814882</v>
      </c>
      <c r="H229" s="29" t="n">
        <f aca="false">G229*(1-MIN(1,INDEX(Tabla_Mortalidad!$B$5:$B$75,MIN(71,Cartera_Polizas!$B$231+5-49))*(1+(Cartera_Polizas!$P$231-1)*MAX(0,1-5/Supuestos!$C$20))*(1-Supuestos!$C$18)^5))</f>
        <v>0.514727750967176</v>
      </c>
      <c r="I229" s="29" t="n">
        <f aca="false">H229*(1-MIN(1,INDEX(Tabla_Mortalidad!$B$5:$B$75,MIN(71,Cartera_Polizas!$B$231+6-49))*(1+(Cartera_Polizas!$P$231-1)*MAX(0,1-6/Supuestos!$C$20))*(1-Supuestos!$C$18)^6))</f>
        <v>0.442731227046858</v>
      </c>
      <c r="J229" s="29" t="n">
        <f aca="false">I229*(1-MIN(1,INDEX(Tabla_Mortalidad!$B$5:$B$75,MIN(71,Cartera_Polizas!$B$231+7-49))*(1+(Cartera_Polizas!$P$231-1)*MAX(0,1-7/Supuestos!$C$20))*(1-Supuestos!$C$18)^7))</f>
        <v>0.375396179209679</v>
      </c>
      <c r="K229" s="29" t="n">
        <f aca="false">J229*(1-MIN(1,INDEX(Tabla_Mortalidad!$B$5:$B$75,MIN(71,Cartera_Polizas!$B$231+8-49))*(1+(Cartera_Polizas!$P$231-1)*MAX(0,1-8/Supuestos!$C$20))*(1-Supuestos!$C$18)^8))</f>
        <v>0.313380835646054</v>
      </c>
      <c r="L229" s="29" t="n">
        <f aca="false">K229*(1-MIN(1,INDEX(Tabla_Mortalidad!$B$5:$B$75,MIN(71,Cartera_Polizas!$B$231+9-49))*(1+(Cartera_Polizas!$P$231-1)*MAX(0,1-9/Supuestos!$C$20))*(1-Supuestos!$C$18)^9))</f>
        <v>0.257213251934579</v>
      </c>
      <c r="M229" s="29" t="n">
        <f aca="false">L229*(1-MIN(1,INDEX(Tabla_Mortalidad!$B$5:$B$75,MIN(71,Cartera_Polizas!$B$231+10-49))*(1+(Cartera_Polizas!$P$231-1)*MAX(0,1-10/Supuestos!$C$20))*(1-Supuestos!$C$18)^10))</f>
        <v>0.207260106236112</v>
      </c>
      <c r="N229" s="29" t="n">
        <f aca="false">M229*(1-MIN(1,INDEX(Tabla_Mortalidad!$B$5:$B$75,MIN(71,Cartera_Polizas!$B$231+11-49))*(1+(Cartera_Polizas!$P$231-1)*MAX(0,1-11/Supuestos!$C$20))*(1-Supuestos!$C$18)^11))</f>
        <v>0.163704994025549</v>
      </c>
      <c r="O229" s="29" t="n">
        <f aca="false">N229*(1-MIN(1,INDEX(Tabla_Mortalidad!$B$5:$B$75,MIN(71,Cartera_Polizas!$B$231+12-49))*(1+(Cartera_Polizas!$P$231-1)*MAX(0,1-12/Supuestos!$C$20))*(1-Supuestos!$C$18)^12))</f>
        <v>0.126536299409219</v>
      </c>
      <c r="P229" s="29" t="n">
        <f aca="false">O229*(1-MIN(1,INDEX(Tabla_Mortalidad!$B$5:$B$75,MIN(71,Cartera_Polizas!$B$231+13-49))*(1+(Cartera_Polizas!$P$231-1)*MAX(0,1-13/Supuestos!$C$20))*(1-Supuestos!$C$18)^13))</f>
        <v>0.0955477322470202</v>
      </c>
      <c r="Q229" s="29" t="n">
        <f aca="false">P229*(1-MIN(1,INDEX(Tabla_Mortalidad!$B$5:$B$75,MIN(71,Cartera_Polizas!$B$231+14-49))*(1+(Cartera_Polizas!$P$231-1)*MAX(0,1-14/Supuestos!$C$20))*(1-Supuestos!$C$18)^14))</f>
        <v>0.0703542580118728</v>
      </c>
      <c r="R229" s="29" t="n">
        <f aca="false">Q229*(1-MIN(1,INDEX(Tabla_Mortalidad!$B$5:$B$75,MIN(71,Cartera_Polizas!$B$231+15-49))*(1+(Cartera_Polizas!$P$231-1)*MAX(0,1-15/Supuestos!$C$20))*(1-Supuestos!$C$18)^15))</f>
        <v>0.05042120213718</v>
      </c>
      <c r="S229" s="29" t="n">
        <f aca="false">R229*(1-MIN(1,INDEX(Tabla_Mortalidad!$B$5:$B$75,MIN(71,Cartera_Polizas!$B$231+16-49))*(1+(Cartera_Polizas!$P$231-1)*MAX(0,1-16/Supuestos!$C$20))*(1-Supuestos!$C$18)^16))</f>
        <v>0.0348658484890143</v>
      </c>
      <c r="T229" s="29" t="n">
        <f aca="false">S229*(1-MIN(1,INDEX(Tabla_Mortalidad!$B$5:$B$75,MIN(71,Cartera_Polizas!$B$231+17-49))*(1+(Cartera_Polizas!$P$231-1)*MAX(0,1-17/Supuestos!$C$20))*(1-Supuestos!$C$18)^17))</f>
        <v>0.0231782966762905</v>
      </c>
      <c r="U229" s="29" t="n">
        <f aca="false">T229*(1-MIN(1,INDEX(Tabla_Mortalidad!$B$5:$B$75,MIN(71,Cartera_Polizas!$B$231+18-49))*(1+(Cartera_Polizas!$P$231-1)*MAX(0,1-18/Supuestos!$C$20))*(1-Supuestos!$C$18)^18))</f>
        <v>0.0147556787227426</v>
      </c>
      <c r="V229" s="29" t="n">
        <f aca="false">U229*(1-MIN(1,INDEX(Tabla_Mortalidad!$B$5:$B$75,MIN(71,Cartera_Polizas!$B$231+19-49))*(1+(Cartera_Polizas!$P$231-1)*MAX(0,1-19/Supuestos!$C$20))*(1-Supuestos!$C$18)^19))</f>
        <v>0.00895794359600418</v>
      </c>
      <c r="W229" s="29" t="n">
        <f aca="false">V229*(1-MIN(1,INDEX(Tabla_Mortalidad!$B$5:$B$75,MIN(71,Cartera_Polizas!$B$231+20-49))*(1+(Cartera_Polizas!$P$231-1)*MAX(0,1-20/Supuestos!$C$20))*(1-Supuestos!$C$18)^20))</f>
        <v>0.00516277398287004</v>
      </c>
      <c r="X229" s="29" t="n">
        <f aca="false">W229*(1-MIN(1,INDEX(Tabla_Mortalidad!$B$5:$B$75,MIN(71,Cartera_Polizas!$B$231+21-49))*(1+(Cartera_Polizas!$P$231-1)*MAX(0,1-21/Supuestos!$C$20))*(1-Supuestos!$C$18)^21))</f>
        <v>0.00281144155241402</v>
      </c>
      <c r="Y229" s="29" t="n">
        <f aca="false">X229*(1-MIN(1,INDEX(Tabla_Mortalidad!$B$5:$B$75,MIN(71,Cartera_Polizas!$B$231+22-49))*(1+(Cartera_Polizas!$P$231-1)*MAX(0,1-22/Supuestos!$C$20))*(1-Supuestos!$C$18)^22))</f>
        <v>0.0014394757626831</v>
      </c>
      <c r="Z229" s="29" t="n">
        <f aca="false">Y229*(1-MIN(1,INDEX(Tabla_Mortalidad!$B$5:$B$75,MIN(71,Cartera_Polizas!$B$231+23-49))*(1+(Cartera_Polizas!$P$231-1)*MAX(0,1-23/Supuestos!$C$20))*(1-Supuestos!$C$18)^23))</f>
        <v>0.000689468728262688</v>
      </c>
      <c r="AA229" s="29" t="n">
        <f aca="false">Z229*(1-MIN(1,INDEX(Tabla_Mortalidad!$B$5:$B$75,MIN(71,Cartera_Polizas!$B$231+24-49))*(1+(Cartera_Polizas!$P$231-1)*MAX(0,1-24/Supuestos!$C$20))*(1-Supuestos!$C$18)^24))</f>
        <v>0.000307371803063064</v>
      </c>
      <c r="AB229" s="29" t="n">
        <f aca="false">AA229*(1-MIN(1,INDEX(Tabla_Mortalidad!$B$5:$B$75,MIN(71,Cartera_Polizas!$B$231+25-49))*(1+(Cartera_Polizas!$P$231-1)*MAX(0,1-25/Supuestos!$C$20))*(1-Supuestos!$C$18)^25))</f>
        <v>0.000126920619078233</v>
      </c>
      <c r="AC229" s="29" t="n">
        <f aca="false">AB229*(1-MIN(1,INDEX(Tabla_Mortalidad!$B$5:$B$75,MIN(71,Cartera_Polizas!$B$231+26-49))*(1+(Cartera_Polizas!$P$231-1)*MAX(0,1-26/Supuestos!$C$20))*(1-Supuestos!$C$18)^26))</f>
        <v>4.83249674528672E-005</v>
      </c>
      <c r="AD229" s="29" t="n">
        <f aca="false">AC229*(1-MIN(1,INDEX(Tabla_Mortalidad!$B$5:$B$75,MIN(71,Cartera_Polizas!$B$231+27-49))*(1+(Cartera_Polizas!$P$231-1)*MAX(0,1-27/Supuestos!$C$20))*(1-Supuestos!$C$18)^27))</f>
        <v>1.69021683554019E-005</v>
      </c>
      <c r="AE229" s="29" t="n">
        <f aca="false">AD229*(1-MIN(1,INDEX(Tabla_Mortalidad!$B$5:$B$75,MIN(71,Cartera_Polizas!$B$231+28-49))*(1+(Cartera_Polizas!$P$231-1)*MAX(0,1-28/Supuestos!$C$20))*(1-Supuestos!$C$18)^28))</f>
        <v>5.41602234119408E-006</v>
      </c>
      <c r="AF229" s="29" t="n">
        <f aca="false">AE229*(1-MIN(1,INDEX(Tabla_Mortalidad!$B$5:$B$75,MIN(71,Cartera_Polizas!$B$231+29-49))*(1+(Cartera_Polizas!$P$231-1)*MAX(0,1-29/Supuestos!$C$20))*(1-Supuestos!$C$18)^29))</f>
        <v>1.58814170271145E-006</v>
      </c>
      <c r="AG229" s="29" t="n">
        <f aca="false">AF229*(1-MIN(1,INDEX(Tabla_Mortalidad!$B$5:$B$75,MIN(71,Cartera_Polizas!$B$231+30-49))*(1+(Cartera_Polizas!$P$231-1)*MAX(0,1-30/Supuestos!$C$20))*(1-Supuestos!$C$18)^30))</f>
        <v>4.26534352126257E-007</v>
      </c>
      <c r="AH229" s="29" t="n">
        <f aca="false">AG229*(1-MIN(1,INDEX(Tabla_Mortalidad!$B$5:$B$75,MIN(71,Cartera_Polizas!$B$231+31-49))*(1+(Cartera_Polizas!$P$231-1)*MAX(0,1-31/Supuestos!$C$20))*(1-Supuestos!$C$18)^31))</f>
        <v>1.05278165228022E-007</v>
      </c>
      <c r="AI229" s="29" t="n">
        <f aca="false">AH229*(1-MIN(1,INDEX(Tabla_Mortalidad!$B$5:$B$75,MIN(71,Cartera_Polizas!$B$231+32-49))*(1+(Cartera_Polizas!$P$231-1)*MAX(0,1-32/Supuestos!$C$20))*(1-Supuestos!$C$18)^32))</f>
        <v>2.40278187838847E-008</v>
      </c>
      <c r="AJ229" s="29" t="n">
        <f aca="false">AI229*(1-MIN(1,INDEX(Tabla_Mortalidad!$B$5:$B$75,MIN(71,Cartera_Polizas!$B$231+33-49))*(1+(Cartera_Polizas!$P$231-1)*MAX(0,1-33/Supuestos!$C$20))*(1-Supuestos!$C$18)^33))</f>
        <v>5.11661433218729E-009</v>
      </c>
      <c r="AK229" s="29" t="n">
        <f aca="false">AJ229*(1-MIN(1,INDEX(Tabla_Mortalidad!$B$5:$B$75,MIN(71,Cartera_Polizas!$B$231+34-49))*(1+(Cartera_Polizas!$P$231-1)*MAX(0,1-34/Supuestos!$C$20))*(1-Supuestos!$C$18)^34))</f>
        <v>1.02829497127108E-009</v>
      </c>
      <c r="AL229" s="29" t="n">
        <f aca="false">AK229*(1-MIN(1,INDEX(Tabla_Mortalidad!$B$5:$B$75,MIN(71,Cartera_Polizas!$B$231+35-49))*(1+(Cartera_Polizas!$P$231-1)*MAX(0,1-35/Supuestos!$C$20))*(1-Supuestos!$C$18)^35))</f>
        <v>1.65464372776175E-010</v>
      </c>
      <c r="AM229" s="29" t="n">
        <f aca="false">AL229*(1-MIN(1,INDEX(Tabla_Mortalidad!$B$5:$B$75,MIN(71,Cartera_Polizas!$B$231+36-49))*(1+(Cartera_Polizas!$P$231-1)*MAX(0,1-36/Supuestos!$C$20))*(1-Supuestos!$C$18)^36))</f>
        <v>2.73192985106677E-011</v>
      </c>
      <c r="AN229" s="29" t="n">
        <f aca="false">AM229*(1-MIN(1,INDEX(Tabla_Mortalidad!$B$5:$B$75,MIN(71,Cartera_Polizas!$B$231+37-49))*(1+(Cartera_Polizas!$P$231-1)*MAX(0,1-37/Supuestos!$C$20))*(1-Supuestos!$C$18)^37))</f>
        <v>4.62464632648307E-012</v>
      </c>
      <c r="AO229" s="29" t="n">
        <f aca="false">AN229*(1-MIN(1,INDEX(Tabla_Mortalidad!$B$5:$B$75,MIN(71,Cartera_Polizas!$B$231+38-49))*(1+(Cartera_Polizas!$P$231-1)*MAX(0,1-38/Supuestos!$C$20))*(1-Supuestos!$C$18)^38))</f>
        <v>8.0207503628869E-013</v>
      </c>
      <c r="AP229" s="29" t="n">
        <f aca="false">AO229*(1-MIN(1,INDEX(Tabla_Mortalidad!$B$5:$B$75,MIN(71,Cartera_Polizas!$B$231+39-49))*(1+(Cartera_Polizas!$P$231-1)*MAX(0,1-39/Supuestos!$C$20))*(1-Supuestos!$C$18)^39))</f>
        <v>1.42422633509769E-013</v>
      </c>
      <c r="AQ229" s="29" t="n">
        <f aca="false">AP229*(1-MIN(1,INDEX(Tabla_Mortalidad!$B$5:$B$75,MIN(71,Cartera_Polizas!$B$231+40-49))*(1+(Cartera_Polizas!$P$231-1)*MAX(0,1-40/Supuestos!$C$20))*(1-Supuestos!$C$18)^40))</f>
        <v>2.58753268196868E-014</v>
      </c>
      <c r="AR229" s="29" t="n">
        <f aca="false">AQ229*(1-MIN(1,INDEX(Tabla_Mortalidad!$B$5:$B$75,MIN(71,Cartera_Polizas!$B$231+41-49))*(1+(Cartera_Polizas!$P$231-1)*MAX(0,1-41/Supuestos!$C$20))*(1-Supuestos!$C$18)^41))</f>
        <v>4.80689774797238E-015</v>
      </c>
      <c r="AS229" s="29" t="n">
        <f aca="false">AR229*(1-MIN(1,INDEX(Tabla_Mortalidad!$B$5:$B$75,MIN(71,Cartera_Polizas!$B$231+42-49))*(1+(Cartera_Polizas!$P$231-1)*MAX(0,1-42/Supuestos!$C$20))*(1-Supuestos!$C$18)^42))</f>
        <v>9.12554073047975E-016</v>
      </c>
      <c r="AT229" s="29" t="n">
        <f aca="false">AS229*(1-MIN(1,INDEX(Tabla_Mortalidad!$B$5:$B$75,MIN(71,Cartera_Polizas!$B$231+43-49))*(1+(Cartera_Polizas!$P$231-1)*MAX(0,1-43/Supuestos!$C$20))*(1-Supuestos!$C$18)^43))</f>
        <v>1.76938220187275E-016</v>
      </c>
      <c r="AU229" s="29" t="n">
        <f aca="false">AT229*(1-MIN(1,INDEX(Tabla_Mortalidad!$B$5:$B$75,MIN(71,Cartera_Polizas!$B$231+44-49))*(1+(Cartera_Polizas!$P$231-1)*MAX(0,1-44/Supuestos!$C$20))*(1-Supuestos!$C$18)^44))</f>
        <v>3.50203100349255E-017</v>
      </c>
    </row>
    <row r="230" customFormat="false" ht="15" hidden="false" customHeight="false" outlineLevel="0" collapsed="false">
      <c r="A230" s="14" t="n">
        <f aca="false">Cartera_Polizas!A232</f>
        <v>227</v>
      </c>
      <c r="B230" s="26" t="n">
        <f aca="false">SUM(C230:AU230)+0.5</f>
        <v>10.2810276121255</v>
      </c>
      <c r="C230" s="29" t="n">
        <f aca="false">1-MIN(1,INDEX(Tabla_Mortalidad!$B$5:$B$75,MIN(71,Cartera_Polizas!$B$232+0-49))*(1+(Cartera_Polizas!$P$232-1)*MAX(0,1-0/Supuestos!$C$20))*(1-Supuestos!$C$18)^0)</f>
        <v>0.9500108575</v>
      </c>
      <c r="D230" s="29" t="n">
        <f aca="false">C230*(1-MIN(1,INDEX(Tabla_Mortalidad!$B$5:$B$75,MIN(71,Cartera_Polizas!$B$232+1-49))*(1+(Cartera_Polizas!$P$232-1)*MAX(0,1-1/Supuestos!$C$20))*(1-Supuestos!$C$18)^1))</f>
        <v>0.898632486739599</v>
      </c>
      <c r="E230" s="29" t="n">
        <f aca="false">D230*(1-MIN(1,INDEX(Tabla_Mortalidad!$B$5:$B$75,MIN(71,Cartera_Polizas!$B$232+2-49))*(1+(Cartera_Polizas!$P$232-1)*MAX(0,1-2/Supuestos!$C$20))*(1-Supuestos!$C$18)^2))</f>
        <v>0.846097779361</v>
      </c>
      <c r="F230" s="29" t="n">
        <f aca="false">E230*(1-MIN(1,INDEX(Tabla_Mortalidad!$B$5:$B$75,MIN(71,Cartera_Polizas!$B$232+3-49))*(1+(Cartera_Polizas!$P$232-1)*MAX(0,1-3/Supuestos!$C$20))*(1-Supuestos!$C$18)^3))</f>
        <v>0.792677563065229</v>
      </c>
      <c r="G230" s="29" t="n">
        <f aca="false">F230*(1-MIN(1,INDEX(Tabla_Mortalidad!$B$5:$B$75,MIN(71,Cartera_Polizas!$B$232+4-49))*(1+(Cartera_Polizas!$P$232-1)*MAX(0,1-4/Supuestos!$C$20))*(1-Supuestos!$C$18)^4))</f>
        <v>0.738676916266324</v>
      </c>
      <c r="H230" s="29" t="n">
        <f aca="false">G230*(1-MIN(1,INDEX(Tabla_Mortalidad!$B$5:$B$75,MIN(71,Cartera_Polizas!$B$232+5-49))*(1+(Cartera_Polizas!$P$232-1)*MAX(0,1-5/Supuestos!$C$20))*(1-Supuestos!$C$18)^5))</f>
        <v>0.684434442062799</v>
      </c>
      <c r="I230" s="29" t="n">
        <f aca="false">H230*(1-MIN(1,INDEX(Tabla_Mortalidad!$B$5:$B$75,MIN(71,Cartera_Polizas!$B$232+6-49))*(1+(Cartera_Polizas!$P$232-1)*MAX(0,1-6/Supuestos!$C$20))*(1-Supuestos!$C$18)^6))</f>
        <v>0.63031923930159</v>
      </c>
      <c r="J230" s="29" t="n">
        <f aca="false">I230*(1-MIN(1,INDEX(Tabla_Mortalidad!$B$5:$B$75,MIN(71,Cartera_Polizas!$B$232+7-49))*(1+(Cartera_Polizas!$P$232-1)*MAX(0,1-7/Supuestos!$C$20))*(1-Supuestos!$C$18)^7))</f>
        <v>0.576722216040329</v>
      </c>
      <c r="K230" s="29" t="n">
        <f aca="false">J230*(1-MIN(1,INDEX(Tabla_Mortalidad!$B$5:$B$75,MIN(71,Cartera_Polizas!$B$232+8-49))*(1+(Cartera_Polizas!$P$232-1)*MAX(0,1-8/Supuestos!$C$20))*(1-Supuestos!$C$18)^8))</f>
        <v>0.524047731852956</v>
      </c>
      <c r="L230" s="29" t="n">
        <f aca="false">K230*(1-MIN(1,INDEX(Tabla_Mortalidad!$B$5:$B$75,MIN(71,Cartera_Polizas!$B$232+9-49))*(1+(Cartera_Polizas!$P$232-1)*MAX(0,1-9/Supuestos!$C$20))*(1-Supuestos!$C$18)^9))</f>
        <v>0.472707193635658</v>
      </c>
      <c r="M230" s="29" t="n">
        <f aca="false">L230*(1-MIN(1,INDEX(Tabla_Mortalidad!$B$5:$B$75,MIN(71,Cartera_Polizas!$B$232+10-49))*(1+(Cartera_Polizas!$P$232-1)*MAX(0,1-10/Supuestos!$C$20))*(1-Supuestos!$C$18)^10))</f>
        <v>0.423103872837173</v>
      </c>
      <c r="N230" s="29" t="n">
        <f aca="false">M230*(1-MIN(1,INDEX(Tabla_Mortalidad!$B$5:$B$75,MIN(71,Cartera_Polizas!$B$232+11-49))*(1+(Cartera_Polizas!$P$232-1)*MAX(0,1-11/Supuestos!$C$20))*(1-Supuestos!$C$18)^11))</f>
        <v>0.375624907927469</v>
      </c>
      <c r="O230" s="29" t="n">
        <f aca="false">N230*(1-MIN(1,INDEX(Tabla_Mortalidad!$B$5:$B$75,MIN(71,Cartera_Polizas!$B$232+12-49))*(1+(Cartera_Polizas!$P$232-1)*MAX(0,1-12/Supuestos!$C$20))*(1-Supuestos!$C$18)^12))</f>
        <v>0.330626143517883</v>
      </c>
      <c r="P230" s="29" t="n">
        <f aca="false">O230*(1-MIN(1,INDEX(Tabla_Mortalidad!$B$5:$B$75,MIN(71,Cartera_Polizas!$B$232+13-49))*(1+(Cartera_Polizas!$P$232-1)*MAX(0,1-13/Supuestos!$C$20))*(1-Supuestos!$C$18)^13))</f>
        <v>0.288420730888607</v>
      </c>
      <c r="Q230" s="29" t="n">
        <f aca="false">P230*(1-MIN(1,INDEX(Tabla_Mortalidad!$B$5:$B$75,MIN(71,Cartera_Polizas!$B$232+14-49))*(1+(Cartera_Polizas!$P$232-1)*MAX(0,1-14/Supuestos!$C$20))*(1-Supuestos!$C$18)^14))</f>
        <v>0.249267658849147</v>
      </c>
      <c r="R230" s="29" t="n">
        <f aca="false">Q230*(1-MIN(1,INDEX(Tabla_Mortalidad!$B$5:$B$75,MIN(71,Cartera_Polizas!$B$232+15-49))*(1+(Cartera_Polizas!$P$232-1)*MAX(0,1-15/Supuestos!$C$20))*(1-Supuestos!$C$18)^15))</f>
        <v>0.213362369363909</v>
      </c>
      <c r="S230" s="29" t="n">
        <f aca="false">R230*(1-MIN(1,INDEX(Tabla_Mortalidad!$B$5:$B$75,MIN(71,Cartera_Polizas!$B$232+16-49))*(1+(Cartera_Polizas!$P$232-1)*MAX(0,1-16/Supuestos!$C$20))*(1-Supuestos!$C$18)^16))</f>
        <v>0.179550431725679</v>
      </c>
      <c r="T230" s="29" t="n">
        <f aca="false">S230*(1-MIN(1,INDEX(Tabla_Mortalidad!$B$5:$B$75,MIN(71,Cartera_Polizas!$B$232+17-49))*(1+(Cartera_Polizas!$P$232-1)*MAX(0,1-17/Supuestos!$C$20))*(1-Supuestos!$C$18)^17))</f>
        <v>0.148279828911639</v>
      </c>
      <c r="U230" s="29" t="n">
        <f aca="false">T230*(1-MIN(1,INDEX(Tabla_Mortalidad!$B$5:$B$75,MIN(71,Cartera_Polizas!$B$232+18-49))*(1+(Cartera_Polizas!$P$232-1)*MAX(0,1-18/Supuestos!$C$20))*(1-Supuestos!$C$18)^18))</f>
        <v>0.119932296687518</v>
      </c>
      <c r="V230" s="29" t="n">
        <f aca="false">U230*(1-MIN(1,INDEX(Tabla_Mortalidad!$B$5:$B$75,MIN(71,Cartera_Polizas!$B$232+19-49))*(1+(Cartera_Polizas!$P$232-1)*MAX(0,1-19/Supuestos!$C$20))*(1-Supuestos!$C$18)^19))</f>
        <v>0.0947971507266278</v>
      </c>
      <c r="W230" s="29" t="n">
        <f aca="false">V230*(1-MIN(1,INDEX(Tabla_Mortalidad!$B$5:$B$75,MIN(71,Cartera_Polizas!$B$232+20-49))*(1+(Cartera_Polizas!$P$232-1)*MAX(0,1-20/Supuestos!$C$20))*(1-Supuestos!$C$18)^20))</f>
        <v>0.0730488672295303</v>
      </c>
      <c r="X230" s="29" t="n">
        <f aca="false">W230*(1-MIN(1,INDEX(Tabla_Mortalidad!$B$5:$B$75,MIN(71,Cartera_Polizas!$B$232+21-49))*(1+(Cartera_Polizas!$P$232-1)*MAX(0,1-21/Supuestos!$C$20))*(1-Supuestos!$C$18)^21))</f>
        <v>0.0547327217401619</v>
      </c>
      <c r="Y230" s="29" t="n">
        <f aca="false">X230*(1-MIN(1,INDEX(Tabla_Mortalidad!$B$5:$B$75,MIN(71,Cartera_Polizas!$B$232+22-49))*(1+(Cartera_Polizas!$P$232-1)*MAX(0,1-22/Supuestos!$C$20))*(1-Supuestos!$C$18)^22))</f>
        <v>0.0397602980797143</v>
      </c>
      <c r="Z230" s="29" t="n">
        <f aca="false">Y230*(1-MIN(1,INDEX(Tabla_Mortalidad!$B$5:$B$75,MIN(71,Cartera_Polizas!$B$232+23-49))*(1+(Cartera_Polizas!$P$232-1)*MAX(0,1-23/Supuestos!$C$20))*(1-Supuestos!$C$18)^23))</f>
        <v>0.0279168573731567</v>
      </c>
      <c r="AA230" s="29" t="n">
        <f aca="false">Z230*(1-MIN(1,INDEX(Tabla_Mortalidad!$B$5:$B$75,MIN(71,Cartera_Polizas!$B$232+24-49))*(1+(Cartera_Polizas!$P$232-1)*MAX(0,1-24/Supuestos!$C$20))*(1-Supuestos!$C$18)^24))</f>
        <v>0.0188813737395028</v>
      </c>
      <c r="AB230" s="29" t="n">
        <f aca="false">AA230*(1-MIN(1,INDEX(Tabla_Mortalidad!$B$5:$B$75,MIN(71,Cartera_Polizas!$B$232+25-49))*(1+(Cartera_Polizas!$P$232-1)*MAX(0,1-25/Supuestos!$C$20))*(1-Supuestos!$C$18)^25))</f>
        <v>0.0122567572953786</v>
      </c>
      <c r="AC230" s="29" t="n">
        <f aca="false">AB230*(1-MIN(1,INDEX(Tabla_Mortalidad!$B$5:$B$75,MIN(71,Cartera_Polizas!$B$232+26-49))*(1+(Cartera_Polizas!$P$232-1)*MAX(0,1-26/Supuestos!$C$20))*(1-Supuestos!$C$18)^26))</f>
        <v>0.00760693525888433</v>
      </c>
      <c r="AD230" s="29" t="n">
        <f aca="false">AC230*(1-MIN(1,INDEX(Tabla_Mortalidad!$B$5:$B$75,MIN(71,Cartera_Polizas!$B$232+27-49))*(1+(Cartera_Polizas!$P$232-1)*MAX(0,1-27/Supuestos!$C$20))*(1-Supuestos!$C$18)^27))</f>
        <v>0.00449526082368201</v>
      </c>
      <c r="AE230" s="29" t="n">
        <f aca="false">AD230*(1-MIN(1,INDEX(Tabla_Mortalidad!$B$5:$B$75,MIN(71,Cartera_Polizas!$B$232+28-49))*(1+(Cartera_Polizas!$P$232-1)*MAX(0,1-28/Supuestos!$C$20))*(1-Supuestos!$C$18)^28))</f>
        <v>0.00251853069518491</v>
      </c>
      <c r="AF230" s="29" t="n">
        <f aca="false">AE230*(1-MIN(1,INDEX(Tabla_Mortalidad!$B$5:$B$75,MIN(71,Cartera_Polizas!$B$232+29-49))*(1+(Cartera_Polizas!$P$232-1)*MAX(0,1-29/Supuestos!$C$20))*(1-Supuestos!$C$18)^29))</f>
        <v>0.00133187962160967</v>
      </c>
      <c r="AG230" s="29" t="n">
        <f aca="false">AF230*(1-MIN(1,INDEX(Tabla_Mortalidad!$B$5:$B$75,MIN(71,Cartera_Polizas!$B$232+30-49))*(1+(Cartera_Polizas!$P$232-1)*MAX(0,1-30/Supuestos!$C$20))*(1-Supuestos!$C$18)^30))</f>
        <v>0.000661860003173672</v>
      </c>
      <c r="AH230" s="29" t="n">
        <f aca="false">AG230*(1-MIN(1,INDEX(Tabla_Mortalidad!$B$5:$B$75,MIN(71,Cartera_Polizas!$B$232+31-49))*(1+(Cartera_Polizas!$P$232-1)*MAX(0,1-31/Supuestos!$C$20))*(1-Supuestos!$C$18)^31))</f>
        <v>0.000307710471228496</v>
      </c>
      <c r="AI230" s="29" t="n">
        <f aca="false">AH230*(1-MIN(1,INDEX(Tabla_Mortalidad!$B$5:$B$75,MIN(71,Cartera_Polizas!$B$232+32-49))*(1+(Cartera_Polizas!$P$232-1)*MAX(0,1-32/Supuestos!$C$20))*(1-Supuestos!$C$18)^32))</f>
        <v>0.000133289158107243</v>
      </c>
      <c r="AJ230" s="29" t="n">
        <f aca="false">AI230*(1-MIN(1,INDEX(Tabla_Mortalidad!$B$5:$B$75,MIN(71,Cartera_Polizas!$B$232+33-49))*(1+(Cartera_Polizas!$P$232-1)*MAX(0,1-33/Supuestos!$C$20))*(1-Supuestos!$C$18)^33))</f>
        <v>5.35956899358917E-005</v>
      </c>
      <c r="AK230" s="29" t="n">
        <f aca="false">AJ230*(1-MIN(1,INDEX(Tabla_Mortalidad!$B$5:$B$75,MIN(71,Cartera_Polizas!$B$232+34-49))*(1+(Cartera_Polizas!$P$232-1)*MAX(0,1-34/Supuestos!$C$20))*(1-Supuestos!$C$18)^34))</f>
        <v>1.99472657923247E-005</v>
      </c>
      <c r="AL230" s="29" t="n">
        <f aca="false">AK230*(1-MIN(1,INDEX(Tabla_Mortalidad!$B$5:$B$75,MIN(71,Cartera_Polizas!$B$232+35-49))*(1+(Cartera_Polizas!$P$232-1)*MAX(0,1-35/Supuestos!$C$20))*(1-Supuestos!$C$18)^35))</f>
        <v>6.85915841433827E-006</v>
      </c>
      <c r="AM230" s="29" t="n">
        <f aca="false">AL230*(1-MIN(1,INDEX(Tabla_Mortalidad!$B$5:$B$75,MIN(71,Cartera_Polizas!$B$232+36-49))*(1+(Cartera_Polizas!$P$232-1)*MAX(0,1-36/Supuestos!$C$20))*(1-Supuestos!$C$18)^36))</f>
        <v>2.17846346375808E-006</v>
      </c>
      <c r="AN230" s="29" t="n">
        <f aca="false">AM230*(1-MIN(1,INDEX(Tabla_Mortalidad!$B$5:$B$75,MIN(71,Cartera_Polizas!$B$232+37-49))*(1+(Cartera_Polizas!$P$232-1)*MAX(0,1-37/Supuestos!$C$20))*(1-Supuestos!$C$18)^37))</f>
        <v>6.40018560505523E-007</v>
      </c>
      <c r="AO230" s="29" t="n">
        <f aca="false">AN230*(1-MIN(1,INDEX(Tabla_Mortalidad!$B$5:$B$75,MIN(71,Cartera_Polizas!$B$232+38-49))*(1+(Cartera_Polizas!$P$232-1)*MAX(0,1-38/Supuestos!$C$20))*(1-Supuestos!$C$18)^38))</f>
        <v>1.74591510674014E-007</v>
      </c>
      <c r="AP230" s="29" t="n">
        <f aca="false">AO230*(1-MIN(1,INDEX(Tabla_Mortalidad!$B$5:$B$75,MIN(71,Cartera_Polizas!$B$232+39-49))*(1+(Cartera_Polizas!$P$232-1)*MAX(0,1-39/Supuestos!$C$20))*(1-Supuestos!$C$18)^39))</f>
        <v>4.44932165834961E-008</v>
      </c>
      <c r="AQ230" s="29" t="n">
        <f aca="false">AP230*(1-MIN(1,INDEX(Tabla_Mortalidad!$B$5:$B$75,MIN(71,Cartera_Polizas!$B$232+40-49))*(1+(Cartera_Polizas!$P$232-1)*MAX(0,1-40/Supuestos!$C$20))*(1-Supuestos!$C$18)^40))</f>
        <v>1.06820456823574E-008</v>
      </c>
      <c r="AR230" s="29" t="n">
        <f aca="false">AQ230*(1-MIN(1,INDEX(Tabla_Mortalidad!$B$5:$B$75,MIN(71,Cartera_Polizas!$B$232+41-49))*(1+(Cartera_Polizas!$P$232-1)*MAX(0,1-41/Supuestos!$C$20))*(1-Supuestos!$C$18)^41))</f>
        <v>2.44107960006012E-009</v>
      </c>
      <c r="AS230" s="29" t="n">
        <f aca="false">AR230*(1-MIN(1,INDEX(Tabla_Mortalidad!$B$5:$B$75,MIN(71,Cartera_Polizas!$B$232+42-49))*(1+(Cartera_Polizas!$P$232-1)*MAX(0,1-42/Supuestos!$C$20))*(1-Supuestos!$C$18)^42))</f>
        <v>4.6342095223657E-010</v>
      </c>
      <c r="AT230" s="29" t="n">
        <f aca="false">AS230*(1-MIN(1,INDEX(Tabla_Mortalidad!$B$5:$B$75,MIN(71,Cartera_Polizas!$B$232+43-49))*(1+(Cartera_Polizas!$P$232-1)*MAX(0,1-43/Supuestos!$C$20))*(1-Supuestos!$C$18)^43))</f>
        <v>8.98542682652846E-011</v>
      </c>
      <c r="AU230" s="29" t="n">
        <f aca="false">AT230*(1-MIN(1,INDEX(Tabla_Mortalidad!$B$5:$B$75,MIN(71,Cartera_Polizas!$B$232+44-49))*(1+(Cartera_Polizas!$P$232-1)*MAX(0,1-44/Supuestos!$C$20))*(1-Supuestos!$C$18)^44))</f>
        <v>1.77843109831278E-011</v>
      </c>
    </row>
    <row r="231" customFormat="false" ht="15" hidden="false" customHeight="false" outlineLevel="0" collapsed="false">
      <c r="A231" s="14" t="n">
        <f aca="false">Cartera_Polizas!A233</f>
        <v>228</v>
      </c>
      <c r="B231" s="26" t="n">
        <f aca="false">SUM(C231:AU231)+0.5</f>
        <v>7.47059249568001</v>
      </c>
      <c r="C231" s="29" t="n">
        <f aca="false">1-MIN(1,INDEX(Tabla_Mortalidad!$B$5:$B$75,MIN(71,Cartera_Polizas!$B$233+0-49))*(1+(Cartera_Polizas!$P$233-1)*MAX(0,1-0/Supuestos!$C$20))*(1-Supuestos!$C$18)^0)</f>
        <v>0.91135116325</v>
      </c>
      <c r="D231" s="29" t="n">
        <f aca="false">C231*(1-MIN(1,INDEX(Tabla_Mortalidad!$B$5:$B$75,MIN(71,Cartera_Polizas!$B$233+1-49))*(1+(Cartera_Polizas!$P$233-1)*MAX(0,1-1/Supuestos!$C$20))*(1-Supuestos!$C$18)^1))</f>
        <v>0.825131353437532</v>
      </c>
      <c r="E231" s="29" t="n">
        <f aca="false">D231*(1-MIN(1,INDEX(Tabla_Mortalidad!$B$5:$B$75,MIN(71,Cartera_Polizas!$B$233+2-49))*(1+(Cartera_Polizas!$P$233-1)*MAX(0,1-2/Supuestos!$C$20))*(1-Supuestos!$C$18)^2))</f>
        <v>0.741965461897284</v>
      </c>
      <c r="F231" s="29" t="n">
        <f aca="false">E231*(1-MIN(1,INDEX(Tabla_Mortalidad!$B$5:$B$75,MIN(71,Cartera_Polizas!$B$233+3-49))*(1+(Cartera_Polizas!$P$233-1)*MAX(0,1-3/Supuestos!$C$20))*(1-Supuestos!$C$18)^3))</f>
        <v>0.662442571674302</v>
      </c>
      <c r="G231" s="29" t="n">
        <f aca="false">F231*(1-MIN(1,INDEX(Tabla_Mortalidad!$B$5:$B$75,MIN(71,Cartera_Polizas!$B$233+4-49))*(1+(Cartera_Polizas!$P$233-1)*MAX(0,1-4/Supuestos!$C$20))*(1-Supuestos!$C$18)^4))</f>
        <v>0.587099748842784</v>
      </c>
      <c r="H231" s="29" t="n">
        <f aca="false">G231*(1-MIN(1,INDEX(Tabla_Mortalidad!$B$5:$B$75,MIN(71,Cartera_Polizas!$B$233+5-49))*(1+(Cartera_Polizas!$P$233-1)*MAX(0,1-5/Supuestos!$C$20))*(1-Supuestos!$C$18)^5))</f>
        <v>0.516400890469381</v>
      </c>
      <c r="I231" s="29" t="n">
        <f aca="false">H231*(1-MIN(1,INDEX(Tabla_Mortalidad!$B$5:$B$75,MIN(71,Cartera_Polizas!$B$233+6-49))*(1+(Cartera_Polizas!$P$233-1)*MAX(0,1-6/Supuestos!$C$20))*(1-Supuestos!$C$18)^6))</f>
        <v>0.450721127654889</v>
      </c>
      <c r="J231" s="29" t="n">
        <f aca="false">I231*(1-MIN(1,INDEX(Tabla_Mortalidad!$B$5:$B$75,MIN(71,Cartera_Polizas!$B$233+7-49))*(1+(Cartera_Polizas!$P$233-1)*MAX(0,1-7/Supuestos!$C$20))*(1-Supuestos!$C$18)^7))</f>
        <v>0.39033860448603</v>
      </c>
      <c r="K231" s="29" t="n">
        <f aca="false">J231*(1-MIN(1,INDEX(Tabla_Mortalidad!$B$5:$B$75,MIN(71,Cartera_Polizas!$B$233+8-49))*(1+(Cartera_Polizas!$P$233-1)*MAX(0,1-8/Supuestos!$C$20))*(1-Supuestos!$C$18)^8))</f>
        <v>0.335420764059874</v>
      </c>
      <c r="L231" s="29" t="n">
        <f aca="false">K231*(1-MIN(1,INDEX(Tabla_Mortalidad!$B$5:$B$75,MIN(71,Cartera_Polizas!$B$233+9-49))*(1+(Cartera_Polizas!$P$233-1)*MAX(0,1-9/Supuestos!$C$20))*(1-Supuestos!$C$18)^9))</f>
        <v>0.286025536405358</v>
      </c>
      <c r="M231" s="29" t="n">
        <f aca="false">L231*(1-MIN(1,INDEX(Tabla_Mortalidad!$B$5:$B$75,MIN(71,Cartera_Polizas!$B$233+10-49))*(1+(Cartera_Polizas!$P$233-1)*MAX(0,1-10/Supuestos!$C$20))*(1-Supuestos!$C$18)^10))</f>
        <v>0.242099620922005</v>
      </c>
      <c r="N231" s="29" t="n">
        <f aca="false">M231*(1-MIN(1,INDEX(Tabla_Mortalidad!$B$5:$B$75,MIN(71,Cartera_Polizas!$B$233+11-49))*(1+(Cartera_Polizas!$P$233-1)*MAX(0,1-11/Supuestos!$C$20))*(1-Supuestos!$C$18)^11))</f>
        <v>0.203486239437927</v>
      </c>
      <c r="O231" s="29" t="n">
        <f aca="false">N231*(1-MIN(1,INDEX(Tabla_Mortalidad!$B$5:$B$75,MIN(71,Cartera_Polizas!$B$233+12-49))*(1+(Cartera_Polizas!$P$233-1)*MAX(0,1-12/Supuestos!$C$20))*(1-Supuestos!$C$18)^12))</f>
        <v>0.169936502091871</v>
      </c>
      <c r="P231" s="29" t="n">
        <f aca="false">O231*(1-MIN(1,INDEX(Tabla_Mortalidad!$B$5:$B$75,MIN(71,Cartera_Polizas!$B$233+13-49))*(1+(Cartera_Polizas!$P$233-1)*MAX(0,1-13/Supuestos!$C$20))*(1-Supuestos!$C$18)^13))</f>
        <v>0.141125089890878</v>
      </c>
      <c r="Q231" s="29" t="n">
        <f aca="false">P231*(1-MIN(1,INDEX(Tabla_Mortalidad!$B$5:$B$75,MIN(71,Cartera_Polizas!$B$233+14-49))*(1+(Cartera_Polizas!$P$233-1)*MAX(0,1-14/Supuestos!$C$20))*(1-Supuestos!$C$18)^14))</f>
        <v>0.116668548414398</v>
      </c>
      <c r="R231" s="29" t="n">
        <f aca="false">Q231*(1-MIN(1,INDEX(Tabla_Mortalidad!$B$5:$B$75,MIN(71,Cartera_Polizas!$B$233+15-49))*(1+(Cartera_Polizas!$P$233-1)*MAX(0,1-15/Supuestos!$C$20))*(1-Supuestos!$C$18)^15))</f>
        <v>0.0961447645441565</v>
      </c>
      <c r="S231" s="29" t="n">
        <f aca="false">R231*(1-MIN(1,INDEX(Tabla_Mortalidad!$B$5:$B$75,MIN(71,Cartera_Polizas!$B$233+16-49))*(1+(Cartera_Polizas!$P$233-1)*MAX(0,1-16/Supuestos!$C$20))*(1-Supuestos!$C$18)^16))</f>
        <v>0.077579007618714</v>
      </c>
      <c r="T231" s="29" t="n">
        <f aca="false">S231*(1-MIN(1,INDEX(Tabla_Mortalidad!$B$5:$B$75,MIN(71,Cartera_Polizas!$B$233+17-49))*(1+(Cartera_Polizas!$P$233-1)*MAX(0,1-17/Supuestos!$C$20))*(1-Supuestos!$C$18)^17))</f>
        <v>0.0611563545112246</v>
      </c>
      <c r="U231" s="29" t="n">
        <f aca="false">T231*(1-MIN(1,INDEX(Tabla_Mortalidad!$B$5:$B$75,MIN(71,Cartera_Polizas!$B$233+18-49))*(1+(Cartera_Polizas!$P$233-1)*MAX(0,1-18/Supuestos!$C$20))*(1-Supuestos!$C$18)^18))</f>
        <v>0.0469845507676354</v>
      </c>
      <c r="V231" s="29" t="n">
        <f aca="false">U231*(1-MIN(1,INDEX(Tabla_Mortalidad!$B$5:$B$75,MIN(71,Cartera_Polizas!$B$233+19-49))*(1+(Cartera_Polizas!$P$233-1)*MAX(0,1-19/Supuestos!$C$20))*(1-Supuestos!$C$18)^19))</f>
        <v>0.0350850287703814</v>
      </c>
      <c r="W231" s="29" t="n">
        <f aca="false">V231*(1-MIN(1,INDEX(Tabla_Mortalidad!$B$5:$B$75,MIN(71,Cartera_Polizas!$B$233+20-49))*(1+(Cartera_Polizas!$P$233-1)*MAX(0,1-20/Supuestos!$C$20))*(1-Supuestos!$C$18)^20))</f>
        <v>0.0253906331772648</v>
      </c>
      <c r="X231" s="29" t="n">
        <f aca="false">W231*(1-MIN(1,INDEX(Tabla_Mortalidad!$B$5:$B$75,MIN(71,Cartera_Polizas!$B$233+21-49))*(1+(Cartera_Polizas!$P$233-1)*MAX(0,1-21/Supuestos!$C$20))*(1-Supuestos!$C$18)^21))</f>
        <v>0.0177512968913719</v>
      </c>
      <c r="Y231" s="29" t="n">
        <f aca="false">X231*(1-MIN(1,INDEX(Tabla_Mortalidad!$B$5:$B$75,MIN(71,Cartera_Polizas!$B$233+22-49))*(1+(Cartera_Polizas!$P$233-1)*MAX(0,1-22/Supuestos!$C$20))*(1-Supuestos!$C$18)^22))</f>
        <v>0.0119480800047268</v>
      </c>
      <c r="Z231" s="29" t="n">
        <f aca="false">Y231*(1-MIN(1,INDEX(Tabla_Mortalidad!$B$5:$B$75,MIN(71,Cartera_Polizas!$B$233+23-49))*(1+(Cartera_Polizas!$P$233-1)*MAX(0,1-23/Supuestos!$C$20))*(1-Supuestos!$C$18)^23))</f>
        <v>0.00771380452064905</v>
      </c>
      <c r="AA231" s="29" t="n">
        <f aca="false">Z231*(1-MIN(1,INDEX(Tabla_Mortalidad!$B$5:$B$75,MIN(71,Cartera_Polizas!$B$233+24-49))*(1+(Cartera_Polizas!$P$233-1)*MAX(0,1-24/Supuestos!$C$20))*(1-Supuestos!$C$18)^24))</f>
        <v>0.00475794893113865</v>
      </c>
      <c r="AB231" s="29" t="n">
        <f aca="false">AA231*(1-MIN(1,INDEX(Tabla_Mortalidad!$B$5:$B$75,MIN(71,Cartera_Polizas!$B$233+25-49))*(1+(Cartera_Polizas!$P$233-1)*MAX(0,1-25/Supuestos!$C$20))*(1-Supuestos!$C$18)^25))</f>
        <v>0.00279206421372496</v>
      </c>
      <c r="AC231" s="29" t="n">
        <f aca="false">AB231*(1-MIN(1,INDEX(Tabla_Mortalidad!$B$5:$B$75,MIN(71,Cartera_Polizas!$B$233+26-49))*(1+(Cartera_Polizas!$P$233-1)*MAX(0,1-26/Supuestos!$C$20))*(1-Supuestos!$C$18)^26))</f>
        <v>0.00155192132571758</v>
      </c>
      <c r="AD231" s="29" t="n">
        <f aca="false">AC231*(1-MIN(1,INDEX(Tabla_Mortalidad!$B$5:$B$75,MIN(71,Cartera_Polizas!$B$233+27-49))*(1+(Cartera_Polizas!$P$233-1)*MAX(0,1-27/Supuestos!$C$20))*(1-Supuestos!$C$18)^27))</f>
        <v>0.000813338290909474</v>
      </c>
      <c r="AE231" s="29" t="n">
        <f aca="false">AD231*(1-MIN(1,INDEX(Tabla_Mortalidad!$B$5:$B$75,MIN(71,Cartera_Polizas!$B$233+28-49))*(1+(Cartera_Polizas!$P$233-1)*MAX(0,1-28/Supuestos!$C$20))*(1-Supuestos!$C$18)^28))</f>
        <v>0.000400055232776892</v>
      </c>
      <c r="AF231" s="29" t="n">
        <f aca="false">AE231*(1-MIN(1,INDEX(Tabla_Mortalidad!$B$5:$B$75,MIN(71,Cartera_Polizas!$B$233+29-49))*(1+(Cartera_Polizas!$P$233-1)*MAX(0,1-29/Supuestos!$C$20))*(1-Supuestos!$C$18)^29))</f>
        <v>0.000183835996493596</v>
      </c>
      <c r="AG231" s="29" t="n">
        <f aca="false">AF231*(1-MIN(1,INDEX(Tabla_Mortalidad!$B$5:$B$75,MIN(71,Cartera_Polizas!$B$233+30-49))*(1+(Cartera_Polizas!$P$233-1)*MAX(0,1-30/Supuestos!$C$20))*(1-Supuestos!$C$18)^30))</f>
        <v>7.85812551157865E-005</v>
      </c>
      <c r="AH231" s="29" t="n">
        <f aca="false">AG231*(1-MIN(1,INDEX(Tabla_Mortalidad!$B$5:$B$75,MIN(71,Cartera_Polizas!$B$233+31-49))*(1+(Cartera_Polizas!$P$233-1)*MAX(0,1-31/Supuestos!$C$20))*(1-Supuestos!$C$18)^31))</f>
        <v>3.11242090765976E-005</v>
      </c>
      <c r="AI231" s="29" t="n">
        <f aca="false">AH231*(1-MIN(1,INDEX(Tabla_Mortalidad!$B$5:$B$75,MIN(71,Cartera_Polizas!$B$233+32-49))*(1+(Cartera_Polizas!$P$233-1)*MAX(0,1-32/Supuestos!$C$20))*(1-Supuestos!$C$18)^32))</f>
        <v>1.13869416159852E-005</v>
      </c>
      <c r="AJ231" s="29" t="n">
        <f aca="false">AI231*(1-MIN(1,INDEX(Tabla_Mortalidad!$B$5:$B$75,MIN(71,Cartera_Polizas!$B$233+33-49))*(1+(Cartera_Polizas!$P$233-1)*MAX(0,1-33/Supuestos!$C$20))*(1-Supuestos!$C$18)^33))</f>
        <v>3.84028816539252E-006</v>
      </c>
      <c r="AK231" s="29" t="n">
        <f aca="false">AJ231*(1-MIN(1,INDEX(Tabla_Mortalidad!$B$5:$B$75,MIN(71,Cartera_Polizas!$B$233+34-49))*(1+(Cartera_Polizas!$P$233-1)*MAX(0,1-34/Supuestos!$C$20))*(1-Supuestos!$C$18)^34))</f>
        <v>1.19326856219392E-006</v>
      </c>
      <c r="AL231" s="29" t="n">
        <f aca="false">AK231*(1-MIN(1,INDEX(Tabla_Mortalidad!$B$5:$B$75,MIN(71,Cartera_Polizas!$B$233+35-49))*(1+(Cartera_Polizas!$P$233-1)*MAX(0,1-35/Supuestos!$C$20))*(1-Supuestos!$C$18)^35))</f>
        <v>3.42084066814395E-007</v>
      </c>
      <c r="AM231" s="29" t="n">
        <f aca="false">AL231*(1-MIN(1,INDEX(Tabla_Mortalidad!$B$5:$B$75,MIN(71,Cartera_Polizas!$B$233+36-49))*(1+(Cartera_Polizas!$P$233-1)*MAX(0,1-36/Supuestos!$C$20))*(1-Supuestos!$C$18)^36))</f>
        <v>9.08111179308932E-008</v>
      </c>
      <c r="AN231" s="29" t="n">
        <f aca="false">AM231*(1-MIN(1,INDEX(Tabla_Mortalidad!$B$5:$B$75,MIN(71,Cartera_Polizas!$B$233+37-49))*(1+(Cartera_Polizas!$P$233-1)*MAX(0,1-37/Supuestos!$C$20))*(1-Supuestos!$C$18)^37))</f>
        <v>2.24606739794172E-008</v>
      </c>
      <c r="AO231" s="29" t="n">
        <f aca="false">AN231*(1-MIN(1,INDEX(Tabla_Mortalidad!$B$5:$B$75,MIN(71,Cartera_Polizas!$B$233+38-49))*(1+(Cartera_Polizas!$P$233-1)*MAX(0,1-38/Supuestos!$C$20))*(1-Supuestos!$C$18)^38))</f>
        <v>5.22044499703031E-009</v>
      </c>
      <c r="AP231" s="29" t="n">
        <f aca="false">AO231*(1-MIN(1,INDEX(Tabla_Mortalidad!$B$5:$B$75,MIN(71,Cartera_Polizas!$B$233+39-49))*(1+(Cartera_Polizas!$P$233-1)*MAX(0,1-39/Supuestos!$C$20))*(1-Supuestos!$C$18)^39))</f>
        <v>1.15240645759431E-009</v>
      </c>
      <c r="AQ231" s="29" t="n">
        <f aca="false">AP231*(1-MIN(1,INDEX(Tabla_Mortalidad!$B$5:$B$75,MIN(71,Cartera_Polizas!$B$233+40-49))*(1+(Cartera_Polizas!$P$233-1)*MAX(0,1-40/Supuestos!$C$20))*(1-Supuestos!$C$18)^40))</f>
        <v>2.09369065748423E-010</v>
      </c>
      <c r="AR231" s="29" t="n">
        <f aca="false">AQ231*(1-MIN(1,INDEX(Tabla_Mortalidad!$B$5:$B$75,MIN(71,Cartera_Polizas!$B$233+41-49))*(1+(Cartera_Polizas!$P$233-1)*MAX(0,1-41/Supuestos!$C$20))*(1-Supuestos!$C$18)^41))</f>
        <v>3.88948011228774E-011</v>
      </c>
      <c r="AS231" s="29" t="n">
        <f aca="false">AR231*(1-MIN(1,INDEX(Tabla_Mortalidad!$B$5:$B$75,MIN(71,Cartera_Polizas!$B$233+42-49))*(1+(Cartera_Polizas!$P$233-1)*MAX(0,1-42/Supuestos!$C$20))*(1-Supuestos!$C$18)^42))</f>
        <v>7.38389103451274E-012</v>
      </c>
      <c r="AT231" s="29" t="n">
        <f aca="false">AS231*(1-MIN(1,INDEX(Tabla_Mortalidad!$B$5:$B$75,MIN(71,Cartera_Polizas!$B$233+43-49))*(1+(Cartera_Polizas!$P$233-1)*MAX(0,1-43/Supuestos!$C$20))*(1-Supuestos!$C$18)^43))</f>
        <v>1.4316878049097E-012</v>
      </c>
      <c r="AU231" s="29" t="n">
        <f aca="false">AT231*(1-MIN(1,INDEX(Tabla_Mortalidad!$B$5:$B$75,MIN(71,Cartera_Polizas!$B$233+44-49))*(1+(Cartera_Polizas!$P$233-1)*MAX(0,1-44/Supuestos!$C$20))*(1-Supuestos!$C$18)^44))</f>
        <v>2.8336529410148E-013</v>
      </c>
    </row>
    <row r="232" customFormat="false" ht="15" hidden="false" customHeight="false" outlineLevel="0" collapsed="false">
      <c r="A232" s="14" t="n">
        <f aca="false">Cartera_Polizas!A234</f>
        <v>229</v>
      </c>
      <c r="B232" s="26" t="n">
        <f aca="false">SUM(C232:AU232)+0.5</f>
        <v>6.22457144441229</v>
      </c>
      <c r="C232" s="29" t="n">
        <f aca="false">1-MIN(1,INDEX(Tabla_Mortalidad!$B$5:$B$75,MIN(71,Cartera_Polizas!$B$234+0-49))*(1+(Cartera_Polizas!$P$234-1)*MAX(0,1-0/Supuestos!$C$20))*(1-Supuestos!$C$18)^0)</f>
        <v>0.8772993775</v>
      </c>
      <c r="D232" s="29" t="n">
        <f aca="false">C232*(1-MIN(1,INDEX(Tabla_Mortalidad!$B$5:$B$75,MIN(71,Cartera_Polizas!$B$234+1-49))*(1+(Cartera_Polizas!$P$234-1)*MAX(0,1-1/Supuestos!$C$20))*(1-Supuestos!$C$18)^1))</f>
        <v>0.7638487500022</v>
      </c>
      <c r="E232" s="29" t="n">
        <f aca="false">D232*(1-MIN(1,INDEX(Tabla_Mortalidad!$B$5:$B$75,MIN(71,Cartera_Polizas!$B$234+2-49))*(1+(Cartera_Polizas!$P$234-1)*MAX(0,1-2/Supuestos!$C$20))*(1-Supuestos!$C$18)^2))</f>
        <v>0.660045850433419</v>
      </c>
      <c r="F232" s="29" t="n">
        <f aca="false">E232*(1-MIN(1,INDEX(Tabla_Mortalidad!$B$5:$B$75,MIN(71,Cartera_Polizas!$B$234+3-49))*(1+(Cartera_Polizas!$P$234-1)*MAX(0,1-3/Supuestos!$C$20))*(1-Supuestos!$C$18)^3))</f>
        <v>0.566094346884735</v>
      </c>
      <c r="G232" s="29" t="n">
        <f aca="false">F232*(1-MIN(1,INDEX(Tabla_Mortalidad!$B$5:$B$75,MIN(71,Cartera_Polizas!$B$234+4-49))*(1+(Cartera_Polizas!$P$234-1)*MAX(0,1-4/Supuestos!$C$20))*(1-Supuestos!$C$18)^4))</f>
        <v>0.48199791353426</v>
      </c>
      <c r="H232" s="29" t="n">
        <f aca="false">G232*(1-MIN(1,INDEX(Tabla_Mortalidad!$B$5:$B$75,MIN(71,Cartera_Polizas!$B$234+5-49))*(1+(Cartera_Polizas!$P$234-1)*MAX(0,1-5/Supuestos!$C$20))*(1-Supuestos!$C$18)^5))</f>
        <v>0.40757199652131</v>
      </c>
      <c r="I232" s="29" t="n">
        <f aca="false">H232*(1-MIN(1,INDEX(Tabla_Mortalidad!$B$5:$B$75,MIN(71,Cartera_Polizas!$B$234+6-49))*(1+(Cartera_Polizas!$P$234-1)*MAX(0,1-6/Supuestos!$C$20))*(1-Supuestos!$C$18)^6))</f>
        <v>0.34246108242188</v>
      </c>
      <c r="J232" s="29" t="n">
        <f aca="false">I232*(1-MIN(1,INDEX(Tabla_Mortalidad!$B$5:$B$75,MIN(71,Cartera_Polizas!$B$234+7-49))*(1+(Cartera_Polizas!$P$234-1)*MAX(0,1-7/Supuestos!$C$20))*(1-Supuestos!$C$18)^7))</f>
        <v>0.286158446739529</v>
      </c>
      <c r="K232" s="29" t="n">
        <f aca="false">J232*(1-MIN(1,INDEX(Tabla_Mortalidad!$B$5:$B$75,MIN(71,Cartera_Polizas!$B$234+8-49))*(1+(Cartera_Polizas!$P$234-1)*MAX(0,1-8/Supuestos!$C$20))*(1-Supuestos!$C$18)^8))</f>
        <v>0.238036267515111</v>
      </c>
      <c r="L232" s="29" t="n">
        <f aca="false">K232*(1-MIN(1,INDEX(Tabla_Mortalidad!$B$5:$B$75,MIN(71,Cartera_Polizas!$B$234+9-49))*(1+(Cartera_Polizas!$P$234-1)*MAX(0,1-9/Supuestos!$C$20))*(1-Supuestos!$C$18)^9))</f>
        <v>0.197382675431302</v>
      </c>
      <c r="M232" s="29" t="n">
        <f aca="false">L232*(1-MIN(1,INDEX(Tabla_Mortalidad!$B$5:$B$75,MIN(71,Cartera_Polizas!$B$234+10-49))*(1+(Cartera_Polizas!$P$234-1)*MAX(0,1-10/Supuestos!$C$20))*(1-Supuestos!$C$18)^10))</f>
        <v>0.163433141164985</v>
      </c>
      <c r="N232" s="29" t="n">
        <f aca="false">M232*(1-MIN(1,INDEX(Tabla_Mortalidad!$B$5:$B$75,MIN(71,Cartera_Polizas!$B$234+11-49))*(1+(Cartera_Polizas!$P$234-1)*MAX(0,1-11/Supuestos!$C$20))*(1-Supuestos!$C$18)^11))</f>
        <v>0.135408412127531</v>
      </c>
      <c r="O232" s="29" t="n">
        <f aca="false">N232*(1-MIN(1,INDEX(Tabla_Mortalidad!$B$5:$B$75,MIN(71,Cartera_Polizas!$B$234+12-49))*(1+(Cartera_Polizas!$P$234-1)*MAX(0,1-12/Supuestos!$C$20))*(1-Supuestos!$C$18)^12))</f>
        <v>0.112543846772115</v>
      </c>
      <c r="P232" s="29" t="n">
        <f aca="false">O232*(1-MIN(1,INDEX(Tabla_Mortalidad!$B$5:$B$75,MIN(71,Cartera_Polizas!$B$234+13-49))*(1+(Cartera_Polizas!$P$234-1)*MAX(0,1-13/Supuestos!$C$20))*(1-Supuestos!$C$18)^13))</f>
        <v>0.0941170784523316</v>
      </c>
      <c r="Q232" s="29" t="n">
        <f aca="false">P232*(1-MIN(1,INDEX(Tabla_Mortalidad!$B$5:$B$75,MIN(71,Cartera_Polizas!$B$234+14-49))*(1+(Cartera_Polizas!$P$234-1)*MAX(0,1-14/Supuestos!$C$20))*(1-Supuestos!$C$18)^14))</f>
        <v>0.0794694834269671</v>
      </c>
      <c r="R232" s="29" t="n">
        <f aca="false">Q232*(1-MIN(1,INDEX(Tabla_Mortalidad!$B$5:$B$75,MIN(71,Cartera_Polizas!$B$234+15-49))*(1+(Cartera_Polizas!$P$234-1)*MAX(0,1-15/Supuestos!$C$20))*(1-Supuestos!$C$18)^15))</f>
        <v>0.0680224516665638</v>
      </c>
      <c r="S232" s="29" t="n">
        <f aca="false">R232*(1-MIN(1,INDEX(Tabla_Mortalidad!$B$5:$B$75,MIN(71,Cartera_Polizas!$B$234+16-49))*(1+(Cartera_Polizas!$P$234-1)*MAX(0,1-16/Supuestos!$C$20))*(1-Supuestos!$C$18)^16))</f>
        <v>0.0572428052809045</v>
      </c>
      <c r="T232" s="29" t="n">
        <f aca="false">S232*(1-MIN(1,INDEX(Tabla_Mortalidad!$B$5:$B$75,MIN(71,Cartera_Polizas!$B$234+17-49))*(1+(Cartera_Polizas!$P$234-1)*MAX(0,1-17/Supuestos!$C$20))*(1-Supuestos!$C$18)^17))</f>
        <v>0.0472733665516487</v>
      </c>
      <c r="U232" s="29" t="n">
        <f aca="false">T232*(1-MIN(1,INDEX(Tabla_Mortalidad!$B$5:$B$75,MIN(71,Cartera_Polizas!$B$234+18-49))*(1+(Cartera_Polizas!$P$234-1)*MAX(0,1-18/Supuestos!$C$20))*(1-Supuestos!$C$18)^18))</f>
        <v>0.0382358373644245</v>
      </c>
      <c r="V232" s="29" t="n">
        <f aca="false">U232*(1-MIN(1,INDEX(Tabla_Mortalidad!$B$5:$B$75,MIN(71,Cartera_Polizas!$B$234+19-49))*(1+(Cartera_Polizas!$P$234-1)*MAX(0,1-19/Supuestos!$C$20))*(1-Supuestos!$C$18)^19))</f>
        <v>0.0302224549842329</v>
      </c>
      <c r="W232" s="29" t="n">
        <f aca="false">V232*(1-MIN(1,INDEX(Tabla_Mortalidad!$B$5:$B$75,MIN(71,Cartera_Polizas!$B$234+20-49))*(1+(Cartera_Polizas!$P$234-1)*MAX(0,1-20/Supuestos!$C$20))*(1-Supuestos!$C$18)^20))</f>
        <v>0.0232888444913308</v>
      </c>
      <c r="X232" s="29" t="n">
        <f aca="false">W232*(1-MIN(1,INDEX(Tabla_Mortalidad!$B$5:$B$75,MIN(71,Cartera_Polizas!$B$234+21-49))*(1+(Cartera_Polizas!$P$234-1)*MAX(0,1-21/Supuestos!$C$20))*(1-Supuestos!$C$18)^21))</f>
        <v>0.0174494402656339</v>
      </c>
      <c r="Y232" s="29" t="n">
        <f aca="false">X232*(1-MIN(1,INDEX(Tabla_Mortalidad!$B$5:$B$75,MIN(71,Cartera_Polizas!$B$234+22-49))*(1+(Cartera_Polizas!$P$234-1)*MAX(0,1-22/Supuestos!$C$20))*(1-Supuestos!$C$18)^22))</f>
        <v>0.0126760541816191</v>
      </c>
      <c r="Z232" s="29" t="n">
        <f aca="false">Y232*(1-MIN(1,INDEX(Tabla_Mortalidad!$B$5:$B$75,MIN(71,Cartera_Polizas!$B$234+23-49))*(1+(Cartera_Polizas!$P$234-1)*MAX(0,1-23/Supuestos!$C$20))*(1-Supuestos!$C$18)^23))</f>
        <v>0.00890022494130179</v>
      </c>
      <c r="AA232" s="29" t="n">
        <f aca="false">Z232*(1-MIN(1,INDEX(Tabla_Mortalidad!$B$5:$B$75,MIN(71,Cartera_Polizas!$B$234+24-49))*(1+(Cartera_Polizas!$P$234-1)*MAX(0,1-24/Supuestos!$C$20))*(1-Supuestos!$C$18)^24))</f>
        <v>0.00601960568971312</v>
      </c>
      <c r="AB232" s="29" t="n">
        <f aca="false">AA232*(1-MIN(1,INDEX(Tabla_Mortalidad!$B$5:$B$75,MIN(71,Cartera_Polizas!$B$234+25-49))*(1+(Cartera_Polizas!$P$234-1)*MAX(0,1-25/Supuestos!$C$20))*(1-Supuestos!$C$18)^25))</f>
        <v>0.0039075994665755</v>
      </c>
      <c r="AC232" s="29" t="n">
        <f aca="false">AB232*(1-MIN(1,INDEX(Tabla_Mortalidad!$B$5:$B$75,MIN(71,Cartera_Polizas!$B$234+26-49))*(1+(Cartera_Polizas!$P$234-1)*MAX(0,1-26/Supuestos!$C$20))*(1-Supuestos!$C$18)^26))</f>
        <v>0.00242518110161963</v>
      </c>
      <c r="AD232" s="29" t="n">
        <f aca="false">AC232*(1-MIN(1,INDEX(Tabla_Mortalidad!$B$5:$B$75,MIN(71,Cartera_Polizas!$B$234+27-49))*(1+(Cartera_Polizas!$P$234-1)*MAX(0,1-27/Supuestos!$C$20))*(1-Supuestos!$C$18)^27))</f>
        <v>0.0014331424187832</v>
      </c>
      <c r="AE232" s="29" t="n">
        <f aca="false">AD232*(1-MIN(1,INDEX(Tabla_Mortalidad!$B$5:$B$75,MIN(71,Cartera_Polizas!$B$234+28-49))*(1+(Cartera_Polizas!$P$234-1)*MAX(0,1-28/Supuestos!$C$20))*(1-Supuestos!$C$18)^28))</f>
        <v>0.000802937429850982</v>
      </c>
      <c r="AF232" s="29" t="n">
        <f aca="false">AE232*(1-MIN(1,INDEX(Tabla_Mortalidad!$B$5:$B$75,MIN(71,Cartera_Polizas!$B$234+29-49))*(1+(Cartera_Polizas!$P$234-1)*MAX(0,1-29/Supuestos!$C$20))*(1-Supuestos!$C$18)^29))</f>
        <v>0.00042461900595087</v>
      </c>
      <c r="AG232" s="29" t="n">
        <f aca="false">AF232*(1-MIN(1,INDEX(Tabla_Mortalidad!$B$5:$B$75,MIN(71,Cartera_Polizas!$B$234+30-49))*(1+(Cartera_Polizas!$P$234-1)*MAX(0,1-30/Supuestos!$C$20))*(1-Supuestos!$C$18)^30))</f>
        <v>0.000211008811957487</v>
      </c>
      <c r="AH232" s="29" t="n">
        <f aca="false">AG232*(1-MIN(1,INDEX(Tabla_Mortalidad!$B$5:$B$75,MIN(71,Cartera_Polizas!$B$234+31-49))*(1+(Cartera_Polizas!$P$234-1)*MAX(0,1-31/Supuestos!$C$20))*(1-Supuestos!$C$18)^31))</f>
        <v>9.81017445524138E-005</v>
      </c>
      <c r="AI232" s="29" t="n">
        <f aca="false">AH232*(1-MIN(1,INDEX(Tabla_Mortalidad!$B$5:$B$75,MIN(71,Cartera_Polizas!$B$234+32-49))*(1+(Cartera_Polizas!$P$234-1)*MAX(0,1-32/Supuestos!$C$20))*(1-Supuestos!$C$18)^32))</f>
        <v>4.24941630619172E-005</v>
      </c>
      <c r="AJ232" s="29" t="n">
        <f aca="false">AI232*(1-MIN(1,INDEX(Tabla_Mortalidad!$B$5:$B$75,MIN(71,Cartera_Polizas!$B$234+33-49))*(1+(Cartera_Polizas!$P$234-1)*MAX(0,1-33/Supuestos!$C$20))*(1-Supuestos!$C$18)^33))</f>
        <v>1.70869410527695E-005</v>
      </c>
      <c r="AK232" s="29" t="n">
        <f aca="false">AJ232*(1-MIN(1,INDEX(Tabla_Mortalidad!$B$5:$B$75,MIN(71,Cartera_Polizas!$B$234+34-49))*(1+(Cartera_Polizas!$P$234-1)*MAX(0,1-34/Supuestos!$C$20))*(1-Supuestos!$C$18)^34))</f>
        <v>6.35942470682004E-006</v>
      </c>
      <c r="AL232" s="29" t="n">
        <f aca="false">AK232*(1-MIN(1,INDEX(Tabla_Mortalidad!$B$5:$B$75,MIN(71,Cartera_Polizas!$B$234+35-49))*(1+(Cartera_Polizas!$P$234-1)*MAX(0,1-35/Supuestos!$C$20))*(1-Supuestos!$C$18)^35))</f>
        <v>2.18678098253043E-006</v>
      </c>
      <c r="AM232" s="29" t="n">
        <f aca="false">AL232*(1-MIN(1,INDEX(Tabla_Mortalidad!$B$5:$B$75,MIN(71,Cartera_Polizas!$B$234+36-49))*(1+(Cartera_Polizas!$P$234-1)*MAX(0,1-36/Supuestos!$C$20))*(1-Supuestos!$C$18)^36))</f>
        <v>6.94519966724389E-007</v>
      </c>
      <c r="AN232" s="29" t="n">
        <f aca="false">AM232*(1-MIN(1,INDEX(Tabla_Mortalidad!$B$5:$B$75,MIN(71,Cartera_Polizas!$B$234+37-49))*(1+(Cartera_Polizas!$P$234-1)*MAX(0,1-37/Supuestos!$C$20))*(1-Supuestos!$C$18)^37))</f>
        <v>2.04045501216931E-007</v>
      </c>
      <c r="AO232" s="29" t="n">
        <f aca="false">AN232*(1-MIN(1,INDEX(Tabla_Mortalidad!$B$5:$B$75,MIN(71,Cartera_Polizas!$B$234+38-49))*(1+(Cartera_Polizas!$P$234-1)*MAX(0,1-38/Supuestos!$C$20))*(1-Supuestos!$C$18)^38))</f>
        <v>5.56618424871335E-008</v>
      </c>
      <c r="AP232" s="29" t="n">
        <f aca="false">AO232*(1-MIN(1,INDEX(Tabla_Mortalidad!$B$5:$B$75,MIN(71,Cartera_Polizas!$B$234+39-49))*(1+(Cartera_Polizas!$P$234-1)*MAX(0,1-39/Supuestos!$C$20))*(1-Supuestos!$C$18)^39))</f>
        <v>1.41849646850274E-008</v>
      </c>
      <c r="AQ232" s="29" t="n">
        <f aca="false">AP232*(1-MIN(1,INDEX(Tabla_Mortalidad!$B$5:$B$75,MIN(71,Cartera_Polizas!$B$234+40-49))*(1+(Cartera_Polizas!$P$234-1)*MAX(0,1-40/Supuestos!$C$20))*(1-Supuestos!$C$18)^40))</f>
        <v>3.4055627442385E-009</v>
      </c>
      <c r="AR232" s="29" t="n">
        <f aca="false">AQ232*(1-MIN(1,INDEX(Tabla_Mortalidad!$B$5:$B$75,MIN(71,Cartera_Polizas!$B$234+41-49))*(1+(Cartera_Polizas!$P$234-1)*MAX(0,1-41/Supuestos!$C$20))*(1-Supuestos!$C$18)^41))</f>
        <v>7.78245102940876E-010</v>
      </c>
      <c r="AS232" s="29" t="n">
        <f aca="false">AR232*(1-MIN(1,INDEX(Tabla_Mortalidad!$B$5:$B$75,MIN(71,Cartera_Polizas!$B$234+42-49))*(1+(Cartera_Polizas!$P$234-1)*MAX(0,1-42/Supuestos!$C$20))*(1-Supuestos!$C$18)^42))</f>
        <v>1.47744091044563E-010</v>
      </c>
      <c r="AT232" s="29" t="n">
        <f aca="false">AS232*(1-MIN(1,INDEX(Tabla_Mortalidad!$B$5:$B$75,MIN(71,Cartera_Polizas!$B$234+43-49))*(1+(Cartera_Polizas!$P$234-1)*MAX(0,1-43/Supuestos!$C$20))*(1-Supuestos!$C$18)^43))</f>
        <v>2.86466054831113E-011</v>
      </c>
      <c r="AU232" s="29" t="n">
        <f aca="false">AT232*(1-MIN(1,INDEX(Tabla_Mortalidad!$B$5:$B$75,MIN(71,Cartera_Polizas!$B$234+44-49))*(1+(Cartera_Polizas!$P$234-1)*MAX(0,1-44/Supuestos!$C$20))*(1-Supuestos!$C$18)^44))</f>
        <v>5.66984908294508E-012</v>
      </c>
    </row>
    <row r="233" customFormat="false" ht="15" hidden="false" customHeight="false" outlineLevel="0" collapsed="false">
      <c r="A233" s="14" t="n">
        <f aca="false">Cartera_Polizas!A235</f>
        <v>230</v>
      </c>
      <c r="B233" s="26" t="n">
        <f aca="false">SUM(C233:AU233)+0.5</f>
        <v>10.9522525519286</v>
      </c>
      <c r="C233" s="29" t="n">
        <f aca="false">1-MIN(1,INDEX(Tabla_Mortalidad!$B$5:$B$75,MIN(71,Cartera_Polizas!$B$235+0-49))*(1+(Cartera_Polizas!$P$235-1)*MAX(0,1-0/Supuestos!$C$20))*(1-Supuestos!$C$18)^0)</f>
        <v>0.96202410625</v>
      </c>
      <c r="D233" s="29" t="n">
        <f aca="false">C233*(1-MIN(1,INDEX(Tabla_Mortalidad!$B$5:$B$75,MIN(71,Cartera_Polizas!$B$235+1-49))*(1+(Cartera_Polizas!$P$235-1)*MAX(0,1-1/Supuestos!$C$20))*(1-Supuestos!$C$18)^1))</f>
        <v>0.921704487111723</v>
      </c>
      <c r="E233" s="29" t="n">
        <f aca="false">D233*(1-MIN(1,INDEX(Tabla_Mortalidad!$B$5:$B$75,MIN(71,Cartera_Polizas!$B$235+2-49))*(1+(Cartera_Polizas!$P$235-1)*MAX(0,1-2/Supuestos!$C$20))*(1-Supuestos!$C$18)^2))</f>
        <v>0.879083410104077</v>
      </c>
      <c r="F233" s="29" t="n">
        <f aca="false">E233*(1-MIN(1,INDEX(Tabla_Mortalidad!$B$5:$B$75,MIN(71,Cartera_Polizas!$B$235+3-49))*(1+(Cartera_Polizas!$P$235-1)*MAX(0,1-3/Supuestos!$C$20))*(1-Supuestos!$C$18)^3))</f>
        <v>0.834245280151692</v>
      </c>
      <c r="G233" s="29" t="n">
        <f aca="false">F233*(1-MIN(1,INDEX(Tabla_Mortalidad!$B$5:$B$75,MIN(71,Cartera_Polizas!$B$235+4-49))*(1+(Cartera_Polizas!$P$235-1)*MAX(0,1-4/Supuestos!$C$20))*(1-Supuestos!$C$18)^4))</f>
        <v>0.78732474185293</v>
      </c>
      <c r="H233" s="29" t="n">
        <f aca="false">G233*(1-MIN(1,INDEX(Tabla_Mortalidad!$B$5:$B$75,MIN(71,Cartera_Polizas!$B$235+5-49))*(1+(Cartera_Polizas!$P$235-1)*MAX(0,1-5/Supuestos!$C$20))*(1-Supuestos!$C$18)^5))</f>
        <v>0.738514167926599</v>
      </c>
      <c r="I233" s="29" t="n">
        <f aca="false">H233*(1-MIN(1,INDEX(Tabla_Mortalidad!$B$5:$B$75,MIN(71,Cartera_Polizas!$B$235+6-49))*(1+(Cartera_Polizas!$P$235-1)*MAX(0,1-6/Supuestos!$C$20))*(1-Supuestos!$C$18)^6))</f>
        <v>0.688066909264521</v>
      </c>
      <c r="J233" s="29" t="n">
        <f aca="false">I233*(1-MIN(1,INDEX(Tabla_Mortalidad!$B$5:$B$75,MIN(71,Cartera_Polizas!$B$235+7-49))*(1+(Cartera_Polizas!$P$235-1)*MAX(0,1-7/Supuestos!$C$20))*(1-Supuestos!$C$18)^7))</f>
        <v>0.636300620161216</v>
      </c>
      <c r="K233" s="29" t="n">
        <f aca="false">J233*(1-MIN(1,INDEX(Tabla_Mortalidad!$B$5:$B$75,MIN(71,Cartera_Polizas!$B$235+8-49))*(1+(Cartera_Polizas!$P$235-1)*MAX(0,1-8/Supuestos!$C$20))*(1-Supuestos!$C$18)^8))</f>
        <v>0.583602024815685</v>
      </c>
      <c r="L233" s="29" t="n">
        <f aca="false">K233*(1-MIN(1,INDEX(Tabla_Mortalidad!$B$5:$B$75,MIN(71,Cartera_Polizas!$B$235+9-49))*(1+(Cartera_Polizas!$P$235-1)*MAX(0,1-9/Supuestos!$C$20))*(1-Supuestos!$C$18)^9))</f>
        <v>0.530421654943785</v>
      </c>
      <c r="M233" s="29" t="n">
        <f aca="false">L233*(1-MIN(1,INDEX(Tabla_Mortalidad!$B$5:$B$75,MIN(71,Cartera_Polizas!$B$235+10-49))*(1+(Cartera_Polizas!$P$235-1)*MAX(0,1-10/Supuestos!$C$20))*(1-Supuestos!$C$18)^10))</f>
        <v>0.477273085017371</v>
      </c>
      <c r="N233" s="29" t="n">
        <f aca="false">M233*(1-MIN(1,INDEX(Tabla_Mortalidad!$B$5:$B$75,MIN(71,Cartera_Polizas!$B$235+11-49))*(1+(Cartera_Polizas!$P$235-1)*MAX(0,1-11/Supuestos!$C$20))*(1-Supuestos!$C$18)^11))</f>
        <v>0.424721017410328</v>
      </c>
      <c r="O233" s="29" t="n">
        <f aca="false">N233*(1-MIN(1,INDEX(Tabla_Mortalidad!$B$5:$B$75,MIN(71,Cartera_Polizas!$B$235+12-49))*(1+(Cartera_Polizas!$P$235-1)*MAX(0,1-12/Supuestos!$C$20))*(1-Supuestos!$C$18)^12))</f>
        <v>0.373368139461821</v>
      </c>
      <c r="P233" s="29" t="n">
        <f aca="false">O233*(1-MIN(1,INDEX(Tabla_Mortalidad!$B$5:$B$75,MIN(71,Cartera_Polizas!$B$235+13-49))*(1+(Cartera_Polizas!$P$235-1)*MAX(0,1-13/Supuestos!$C$20))*(1-Supuestos!$C$18)^13))</f>
        <v>0.323835801547497</v>
      </c>
      <c r="Q233" s="29" t="n">
        <f aca="false">P233*(1-MIN(1,INDEX(Tabla_Mortalidad!$B$5:$B$75,MIN(71,Cartera_Polizas!$B$235+14-49))*(1+(Cartera_Polizas!$P$235-1)*MAX(0,1-14/Supuestos!$C$20))*(1-Supuestos!$C$18)^14))</f>
        <v>0.276740211105791</v>
      </c>
      <c r="R233" s="29" t="n">
        <f aca="false">Q233*(1-MIN(1,INDEX(Tabla_Mortalidad!$B$5:$B$75,MIN(71,Cartera_Polizas!$B$235+15-49))*(1+(Cartera_Polizas!$P$235-1)*MAX(0,1-15/Supuestos!$C$20))*(1-Supuestos!$C$18)^15))</f>
        <v>0.232664287570998</v>
      </c>
      <c r="S233" s="29" t="n">
        <f aca="false">R233*(1-MIN(1,INDEX(Tabla_Mortalidad!$B$5:$B$75,MIN(71,Cartera_Polizas!$B$235+16-49))*(1+(Cartera_Polizas!$P$235-1)*MAX(0,1-16/Supuestos!$C$20))*(1-Supuestos!$C$18)^16))</f>
        <v>0.191939723331178</v>
      </c>
      <c r="T233" s="29" t="n">
        <f aca="false">S233*(1-MIN(1,INDEX(Tabla_Mortalidad!$B$5:$B$75,MIN(71,Cartera_Polizas!$B$235+17-49))*(1+(Cartera_Polizas!$P$235-1)*MAX(0,1-17/Supuestos!$C$20))*(1-Supuestos!$C$18)^17))</f>
        <v>0.155061077538287</v>
      </c>
      <c r="U233" s="29" t="n">
        <f aca="false">T233*(1-MIN(1,INDEX(Tabla_Mortalidad!$B$5:$B$75,MIN(71,Cartera_Polizas!$B$235+18-49))*(1+(Cartera_Polizas!$P$235-1)*MAX(0,1-18/Supuestos!$C$20))*(1-Supuestos!$C$18)^18))</f>
        <v>0.122400415933753</v>
      </c>
      <c r="V233" s="29" t="n">
        <f aca="false">U233*(1-MIN(1,INDEX(Tabla_Mortalidad!$B$5:$B$75,MIN(71,Cartera_Polizas!$B$235+19-49))*(1+(Cartera_Polizas!$P$235-1)*MAX(0,1-19/Supuestos!$C$20))*(1-Supuestos!$C$18)^19))</f>
        <v>0.0941783037235443</v>
      </c>
      <c r="W233" s="29" t="n">
        <f aca="false">V233*(1-MIN(1,INDEX(Tabla_Mortalidad!$B$5:$B$75,MIN(71,Cartera_Polizas!$B$235+20-49))*(1+(Cartera_Polizas!$P$235-1)*MAX(0,1-20/Supuestos!$C$20))*(1-Supuestos!$C$18)^20))</f>
        <v>0.0704455363644834</v>
      </c>
      <c r="X233" s="29" t="n">
        <f aca="false">W233*(1-MIN(1,INDEX(Tabla_Mortalidad!$B$5:$B$75,MIN(71,Cartera_Polizas!$B$235+21-49))*(1+(Cartera_Polizas!$P$235-1)*MAX(0,1-21/Supuestos!$C$20))*(1-Supuestos!$C$18)^21))</f>
        <v>0.0510779517674375</v>
      </c>
      <c r="Y233" s="29" t="n">
        <f aca="false">X233*(1-MIN(1,INDEX(Tabla_Mortalidad!$B$5:$B$75,MIN(71,Cartera_Polizas!$B$235+22-49))*(1+(Cartera_Polizas!$P$235-1)*MAX(0,1-22/Supuestos!$C$20))*(1-Supuestos!$C$18)^22))</f>
        <v>0.0357868544803488</v>
      </c>
      <c r="Z233" s="29" t="n">
        <f aca="false">Y233*(1-MIN(1,INDEX(Tabla_Mortalidad!$B$5:$B$75,MIN(71,Cartera_Polizas!$B$235+23-49))*(1+(Cartera_Polizas!$P$235-1)*MAX(0,1-23/Supuestos!$C$20))*(1-Supuestos!$C$18)^23))</f>
        <v>0.0241459876122209</v>
      </c>
      <c r="AA233" s="29" t="n">
        <f aca="false">Z233*(1-MIN(1,INDEX(Tabla_Mortalidad!$B$5:$B$75,MIN(71,Cartera_Polizas!$B$235+24-49))*(1+(Cartera_Polizas!$P$235-1)*MAX(0,1-24/Supuestos!$C$20))*(1-Supuestos!$C$18)^24))</f>
        <v>0.0156316857722517</v>
      </c>
      <c r="AB233" s="29" t="n">
        <f aca="false">AA233*(1-MIN(1,INDEX(Tabla_Mortalidad!$B$5:$B$75,MIN(71,Cartera_Polizas!$B$235+25-49))*(1+(Cartera_Polizas!$P$235-1)*MAX(0,1-25/Supuestos!$C$20))*(1-Supuestos!$C$18)^25))</f>
        <v>0.00967172391277029</v>
      </c>
      <c r="AC233" s="29" t="n">
        <f aca="false">AB233*(1-MIN(1,INDEX(Tabla_Mortalidad!$B$5:$B$75,MIN(71,Cartera_Polizas!$B$235+26-49))*(1+(Cartera_Polizas!$P$235-1)*MAX(0,1-26/Supuestos!$C$20))*(1-Supuestos!$C$18)^26))</f>
        <v>0.00569555118922735</v>
      </c>
      <c r="AD233" s="29" t="n">
        <f aca="false">AC233*(1-MIN(1,INDEX(Tabla_Mortalidad!$B$5:$B$75,MIN(71,Cartera_Polizas!$B$235+27-49))*(1+(Cartera_Polizas!$P$235-1)*MAX(0,1-27/Supuestos!$C$20))*(1-Supuestos!$C$18)^27))</f>
        <v>0.00317842397576578</v>
      </c>
      <c r="AE233" s="29" t="n">
        <f aca="false">AD233*(1-MIN(1,INDEX(Tabla_Mortalidad!$B$5:$B$75,MIN(71,Cartera_Polizas!$B$235+28-49))*(1+(Cartera_Polizas!$P$235-1)*MAX(0,1-28/Supuestos!$C$20))*(1-Supuestos!$C$18)^28))</f>
        <v>0.0016733268183965</v>
      </c>
      <c r="AF233" s="29" t="n">
        <f aca="false">AE233*(1-MIN(1,INDEX(Tabla_Mortalidad!$B$5:$B$75,MIN(71,Cartera_Polizas!$B$235+29-49))*(1+(Cartera_Polizas!$P$235-1)*MAX(0,1-29/Supuestos!$C$20))*(1-Supuestos!$C$18)^29))</f>
        <v>0.000827307585896176</v>
      </c>
      <c r="AG233" s="29" t="n">
        <f aca="false">AF233*(1-MIN(1,INDEX(Tabla_Mortalidad!$B$5:$B$75,MIN(71,Cartera_Polizas!$B$235+30-49))*(1+(Cartera_Polizas!$P$235-1)*MAX(0,1-30/Supuestos!$C$20))*(1-Supuestos!$C$18)^30))</f>
        <v>0.000382405480538289</v>
      </c>
      <c r="AH233" s="29" t="n">
        <f aca="false">AG233*(1-MIN(1,INDEX(Tabla_Mortalidad!$B$5:$B$75,MIN(71,Cartera_Polizas!$B$235+31-49))*(1+(Cartera_Polizas!$P$235-1)*MAX(0,1-31/Supuestos!$C$20))*(1-Supuestos!$C$18)^31))</f>
        <v>0.000164555109720775</v>
      </c>
      <c r="AI233" s="29" t="n">
        <f aca="false">AH233*(1-MIN(1,INDEX(Tabla_Mortalidad!$B$5:$B$75,MIN(71,Cartera_Polizas!$B$235+32-49))*(1+(Cartera_Polizas!$P$235-1)*MAX(0,1-32/Supuestos!$C$20))*(1-Supuestos!$C$18)^32))</f>
        <v>6.56733482948037E-005</v>
      </c>
      <c r="AJ233" s="29" t="n">
        <f aca="false">AI233*(1-MIN(1,INDEX(Tabla_Mortalidad!$B$5:$B$75,MIN(71,Cartera_Polizas!$B$235+33-49))*(1+(Cartera_Polizas!$P$235-1)*MAX(0,1-33/Supuestos!$C$20))*(1-Supuestos!$C$18)^33))</f>
        <v>2.4235142589631E-005</v>
      </c>
      <c r="AK233" s="29" t="n">
        <f aca="false">AJ233*(1-MIN(1,INDEX(Tabla_Mortalidad!$B$5:$B$75,MIN(71,Cartera_Polizas!$B$235+34-49))*(1+(Cartera_Polizas!$P$235-1)*MAX(0,1-34/Supuestos!$C$20))*(1-Supuestos!$C$18)^34))</f>
        <v>8.25370020812891E-006</v>
      </c>
      <c r="AL233" s="29" t="n">
        <f aca="false">AK233*(1-MIN(1,INDEX(Tabla_Mortalidad!$B$5:$B$75,MIN(71,Cartera_Polizas!$B$235+35-49))*(1+(Cartera_Polizas!$P$235-1)*MAX(0,1-35/Supuestos!$C$20))*(1-Supuestos!$C$18)^35))</f>
        <v>2.59306569780943E-006</v>
      </c>
      <c r="AM233" s="29" t="n">
        <f aca="false">AL233*(1-MIN(1,INDEX(Tabla_Mortalidad!$B$5:$B$75,MIN(71,Cartera_Polizas!$B$235+36-49))*(1+(Cartera_Polizas!$P$235-1)*MAX(0,1-36/Supuestos!$C$20))*(1-Supuestos!$C$18)^36))</f>
        <v>7.52623822050368E-007</v>
      </c>
      <c r="AN233" s="29" t="n">
        <f aca="false">AM233*(1-MIN(1,INDEX(Tabla_Mortalidad!$B$5:$B$75,MIN(71,Cartera_Polizas!$B$235+37-49))*(1+(Cartera_Polizas!$P$235-1)*MAX(0,1-37/Supuestos!$C$20))*(1-Supuestos!$C$18)^37))</f>
        <v>2.02558924602719E-007</v>
      </c>
      <c r="AO233" s="29" t="n">
        <f aca="false">AN233*(1-MIN(1,INDEX(Tabla_Mortalidad!$B$5:$B$75,MIN(71,Cartera_Polizas!$B$235+38-49))*(1+(Cartera_Polizas!$P$235-1)*MAX(0,1-38/Supuestos!$C$20))*(1-Supuestos!$C$18)^38))</f>
        <v>5.08619983376108E-008</v>
      </c>
      <c r="AP233" s="29" t="n">
        <f aca="false">AO233*(1-MIN(1,INDEX(Tabla_Mortalidad!$B$5:$B$75,MIN(71,Cartera_Polizas!$B$235+39-49))*(1+(Cartera_Polizas!$P$235-1)*MAX(0,1-39/Supuestos!$C$20))*(1-Supuestos!$C$18)^39))</f>
        <v>1.2016853434456E-008</v>
      </c>
      <c r="AQ233" s="29" t="n">
        <f aca="false">AP233*(1-MIN(1,INDEX(Tabla_Mortalidad!$B$5:$B$75,MIN(71,Cartera_Polizas!$B$235+40-49))*(1+(Cartera_Polizas!$P$235-1)*MAX(0,1-40/Supuestos!$C$20))*(1-Supuestos!$C$18)^40))</f>
        <v>2.69952554242382E-009</v>
      </c>
      <c r="AR233" s="29" t="n">
        <f aca="false">AQ233*(1-MIN(1,INDEX(Tabla_Mortalidad!$B$5:$B$75,MIN(71,Cartera_Polizas!$B$235+41-49))*(1+(Cartera_Polizas!$P$235-1)*MAX(0,1-41/Supuestos!$C$20))*(1-Supuestos!$C$18)^41))</f>
        <v>5.0149485418666E-010</v>
      </c>
      <c r="AS233" s="29" t="n">
        <f aca="false">AR233*(1-MIN(1,INDEX(Tabla_Mortalidad!$B$5:$B$75,MIN(71,Cartera_Polizas!$B$235+42-49))*(1+(Cartera_Polizas!$P$235-1)*MAX(0,1-42/Supuestos!$C$20))*(1-Supuestos!$C$18)^42))</f>
        <v>9.52050981308426E-011</v>
      </c>
      <c r="AT233" s="29" t="n">
        <f aca="false">AS233*(1-MIN(1,INDEX(Tabla_Mortalidad!$B$5:$B$75,MIN(71,Cartera_Polizas!$B$235+43-49))*(1+(Cartera_Polizas!$P$235-1)*MAX(0,1-43/Supuestos!$C$20))*(1-Supuestos!$C$18)^43))</f>
        <v>1.84596410377761E-011</v>
      </c>
      <c r="AU233" s="29" t="n">
        <f aca="false">AT233*(1-MIN(1,INDEX(Tabla_Mortalidad!$B$5:$B$75,MIN(71,Cartera_Polizas!$B$235+44-49))*(1+(Cartera_Polizas!$P$235-1)*MAX(0,1-44/Supuestos!$C$20))*(1-Supuestos!$C$18)^44))</f>
        <v>3.65360492262285E-012</v>
      </c>
    </row>
    <row r="234" customFormat="false" ht="15" hidden="false" customHeight="false" outlineLevel="0" collapsed="false">
      <c r="A234" s="14" t="n">
        <f aca="false">Cartera_Polizas!A236</f>
        <v>231</v>
      </c>
      <c r="B234" s="26" t="n">
        <f aca="false">SUM(C234:AU234)+0.5</f>
        <v>7.65125155362145</v>
      </c>
      <c r="C234" s="29" t="n">
        <f aca="false">1-MIN(1,INDEX(Tabla_Mortalidad!$B$5:$B$75,MIN(71,Cartera_Polizas!$B$236+0-49))*(1+(Cartera_Polizas!$P$236-1)*MAX(0,1-0/Supuestos!$C$20))*(1-Supuestos!$C$18)^0)</f>
        <v>0.928541985625</v>
      </c>
      <c r="D234" s="29" t="n">
        <f aca="false">C234*(1-MIN(1,INDEX(Tabla_Mortalidad!$B$5:$B$75,MIN(71,Cartera_Polizas!$B$236+1-49))*(1+(Cartera_Polizas!$P$236-1)*MAX(0,1-1/Supuestos!$C$20))*(1-Supuestos!$C$18)^1))</f>
        <v>0.8558424302398</v>
      </c>
      <c r="E234" s="29" t="n">
        <f aca="false">D234*(1-MIN(1,INDEX(Tabla_Mortalidad!$B$5:$B$75,MIN(71,Cartera_Polizas!$B$236+2-49))*(1+(Cartera_Polizas!$P$236-1)*MAX(0,1-2/Supuestos!$C$20))*(1-Supuestos!$C$18)^2))</f>
        <v>0.782460919423318</v>
      </c>
      <c r="F234" s="29" t="n">
        <f aca="false">E234*(1-MIN(1,INDEX(Tabla_Mortalidad!$B$5:$B$75,MIN(71,Cartera_Polizas!$B$236+3-49))*(1+(Cartera_Polizas!$P$236-1)*MAX(0,1-3/Supuestos!$C$20))*(1-Supuestos!$C$18)^3))</f>
        <v>0.709032451031314</v>
      </c>
      <c r="G234" s="29" t="n">
        <f aca="false">F234*(1-MIN(1,INDEX(Tabla_Mortalidad!$B$5:$B$75,MIN(71,Cartera_Polizas!$B$236+4-49))*(1+(Cartera_Polizas!$P$236-1)*MAX(0,1-4/Supuestos!$C$20))*(1-Supuestos!$C$18)^4))</f>
        <v>0.636251582109581</v>
      </c>
      <c r="H234" s="29" t="n">
        <f aca="false">G234*(1-MIN(1,INDEX(Tabla_Mortalidad!$B$5:$B$75,MIN(71,Cartera_Polizas!$B$236+5-49))*(1+(Cartera_Polizas!$P$236-1)*MAX(0,1-5/Supuestos!$C$20))*(1-Supuestos!$C$18)^5))</f>
        <v>0.56486293918241</v>
      </c>
      <c r="I234" s="29" t="n">
        <f aca="false">H234*(1-MIN(1,INDEX(Tabla_Mortalidad!$B$5:$B$75,MIN(71,Cartera_Polizas!$B$236+6-49))*(1+(Cartera_Polizas!$P$236-1)*MAX(0,1-6/Supuestos!$C$20))*(1-Supuestos!$C$18)^6))</f>
        <v>0.49563678270405</v>
      </c>
      <c r="J234" s="29" t="n">
        <f aca="false">I234*(1-MIN(1,INDEX(Tabla_Mortalidad!$B$5:$B$75,MIN(71,Cartera_Polizas!$B$236+7-49))*(1+(Cartera_Polizas!$P$236-1)*MAX(0,1-7/Supuestos!$C$20))*(1-Supuestos!$C$18)^7))</f>
        <v>0.429344454953348</v>
      </c>
      <c r="K234" s="29" t="n">
        <f aca="false">J234*(1-MIN(1,INDEX(Tabla_Mortalidad!$B$5:$B$75,MIN(71,Cartera_Polizas!$B$236+8-49))*(1+(Cartera_Polizas!$P$236-1)*MAX(0,1-8/Supuestos!$C$20))*(1-Supuestos!$C$18)^8))</f>
        <v>0.366727828593806</v>
      </c>
      <c r="L234" s="29" t="n">
        <f aca="false">K234*(1-MIN(1,INDEX(Tabla_Mortalidad!$B$5:$B$75,MIN(71,Cartera_Polizas!$B$236+9-49))*(1+(Cartera_Polizas!$P$236-1)*MAX(0,1-9/Supuestos!$C$20))*(1-Supuestos!$C$18)^9))</f>
        <v>0.30846613339503</v>
      </c>
      <c r="M234" s="29" t="n">
        <f aca="false">L234*(1-MIN(1,INDEX(Tabla_Mortalidad!$B$5:$B$75,MIN(71,Cartera_Polizas!$B$236+10-49))*(1+(Cartera_Polizas!$P$236-1)*MAX(0,1-10/Supuestos!$C$20))*(1-Supuestos!$C$18)^10))</f>
        <v>0.255141338152903</v>
      </c>
      <c r="N234" s="29" t="n">
        <f aca="false">M234*(1-MIN(1,INDEX(Tabla_Mortalidad!$B$5:$B$75,MIN(71,Cartera_Polizas!$B$236+11-49))*(1+(Cartera_Polizas!$P$236-1)*MAX(0,1-11/Supuestos!$C$20))*(1-Supuestos!$C$18)^11))</f>
        <v>0.207204466668256</v>
      </c>
      <c r="O234" s="29" t="n">
        <f aca="false">N234*(1-MIN(1,INDEX(Tabla_Mortalidad!$B$5:$B$75,MIN(71,Cartera_Polizas!$B$236+12-49))*(1+(Cartera_Polizas!$P$236-1)*MAX(0,1-12/Supuestos!$C$20))*(1-Supuestos!$C$18)^12))</f>
        <v>0.164948639480371</v>
      </c>
      <c r="P234" s="29" t="n">
        <f aca="false">O234*(1-MIN(1,INDEX(Tabla_Mortalidad!$B$5:$B$75,MIN(71,Cartera_Polizas!$B$236+13-49))*(1+(Cartera_Polizas!$P$236-1)*MAX(0,1-13/Supuestos!$C$20))*(1-Supuestos!$C$18)^13))</f>
        <v>0.128489366886216</v>
      </c>
      <c r="Q234" s="29" t="n">
        <f aca="false">P234*(1-MIN(1,INDEX(Tabla_Mortalidad!$B$5:$B$75,MIN(71,Cartera_Polizas!$B$236+14-49))*(1+(Cartera_Polizas!$P$236-1)*MAX(0,1-14/Supuestos!$C$20))*(1-Supuestos!$C$18)^14))</f>
        <v>0.0977557457427361</v>
      </c>
      <c r="R234" s="29" t="n">
        <f aca="false">Q234*(1-MIN(1,INDEX(Tabla_Mortalidad!$B$5:$B$75,MIN(71,Cartera_Polizas!$B$236+15-49))*(1+(Cartera_Polizas!$P$236-1)*MAX(0,1-15/Supuestos!$C$20))*(1-Supuestos!$C$18)^15))</f>
        <v>0.0724962656413088</v>
      </c>
      <c r="S234" s="29" t="n">
        <f aca="false">R234*(1-MIN(1,INDEX(Tabla_Mortalidad!$B$5:$B$75,MIN(71,Cartera_Polizas!$B$236+16-49))*(1+(Cartera_Polizas!$P$236-1)*MAX(0,1-16/Supuestos!$C$20))*(1-Supuestos!$C$18)^16))</f>
        <v>0.0520590271031175</v>
      </c>
      <c r="T234" s="29" t="n">
        <f aca="false">S234*(1-MIN(1,INDEX(Tabla_Mortalidad!$B$5:$B$75,MIN(71,Cartera_Polizas!$B$236+17-49))*(1+(Cartera_Polizas!$P$236-1)*MAX(0,1-17/Supuestos!$C$20))*(1-Supuestos!$C$18)^17))</f>
        <v>0.0360786942246905</v>
      </c>
      <c r="U234" s="29" t="n">
        <f aca="false">T234*(1-MIN(1,INDEX(Tabla_Mortalidad!$B$5:$B$75,MIN(71,Cartera_Polizas!$B$236+18-49))*(1+(Cartera_Polizas!$P$236-1)*MAX(0,1-18/Supuestos!$C$20))*(1-Supuestos!$C$18)^18))</f>
        <v>0.0240450490323683</v>
      </c>
      <c r="V234" s="29" t="n">
        <f aca="false">U234*(1-MIN(1,INDEX(Tabla_Mortalidad!$B$5:$B$75,MIN(71,Cartera_Polizas!$B$236+19-49))*(1+(Cartera_Polizas!$P$236-1)*MAX(0,1-19/Supuestos!$C$20))*(1-Supuestos!$C$18)^19))</f>
        <v>0.0153511552066101</v>
      </c>
      <c r="W234" s="29" t="n">
        <f aca="false">V234*(1-MIN(1,INDEX(Tabla_Mortalidad!$B$5:$B$75,MIN(71,Cartera_Polizas!$B$236+20-49))*(1+(Cartera_Polizas!$P$236-1)*MAX(0,1-20/Supuestos!$C$20))*(1-Supuestos!$C$18)^20))</f>
        <v>0.00934960666503071</v>
      </c>
      <c r="X234" s="29" t="n">
        <f aca="false">W234*(1-MIN(1,INDEX(Tabla_Mortalidad!$B$5:$B$75,MIN(71,Cartera_Polizas!$B$236+21-49))*(1+(Cartera_Polizas!$P$236-1)*MAX(0,1-21/Supuestos!$C$20))*(1-Supuestos!$C$18)^21))</f>
        <v>0.0054083085293648</v>
      </c>
      <c r="Y234" s="29" t="n">
        <f aca="false">X234*(1-MIN(1,INDEX(Tabla_Mortalidad!$B$5:$B$75,MIN(71,Cartera_Polizas!$B$236+22-49))*(1+(Cartera_Polizas!$P$236-1)*MAX(0,1-22/Supuestos!$C$20))*(1-Supuestos!$C$18)^22))</f>
        <v>0.00295746570246687</v>
      </c>
      <c r="Z234" s="29" t="n">
        <f aca="false">Y234*(1-MIN(1,INDEX(Tabla_Mortalidad!$B$5:$B$75,MIN(71,Cartera_Polizas!$B$236+23-49))*(1+(Cartera_Polizas!$P$236-1)*MAX(0,1-23/Supuestos!$C$20))*(1-Supuestos!$C$18)^23))</f>
        <v>0.00152145716948489</v>
      </c>
      <c r="AA234" s="29" t="n">
        <f aca="false">Z234*(1-MIN(1,INDEX(Tabla_Mortalidad!$B$5:$B$75,MIN(71,Cartera_Polizas!$B$236+24-49))*(1+(Cartera_Polizas!$P$236-1)*MAX(0,1-24/Supuestos!$C$20))*(1-Supuestos!$C$18)^24))</f>
        <v>0.000732699142973694</v>
      </c>
      <c r="AB234" s="29" t="n">
        <f aca="false">AA234*(1-MIN(1,INDEX(Tabla_Mortalidad!$B$5:$B$75,MIN(71,Cartera_Polizas!$B$236+25-49))*(1+(Cartera_Polizas!$P$236-1)*MAX(0,1-25/Supuestos!$C$20))*(1-Supuestos!$C$18)^25))</f>
        <v>0.000328674612549476</v>
      </c>
      <c r="AC234" s="29" t="n">
        <f aca="false">AB234*(1-MIN(1,INDEX(Tabla_Mortalidad!$B$5:$B$75,MIN(71,Cartera_Polizas!$B$236+26-49))*(1+(Cartera_Polizas!$P$236-1)*MAX(0,1-26/Supuestos!$C$20))*(1-Supuestos!$C$18)^26))</f>
        <v>0.000136681808468814</v>
      </c>
      <c r="AD234" s="29" t="n">
        <f aca="false">AC234*(1-MIN(1,INDEX(Tabla_Mortalidad!$B$5:$B$75,MIN(71,Cartera_Polizas!$B$236+27-49))*(1+(Cartera_Polizas!$P$236-1)*MAX(0,1-27/Supuestos!$C$20))*(1-Supuestos!$C$18)^27))</f>
        <v>5.24647371957715E-005</v>
      </c>
      <c r="AE234" s="29" t="n">
        <f aca="false">AD234*(1-MIN(1,INDEX(Tabla_Mortalidad!$B$5:$B$75,MIN(71,Cartera_Polizas!$B$236+28-49))*(1+(Cartera_Polizas!$P$236-1)*MAX(0,1-28/Supuestos!$C$20))*(1-Supuestos!$C$18)^28))</f>
        <v>1.85206697999496E-005</v>
      </c>
      <c r="AF234" s="29" t="n">
        <f aca="false">AE234*(1-MIN(1,INDEX(Tabla_Mortalidad!$B$5:$B$75,MIN(71,Cartera_Polizas!$B$236+29-49))*(1+(Cartera_Polizas!$P$236-1)*MAX(0,1-29/Supuestos!$C$20))*(1-Supuestos!$C$18)^29))</f>
        <v>5.99757468195039E-006</v>
      </c>
      <c r="AG234" s="29" t="n">
        <f aca="false">AF234*(1-MIN(1,INDEX(Tabla_Mortalidad!$B$5:$B$75,MIN(71,Cartera_Polizas!$B$236+30-49))*(1+(Cartera_Polizas!$P$236-1)*MAX(0,1-30/Supuestos!$C$20))*(1-Supuestos!$C$18)^30))</f>
        <v>1.77986497474841E-006</v>
      </c>
      <c r="AH234" s="29" t="n">
        <f aca="false">AG234*(1-MIN(1,INDEX(Tabla_Mortalidad!$B$5:$B$75,MIN(71,Cartera_Polizas!$B$236+31-49))*(1+(Cartera_Polizas!$P$236-1)*MAX(0,1-31/Supuestos!$C$20))*(1-Supuestos!$C$18)^31))</f>
        <v>4.84535525861024E-007</v>
      </c>
      <c r="AI234" s="29" t="n">
        <f aca="false">AH234*(1-MIN(1,INDEX(Tabla_Mortalidad!$B$5:$B$75,MIN(71,Cartera_Polizas!$B$236+32-49))*(1+(Cartera_Polizas!$P$236-1)*MAX(0,1-32/Supuestos!$C$20))*(1-Supuestos!$C$18)^32))</f>
        <v>1.21418851892116E-007</v>
      </c>
      <c r="AJ234" s="29" t="n">
        <f aca="false">AI234*(1-MIN(1,INDEX(Tabla_Mortalidad!$B$5:$B$75,MIN(71,Cartera_Polizas!$B$236+33-49))*(1+(Cartera_Polizas!$P$236-1)*MAX(0,1-33/Supuestos!$C$20))*(1-Supuestos!$C$18)^33))</f>
        <v>2.81801718589113E-008</v>
      </c>
      <c r="AK234" s="29" t="n">
        <f aca="false">AJ234*(1-MIN(1,INDEX(Tabla_Mortalidad!$B$5:$B$75,MIN(71,Cartera_Polizas!$B$236+34-49))*(1+(Cartera_Polizas!$P$236-1)*MAX(0,1-34/Supuestos!$C$20))*(1-Supuestos!$C$18)^34))</f>
        <v>6.11173563007051E-009</v>
      </c>
      <c r="AL234" s="29" t="n">
        <f aca="false">AK234*(1-MIN(1,INDEX(Tabla_Mortalidad!$B$5:$B$75,MIN(71,Cartera_Polizas!$B$236+35-49))*(1+(Cartera_Polizas!$P$236-1)*MAX(0,1-35/Supuestos!$C$20))*(1-Supuestos!$C$18)^35))</f>
        <v>1.2527034936647E-009</v>
      </c>
      <c r="AM234" s="29" t="n">
        <f aca="false">AL234*(1-MIN(1,INDEX(Tabla_Mortalidad!$B$5:$B$75,MIN(71,Cartera_Polizas!$B$236+36-49))*(1+(Cartera_Polizas!$P$236-1)*MAX(0,1-36/Supuestos!$C$20))*(1-Supuestos!$C$18)^36))</f>
        <v>2.06829906127744E-010</v>
      </c>
      <c r="AN234" s="29" t="n">
        <f aca="false">AM234*(1-MIN(1,INDEX(Tabla_Mortalidad!$B$5:$B$75,MIN(71,Cartera_Polizas!$B$236+37-49))*(1+(Cartera_Polizas!$P$236-1)*MAX(0,1-37/Supuestos!$C$20))*(1-Supuestos!$C$18)^37))</f>
        <v>3.50124350816331E-011</v>
      </c>
      <c r="AO234" s="29" t="n">
        <f aca="false">AN234*(1-MIN(1,INDEX(Tabla_Mortalidad!$B$5:$B$75,MIN(71,Cartera_Polizas!$B$236+38-49))*(1+(Cartera_Polizas!$P$236-1)*MAX(0,1-38/Supuestos!$C$20))*(1-Supuestos!$C$18)^38))</f>
        <v>6.0723778979251E-012</v>
      </c>
      <c r="AP234" s="29" t="n">
        <f aca="false">AO234*(1-MIN(1,INDEX(Tabla_Mortalidad!$B$5:$B$75,MIN(71,Cartera_Polizas!$B$236+39-49))*(1+(Cartera_Polizas!$P$236-1)*MAX(0,1-39/Supuestos!$C$20))*(1-Supuestos!$C$18)^39))</f>
        <v>1.07825828352763E-012</v>
      </c>
      <c r="AQ234" s="29" t="n">
        <f aca="false">AP234*(1-MIN(1,INDEX(Tabla_Mortalidad!$B$5:$B$75,MIN(71,Cartera_Polizas!$B$236+40-49))*(1+(Cartera_Polizas!$P$236-1)*MAX(0,1-40/Supuestos!$C$20))*(1-Supuestos!$C$18)^40))</f>
        <v>1.95897834457599E-013</v>
      </c>
      <c r="AR234" s="29" t="n">
        <f aca="false">AQ234*(1-MIN(1,INDEX(Tabla_Mortalidad!$B$5:$B$75,MIN(71,Cartera_Polizas!$B$236+41-49))*(1+(Cartera_Polizas!$P$236-1)*MAX(0,1-41/Supuestos!$C$20))*(1-Supuestos!$C$18)^41))</f>
        <v>3.63922305541839E-014</v>
      </c>
      <c r="AS234" s="29" t="n">
        <f aca="false">AR234*(1-MIN(1,INDEX(Tabla_Mortalidad!$B$5:$B$75,MIN(71,Cartera_Polizas!$B$236+42-49))*(1+(Cartera_Polizas!$P$236-1)*MAX(0,1-42/Supuestos!$C$20))*(1-Supuestos!$C$18)^42))</f>
        <v>6.90879647555014E-015</v>
      </c>
      <c r="AT234" s="29" t="n">
        <f aca="false">AS234*(1-MIN(1,INDEX(Tabla_Mortalidad!$B$5:$B$75,MIN(71,Cartera_Polizas!$B$236+43-49))*(1+(Cartera_Polizas!$P$236-1)*MAX(0,1-43/Supuestos!$C$20))*(1-Supuestos!$C$18)^43))</f>
        <v>1.33957010124012E-015</v>
      </c>
      <c r="AU234" s="29" t="n">
        <f aca="false">AT234*(1-MIN(1,INDEX(Tabla_Mortalidad!$B$5:$B$75,MIN(71,Cartera_Polizas!$B$236+44-49))*(1+(Cartera_Polizas!$P$236-1)*MAX(0,1-44/Supuestos!$C$20))*(1-Supuestos!$C$18)^44))</f>
        <v>2.65132995060608E-016</v>
      </c>
    </row>
    <row r="235" customFormat="false" ht="15" hidden="false" customHeight="false" outlineLevel="0" collapsed="false">
      <c r="A235" s="14" t="n">
        <f aca="false">Cartera_Polizas!A237</f>
        <v>232</v>
      </c>
      <c r="B235" s="26" t="n">
        <f aca="false">SUM(C235:AU235)+0.5</f>
        <v>10.4598578542572</v>
      </c>
      <c r="C235" s="29" t="n">
        <f aca="false">1-MIN(1,INDEX(Tabla_Mortalidad!$B$5:$B$75,MIN(71,Cartera_Polizas!$B$237+0-49))*(1+(Cartera_Polizas!$P$237-1)*MAX(0,1-0/Supuestos!$C$20))*(1-Supuestos!$C$18)^0)</f>
        <v>0.9559057678125</v>
      </c>
      <c r="D235" s="29" t="n">
        <f aca="false">C235*(1-MIN(1,INDEX(Tabla_Mortalidad!$B$5:$B$75,MIN(71,Cartera_Polizas!$B$237+1-49))*(1+(Cartera_Polizas!$P$237-1)*MAX(0,1-1/Supuestos!$C$20))*(1-Supuestos!$C$18)^1))</f>
        <v>0.909792312228317</v>
      </c>
      <c r="E235" s="29" t="n">
        <f aca="false">D235*(1-MIN(1,INDEX(Tabla_Mortalidad!$B$5:$B$75,MIN(71,Cartera_Polizas!$B$237+2-49))*(1+(Cartera_Polizas!$P$237-1)*MAX(0,1-2/Supuestos!$C$20))*(1-Supuestos!$C$18)^2))</f>
        <v>0.861797001840425</v>
      </c>
      <c r="F235" s="29" t="n">
        <f aca="false">E235*(1-MIN(1,INDEX(Tabla_Mortalidad!$B$5:$B$75,MIN(71,Cartera_Polizas!$B$237+3-49))*(1+(Cartera_Polizas!$P$237-1)*MAX(0,1-3/Supuestos!$C$20))*(1-Supuestos!$C$18)^3))</f>
        <v>0.812101240134301</v>
      </c>
      <c r="G235" s="29" t="n">
        <f aca="false">F235*(1-MIN(1,INDEX(Tabla_Mortalidad!$B$5:$B$75,MIN(71,Cartera_Polizas!$B$237+4-49))*(1+(Cartera_Polizas!$P$237-1)*MAX(0,1-4/Supuestos!$C$20))*(1-Supuestos!$C$18)^4))</f>
        <v>0.760935538101578</v>
      </c>
      <c r="H235" s="29" t="n">
        <f aca="false">G235*(1-MIN(1,INDEX(Tabla_Mortalidad!$B$5:$B$75,MIN(71,Cartera_Polizas!$B$237+5-49))*(1+(Cartera_Polizas!$P$237-1)*MAX(0,1-5/Supuestos!$C$20))*(1-Supuestos!$C$18)^5))</f>
        <v>0.708583050382858</v>
      </c>
      <c r="I235" s="29" t="n">
        <f aca="false">H235*(1-MIN(1,INDEX(Tabla_Mortalidad!$B$5:$B$75,MIN(71,Cartera_Polizas!$B$237+6-49))*(1+(Cartera_Polizas!$P$237-1)*MAX(0,1-6/Supuestos!$C$20))*(1-Supuestos!$C$18)^6))</f>
        <v>0.655377860446641</v>
      </c>
      <c r="J235" s="29" t="n">
        <f aca="false">I235*(1-MIN(1,INDEX(Tabla_Mortalidad!$B$5:$B$75,MIN(71,Cartera_Polizas!$B$237+7-49))*(1+(Cartera_Polizas!$P$237-1)*MAX(0,1-7/Supuestos!$C$20))*(1-Supuestos!$C$18)^7))</f>
        <v>0.601703045393093</v>
      </c>
      <c r="K235" s="29" t="n">
        <f aca="false">J235*(1-MIN(1,INDEX(Tabla_Mortalidad!$B$5:$B$75,MIN(71,Cartera_Polizas!$B$237+8-49))*(1+(Cartera_Polizas!$P$237-1)*MAX(0,1-8/Supuestos!$C$20))*(1-Supuestos!$C$18)^8))</f>
        <v>0.547990002275814</v>
      </c>
      <c r="L235" s="29" t="n">
        <f aca="false">K235*(1-MIN(1,INDEX(Tabla_Mortalidad!$B$5:$B$75,MIN(71,Cartera_Polizas!$B$237+9-49))*(1+(Cartera_Polizas!$P$237-1)*MAX(0,1-9/Supuestos!$C$20))*(1-Supuestos!$C$18)^9))</f>
        <v>0.494707514726717</v>
      </c>
      <c r="M235" s="29" t="n">
        <f aca="false">L235*(1-MIN(1,INDEX(Tabla_Mortalidad!$B$5:$B$75,MIN(71,Cartera_Polizas!$B$237+10-49))*(1+(Cartera_Polizas!$P$237-1)*MAX(0,1-10/Supuestos!$C$20))*(1-Supuestos!$C$18)^10))</f>
        <v>0.442356151988144</v>
      </c>
      <c r="N235" s="29" t="n">
        <f aca="false">M235*(1-MIN(1,INDEX(Tabla_Mortalidad!$B$5:$B$75,MIN(71,Cartera_Polizas!$B$237+11-49))*(1+(Cartera_Polizas!$P$237-1)*MAX(0,1-11/Supuestos!$C$20))*(1-Supuestos!$C$18)^11))</f>
        <v>0.391452535960331</v>
      </c>
      <c r="O235" s="29" t="n">
        <f aca="false">N235*(1-MIN(1,INDEX(Tabla_Mortalidad!$B$5:$B$75,MIN(71,Cartera_Polizas!$B$237+12-49))*(1+(Cartera_Polizas!$P$237-1)*MAX(0,1-12/Supuestos!$C$20))*(1-Supuestos!$C$18)^12))</f>
        <v>0.342514306277083</v>
      </c>
      <c r="P235" s="29" t="n">
        <f aca="false">O235*(1-MIN(1,INDEX(Tabla_Mortalidad!$B$5:$B$75,MIN(71,Cartera_Polizas!$B$237+13-49))*(1+(Cartera_Polizas!$P$237-1)*MAX(0,1-13/Supuestos!$C$20))*(1-Supuestos!$C$18)^13))</f>
        <v>0.296041415504175</v>
      </c>
      <c r="Q235" s="29" t="n">
        <f aca="false">P235*(1-MIN(1,INDEX(Tabla_Mortalidad!$B$5:$B$75,MIN(71,Cartera_Polizas!$B$237+14-49))*(1+(Cartera_Polizas!$P$237-1)*MAX(0,1-14/Supuestos!$C$20))*(1-Supuestos!$C$18)^14))</f>
        <v>0.252496012699684</v>
      </c>
      <c r="R235" s="29" t="n">
        <f aca="false">Q235*(1-MIN(1,INDEX(Tabla_Mortalidad!$B$5:$B$75,MIN(71,Cartera_Polizas!$B$237+15-49))*(1+(Cartera_Polizas!$P$237-1)*MAX(0,1-15/Supuestos!$C$20))*(1-Supuestos!$C$18)^15))</f>
        <v>0.212281419727732</v>
      </c>
      <c r="S235" s="29" t="n">
        <f aca="false">R235*(1-MIN(1,INDEX(Tabla_Mortalidad!$B$5:$B$75,MIN(71,Cartera_Polizas!$B$237+16-49))*(1+(Cartera_Polizas!$P$237-1)*MAX(0,1-16/Supuestos!$C$20))*(1-Supuestos!$C$18)^16))</f>
        <v>0.175124585712181</v>
      </c>
      <c r="T235" s="29" t="n">
        <f aca="false">S235*(1-MIN(1,INDEX(Tabla_Mortalidad!$B$5:$B$75,MIN(71,Cartera_Polizas!$B$237+17-49))*(1+(Cartera_Polizas!$P$237-1)*MAX(0,1-17/Supuestos!$C$20))*(1-Supuestos!$C$18)^17))</f>
        <v>0.141476743285302</v>
      </c>
      <c r="U235" s="29" t="n">
        <f aca="false">T235*(1-MIN(1,INDEX(Tabla_Mortalidad!$B$5:$B$75,MIN(71,Cartera_Polizas!$B$237+18-49))*(1+(Cartera_Polizas!$P$237-1)*MAX(0,1-18/Supuestos!$C$20))*(1-Supuestos!$C$18)^18))</f>
        <v>0.111677362868821</v>
      </c>
      <c r="V235" s="29" t="n">
        <f aca="false">U235*(1-MIN(1,INDEX(Tabla_Mortalidad!$B$5:$B$75,MIN(71,Cartera_Polizas!$B$237+19-49))*(1+(Cartera_Polizas!$P$237-1)*MAX(0,1-19/Supuestos!$C$20))*(1-Supuestos!$C$18)^19))</f>
        <v>0.0859276867571819</v>
      </c>
      <c r="W235" s="29" t="n">
        <f aca="false">V235*(1-MIN(1,INDEX(Tabla_Mortalidad!$B$5:$B$75,MIN(71,Cartera_Polizas!$B$237+20-49))*(1+(Cartera_Polizas!$P$237-1)*MAX(0,1-20/Supuestos!$C$20))*(1-Supuestos!$C$18)^20))</f>
        <v>0.064274060402892</v>
      </c>
      <c r="X235" s="29" t="n">
        <f aca="false">W235*(1-MIN(1,INDEX(Tabla_Mortalidad!$B$5:$B$75,MIN(71,Cartera_Polizas!$B$237+21-49))*(1+(Cartera_Polizas!$P$237-1)*MAX(0,1-21/Supuestos!$C$20))*(1-Supuestos!$C$18)^21))</f>
        <v>0.0466031991036336</v>
      </c>
      <c r="Y235" s="29" t="n">
        <f aca="false">X235*(1-MIN(1,INDEX(Tabla_Mortalidad!$B$5:$B$75,MIN(71,Cartera_Polizas!$B$237+22-49))*(1+(Cartera_Polizas!$P$237-1)*MAX(0,1-22/Supuestos!$C$20))*(1-Supuestos!$C$18)^22))</f>
        <v>0.0326516989607183</v>
      </c>
      <c r="Z235" s="29" t="n">
        <f aca="false">Y235*(1-MIN(1,INDEX(Tabla_Mortalidad!$B$5:$B$75,MIN(71,Cartera_Polizas!$B$237+23-49))*(1+(Cartera_Polizas!$P$237-1)*MAX(0,1-23/Supuestos!$C$20))*(1-Supuestos!$C$18)^23))</f>
        <v>0.0220306458913957</v>
      </c>
      <c r="AA235" s="29" t="n">
        <f aca="false">Z235*(1-MIN(1,INDEX(Tabla_Mortalidad!$B$5:$B$75,MIN(71,Cartera_Polizas!$B$237+24-49))*(1+(Cartera_Polizas!$P$237-1)*MAX(0,1-24/Supuestos!$C$20))*(1-Supuestos!$C$18)^24))</f>
        <v>0.0142622509157483</v>
      </c>
      <c r="AB235" s="29" t="n">
        <f aca="false">AA235*(1-MIN(1,INDEX(Tabla_Mortalidad!$B$5:$B$75,MIN(71,Cartera_Polizas!$B$237+25-49))*(1+(Cartera_Polizas!$P$237-1)*MAX(0,1-25/Supuestos!$C$20))*(1-Supuestos!$C$18)^25))</f>
        <v>0.00882441953104222</v>
      </c>
      <c r="AC235" s="29" t="n">
        <f aca="false">AB235*(1-MIN(1,INDEX(Tabla_Mortalidad!$B$5:$B$75,MIN(71,Cartera_Polizas!$B$237+26-49))*(1+(Cartera_Polizas!$P$237-1)*MAX(0,1-26/Supuestos!$C$20))*(1-Supuestos!$C$18)^26))</f>
        <v>0.00519658476684872</v>
      </c>
      <c r="AD235" s="29" t="n">
        <f aca="false">AC235*(1-MIN(1,INDEX(Tabla_Mortalidad!$B$5:$B$75,MIN(71,Cartera_Polizas!$B$237+27-49))*(1+(Cartera_Polizas!$P$237-1)*MAX(0,1-27/Supuestos!$C$20))*(1-Supuestos!$C$18)^27))</f>
        <v>0.00289997386842762</v>
      </c>
      <c r="AE235" s="29" t="n">
        <f aca="false">AD235*(1-MIN(1,INDEX(Tabla_Mortalidad!$B$5:$B$75,MIN(71,Cartera_Polizas!$B$237+28-49))*(1+(Cartera_Polizas!$P$237-1)*MAX(0,1-28/Supuestos!$C$20))*(1-Supuestos!$C$18)^28))</f>
        <v>0.00152673277186686</v>
      </c>
      <c r="AF235" s="29" t="n">
        <f aca="false">AE235*(1-MIN(1,INDEX(Tabla_Mortalidad!$B$5:$B$75,MIN(71,Cartera_Polizas!$B$237+29-49))*(1+(Cartera_Polizas!$P$237-1)*MAX(0,1-29/Supuestos!$C$20))*(1-Supuestos!$C$18)^29))</f>
        <v>0.000754830192115204</v>
      </c>
      <c r="AG235" s="29" t="n">
        <f aca="false">AF235*(1-MIN(1,INDEX(Tabla_Mortalidad!$B$5:$B$75,MIN(71,Cartera_Polizas!$B$237+30-49))*(1+(Cartera_Polizas!$P$237-1)*MAX(0,1-30/Supuestos!$C$20))*(1-Supuestos!$C$18)^30))</f>
        <v>0.000348904334085059</v>
      </c>
      <c r="AH235" s="29" t="n">
        <f aca="false">AG235*(1-MIN(1,INDEX(Tabla_Mortalidad!$B$5:$B$75,MIN(71,Cartera_Polizas!$B$237+31-49))*(1+(Cartera_Polizas!$P$237-1)*MAX(0,1-31/Supuestos!$C$20))*(1-Supuestos!$C$18)^31))</f>
        <v>0.000150139038009086</v>
      </c>
      <c r="AI235" s="29" t="n">
        <f aca="false">AH235*(1-MIN(1,INDEX(Tabla_Mortalidad!$B$5:$B$75,MIN(71,Cartera_Polizas!$B$237+32-49))*(1+(Cartera_Polizas!$P$237-1)*MAX(0,1-32/Supuestos!$C$20))*(1-Supuestos!$C$18)^32))</f>
        <v>5.99199462875909E-005</v>
      </c>
      <c r="AJ235" s="29" t="n">
        <f aca="false">AI235*(1-MIN(1,INDEX(Tabla_Mortalidad!$B$5:$B$75,MIN(71,Cartera_Polizas!$B$237+33-49))*(1+(Cartera_Polizas!$P$237-1)*MAX(0,1-33/Supuestos!$C$20))*(1-Supuestos!$C$18)^33))</f>
        <v>2.21119903270974E-005</v>
      </c>
      <c r="AK235" s="29" t="n">
        <f aca="false">AJ235*(1-MIN(1,INDEX(Tabla_Mortalidad!$B$5:$B$75,MIN(71,Cartera_Polizas!$B$237+34-49))*(1+(Cartera_Polizas!$P$237-1)*MAX(0,1-34/Supuestos!$C$20))*(1-Supuestos!$C$18)^34))</f>
        <v>7.53062370027041E-006</v>
      </c>
      <c r="AL235" s="29" t="n">
        <f aca="false">AK235*(1-MIN(1,INDEX(Tabla_Mortalidad!$B$5:$B$75,MIN(71,Cartera_Polizas!$B$237+35-49))*(1+(Cartera_Polizas!$P$237-1)*MAX(0,1-35/Supuestos!$C$20))*(1-Supuestos!$C$18)^35))</f>
        <v>2.36589668971134E-006</v>
      </c>
      <c r="AM235" s="29" t="n">
        <f aca="false">AL235*(1-MIN(1,INDEX(Tabla_Mortalidad!$B$5:$B$75,MIN(71,Cartera_Polizas!$B$237+36-49))*(1+(Cartera_Polizas!$P$237-1)*MAX(0,1-36/Supuestos!$C$20))*(1-Supuestos!$C$18)^36))</f>
        <v>6.86689199849852E-007</v>
      </c>
      <c r="AN235" s="29" t="n">
        <f aca="false">AM235*(1-MIN(1,INDEX(Tabla_Mortalidad!$B$5:$B$75,MIN(71,Cartera_Polizas!$B$237+37-49))*(1+(Cartera_Polizas!$P$237-1)*MAX(0,1-37/Supuestos!$C$20))*(1-Supuestos!$C$18)^37))</f>
        <v>1.84813477573633E-007</v>
      </c>
      <c r="AO235" s="29" t="n">
        <f aca="false">AN235*(1-MIN(1,INDEX(Tabla_Mortalidad!$B$5:$B$75,MIN(71,Cartera_Polizas!$B$237+38-49))*(1+(Cartera_Polizas!$P$237-1)*MAX(0,1-38/Supuestos!$C$20))*(1-Supuestos!$C$18)^38))</f>
        <v>4.64061645644816E-008</v>
      </c>
      <c r="AP235" s="29" t="n">
        <f aca="false">AO235*(1-MIN(1,INDEX(Tabla_Mortalidad!$B$5:$B$75,MIN(71,Cartera_Polizas!$B$237+39-49))*(1+(Cartera_Polizas!$P$237-1)*MAX(0,1-39/Supuestos!$C$20))*(1-Supuestos!$C$18)^39))</f>
        <v>1.09641008268102E-008</v>
      </c>
      <c r="AQ235" s="29" t="n">
        <f aca="false">AP235*(1-MIN(1,INDEX(Tabla_Mortalidad!$B$5:$B$75,MIN(71,Cartera_Polizas!$B$237+40-49))*(1+(Cartera_Polizas!$P$237-1)*MAX(0,1-40/Supuestos!$C$20))*(1-Supuestos!$C$18)^40))</f>
        <v>2.4630299764511E-009</v>
      </c>
      <c r="AR235" s="29" t="n">
        <f aca="false">AQ235*(1-MIN(1,INDEX(Tabla_Mortalidad!$B$5:$B$75,MIN(71,Cartera_Polizas!$B$237+41-49))*(1+(Cartera_Polizas!$P$237-1)*MAX(0,1-41/Supuestos!$C$20))*(1-Supuestos!$C$18)^41))</f>
        <v>4.57560722981221E-010</v>
      </c>
      <c r="AS235" s="29" t="n">
        <f aca="false">AR235*(1-MIN(1,INDEX(Tabla_Mortalidad!$B$5:$B$75,MIN(71,Cartera_Polizas!$B$237+42-49))*(1+(Cartera_Polizas!$P$237-1)*MAX(0,1-42/Supuestos!$C$20))*(1-Supuestos!$C$18)^42))</f>
        <v>8.68645274594029E-011</v>
      </c>
      <c r="AT235" s="29" t="n">
        <f aca="false">AS235*(1-MIN(1,INDEX(Tabla_Mortalidad!$B$5:$B$75,MIN(71,Cartera_Polizas!$B$237+43-49))*(1+(Cartera_Polizas!$P$237-1)*MAX(0,1-43/Supuestos!$C$20))*(1-Supuestos!$C$18)^43))</f>
        <v>1.68424593566713E-011</v>
      </c>
      <c r="AU235" s="29" t="n">
        <f aca="false">AT235*(1-MIN(1,INDEX(Tabla_Mortalidad!$B$5:$B$75,MIN(71,Cartera_Polizas!$B$237+44-49))*(1+(Cartera_Polizas!$P$237-1)*MAX(0,1-44/Supuestos!$C$20))*(1-Supuestos!$C$18)^44))</f>
        <v>3.33352594932274E-012</v>
      </c>
    </row>
    <row r="236" customFormat="false" ht="15" hidden="false" customHeight="false" outlineLevel="0" collapsed="false">
      <c r="A236" s="14" t="n">
        <f aca="false">Cartera_Polizas!A238</f>
        <v>233</v>
      </c>
      <c r="B236" s="26" t="n">
        <f aca="false">SUM(C236:AU236)+0.5</f>
        <v>5.12590454615036</v>
      </c>
      <c r="C236" s="29" t="n">
        <f aca="false">1-MIN(1,INDEX(Tabla_Mortalidad!$B$5:$B$75,MIN(71,Cartera_Polizas!$B$238+0-49))*(1+(Cartera_Polizas!$P$238-1)*MAX(0,1-0/Supuestos!$C$20))*(1-Supuestos!$C$18)^0)</f>
        <v>0.8614077</v>
      </c>
      <c r="D236" s="29" t="n">
        <f aca="false">C236*(1-MIN(1,INDEX(Tabla_Mortalidad!$B$5:$B$75,MIN(71,Cartera_Polizas!$B$238+1-49))*(1+(Cartera_Polizas!$P$238-1)*MAX(0,1-1/Supuestos!$C$20))*(1-Supuestos!$C$18)^1))</f>
        <v>0.733848236981138</v>
      </c>
      <c r="E236" s="29" t="n">
        <f aca="false">D236*(1-MIN(1,INDEX(Tabla_Mortalidad!$B$5:$B$75,MIN(71,Cartera_Polizas!$B$238+2-49))*(1+(Cartera_Polizas!$P$238-1)*MAX(0,1-2/Supuestos!$C$20))*(1-Supuestos!$C$18)^2))</f>
        <v>0.617937660430795</v>
      </c>
      <c r="F236" s="29" t="n">
        <f aca="false">E236*(1-MIN(1,INDEX(Tabla_Mortalidad!$B$5:$B$75,MIN(71,Cartera_Polizas!$B$238+3-49))*(1+(Cartera_Polizas!$P$238-1)*MAX(0,1-3/Supuestos!$C$20))*(1-Supuestos!$C$18)^3))</f>
        <v>0.514023020817909</v>
      </c>
      <c r="G236" s="29" t="n">
        <f aca="false">F236*(1-MIN(1,INDEX(Tabla_Mortalidad!$B$5:$B$75,MIN(71,Cartera_Polizas!$B$238+4-49))*(1+(Cartera_Polizas!$P$238-1)*MAX(0,1-4/Supuestos!$C$20))*(1-Supuestos!$C$18)^4))</f>
        <v>0.422179730540919</v>
      </c>
      <c r="H236" s="29" t="n">
        <f aca="false">G236*(1-MIN(1,INDEX(Tabla_Mortalidad!$B$5:$B$75,MIN(71,Cartera_Polizas!$B$238+5-49))*(1+(Cartera_Polizas!$P$238-1)*MAX(0,1-5/Supuestos!$C$20))*(1-Supuestos!$C$18)^5))</f>
        <v>0.342207221958902</v>
      </c>
      <c r="I236" s="29" t="n">
        <f aca="false">H236*(1-MIN(1,INDEX(Tabla_Mortalidad!$B$5:$B$75,MIN(71,Cartera_Polizas!$B$238+6-49))*(1+(Cartera_Polizas!$P$238-1)*MAX(0,1-6/Supuestos!$C$20))*(1-Supuestos!$C$18)^6))</f>
        <v>0.273647593036336</v>
      </c>
      <c r="J236" s="29" t="n">
        <f aca="false">I236*(1-MIN(1,INDEX(Tabla_Mortalidad!$B$5:$B$75,MIN(71,Cartera_Polizas!$B$238+7-49))*(1+(Cartera_Polizas!$P$238-1)*MAX(0,1-7/Supuestos!$C$20))*(1-Supuestos!$C$18)^7))</f>
        <v>0.215815831535056</v>
      </c>
      <c r="K236" s="29" t="n">
        <f aca="false">J236*(1-MIN(1,INDEX(Tabla_Mortalidad!$B$5:$B$75,MIN(71,Cartera_Polizas!$B$238+8-49))*(1+(Cartera_Polizas!$P$238-1)*MAX(0,1-8/Supuestos!$C$20))*(1-Supuestos!$C$18)^8))</f>
        <v>0.1678424313392</v>
      </c>
      <c r="L236" s="29" t="n">
        <f aca="false">K236*(1-MIN(1,INDEX(Tabla_Mortalidad!$B$5:$B$75,MIN(71,Cartera_Polizas!$B$238+9-49))*(1+(Cartera_Polizas!$P$238-1)*MAX(0,1-9/Supuestos!$C$20))*(1-Supuestos!$C$18)^9))</f>
        <v>0.128724059100758</v>
      </c>
      <c r="M236" s="29" t="n">
        <f aca="false">L236*(1-MIN(1,INDEX(Tabla_Mortalidad!$B$5:$B$75,MIN(71,Cartera_Polizas!$B$238+10-49))*(1+(Cartera_Polizas!$P$238-1)*MAX(0,1-10/Supuestos!$C$20))*(1-Supuestos!$C$18)^10))</f>
        <v>0.0973780879906837</v>
      </c>
      <c r="N236" s="29" t="n">
        <f aca="false">M236*(1-MIN(1,INDEX(Tabla_Mortalidad!$B$5:$B$75,MIN(71,Cartera_Polizas!$B$238+11-49))*(1+(Cartera_Polizas!$P$238-1)*MAX(0,1-11/Supuestos!$C$20))*(1-Supuestos!$C$18)^11))</f>
        <v>0.0726982202045979</v>
      </c>
      <c r="O236" s="29" t="n">
        <f aca="false">N236*(1-MIN(1,INDEX(Tabla_Mortalidad!$B$5:$B$75,MIN(71,Cartera_Polizas!$B$238+12-49))*(1+(Cartera_Polizas!$P$238-1)*MAX(0,1-12/Supuestos!$C$20))*(1-Supuestos!$C$18)^12))</f>
        <v>0.0536043992943785</v>
      </c>
      <c r="P236" s="29" t="n">
        <f aca="false">O236*(1-MIN(1,INDEX(Tabla_Mortalidad!$B$5:$B$75,MIN(71,Cartera_Polizas!$B$238+13-49))*(1+(Cartera_Polizas!$P$238-1)*MAX(0,1-13/Supuestos!$C$20))*(1-Supuestos!$C$18)^13))</f>
        <v>0.039084171786926</v>
      </c>
      <c r="Q236" s="29" t="n">
        <f aca="false">P236*(1-MIN(1,INDEX(Tabla_Mortalidad!$B$5:$B$75,MIN(71,Cartera_Polizas!$B$238+14-49))*(1+(Cartera_Polizas!$P$238-1)*MAX(0,1-14/Supuestos!$C$20))*(1-Supuestos!$C$18)^14))</f>
        <v>0.0282238242082088</v>
      </c>
      <c r="R236" s="29" t="n">
        <f aca="false">Q236*(1-MIN(1,INDEX(Tabla_Mortalidad!$B$5:$B$75,MIN(71,Cartera_Polizas!$B$238+15-49))*(1+(Cartera_Polizas!$P$238-1)*MAX(0,1-15/Supuestos!$C$20))*(1-Supuestos!$C$18)^15))</f>
        <v>0.0202273350000532</v>
      </c>
      <c r="S236" s="29" t="n">
        <f aca="false">R236*(1-MIN(1,INDEX(Tabla_Mortalidad!$B$5:$B$75,MIN(71,Cartera_Polizas!$B$238+16-49))*(1+(Cartera_Polizas!$P$238-1)*MAX(0,1-16/Supuestos!$C$20))*(1-Supuestos!$C$18)^16))</f>
        <v>0.0139870365551708</v>
      </c>
      <c r="T236" s="29" t="n">
        <f aca="false">S236*(1-MIN(1,INDEX(Tabla_Mortalidad!$B$5:$B$75,MIN(71,Cartera_Polizas!$B$238+17-49))*(1+(Cartera_Polizas!$P$238-1)*MAX(0,1-17/Supuestos!$C$20))*(1-Supuestos!$C$18)^17))</f>
        <v>0.00929837353592635</v>
      </c>
      <c r="U236" s="29" t="n">
        <f aca="false">T236*(1-MIN(1,INDEX(Tabla_Mortalidad!$B$5:$B$75,MIN(71,Cartera_Polizas!$B$238+18-49))*(1+(Cartera_Polizas!$P$238-1)*MAX(0,1-18/Supuestos!$C$20))*(1-Supuestos!$C$18)^18))</f>
        <v>0.00591949505420432</v>
      </c>
      <c r="V236" s="29" t="n">
        <f aca="false">U236*(1-MIN(1,INDEX(Tabla_Mortalidad!$B$5:$B$75,MIN(71,Cartera_Polizas!$B$238+19-49))*(1+(Cartera_Polizas!$P$238-1)*MAX(0,1-19/Supuestos!$C$20))*(1-Supuestos!$C$18)^19))</f>
        <v>0.00359363359752874</v>
      </c>
      <c r="W236" s="29" t="n">
        <f aca="false">V236*(1-MIN(1,INDEX(Tabla_Mortalidad!$B$5:$B$75,MIN(71,Cartera_Polizas!$B$238+20-49))*(1+(Cartera_Polizas!$P$238-1)*MAX(0,1-20/Supuestos!$C$20))*(1-Supuestos!$C$18)^20))</f>
        <v>0.00207113584077097</v>
      </c>
      <c r="X236" s="29" t="n">
        <f aca="false">W236*(1-MIN(1,INDEX(Tabla_Mortalidad!$B$5:$B$75,MIN(71,Cartera_Polizas!$B$238+21-49))*(1+(Cartera_Polizas!$P$238-1)*MAX(0,1-21/Supuestos!$C$20))*(1-Supuestos!$C$18)^21))</f>
        <v>0.00112785827594964</v>
      </c>
      <c r="Y236" s="29" t="n">
        <f aca="false">X236*(1-MIN(1,INDEX(Tabla_Mortalidad!$B$5:$B$75,MIN(71,Cartera_Polizas!$B$238+22-49))*(1+(Cartera_Polizas!$P$238-1)*MAX(0,1-22/Supuestos!$C$20))*(1-Supuestos!$C$18)^22))</f>
        <v>0.000577470533071203</v>
      </c>
      <c r="Z236" s="29" t="n">
        <f aca="false">Y236*(1-MIN(1,INDEX(Tabla_Mortalidad!$B$5:$B$75,MIN(71,Cartera_Polizas!$B$238+23-49))*(1+(Cartera_Polizas!$P$238-1)*MAX(0,1-23/Supuestos!$C$20))*(1-Supuestos!$C$18)^23))</f>
        <v>0.000276592273636934</v>
      </c>
      <c r="AA236" s="29" t="n">
        <f aca="false">Z236*(1-MIN(1,INDEX(Tabla_Mortalidad!$B$5:$B$75,MIN(71,Cartera_Polizas!$B$238+24-49))*(1+(Cartera_Polizas!$P$238-1)*MAX(0,1-24/Supuestos!$C$20))*(1-Supuestos!$C$18)^24))</f>
        <v>0.000123307500943981</v>
      </c>
      <c r="AB236" s="29" t="n">
        <f aca="false">AA236*(1-MIN(1,INDEX(Tabla_Mortalidad!$B$5:$B$75,MIN(71,Cartera_Polizas!$B$238+25-49))*(1+(Cartera_Polizas!$P$238-1)*MAX(0,1-25/Supuestos!$C$20))*(1-Supuestos!$C$18)^25))</f>
        <v>5.09163957163271E-005</v>
      </c>
      <c r="AC236" s="29" t="n">
        <f aca="false">AB236*(1-MIN(1,INDEX(Tabla_Mortalidad!$B$5:$B$75,MIN(71,Cartera_Polizas!$B$238+26-49))*(1+(Cartera_Polizas!$P$238-1)*MAX(0,1-26/Supuestos!$C$20))*(1-Supuestos!$C$18)^26))</f>
        <v>1.93863942965181E-005</v>
      </c>
      <c r="AD236" s="29" t="n">
        <f aca="false">AC236*(1-MIN(1,INDEX(Tabla_Mortalidad!$B$5:$B$75,MIN(71,Cartera_Polizas!$B$238+27-49))*(1+(Cartera_Polizas!$P$238-1)*MAX(0,1-27/Supuestos!$C$20))*(1-Supuestos!$C$18)^27))</f>
        <v>6.78059639716345E-006</v>
      </c>
      <c r="AE236" s="29" t="n">
        <f aca="false">AD236*(1-MIN(1,INDEX(Tabla_Mortalidad!$B$5:$B$75,MIN(71,Cartera_Polizas!$B$238+28-49))*(1+(Cartera_Polizas!$P$238-1)*MAX(0,1-28/Supuestos!$C$20))*(1-Supuestos!$C$18)^28))</f>
        <v>2.1727307882317E-006</v>
      </c>
      <c r="AF236" s="29" t="n">
        <f aca="false">AE236*(1-MIN(1,INDEX(Tabla_Mortalidad!$B$5:$B$75,MIN(71,Cartera_Polizas!$B$238+29-49))*(1+(Cartera_Polizas!$P$238-1)*MAX(0,1-29/Supuestos!$C$20))*(1-Supuestos!$C$18)^29))</f>
        <v>6.37110439392157E-007</v>
      </c>
      <c r="AG236" s="29" t="n">
        <f aca="false">AF236*(1-MIN(1,INDEX(Tabla_Mortalidad!$B$5:$B$75,MIN(71,Cartera_Polizas!$B$238+30-49))*(1+(Cartera_Polizas!$P$238-1)*MAX(0,1-30/Supuestos!$C$20))*(1-Supuestos!$C$18)^30))</f>
        <v>1.71111613047531E-007</v>
      </c>
      <c r="AH236" s="29" t="n">
        <f aca="false">AG236*(1-MIN(1,INDEX(Tabla_Mortalidad!$B$5:$B$75,MIN(71,Cartera_Polizas!$B$238+31-49))*(1+(Cartera_Polizas!$P$238-1)*MAX(0,1-31/Supuestos!$C$20))*(1-Supuestos!$C$18)^31))</f>
        <v>4.22341520232794E-008</v>
      </c>
      <c r="AI236" s="29" t="n">
        <f aca="false">AH236*(1-MIN(1,INDEX(Tabla_Mortalidad!$B$5:$B$75,MIN(71,Cartera_Polizas!$B$238+32-49))*(1+(Cartera_Polizas!$P$238-1)*MAX(0,1-32/Supuestos!$C$20))*(1-Supuestos!$C$18)^32))</f>
        <v>9.63917398359337E-009</v>
      </c>
      <c r="AJ236" s="29" t="n">
        <f aca="false">AI236*(1-MIN(1,INDEX(Tabla_Mortalidad!$B$5:$B$75,MIN(71,Cartera_Polizas!$B$238+33-49))*(1+(Cartera_Polizas!$P$238-1)*MAX(0,1-33/Supuestos!$C$20))*(1-Supuestos!$C$18)^33))</f>
        <v>2.05261810064837E-009</v>
      </c>
      <c r="AK236" s="29" t="n">
        <f aca="false">AJ236*(1-MIN(1,INDEX(Tabla_Mortalidad!$B$5:$B$75,MIN(71,Cartera_Polizas!$B$238+34-49))*(1+(Cartera_Polizas!$P$238-1)*MAX(0,1-34/Supuestos!$C$20))*(1-Supuestos!$C$18)^34))</f>
        <v>4.12518265752192E-010</v>
      </c>
      <c r="AL236" s="29" t="n">
        <f aca="false">AK236*(1-MIN(1,INDEX(Tabla_Mortalidad!$B$5:$B$75,MIN(71,Cartera_Polizas!$B$238+35-49))*(1+(Cartera_Polizas!$P$238-1)*MAX(0,1-35/Supuestos!$C$20))*(1-Supuestos!$C$18)^35))</f>
        <v>6.6378887389704E-011</v>
      </c>
      <c r="AM236" s="29" t="n">
        <f aca="false">AL236*(1-MIN(1,INDEX(Tabla_Mortalidad!$B$5:$B$75,MIN(71,Cartera_Polizas!$B$238+36-49))*(1+(Cartera_Polizas!$P$238-1)*MAX(0,1-36/Supuestos!$C$20))*(1-Supuestos!$C$18)^36))</f>
        <v>1.0959607853821E-011</v>
      </c>
      <c r="AN236" s="29" t="n">
        <f aca="false">AM236*(1-MIN(1,INDEX(Tabla_Mortalidad!$B$5:$B$75,MIN(71,Cartera_Polizas!$B$238+37-49))*(1+(Cartera_Polizas!$P$238-1)*MAX(0,1-37/Supuestos!$C$20))*(1-Supuestos!$C$18)^37))</f>
        <v>1.85525664874143E-012</v>
      </c>
      <c r="AO236" s="29" t="n">
        <f aca="false">AN236*(1-MIN(1,INDEX(Tabla_Mortalidad!$B$5:$B$75,MIN(71,Cartera_Polizas!$B$238+38-49))*(1+(Cartera_Polizas!$P$238-1)*MAX(0,1-38/Supuestos!$C$20))*(1-Supuestos!$C$18)^38))</f>
        <v>3.21766236553648E-013</v>
      </c>
      <c r="AP236" s="29" t="n">
        <f aca="false">AO236*(1-MIN(1,INDEX(Tabla_Mortalidad!$B$5:$B$75,MIN(71,Cartera_Polizas!$B$238+39-49))*(1+(Cartera_Polizas!$P$238-1)*MAX(0,1-39/Supuestos!$C$20))*(1-Supuestos!$C$18)^39))</f>
        <v>5.713529621436E-014</v>
      </c>
      <c r="AQ236" s="29" t="n">
        <f aca="false">AP236*(1-MIN(1,INDEX(Tabla_Mortalidad!$B$5:$B$75,MIN(71,Cartera_Polizas!$B$238+40-49))*(1+(Cartera_Polizas!$P$238-1)*MAX(0,1-40/Supuestos!$C$20))*(1-Supuestos!$C$18)^40))</f>
        <v>1.03803337015586E-014</v>
      </c>
      <c r="AR236" s="29" t="n">
        <f aca="false">AQ236*(1-MIN(1,INDEX(Tabla_Mortalidad!$B$5:$B$75,MIN(71,Cartera_Polizas!$B$238+41-49))*(1+(Cartera_Polizas!$P$238-1)*MAX(0,1-41/Supuestos!$C$20))*(1-Supuestos!$C$18)^41))</f>
        <v>1.92836995029799E-015</v>
      </c>
      <c r="AS236" s="29" t="n">
        <f aca="false">AR236*(1-MIN(1,INDEX(Tabla_Mortalidad!$B$5:$B$75,MIN(71,Cartera_Polizas!$B$238+42-49))*(1+(Cartera_Polizas!$P$238-1)*MAX(0,1-42/Supuestos!$C$20))*(1-Supuestos!$C$18)^42))</f>
        <v>3.66086807906417E-016</v>
      </c>
      <c r="AT236" s="29" t="n">
        <f aca="false">AS236*(1-MIN(1,INDEX(Tabla_Mortalidad!$B$5:$B$75,MIN(71,Cartera_Polizas!$B$238+43-49))*(1+(Cartera_Polizas!$P$238-1)*MAX(0,1-43/Supuestos!$C$20))*(1-Supuestos!$C$18)^43))</f>
        <v>7.09818192018489E-017</v>
      </c>
      <c r="AU236" s="29" t="n">
        <f aca="false">AT236*(1-MIN(1,INDEX(Tabla_Mortalidad!$B$5:$B$75,MIN(71,Cartera_Polizas!$B$238+44-49))*(1+(Cartera_Polizas!$P$238-1)*MAX(0,1-44/Supuestos!$C$20))*(1-Supuestos!$C$18)^44))</f>
        <v>1.40490014687655E-017</v>
      </c>
    </row>
    <row r="237" customFormat="false" ht="15" hidden="false" customHeight="false" outlineLevel="0" collapsed="false">
      <c r="A237" s="14" t="n">
        <f aca="false">Cartera_Polizas!A239</f>
        <v>234</v>
      </c>
      <c r="B237" s="26" t="n">
        <f aca="false">SUM(C237:AU237)+0.5</f>
        <v>7.4424847326504</v>
      </c>
      <c r="C237" s="29" t="n">
        <f aca="false">1-MIN(1,INDEX(Tabla_Mortalidad!$B$5:$B$75,MIN(71,Cartera_Polizas!$B$239+0-49))*(1+(Cartera_Polizas!$P$239-1)*MAX(0,1-0/Supuestos!$C$20))*(1-Supuestos!$C$18)^0)</f>
        <v>0.9277460875</v>
      </c>
      <c r="D237" s="29" t="n">
        <f aca="false">C237*(1-MIN(1,INDEX(Tabla_Mortalidad!$B$5:$B$75,MIN(71,Cartera_Polizas!$B$239+1-49))*(1+(Cartera_Polizas!$P$239-1)*MAX(0,1-1/Supuestos!$C$20))*(1-Supuestos!$C$18)^1))</f>
        <v>0.853908495451391</v>
      </c>
      <c r="E237" s="29" t="n">
        <f aca="false">D237*(1-MIN(1,INDEX(Tabla_Mortalidad!$B$5:$B$75,MIN(71,Cartera_Polizas!$B$239+2-49))*(1+(Cartera_Polizas!$P$239-1)*MAX(0,1-2/Supuestos!$C$20))*(1-Supuestos!$C$18)^2))</f>
        <v>0.779086394898983</v>
      </c>
      <c r="F237" s="29" t="n">
        <f aca="false">E237*(1-MIN(1,INDEX(Tabla_Mortalidad!$B$5:$B$75,MIN(71,Cartera_Polizas!$B$239+3-49))*(1+(Cartera_Polizas!$P$239-1)*MAX(0,1-3/Supuestos!$C$20))*(1-Supuestos!$C$18)^3))</f>
        <v>0.703966957177996</v>
      </c>
      <c r="G237" s="29" t="n">
        <f aca="false">F237*(1-MIN(1,INDEX(Tabla_Mortalidad!$B$5:$B$75,MIN(71,Cartera_Polizas!$B$239+4-49))*(1+(Cartera_Polizas!$P$239-1)*MAX(0,1-4/Supuestos!$C$20))*(1-Supuestos!$C$18)^4))</f>
        <v>0.629321140029412</v>
      </c>
      <c r="H237" s="29" t="n">
        <f aca="false">G237*(1-MIN(1,INDEX(Tabla_Mortalidad!$B$5:$B$75,MIN(71,Cartera_Polizas!$B$239+5-49))*(1+(Cartera_Polizas!$P$239-1)*MAX(0,1-5/Supuestos!$C$20))*(1-Supuestos!$C$18)^5))</f>
        <v>0.555983113380587</v>
      </c>
      <c r="I237" s="29" t="n">
        <f aca="false">H237*(1-MIN(1,INDEX(Tabla_Mortalidad!$B$5:$B$75,MIN(71,Cartera_Polizas!$B$239+6-49))*(1+(Cartera_Polizas!$P$239-1)*MAX(0,1-6/Supuestos!$C$20))*(1-Supuestos!$C$18)^6))</f>
        <v>0.484827642204085</v>
      </c>
      <c r="J237" s="29" t="n">
        <f aca="false">I237*(1-MIN(1,INDEX(Tabla_Mortalidad!$B$5:$B$75,MIN(71,Cartera_Polizas!$B$239+7-49))*(1+(Cartera_Polizas!$P$239-1)*MAX(0,1-7/Supuestos!$C$20))*(1-Supuestos!$C$18)^7))</f>
        <v>0.416738682777169</v>
      </c>
      <c r="K237" s="29" t="n">
        <f aca="false">J237*(1-MIN(1,INDEX(Tabla_Mortalidad!$B$5:$B$75,MIN(71,Cartera_Polizas!$B$239+8-49))*(1+(Cartera_Polizas!$P$239-1)*MAX(0,1-8/Supuestos!$C$20))*(1-Supuestos!$C$18)^8))</f>
        <v>0.352572011233404</v>
      </c>
      <c r="L237" s="29" t="n">
        <f aca="false">K237*(1-MIN(1,INDEX(Tabla_Mortalidad!$B$5:$B$75,MIN(71,Cartera_Polizas!$B$239+9-49))*(1+(Cartera_Polizas!$P$239-1)*MAX(0,1-9/Supuestos!$C$20))*(1-Supuestos!$C$18)^9))</f>
        <v>0.29311263728217</v>
      </c>
      <c r="M237" s="29" t="n">
        <f aca="false">L237*(1-MIN(1,INDEX(Tabla_Mortalidad!$B$5:$B$75,MIN(71,Cartera_Polizas!$B$239+10-49))*(1+(Cartera_Polizas!$P$239-1)*MAX(0,1-10/Supuestos!$C$20))*(1-Supuestos!$C$18)^10))</f>
        <v>0.239029356068472</v>
      </c>
      <c r="N237" s="29" t="n">
        <f aca="false">M237*(1-MIN(1,INDEX(Tabla_Mortalidad!$B$5:$B$75,MIN(71,Cartera_Polizas!$B$239+11-49))*(1+(Cartera_Polizas!$P$239-1)*MAX(0,1-11/Supuestos!$C$20))*(1-Supuestos!$C$18)^11))</f>
        <v>0.190833153888686</v>
      </c>
      <c r="O237" s="29" t="n">
        <f aca="false">N237*(1-MIN(1,INDEX(Tabla_Mortalidad!$B$5:$B$75,MIN(71,Cartera_Polizas!$B$239+12-49))*(1+(Cartera_Polizas!$P$239-1)*MAX(0,1-12/Supuestos!$C$20))*(1-Supuestos!$C$18)^12))</f>
        <v>0.14884097682434</v>
      </c>
      <c r="P237" s="29" t="n">
        <f aca="false">O237*(1-MIN(1,INDEX(Tabla_Mortalidad!$B$5:$B$75,MIN(71,Cartera_Polizas!$B$239+13-49))*(1+(Cartera_Polizas!$P$239-1)*MAX(0,1-13/Supuestos!$C$20))*(1-Supuestos!$C$18)^13))</f>
        <v>0.113150401818982</v>
      </c>
      <c r="Q237" s="29" t="n">
        <f aca="false">P237*(1-MIN(1,INDEX(Tabla_Mortalidad!$B$5:$B$75,MIN(71,Cartera_Polizas!$B$239+14-49))*(1+(Cartera_Polizas!$P$239-1)*MAX(0,1-14/Supuestos!$C$20))*(1-Supuestos!$C$18)^14))</f>
        <v>0.0836314383979347</v>
      </c>
      <c r="R237" s="29" t="n">
        <f aca="false">Q237*(1-MIN(1,INDEX(Tabla_Mortalidad!$B$5:$B$75,MIN(71,Cartera_Polizas!$B$239+15-49))*(1+(Cartera_Polizas!$P$239-1)*MAX(0,1-15/Supuestos!$C$20))*(1-Supuestos!$C$18)^15))</f>
        <v>0.0599366375205573</v>
      </c>
      <c r="S237" s="29" t="n">
        <f aca="false">R237*(1-MIN(1,INDEX(Tabla_Mortalidad!$B$5:$B$75,MIN(71,Cartera_Polizas!$B$239+16-49))*(1+(Cartera_Polizas!$P$239-1)*MAX(0,1-16/Supuestos!$C$20))*(1-Supuestos!$C$18)^16))</f>
        <v>0.0414456941555499</v>
      </c>
      <c r="T237" s="29" t="n">
        <f aca="false">S237*(1-MIN(1,INDEX(Tabla_Mortalidad!$B$5:$B$75,MIN(71,Cartera_Polizas!$B$239+17-49))*(1+(Cartera_Polizas!$P$239-1)*MAX(0,1-17/Supuestos!$C$20))*(1-Supuestos!$C$18)^17))</f>
        <v>0.0275524800549402</v>
      </c>
      <c r="U237" s="29" t="n">
        <f aca="false">T237*(1-MIN(1,INDEX(Tabla_Mortalidad!$B$5:$B$75,MIN(71,Cartera_Polizas!$B$239+18-49))*(1+(Cartera_Polizas!$P$239-1)*MAX(0,1-18/Supuestos!$C$20))*(1-Supuestos!$C$18)^18))</f>
        <v>0.0175403546422523</v>
      </c>
      <c r="V237" s="29" t="n">
        <f aca="false">U237*(1-MIN(1,INDEX(Tabla_Mortalidad!$B$5:$B$75,MIN(71,Cartera_Polizas!$B$239+19-49))*(1+(Cartera_Polizas!$P$239-1)*MAX(0,1-19/Supuestos!$C$20))*(1-Supuestos!$C$18)^19))</f>
        <v>0.0106484771382987</v>
      </c>
      <c r="W237" s="29" t="n">
        <f aca="false">V237*(1-MIN(1,INDEX(Tabla_Mortalidad!$B$5:$B$75,MIN(71,Cartera_Polizas!$B$239+20-49))*(1+(Cartera_Polizas!$P$239-1)*MAX(0,1-20/Supuestos!$C$20))*(1-Supuestos!$C$18)^20))</f>
        <v>0.0061370871715823</v>
      </c>
      <c r="X237" s="29" t="n">
        <f aca="false">W237*(1-MIN(1,INDEX(Tabla_Mortalidad!$B$5:$B$75,MIN(71,Cartera_Polizas!$B$239+21-49))*(1+(Cartera_Polizas!$P$239-1)*MAX(0,1-21/Supuestos!$C$20))*(1-Supuestos!$C$18)^21))</f>
        <v>0.00334201379766421</v>
      </c>
      <c r="Y237" s="29" t="n">
        <f aca="false">X237*(1-MIN(1,INDEX(Tabla_Mortalidad!$B$5:$B$75,MIN(71,Cartera_Polizas!$B$239+22-49))*(1+(Cartera_Polizas!$P$239-1)*MAX(0,1-22/Supuestos!$C$20))*(1-Supuestos!$C$18)^22))</f>
        <v>0.00171113209028281</v>
      </c>
      <c r="Z237" s="29" t="n">
        <f aca="false">Y237*(1-MIN(1,INDEX(Tabla_Mortalidad!$B$5:$B$75,MIN(71,Cartera_Polizas!$B$239+23-49))*(1+(Cartera_Polizas!$P$239-1)*MAX(0,1-23/Supuestos!$C$20))*(1-Supuestos!$C$18)^23))</f>
        <v>0.000819584529841429</v>
      </c>
      <c r="AA237" s="29" t="n">
        <f aca="false">Z237*(1-MIN(1,INDEX(Tabla_Mortalidad!$B$5:$B$75,MIN(71,Cartera_Polizas!$B$239+24-49))*(1+(Cartera_Polizas!$P$239-1)*MAX(0,1-24/Supuestos!$C$20))*(1-Supuestos!$C$18)^24))</f>
        <v>0.000365378681256118</v>
      </c>
      <c r="AB237" s="29" t="n">
        <f aca="false">AA237*(1-MIN(1,INDEX(Tabla_Mortalidad!$B$5:$B$75,MIN(71,Cartera_Polizas!$B$239+25-49))*(1+(Cartera_Polizas!$P$239-1)*MAX(0,1-25/Supuestos!$C$20))*(1-Supuestos!$C$18)^25))</f>
        <v>0.000150872942673601</v>
      </c>
      <c r="AC237" s="29" t="n">
        <f aca="false">AB237*(1-MIN(1,INDEX(Tabla_Mortalidad!$B$5:$B$75,MIN(71,Cartera_Polizas!$B$239+26-49))*(1+(Cartera_Polizas!$P$239-1)*MAX(0,1-26/Supuestos!$C$20))*(1-Supuestos!$C$18)^26))</f>
        <v>5.74448036668176E-005</v>
      </c>
      <c r="AD237" s="29" t="n">
        <f aca="false">AC237*(1-MIN(1,INDEX(Tabla_Mortalidad!$B$5:$B$75,MIN(71,Cartera_Polizas!$B$239+27-49))*(1+(Cartera_Polizas!$P$239-1)*MAX(0,1-27/Supuestos!$C$20))*(1-Supuestos!$C$18)^27))</f>
        <v>2.00919275044841E-005</v>
      </c>
      <c r="AE237" s="29" t="n">
        <f aca="false">AD237*(1-MIN(1,INDEX(Tabla_Mortalidad!$B$5:$B$75,MIN(71,Cartera_Polizas!$B$239+28-49))*(1+(Cartera_Polizas!$P$239-1)*MAX(0,1-28/Supuestos!$C$20))*(1-Supuestos!$C$18)^28))</f>
        <v>6.43812828944869E-006</v>
      </c>
      <c r="AF237" s="29" t="n">
        <f aca="false">AE237*(1-MIN(1,INDEX(Tabla_Mortalidad!$B$5:$B$75,MIN(71,Cartera_Polizas!$B$239+29-49))*(1+(Cartera_Polizas!$P$239-1)*MAX(0,1-29/Supuestos!$C$20))*(1-Supuestos!$C$18)^29))</f>
        <v>1.88785410763752E-006</v>
      </c>
      <c r="AG237" s="29" t="n">
        <f aca="false">AF237*(1-MIN(1,INDEX(Tabla_Mortalidad!$B$5:$B$75,MIN(71,Cartera_Polizas!$B$239+30-49))*(1+(Cartera_Polizas!$P$239-1)*MAX(0,1-30/Supuestos!$C$20))*(1-Supuestos!$C$18)^30))</f>
        <v>5.07029459232307E-007</v>
      </c>
      <c r="AH237" s="29" t="n">
        <f aca="false">AG237*(1-MIN(1,INDEX(Tabla_Mortalidad!$B$5:$B$75,MIN(71,Cartera_Polizas!$B$239+31-49))*(1+(Cartera_Polizas!$P$239-1)*MAX(0,1-31/Supuestos!$C$20))*(1-Supuestos!$C$18)^31))</f>
        <v>1.25146148061559E-007</v>
      </c>
      <c r="AI237" s="29" t="n">
        <f aca="false">AH237*(1-MIN(1,INDEX(Tabla_Mortalidad!$B$5:$B$75,MIN(71,Cartera_Polizas!$B$239+32-49))*(1+(Cartera_Polizas!$P$239-1)*MAX(0,1-32/Supuestos!$C$20))*(1-Supuestos!$C$18)^32))</f>
        <v>2.85623230668154E-008</v>
      </c>
      <c r="AJ237" s="29" t="n">
        <f aca="false">AI237*(1-MIN(1,INDEX(Tabla_Mortalidad!$B$5:$B$75,MIN(71,Cartera_Polizas!$B$239+33-49))*(1+(Cartera_Polizas!$P$239-1)*MAX(0,1-33/Supuestos!$C$20))*(1-Supuestos!$C$18)^33))</f>
        <v>6.08221632095243E-009</v>
      </c>
      <c r="AK237" s="29" t="n">
        <f aca="false">AJ237*(1-MIN(1,INDEX(Tabla_Mortalidad!$B$5:$B$75,MIN(71,Cartera_Polizas!$B$239+34-49))*(1+(Cartera_Polizas!$P$239-1)*MAX(0,1-34/Supuestos!$C$20))*(1-Supuestos!$C$18)^34))</f>
        <v>1.22235369933474E-009</v>
      </c>
      <c r="AL237" s="29" t="n">
        <f aca="false">AK237*(1-MIN(1,INDEX(Tabla_Mortalidad!$B$5:$B$75,MIN(71,Cartera_Polizas!$B$239+35-49))*(1+(Cartera_Polizas!$P$239-1)*MAX(0,1-35/Supuestos!$C$20))*(1-Supuestos!$C$18)^35))</f>
        <v>1.96690632378616E-010</v>
      </c>
      <c r="AM237" s="29" t="n">
        <f aca="false">AL237*(1-MIN(1,INDEX(Tabla_Mortalidad!$B$5:$B$75,MIN(71,Cartera_Polizas!$B$239+36-49))*(1+(Cartera_Polizas!$P$239-1)*MAX(0,1-36/Supuestos!$C$20))*(1-Supuestos!$C$18)^36))</f>
        <v>3.247496733011E-011</v>
      </c>
      <c r="AN237" s="29" t="n">
        <f aca="false">AM237*(1-MIN(1,INDEX(Tabla_Mortalidad!$B$5:$B$75,MIN(71,Cartera_Polizas!$B$239+37-49))*(1+(Cartera_Polizas!$P$239-1)*MAX(0,1-37/Supuestos!$C$20))*(1-Supuestos!$C$18)^37))</f>
        <v>5.49740463896634E-012</v>
      </c>
      <c r="AO237" s="29" t="n">
        <f aca="false">AN237*(1-MIN(1,INDEX(Tabla_Mortalidad!$B$5:$B$75,MIN(71,Cartera_Polizas!$B$239+38-49))*(1+(Cartera_Polizas!$P$239-1)*MAX(0,1-38/Supuestos!$C$20))*(1-Supuestos!$C$18)^38))</f>
        <v>9.53441779978389E-013</v>
      </c>
      <c r="AP237" s="29" t="n">
        <f aca="false">AO237*(1-MIN(1,INDEX(Tabla_Mortalidad!$B$5:$B$75,MIN(71,Cartera_Polizas!$B$239+39-49))*(1+(Cartera_Polizas!$P$239-1)*MAX(0,1-39/Supuestos!$C$20))*(1-Supuestos!$C$18)^39))</f>
        <v>1.69300480702018E-013</v>
      </c>
      <c r="AQ237" s="29" t="n">
        <f aca="false">AP237*(1-MIN(1,INDEX(Tabla_Mortalidad!$B$5:$B$75,MIN(71,Cartera_Polizas!$B$239+40-49))*(1+(Cartera_Polizas!$P$239-1)*MAX(0,1-40/Supuestos!$C$20))*(1-Supuestos!$C$18)^40))</f>
        <v>3.07584908447457E-014</v>
      </c>
      <c r="AR237" s="29" t="n">
        <f aca="false">AQ237*(1-MIN(1,INDEX(Tabla_Mortalidad!$B$5:$B$75,MIN(71,Cartera_Polizas!$B$239+41-49))*(1+(Cartera_Polizas!$P$239-1)*MAX(0,1-41/Supuestos!$C$20))*(1-Supuestos!$C$18)^41))</f>
        <v>5.71405035395131E-015</v>
      </c>
      <c r="AS237" s="29" t="n">
        <f aca="false">AR237*(1-MIN(1,INDEX(Tabla_Mortalidad!$B$5:$B$75,MIN(71,Cartera_Polizas!$B$239+42-49))*(1+(Cartera_Polizas!$P$239-1)*MAX(0,1-42/Supuestos!$C$20))*(1-Supuestos!$C$18)^42))</f>
        <v>1.08477030248854E-015</v>
      </c>
      <c r="AT237" s="29" t="n">
        <f aca="false">AS237*(1-MIN(1,INDEX(Tabla_Mortalidad!$B$5:$B$75,MIN(71,Cartera_Polizas!$B$239+43-49))*(1+(Cartera_Polizas!$P$239-1)*MAX(0,1-43/Supuestos!$C$20))*(1-Supuestos!$C$18)^43))</f>
        <v>2.10329812011308E-016</v>
      </c>
      <c r="AU237" s="29" t="n">
        <f aca="false">AT237*(1-MIN(1,INDEX(Tabla_Mortalidad!$B$5:$B$75,MIN(71,Cartera_Polizas!$B$239+44-49))*(1+(Cartera_Polizas!$P$239-1)*MAX(0,1-44/Supuestos!$C$20))*(1-Supuestos!$C$18)^44))</f>
        <v>4.1629305519336E-017</v>
      </c>
    </row>
    <row r="238" customFormat="false" ht="15" hidden="false" customHeight="false" outlineLevel="0" collapsed="false">
      <c r="A238" s="14" t="n">
        <f aca="false">Cartera_Polizas!A240</f>
        <v>235</v>
      </c>
      <c r="B238" s="26" t="n">
        <f aca="false">SUM(C238:AU238)+0.5</f>
        <v>3.50150841264506</v>
      </c>
      <c r="C238" s="29" t="n">
        <f aca="false">1-MIN(1,INDEX(Tabla_Mortalidad!$B$5:$B$75,MIN(71,Cartera_Polizas!$B$240+0-49))*(1+(Cartera_Polizas!$P$240-1)*MAX(0,1-0/Supuestos!$C$20))*(1-Supuestos!$C$18)^0)</f>
        <v>0.79715113125</v>
      </c>
      <c r="D238" s="29" t="n">
        <f aca="false">C238*(1-MIN(1,INDEX(Tabla_Mortalidad!$B$5:$B$75,MIN(71,Cartera_Polizas!$B$240+1-49))*(1+(Cartera_Polizas!$P$240-1)*MAX(0,1-1/Supuestos!$C$20))*(1-Supuestos!$C$18)^1))</f>
        <v>0.622032897050342</v>
      </c>
      <c r="E238" s="29" t="n">
        <f aca="false">D238*(1-MIN(1,INDEX(Tabla_Mortalidad!$B$5:$B$75,MIN(71,Cartera_Polizas!$B$240+2-49))*(1+(Cartera_Polizas!$P$240-1)*MAX(0,1-2/Supuestos!$C$20))*(1-Supuestos!$C$18)^2))</f>
        <v>0.47424104476235</v>
      </c>
      <c r="F238" s="29" t="n">
        <f aca="false">E238*(1-MIN(1,INDEX(Tabla_Mortalidad!$B$5:$B$75,MIN(71,Cartera_Polizas!$B$240+3-49))*(1+(Cartera_Polizas!$P$240-1)*MAX(0,1-3/Supuestos!$C$20))*(1-Supuestos!$C$18)^3))</f>
        <v>0.352550885255215</v>
      </c>
      <c r="G238" s="29" t="n">
        <f aca="false">F238*(1-MIN(1,INDEX(Tabla_Mortalidad!$B$5:$B$75,MIN(71,Cartera_Polizas!$B$240+4-49))*(1+(Cartera_Polizas!$P$240-1)*MAX(0,1-4/Supuestos!$C$20))*(1-Supuestos!$C$18)^4))</f>
        <v>0.255004943987656</v>
      </c>
      <c r="H238" s="29" t="n">
        <f aca="false">G238*(1-MIN(1,INDEX(Tabla_Mortalidad!$B$5:$B$75,MIN(71,Cartera_Polizas!$B$240+5-49))*(1+(Cartera_Polizas!$P$240-1)*MAX(0,1-5/Supuestos!$C$20))*(1-Supuestos!$C$18)^5))</f>
        <v>0.179056533011905</v>
      </c>
      <c r="I238" s="29" t="n">
        <f aca="false">H238*(1-MIN(1,INDEX(Tabla_Mortalidad!$B$5:$B$75,MIN(71,Cartera_Polizas!$B$240+6-49))*(1+(Cartera_Polizas!$P$240-1)*MAX(0,1-6/Supuestos!$C$20))*(1-Supuestos!$C$18)^6))</f>
        <v>0.121760500396805</v>
      </c>
      <c r="J238" s="29" t="n">
        <f aca="false">I238*(1-MIN(1,INDEX(Tabla_Mortalidad!$B$5:$B$75,MIN(71,Cartera_Polizas!$B$240+7-49))*(1+(Cartera_Polizas!$P$240-1)*MAX(0,1-7/Supuestos!$C$20))*(1-Supuestos!$C$18)^7))</f>
        <v>0.0799861747869757</v>
      </c>
      <c r="K238" s="29" t="n">
        <f aca="false">J238*(1-MIN(1,INDEX(Tabla_Mortalidad!$B$5:$B$75,MIN(71,Cartera_Polizas!$B$240+8-49))*(1+(Cartera_Polizas!$P$240-1)*MAX(0,1-8/Supuestos!$C$20))*(1-Supuestos!$C$18)^8))</f>
        <v>0.0506291836949657</v>
      </c>
      <c r="L238" s="29" t="n">
        <f aca="false">K238*(1-MIN(1,INDEX(Tabla_Mortalidad!$B$5:$B$75,MIN(71,Cartera_Polizas!$B$240+9-49))*(1+(Cartera_Polizas!$P$240-1)*MAX(0,1-9/Supuestos!$C$20))*(1-Supuestos!$C$18)^9))</f>
        <v>0.0307990364253108</v>
      </c>
      <c r="M238" s="29" t="n">
        <f aca="false">L238*(1-MIN(1,INDEX(Tabla_Mortalidad!$B$5:$B$75,MIN(71,Cartera_Polizas!$B$240+10-49))*(1+(Cartera_Polizas!$P$240-1)*MAX(0,1-10/Supuestos!$C$20))*(1-Supuestos!$C$18)^10))</f>
        <v>0.0179599978880775</v>
      </c>
      <c r="N238" s="29" t="n">
        <f aca="false">M238*(1-MIN(1,INDEX(Tabla_Mortalidad!$B$5:$B$75,MIN(71,Cartera_Polizas!$B$240+11-49))*(1+(Cartera_Polizas!$P$240-1)*MAX(0,1-11/Supuestos!$C$20))*(1-Supuestos!$C$18)^11))</f>
        <v>0.0100146254143661</v>
      </c>
      <c r="O238" s="29" t="n">
        <f aca="false">N238*(1-MIN(1,INDEX(Tabla_Mortalidad!$B$5:$B$75,MIN(71,Cartera_Polizas!$B$240+12-49))*(1+(Cartera_Polizas!$P$240-1)*MAX(0,1-12/Supuestos!$C$20))*(1-Supuestos!$C$18)^12))</f>
        <v>0.00532767203726692</v>
      </c>
      <c r="P238" s="29" t="n">
        <f aca="false">O238*(1-MIN(1,INDEX(Tabla_Mortalidad!$B$5:$B$75,MIN(71,Cartera_Polizas!$B$240+13-49))*(1+(Cartera_Polizas!$P$240-1)*MAX(0,1-13/Supuestos!$C$20))*(1-Supuestos!$C$18)^13))</f>
        <v>0.00269882722122703</v>
      </c>
      <c r="Q238" s="29" t="n">
        <f aca="false">P238*(1-MIN(1,INDEX(Tabla_Mortalidad!$B$5:$B$75,MIN(71,Cartera_Polizas!$B$240+14-49))*(1+(Cartera_Polizas!$P$240-1)*MAX(0,1-14/Supuestos!$C$20))*(1-Supuestos!$C$18)^14))</f>
        <v>0.00129994161239398</v>
      </c>
      <c r="R238" s="29" t="n">
        <f aca="false">Q238*(1-MIN(1,INDEX(Tabla_Mortalidad!$B$5:$B$75,MIN(71,Cartera_Polizas!$B$240+15-49))*(1+(Cartera_Polizas!$P$240-1)*MAX(0,1-15/Supuestos!$C$20))*(1-Supuestos!$C$18)^15))</f>
        <v>0.000594923653140859</v>
      </c>
      <c r="S238" s="29" t="n">
        <f aca="false">R238*(1-MIN(1,INDEX(Tabla_Mortalidad!$B$5:$B$75,MIN(71,Cartera_Polizas!$B$240+16-49))*(1+(Cartera_Polizas!$P$240-1)*MAX(0,1-16/Supuestos!$C$20))*(1-Supuestos!$C$18)^16))</f>
        <v>0.000251732914072753</v>
      </c>
      <c r="T238" s="29" t="n">
        <f aca="false">S238*(1-MIN(1,INDEX(Tabla_Mortalidad!$B$5:$B$75,MIN(71,Cartera_Polizas!$B$240+17-49))*(1+(Cartera_Polizas!$P$240-1)*MAX(0,1-17/Supuestos!$C$20))*(1-Supuestos!$C$18)^17))</f>
        <v>9.78993618918751E-005</v>
      </c>
      <c r="U238" s="29" t="n">
        <f aca="false">T238*(1-MIN(1,INDEX(Tabla_Mortalidad!$B$5:$B$75,MIN(71,Cartera_Polizas!$B$240+18-49))*(1+(Cartera_Polizas!$P$240-1)*MAX(0,1-18/Supuestos!$C$20))*(1-Supuestos!$C$18)^18))</f>
        <v>3.47946842882185E-005</v>
      </c>
      <c r="V238" s="29" t="n">
        <f aca="false">U238*(1-MIN(1,INDEX(Tabla_Mortalidad!$B$5:$B$75,MIN(71,Cartera_Polizas!$B$240+19-49))*(1+(Cartera_Polizas!$P$240-1)*MAX(0,1-19/Supuestos!$C$20))*(1-Supuestos!$C$18)^19))</f>
        <v>1.12441072435272E-005</v>
      </c>
      <c r="W238" s="29" t="n">
        <f aca="false">V238*(1-MIN(1,INDEX(Tabla_Mortalidad!$B$5:$B$75,MIN(71,Cartera_Polizas!$B$240+20-49))*(1+(Cartera_Polizas!$P$240-1)*MAX(0,1-20/Supuestos!$C$20))*(1-Supuestos!$C$18)^20))</f>
        <v>3.29035162945057E-006</v>
      </c>
      <c r="X238" s="29" t="n">
        <f aca="false">W238*(1-MIN(1,INDEX(Tabla_Mortalidad!$B$5:$B$75,MIN(71,Cartera_Polizas!$B$240+21-49))*(1+(Cartera_Polizas!$P$240-1)*MAX(0,1-21/Supuestos!$C$20))*(1-Supuestos!$C$18)^21))</f>
        <v>8.69681528144478E-007</v>
      </c>
      <c r="Y238" s="29" t="n">
        <f aca="false">X238*(1-MIN(1,INDEX(Tabla_Mortalidad!$B$5:$B$75,MIN(71,Cartera_Polizas!$B$240+22-49))*(1+(Cartera_Polizas!$P$240-1)*MAX(0,1-22/Supuestos!$C$20))*(1-Supuestos!$C$18)^22))</f>
        <v>2.07547814181678E-007</v>
      </c>
      <c r="Z238" s="29" t="n">
        <f aca="false">Y238*(1-MIN(1,INDEX(Tabla_Mortalidad!$B$5:$B$75,MIN(71,Cartera_Polizas!$B$240+23-49))*(1+(Cartera_Polizas!$P$240-1)*MAX(0,1-23/Supuestos!$C$20))*(1-Supuestos!$C$18)^23))</f>
        <v>4.48315352022503E-008</v>
      </c>
      <c r="AA238" s="29" t="n">
        <f aca="false">Z238*(1-MIN(1,INDEX(Tabla_Mortalidad!$B$5:$B$75,MIN(71,Cartera_Polizas!$B$240+24-49))*(1+(Cartera_Polizas!$P$240-1)*MAX(0,1-24/Supuestos!$C$20))*(1-Supuestos!$C$18)^24))</f>
        <v>8.81633121082764E-009</v>
      </c>
      <c r="AB238" s="29" t="n">
        <f aca="false">AA238*(1-MIN(1,INDEX(Tabla_Mortalidad!$B$5:$B$75,MIN(71,Cartera_Polizas!$B$240+25-49))*(1+(Cartera_Polizas!$P$240-1)*MAX(0,1-25/Supuestos!$C$20))*(1-Supuestos!$C$18)^25))</f>
        <v>1.5934895663716E-009</v>
      </c>
      <c r="AC238" s="29" t="n">
        <f aca="false">AB238*(1-MIN(1,INDEX(Tabla_Mortalidad!$B$5:$B$75,MIN(71,Cartera_Polizas!$B$240+26-49))*(1+(Cartera_Polizas!$P$240-1)*MAX(0,1-26/Supuestos!$C$20))*(1-Supuestos!$C$18)^26))</f>
        <v>2.68151387574095E-010</v>
      </c>
      <c r="AD238" s="29" t="n">
        <f aca="false">AC238*(1-MIN(1,INDEX(Tabla_Mortalidad!$B$5:$B$75,MIN(71,Cartera_Polizas!$B$240+27-49))*(1+(Cartera_Polizas!$P$240-1)*MAX(0,1-27/Supuestos!$C$20))*(1-Supuestos!$C$18)^27))</f>
        <v>3.39425768897881E-011</v>
      </c>
      <c r="AE238" s="29" t="n">
        <f aca="false">AD238*(1-MIN(1,INDEX(Tabla_Mortalidad!$B$5:$B$75,MIN(71,Cartera_Polizas!$B$240+28-49))*(1+(Cartera_Polizas!$P$240-1)*MAX(0,1-28/Supuestos!$C$20))*(1-Supuestos!$C$18)^28))</f>
        <v>4.44467876719244E-012</v>
      </c>
      <c r="AF238" s="29" t="n">
        <f aca="false">AE238*(1-MIN(1,INDEX(Tabla_Mortalidad!$B$5:$B$75,MIN(71,Cartera_Polizas!$B$240+29-49))*(1+(Cartera_Polizas!$P$240-1)*MAX(0,1-29/Supuestos!$C$20))*(1-Supuestos!$C$18)^29))</f>
        <v>6.01330677311762E-013</v>
      </c>
      <c r="AG238" s="29" t="n">
        <f aca="false">AF238*(1-MIN(1,INDEX(Tabla_Mortalidad!$B$5:$B$75,MIN(71,Cartera_Polizas!$B$240+30-49))*(1+(Cartera_Polizas!$P$240-1)*MAX(0,1-30/Supuestos!$C$20))*(1-Supuestos!$C$18)^30))</f>
        <v>8.39552684393648E-014</v>
      </c>
      <c r="AH238" s="29" t="n">
        <f aca="false">AG238*(1-MIN(1,INDEX(Tabla_Mortalidad!$B$5:$B$75,MIN(71,Cartera_Polizas!$B$240+31-49))*(1+(Cartera_Polizas!$P$240-1)*MAX(0,1-31/Supuestos!$C$20))*(1-Supuestos!$C$18)^31))</f>
        <v>1.20826515751464E-014</v>
      </c>
      <c r="AI238" s="29" t="n">
        <f aca="false">AH238*(1-MIN(1,INDEX(Tabla_Mortalidad!$B$5:$B$75,MIN(71,Cartera_Polizas!$B$240+32-49))*(1+(Cartera_Polizas!$P$240-1)*MAX(0,1-32/Supuestos!$C$20))*(1-Supuestos!$C$18)^32))</f>
        <v>1.79062649453364E-015</v>
      </c>
      <c r="AJ238" s="29" t="n">
        <f aca="false">AI238*(1-MIN(1,INDEX(Tabla_Mortalidad!$B$5:$B$75,MIN(71,Cartera_Polizas!$B$240+33-49))*(1+(Cartera_Polizas!$P$240-1)*MAX(0,1-33/Supuestos!$C$20))*(1-Supuestos!$C$18)^33))</f>
        <v>2.72993811529702E-016</v>
      </c>
      <c r="AK238" s="29" t="n">
        <f aca="false">AJ238*(1-MIN(1,INDEX(Tabla_Mortalidad!$B$5:$B$75,MIN(71,Cartera_Polizas!$B$240+34-49))*(1+(Cartera_Polizas!$P$240-1)*MAX(0,1-34/Supuestos!$C$20))*(1-Supuestos!$C$18)^34))</f>
        <v>4.27767281566111E-017</v>
      </c>
      <c r="AL238" s="29" t="n">
        <f aca="false">AK238*(1-MIN(1,INDEX(Tabla_Mortalidad!$B$5:$B$75,MIN(71,Cartera_Polizas!$B$240+35-49))*(1+(Cartera_Polizas!$P$240-1)*MAX(0,1-35/Supuestos!$C$20))*(1-Supuestos!$C$18)^35))</f>
        <v>6.88326277148027E-018</v>
      </c>
      <c r="AM238" s="29" t="n">
        <f aca="false">AL238*(1-MIN(1,INDEX(Tabla_Mortalidad!$B$5:$B$75,MIN(71,Cartera_Polizas!$B$240+36-49))*(1+(Cartera_Polizas!$P$240-1)*MAX(0,1-36/Supuestos!$C$20))*(1-Supuestos!$C$18)^36))</f>
        <v>1.13647371471203E-018</v>
      </c>
      <c r="AN238" s="29" t="n">
        <f aca="false">AM238*(1-MIN(1,INDEX(Tabla_Mortalidad!$B$5:$B$75,MIN(71,Cartera_Polizas!$B$240+37-49))*(1+(Cartera_Polizas!$P$240-1)*MAX(0,1-37/Supuestos!$C$20))*(1-Supuestos!$C$18)^37))</f>
        <v>1.92383746157877E-019</v>
      </c>
      <c r="AO238" s="29" t="n">
        <f aca="false">AN238*(1-MIN(1,INDEX(Tabla_Mortalidad!$B$5:$B$75,MIN(71,Cartera_Polizas!$B$240+38-49))*(1+(Cartera_Polizas!$P$240-1)*MAX(0,1-38/Supuestos!$C$20))*(1-Supuestos!$C$18)^38))</f>
        <v>3.33660542423099E-020</v>
      </c>
      <c r="AP238" s="29" t="n">
        <f aca="false">AO238*(1-MIN(1,INDEX(Tabla_Mortalidad!$B$5:$B$75,MIN(71,Cartera_Polizas!$B$240+39-49))*(1+(Cartera_Polizas!$P$240-1)*MAX(0,1-39/Supuestos!$C$20))*(1-Supuestos!$C$18)^39))</f>
        <v>5.924734095962E-021</v>
      </c>
      <c r="AQ238" s="29" t="n">
        <f aca="false">AP238*(1-MIN(1,INDEX(Tabla_Mortalidad!$B$5:$B$75,MIN(71,Cartera_Polizas!$B$240+40-49))*(1+(Cartera_Polizas!$P$240-1)*MAX(0,1-40/Supuestos!$C$20))*(1-Supuestos!$C$18)^40))</f>
        <v>1.07640497352721E-021</v>
      </c>
      <c r="AR238" s="29" t="n">
        <f aca="false">AQ238*(1-MIN(1,INDEX(Tabla_Mortalidad!$B$5:$B$75,MIN(71,Cartera_Polizas!$B$240+41-49))*(1+(Cartera_Polizas!$P$240-1)*MAX(0,1-41/Supuestos!$C$20))*(1-Supuestos!$C$18)^41))</f>
        <v>1.99965344562046E-022</v>
      </c>
      <c r="AS238" s="29" t="n">
        <f aca="false">AR238*(1-MIN(1,INDEX(Tabla_Mortalidad!$B$5:$B$75,MIN(71,Cartera_Polizas!$B$240+42-49))*(1+(Cartera_Polizas!$P$240-1)*MAX(0,1-42/Supuestos!$C$20))*(1-Supuestos!$C$18)^42))</f>
        <v>3.79619453576913E-023</v>
      </c>
      <c r="AT238" s="29" t="n">
        <f aca="false">AS238*(1-MIN(1,INDEX(Tabla_Mortalidad!$B$5:$B$75,MIN(71,Cartera_Polizas!$B$240+43-49))*(1+(Cartera_Polizas!$P$240-1)*MAX(0,1-43/Supuestos!$C$20))*(1-Supuestos!$C$18)^43))</f>
        <v>7.36057100046866E-024</v>
      </c>
      <c r="AU238" s="29" t="n">
        <f aca="false">AT238*(1-MIN(1,INDEX(Tabla_Mortalidad!$B$5:$B$75,MIN(71,Cartera_Polizas!$B$240+44-49))*(1+(Cartera_Polizas!$P$240-1)*MAX(0,1-44/Supuestos!$C$20))*(1-Supuestos!$C$18)^44))</f>
        <v>1.45683322799148E-024</v>
      </c>
    </row>
    <row r="239" customFormat="false" ht="15" hidden="false" customHeight="false" outlineLevel="0" collapsed="false">
      <c r="A239" s="14" t="n">
        <f aca="false">Cartera_Polizas!A241</f>
        <v>236</v>
      </c>
      <c r="B239" s="26" t="n">
        <f aca="false">SUM(C239:AU239)+0.5</f>
        <v>12.234518827927</v>
      </c>
      <c r="C239" s="29" t="n">
        <f aca="false">1-MIN(1,INDEX(Tabla_Mortalidad!$B$5:$B$75,MIN(71,Cartera_Polizas!$B$241+0-49))*(1+(Cartera_Polizas!$P$241-1)*MAX(0,1-0/Supuestos!$C$20))*(1-Supuestos!$C$18)^0)</f>
        <v>0.9651205125</v>
      </c>
      <c r="D239" s="29" t="n">
        <f aca="false">C239*(1-MIN(1,INDEX(Tabla_Mortalidad!$B$5:$B$75,MIN(71,Cartera_Polizas!$B$241+1-49))*(1+(Cartera_Polizas!$P$241-1)*MAX(0,1-1/Supuestos!$C$20))*(1-Supuestos!$C$18)^1))</f>
        <v>0.92844469095447</v>
      </c>
      <c r="E239" s="29" t="n">
        <f aca="false">D239*(1-MIN(1,INDEX(Tabla_Mortalidad!$B$5:$B$75,MIN(71,Cartera_Polizas!$B$241+2-49))*(1+(Cartera_Polizas!$P$241-1)*MAX(0,1-2/Supuestos!$C$20))*(1-Supuestos!$C$18)^2))</f>
        <v>0.890023251143936</v>
      </c>
      <c r="F239" s="29" t="n">
        <f aca="false">E239*(1-MIN(1,INDEX(Tabla_Mortalidad!$B$5:$B$75,MIN(71,Cartera_Polizas!$B$241+3-49))*(1+(Cartera_Polizas!$P$241-1)*MAX(0,1-3/Supuestos!$C$20))*(1-Supuestos!$C$18)^3))</f>
        <v>0.849935331171735</v>
      </c>
      <c r="G239" s="29" t="n">
        <f aca="false">F239*(1-MIN(1,INDEX(Tabla_Mortalidad!$B$5:$B$75,MIN(71,Cartera_Polizas!$B$241+4-49))*(1+(Cartera_Polizas!$P$241-1)*MAX(0,1-4/Supuestos!$C$20))*(1-Supuestos!$C$18)^4))</f>
        <v>0.808292053611178</v>
      </c>
      <c r="H239" s="29" t="n">
        <f aca="false">G239*(1-MIN(1,INDEX(Tabla_Mortalidad!$B$5:$B$75,MIN(71,Cartera_Polizas!$B$241+5-49))*(1+(Cartera_Polizas!$P$241-1)*MAX(0,1-5/Supuestos!$C$20))*(1-Supuestos!$C$18)^5))</f>
        <v>0.765238752411123</v>
      </c>
      <c r="I239" s="29" t="n">
        <f aca="false">H239*(1-MIN(1,INDEX(Tabla_Mortalidad!$B$5:$B$75,MIN(71,Cartera_Polizas!$B$241+6-49))*(1+(Cartera_Polizas!$P$241-1)*MAX(0,1-6/Supuestos!$C$20))*(1-Supuestos!$C$18)^6))</f>
        <v>0.720955127294011</v>
      </c>
      <c r="J239" s="29" t="n">
        <f aca="false">I239*(1-MIN(1,INDEX(Tabla_Mortalidad!$B$5:$B$75,MIN(71,Cartera_Polizas!$B$241+7-49))*(1+(Cartera_Polizas!$P$241-1)*MAX(0,1-7/Supuestos!$C$20))*(1-Supuestos!$C$18)^7))</f>
        <v>0.67565809124158</v>
      </c>
      <c r="K239" s="29" t="n">
        <f aca="false">J239*(1-MIN(1,INDEX(Tabla_Mortalidad!$B$5:$B$75,MIN(71,Cartera_Polizas!$B$241+8-49))*(1+(Cartera_Polizas!$P$241-1)*MAX(0,1-8/Supuestos!$C$20))*(1-Supuestos!$C$18)^8))</f>
        <v>0.62960314870976</v>
      </c>
      <c r="L239" s="29" t="n">
        <f aca="false">K239*(1-MIN(1,INDEX(Tabla_Mortalidad!$B$5:$B$75,MIN(71,Cartera_Polizas!$B$241+9-49))*(1+(Cartera_Polizas!$P$241-1)*MAX(0,1-9/Supuestos!$C$20))*(1-Supuestos!$C$18)^9))</f>
        <v>0.583081184057597</v>
      </c>
      <c r="M239" s="29" t="n">
        <f aca="false">L239*(1-MIN(1,INDEX(Tabla_Mortalidad!$B$5:$B$75,MIN(71,Cartera_Polizas!$B$241+10-49))*(1+(Cartera_Polizas!$P$241-1)*MAX(0,1-10/Supuestos!$C$20))*(1-Supuestos!$C$18)^10))</f>
        <v>0.53641528963031</v>
      </c>
      <c r="N239" s="29" t="n">
        <f aca="false">M239*(1-MIN(1,INDEX(Tabla_Mortalidad!$B$5:$B$75,MIN(71,Cartera_Polizas!$B$241+11-49))*(1+(Cartera_Polizas!$P$241-1)*MAX(0,1-11/Supuestos!$C$20))*(1-Supuestos!$C$18)^11))</f>
        <v>0.489959019097438</v>
      </c>
      <c r="O239" s="29" t="n">
        <f aca="false">N239*(1-MIN(1,INDEX(Tabla_Mortalidad!$B$5:$B$75,MIN(71,Cartera_Polizas!$B$241+12-49))*(1+(Cartera_Polizas!$P$241-1)*MAX(0,1-12/Supuestos!$C$20))*(1-Supuestos!$C$18)^12))</f>
        <v>0.444086249424667</v>
      </c>
      <c r="P239" s="29" t="n">
        <f aca="false">O239*(1-MIN(1,INDEX(Tabla_Mortalidad!$B$5:$B$75,MIN(71,Cartera_Polizas!$B$241+13-49))*(1+(Cartera_Polizas!$P$241-1)*MAX(0,1-13/Supuestos!$C$20))*(1-Supuestos!$C$18)^13))</f>
        <v>0.39918638343504</v>
      </c>
      <c r="Q239" s="29" t="n">
        <f aca="false">P239*(1-MIN(1,INDEX(Tabla_Mortalidad!$B$5:$B$75,MIN(71,Cartera_Polizas!$B$241+14-49))*(1+(Cartera_Polizas!$P$241-1)*MAX(0,1-14/Supuestos!$C$20))*(1-Supuestos!$C$18)^14))</f>
        <v>0.35565169828612</v>
      </c>
      <c r="R239" s="29" t="n">
        <f aca="false">Q239*(1-MIN(1,INDEX(Tabla_Mortalidad!$B$5:$B$75,MIN(71,Cartera_Polizas!$B$241+15-49))*(1+(Cartera_Polizas!$P$241-1)*MAX(0,1-15/Supuestos!$C$20))*(1-Supuestos!$C$18)^15))</f>
        <v>0.313866323985283</v>
      </c>
      <c r="S239" s="29" t="n">
        <f aca="false">R239*(1-MIN(1,INDEX(Tabla_Mortalidad!$B$5:$B$75,MIN(71,Cartera_Polizas!$B$241+16-49))*(1+(Cartera_Polizas!$P$241-1)*MAX(0,1-16/Supuestos!$C$20))*(1-Supuestos!$C$18)^16))</f>
        <v>0.273221744231264</v>
      </c>
      <c r="T239" s="29" t="n">
        <f aca="false">S239*(1-MIN(1,INDEX(Tabla_Mortalidad!$B$5:$B$75,MIN(71,Cartera_Polizas!$B$241+17-49))*(1+(Cartera_Polizas!$P$241-1)*MAX(0,1-17/Supuestos!$C$20))*(1-Supuestos!$C$18)^17))</f>
        <v>0.234258606937125</v>
      </c>
      <c r="U239" s="29" t="n">
        <f aca="false">T239*(1-MIN(1,INDEX(Tabla_Mortalidad!$B$5:$B$75,MIN(71,Cartera_Polizas!$B$241+18-49))*(1+(Cartera_Polizas!$P$241-1)*MAX(0,1-18/Supuestos!$C$20))*(1-Supuestos!$C$18)^18))</f>
        <v>0.197505509018779</v>
      </c>
      <c r="V239" s="29" t="n">
        <f aca="false">U239*(1-MIN(1,INDEX(Tabla_Mortalidad!$B$5:$B$75,MIN(71,Cartera_Polizas!$B$241+19-49))*(1+(Cartera_Polizas!$P$241-1)*MAX(0,1-19/Supuestos!$C$20))*(1-Supuestos!$C$18)^19))</f>
        <v>0.163450956729537</v>
      </c>
      <c r="W239" s="29" t="n">
        <f aca="false">V239*(1-MIN(1,INDEX(Tabla_Mortalidad!$B$5:$B$75,MIN(71,Cartera_Polizas!$B$241+20-49))*(1+(Cartera_Polizas!$P$241-1)*MAX(0,1-20/Supuestos!$C$20))*(1-Supuestos!$C$18)^20))</f>
        <v>0.132514767904828</v>
      </c>
      <c r="X239" s="29" t="n">
        <f aca="false">W239*(1-MIN(1,INDEX(Tabla_Mortalidad!$B$5:$B$75,MIN(71,Cartera_Polizas!$B$241+21-49))*(1+(Cartera_Polizas!$P$241-1)*MAX(0,1-21/Supuestos!$C$20))*(1-Supuestos!$C$18)^21))</f>
        <v>0.105019642626178</v>
      </c>
      <c r="Y239" s="29" t="n">
        <f aca="false">X239*(1-MIN(1,INDEX(Tabla_Mortalidad!$B$5:$B$75,MIN(71,Cartera_Polizas!$B$241+22-49))*(1+(Cartera_Polizas!$P$241-1)*MAX(0,1-22/Supuestos!$C$20))*(1-Supuestos!$C$18)^22))</f>
        <v>0.0811664563902666</v>
      </c>
      <c r="Z239" s="29" t="n">
        <f aca="false">Y239*(1-MIN(1,INDEX(Tabla_Mortalidad!$B$5:$B$75,MIN(71,Cartera_Polizas!$B$241+23-49))*(1+(Cartera_Polizas!$P$241-1)*MAX(0,1-23/Supuestos!$C$20))*(1-Supuestos!$C$18)^23))</f>
        <v>0.061017927328885</v>
      </c>
      <c r="AA239" s="29" t="n">
        <f aca="false">Z239*(1-MIN(1,INDEX(Tabla_Mortalidad!$B$5:$B$75,MIN(71,Cartera_Polizas!$B$241+24-49))*(1+(Cartera_Polizas!$P$241-1)*MAX(0,1-24/Supuestos!$C$20))*(1-Supuestos!$C$18)^24))</f>
        <v>0.0444926531023933</v>
      </c>
      <c r="AB239" s="29" t="n">
        <f aca="false">AA239*(1-MIN(1,INDEX(Tabla_Mortalidad!$B$5:$B$75,MIN(71,Cartera_Polizas!$B$241+25-49))*(1+(Cartera_Polizas!$P$241-1)*MAX(0,1-25/Supuestos!$C$20))*(1-Supuestos!$C$18)^25))</f>
        <v>0.0313717803535717</v>
      </c>
      <c r="AC239" s="29" t="n">
        <f aca="false">AB239*(1-MIN(1,INDEX(Tabla_Mortalidad!$B$5:$B$75,MIN(71,Cartera_Polizas!$B$241+26-49))*(1+(Cartera_Polizas!$P$241-1)*MAX(0,1-26/Supuestos!$C$20))*(1-Supuestos!$C$18)^26))</f>
        <v>0.021319370134437</v>
      </c>
      <c r="AD239" s="29" t="n">
        <f aca="false">AC239*(1-MIN(1,INDEX(Tabla_Mortalidad!$B$5:$B$75,MIN(71,Cartera_Polizas!$B$241+27-49))*(1+(Cartera_Polizas!$P$241-1)*MAX(0,1-27/Supuestos!$C$20))*(1-Supuestos!$C$18)^27))</f>
        <v>0.0139139844767733</v>
      </c>
      <c r="AE239" s="29" t="n">
        <f aca="false">AD239*(1-MIN(1,INDEX(Tabla_Mortalidad!$B$5:$B$75,MIN(71,Cartera_Polizas!$B$241+28-49))*(1+(Cartera_Polizas!$P$241-1)*MAX(0,1-28/Supuestos!$C$20))*(1-Supuestos!$C$18)^28))</f>
        <v>0.0086881166542844</v>
      </c>
      <c r="AF239" s="29" t="n">
        <f aca="false">AE239*(1-MIN(1,INDEX(Tabla_Mortalidad!$B$5:$B$75,MIN(71,Cartera_Polizas!$B$241+29-49))*(1+(Cartera_Polizas!$P$241-1)*MAX(0,1-29/Supuestos!$C$20))*(1-Supuestos!$C$18)^29))</f>
        <v>0.00516962733733339</v>
      </c>
      <c r="AG239" s="29" t="n">
        <f aca="false">AF239*(1-MIN(1,INDEX(Tabla_Mortalidad!$B$5:$B$75,MIN(71,Cartera_Polizas!$B$241+30-49))*(1+(Cartera_Polizas!$P$241-1)*MAX(0,1-30/Supuestos!$C$20))*(1-Supuestos!$C$18)^30))</f>
        <v>0.00291902956326094</v>
      </c>
      <c r="AH239" s="29" t="n">
        <f aca="false">AG239*(1-MIN(1,INDEX(Tabla_Mortalidad!$B$5:$B$75,MIN(71,Cartera_Polizas!$B$241+31-49))*(1+(Cartera_Polizas!$P$241-1)*MAX(0,1-31/Supuestos!$C$20))*(1-Supuestos!$C$18)^31))</f>
        <v>0.00155739538795129</v>
      </c>
      <c r="AI239" s="29" t="n">
        <f aca="false">AH239*(1-MIN(1,INDEX(Tabla_Mortalidad!$B$5:$B$75,MIN(71,Cartera_Polizas!$B$241+32-49))*(1+(Cartera_Polizas!$P$241-1)*MAX(0,1-32/Supuestos!$C$20))*(1-Supuestos!$C$18)^32))</f>
        <v>0.000781742183766616</v>
      </c>
      <c r="AJ239" s="29" t="n">
        <f aca="false">AI239*(1-MIN(1,INDEX(Tabla_Mortalidad!$B$5:$B$75,MIN(71,Cartera_Polizas!$B$241+33-49))*(1+(Cartera_Polizas!$P$241-1)*MAX(0,1-33/Supuestos!$C$20))*(1-Supuestos!$C$18)^33))</f>
        <v>0.000367618332462204</v>
      </c>
      <c r="AK239" s="29" t="n">
        <f aca="false">AJ239*(1-MIN(1,INDEX(Tabla_Mortalidad!$B$5:$B$75,MIN(71,Cartera_Polizas!$B$241+34-49))*(1+(Cartera_Polizas!$P$241-1)*MAX(0,1-34/Supuestos!$C$20))*(1-Supuestos!$C$18)^34))</f>
        <v>0.000161317681362763</v>
      </c>
      <c r="AL239" s="29" t="n">
        <f aca="false">AK239*(1-MIN(1,INDEX(Tabla_Mortalidad!$B$5:$B$75,MIN(71,Cartera_Polizas!$B$241+35-49))*(1+(Cartera_Polizas!$P$241-1)*MAX(0,1-35/Supuestos!$C$20))*(1-Supuestos!$C$18)^35))</f>
        <v>6.58280899362418E-005</v>
      </c>
      <c r="AM239" s="29" t="n">
        <f aca="false">AL239*(1-MIN(1,INDEX(Tabla_Mortalidad!$B$5:$B$75,MIN(71,Cartera_Polizas!$B$241+36-49))*(1+(Cartera_Polizas!$P$241-1)*MAX(0,1-36/Supuestos!$C$20))*(1-Supuestos!$C$18)^36))</f>
        <v>2.4912173866526E-005</v>
      </c>
      <c r="AN239" s="29" t="n">
        <f aca="false">AM239*(1-MIN(1,INDEX(Tabla_Mortalidad!$B$5:$B$75,MIN(71,Cartera_Polizas!$B$241+37-49))*(1+(Cartera_Polizas!$P$241-1)*MAX(0,1-37/Supuestos!$C$20))*(1-Supuestos!$C$18)^37))</f>
        <v>8.72946345351845E-006</v>
      </c>
      <c r="AO239" s="29" t="n">
        <f aca="false">AN239*(1-MIN(1,INDEX(Tabla_Mortalidad!$B$5:$B$75,MIN(71,Cartera_Polizas!$B$241+38-49))*(1+(Cartera_Polizas!$P$241-1)*MAX(0,1-38/Supuestos!$C$20))*(1-Supuestos!$C$18)^38))</f>
        <v>2.83189191363343E-006</v>
      </c>
      <c r="AP239" s="29" t="n">
        <f aca="false">AO239*(1-MIN(1,INDEX(Tabla_Mortalidad!$B$5:$B$75,MIN(71,Cartera_Polizas!$B$241+39-49))*(1+(Cartera_Polizas!$P$241-1)*MAX(0,1-39/Supuestos!$C$20))*(1-Supuestos!$C$18)^39))</f>
        <v>8.5194064349288E-007</v>
      </c>
      <c r="AQ239" s="29" t="n">
        <f aca="false">AP239*(1-MIN(1,INDEX(Tabla_Mortalidad!$B$5:$B$75,MIN(71,Cartera_Polizas!$B$241+40-49))*(1+(Cartera_Polizas!$P$241-1)*MAX(0,1-40/Supuestos!$C$20))*(1-Supuestos!$C$18)^40))</f>
        <v>2.38581914138898E-007</v>
      </c>
      <c r="AR239" s="29" t="n">
        <f aca="false">AQ239*(1-MIN(1,INDEX(Tabla_Mortalidad!$B$5:$B$75,MIN(71,Cartera_Polizas!$B$241+41-49))*(1+(Cartera_Polizas!$P$241-1)*MAX(0,1-41/Supuestos!$C$20))*(1-Supuestos!$C$18)^41))</f>
        <v>6.2574014963922E-008</v>
      </c>
      <c r="AS239" s="29" t="n">
        <f aca="false">AR239*(1-MIN(1,INDEX(Tabla_Mortalidad!$B$5:$B$75,MIN(71,Cartera_Polizas!$B$241+42-49))*(1+(Cartera_Polizas!$P$241-1)*MAX(0,1-42/Supuestos!$C$20))*(1-Supuestos!$C$18)^42))</f>
        <v>1.5497252254183E-008</v>
      </c>
      <c r="AT239" s="29" t="n">
        <f aca="false">AS239*(1-MIN(1,INDEX(Tabla_Mortalidad!$B$5:$B$75,MIN(71,Cartera_Polizas!$B$241+43-49))*(1+(Cartera_Polizas!$P$241-1)*MAX(0,1-43/Supuestos!$C$20))*(1-Supuestos!$C$18)^43))</f>
        <v>3.66071799271154E-009</v>
      </c>
      <c r="AU239" s="29" t="n">
        <f aca="false">AT239*(1-MIN(1,INDEX(Tabla_Mortalidad!$B$5:$B$75,MIN(71,Cartera_Polizas!$B$241+44-49))*(1+(Cartera_Polizas!$P$241-1)*MAX(0,1-44/Supuestos!$C$20))*(1-Supuestos!$C$18)^44))</f>
        <v>7.2454373577116E-010</v>
      </c>
    </row>
    <row r="240" customFormat="false" ht="15" hidden="false" customHeight="false" outlineLevel="0" collapsed="false">
      <c r="A240" s="14" t="n">
        <f aca="false">Cartera_Polizas!A242</f>
        <v>237</v>
      </c>
      <c r="B240" s="26" t="n">
        <f aca="false">SUM(C240:AU240)+0.5</f>
        <v>6.11443551308267</v>
      </c>
      <c r="C240" s="29" t="n">
        <f aca="false">1-MIN(1,INDEX(Tabla_Mortalidad!$B$5:$B$75,MIN(71,Cartera_Polizas!$B$242+0-49))*(1+(Cartera_Polizas!$P$242-1)*MAX(0,1-0/Supuestos!$C$20))*(1-Supuestos!$C$18)^0)</f>
        <v>0.9008093125</v>
      </c>
      <c r="D240" s="29" t="n">
        <f aca="false">C240*(1-MIN(1,INDEX(Tabla_Mortalidad!$B$5:$B$75,MIN(71,Cartera_Polizas!$B$242+1-49))*(1+(Cartera_Polizas!$P$242-1)*MAX(0,1-1/Supuestos!$C$20))*(1-Supuestos!$C$18)^1))</f>
        <v>0.803099355793299</v>
      </c>
      <c r="E240" s="29" t="n">
        <f aca="false">D240*(1-MIN(1,INDEX(Tabla_Mortalidad!$B$5:$B$75,MIN(71,Cartera_Polizas!$B$242+2-49))*(1+(Cartera_Polizas!$P$242-1)*MAX(0,1-2/Supuestos!$C$20))*(1-Supuestos!$C$18)^2))</f>
        <v>0.707905772355215</v>
      </c>
      <c r="F240" s="29" t="n">
        <f aca="false">E240*(1-MIN(1,INDEX(Tabla_Mortalidad!$B$5:$B$75,MIN(71,Cartera_Polizas!$B$242+3-49))*(1+(Cartera_Polizas!$P$242-1)*MAX(0,1-3/Supuestos!$C$20))*(1-Supuestos!$C$18)^3))</f>
        <v>0.616279176466083</v>
      </c>
      <c r="G240" s="29" t="n">
        <f aca="false">F240*(1-MIN(1,INDEX(Tabla_Mortalidad!$B$5:$B$75,MIN(71,Cartera_Polizas!$B$242+4-49))*(1+(Cartera_Polizas!$P$242-1)*MAX(0,1-4/Supuestos!$C$20))*(1-Supuestos!$C$18)^4))</f>
        <v>0.52924808689773</v>
      </c>
      <c r="H240" s="29" t="n">
        <f aca="false">G240*(1-MIN(1,INDEX(Tabla_Mortalidad!$B$5:$B$75,MIN(71,Cartera_Polizas!$B$242+5-49))*(1+(Cartera_Polizas!$P$242-1)*MAX(0,1-5/Supuestos!$C$20))*(1-Supuestos!$C$18)^5))</f>
        <v>0.447774685543342</v>
      </c>
      <c r="I240" s="29" t="n">
        <f aca="false">H240*(1-MIN(1,INDEX(Tabla_Mortalidad!$B$5:$B$75,MIN(71,Cartera_Polizas!$B$242+6-49))*(1+(Cartera_Polizas!$P$242-1)*MAX(0,1-6/Supuestos!$C$20))*(1-Supuestos!$C$18)^6))</f>
        <v>0.37270850339226</v>
      </c>
      <c r="J240" s="29" t="n">
        <f aca="false">I240*(1-MIN(1,INDEX(Tabla_Mortalidad!$B$5:$B$75,MIN(71,Cartera_Polizas!$B$242+7-49))*(1+(Cartera_Polizas!$P$242-1)*MAX(0,1-7/Supuestos!$C$20))*(1-Supuestos!$C$18)^7))</f>
        <v>0.304740189937387</v>
      </c>
      <c r="K240" s="29" t="n">
        <f aca="false">J240*(1-MIN(1,INDEX(Tabla_Mortalidad!$B$5:$B$75,MIN(71,Cartera_Polizas!$B$242+8-49))*(1+(Cartera_Polizas!$P$242-1)*MAX(0,1-8/Supuestos!$C$20))*(1-Supuestos!$C$18)^8))</f>
        <v>0.244359082722822</v>
      </c>
      <c r="L240" s="29" t="n">
        <f aca="false">K240*(1-MIN(1,INDEX(Tabla_Mortalidad!$B$5:$B$75,MIN(71,Cartera_Polizas!$B$242+9-49))*(1+(Cartera_Polizas!$P$242-1)*MAX(0,1-9/Supuestos!$C$20))*(1-Supuestos!$C$18)^9))</f>
        <v>0.191822429263513</v>
      </c>
      <c r="M240" s="29" t="n">
        <f aca="false">L240*(1-MIN(1,INDEX(Tabla_Mortalidad!$B$5:$B$75,MIN(71,Cartera_Polizas!$B$242+10-49))*(1+(Cartera_Polizas!$P$242-1)*MAX(0,1-10/Supuestos!$C$20))*(1-Supuestos!$C$18)^10))</f>
        <v>0.14713700766692</v>
      </c>
      <c r="N240" s="29" t="n">
        <f aca="false">M240*(1-MIN(1,INDEX(Tabla_Mortalidad!$B$5:$B$75,MIN(71,Cartera_Polizas!$B$242+11-49))*(1+(Cartera_Polizas!$P$242-1)*MAX(0,1-11/Supuestos!$C$20))*(1-Supuestos!$C$18)^11))</f>
        <v>0.110057565379091</v>
      </c>
      <c r="O240" s="29" t="n">
        <f aca="false">N240*(1-MIN(1,INDEX(Tabla_Mortalidad!$B$5:$B$75,MIN(71,Cartera_Polizas!$B$242+12-49))*(1+(Cartera_Polizas!$P$242-1)*MAX(0,1-12/Supuestos!$C$20))*(1-Supuestos!$C$18)^12))</f>
        <v>0.0801059066341171</v>
      </c>
      <c r="P240" s="29" t="n">
        <f aca="false">O240*(1-MIN(1,INDEX(Tabla_Mortalidad!$B$5:$B$75,MIN(71,Cartera_Polizas!$B$242+13-49))*(1+(Cartera_Polizas!$P$242-1)*MAX(0,1-13/Supuestos!$C$20))*(1-Supuestos!$C$18)^13))</f>
        <v>0.0566081857365162</v>
      </c>
      <c r="Q240" s="29" t="n">
        <f aca="false">P240*(1-MIN(1,INDEX(Tabla_Mortalidad!$B$5:$B$75,MIN(71,Cartera_Polizas!$B$242+14-49))*(1+(Cartera_Polizas!$P$242-1)*MAX(0,1-14/Supuestos!$C$20))*(1-Supuestos!$C$18)^14))</f>
        <v>0.0387476369125185</v>
      </c>
      <c r="R240" s="29" t="n">
        <f aca="false">Q240*(1-MIN(1,INDEX(Tabla_Mortalidad!$B$5:$B$75,MIN(71,Cartera_Polizas!$B$242+15-49))*(1+(Cartera_Polizas!$P$242-1)*MAX(0,1-15/Supuestos!$C$20))*(1-Supuestos!$C$18)^15))</f>
        <v>0.0256279832476304</v>
      </c>
      <c r="S240" s="29" t="n">
        <f aca="false">R240*(1-MIN(1,INDEX(Tabla_Mortalidad!$B$5:$B$75,MIN(71,Cartera_Polizas!$B$242+16-49))*(1+(Cartera_Polizas!$P$242-1)*MAX(0,1-16/Supuestos!$C$20))*(1-Supuestos!$C$18)^16))</f>
        <v>0.016221357744159</v>
      </c>
      <c r="T240" s="29" t="n">
        <f aca="false">S240*(1-MIN(1,INDEX(Tabla_Mortalidad!$B$5:$B$75,MIN(71,Cartera_Polizas!$B$242+17-49))*(1+(Cartera_Polizas!$P$242-1)*MAX(0,1-17/Supuestos!$C$20))*(1-Supuestos!$C$18)^17))</f>
        <v>0.00978351712753835</v>
      </c>
      <c r="U240" s="29" t="n">
        <f aca="false">T240*(1-MIN(1,INDEX(Tabla_Mortalidad!$B$5:$B$75,MIN(71,Cartera_Polizas!$B$242+18-49))*(1+(Cartera_Polizas!$P$242-1)*MAX(0,1-18/Supuestos!$C$20))*(1-Supuestos!$C$18)^18))</f>
        <v>0.00559681835912189</v>
      </c>
      <c r="V240" s="29" t="n">
        <f aca="false">U240*(1-MIN(1,INDEX(Tabla_Mortalidad!$B$5:$B$75,MIN(71,Cartera_Polizas!$B$242+19-49))*(1+(Cartera_Polizas!$P$242-1)*MAX(0,1-19/Supuestos!$C$20))*(1-Supuestos!$C$18)^19))</f>
        <v>0.00302212227822949</v>
      </c>
      <c r="W240" s="29" t="n">
        <f aca="false">V240*(1-MIN(1,INDEX(Tabla_Mortalidad!$B$5:$B$75,MIN(71,Cartera_Polizas!$B$242+20-49))*(1+(Cartera_Polizas!$P$242-1)*MAX(0,1-20/Supuestos!$C$20))*(1-Supuestos!$C$18)^20))</f>
        <v>0.00153248650291436</v>
      </c>
      <c r="X240" s="29" t="n">
        <f aca="false">W240*(1-MIN(1,INDEX(Tabla_Mortalidad!$B$5:$B$75,MIN(71,Cartera_Polizas!$B$242+21-49))*(1+(Cartera_Polizas!$P$242-1)*MAX(0,1-21/Supuestos!$C$20))*(1-Supuestos!$C$18)^21))</f>
        <v>0.000725973308676785</v>
      </c>
      <c r="Y240" s="29" t="n">
        <f aca="false">X240*(1-MIN(1,INDEX(Tabla_Mortalidad!$B$5:$B$75,MIN(71,Cartera_Polizas!$B$242+22-49))*(1+(Cartera_Polizas!$P$242-1)*MAX(0,1-22/Supuestos!$C$20))*(1-Supuestos!$C$18)^22))</f>
        <v>0.000319592245681405</v>
      </c>
      <c r="Z240" s="29" t="n">
        <f aca="false">Y240*(1-MIN(1,INDEX(Tabla_Mortalidad!$B$5:$B$75,MIN(71,Cartera_Polizas!$B$242+23-49))*(1+(Cartera_Polizas!$P$242-1)*MAX(0,1-23/Supuestos!$C$20))*(1-Supuestos!$C$18)^23))</f>
        <v>0.000130076288580006</v>
      </c>
      <c r="AA240" s="29" t="n">
        <f aca="false">Z240*(1-MIN(1,INDEX(Tabla_Mortalidad!$B$5:$B$75,MIN(71,Cartera_Polizas!$B$242+24-49))*(1+(Cartera_Polizas!$P$242-1)*MAX(0,1-24/Supuestos!$C$20))*(1-Supuestos!$C$18)^24))</f>
        <v>4.87149073897274E-005</v>
      </c>
      <c r="AB240" s="29" t="n">
        <f aca="false">AA240*(1-MIN(1,INDEX(Tabla_Mortalidad!$B$5:$B$75,MIN(71,Cartera_Polizas!$B$242+25-49))*(1+(Cartera_Polizas!$P$242-1)*MAX(0,1-25/Supuestos!$C$20))*(1-Supuestos!$C$18)^25))</f>
        <v>1.67193987730972E-005</v>
      </c>
      <c r="AC240" s="29" t="n">
        <f aca="false">AB240*(1-MIN(1,INDEX(Tabla_Mortalidad!$B$5:$B$75,MIN(71,Cartera_Polizas!$B$242+26-49))*(1+(Cartera_Polizas!$P$242-1)*MAX(0,1-26/Supuestos!$C$20))*(1-Supuestos!$C$18)^26))</f>
        <v>5.2429795475728E-006</v>
      </c>
      <c r="AD240" s="29" t="n">
        <f aca="false">AC240*(1-MIN(1,INDEX(Tabla_Mortalidad!$B$5:$B$75,MIN(71,Cartera_Polizas!$B$242+27-49))*(1+(Cartera_Polizas!$P$242-1)*MAX(0,1-27/Supuestos!$C$20))*(1-Supuestos!$C$18)^27))</f>
        <v>1.50006474213569E-006</v>
      </c>
      <c r="AE240" s="29" t="n">
        <f aca="false">AD240*(1-MIN(1,INDEX(Tabla_Mortalidad!$B$5:$B$75,MIN(71,Cartera_Polizas!$B$242+28-49))*(1+(Cartera_Polizas!$P$242-1)*MAX(0,1-28/Supuestos!$C$20))*(1-Supuestos!$C$18)^28))</f>
        <v>3.91824430008437E-007</v>
      </c>
      <c r="AF240" s="29" t="n">
        <f aca="false">AE240*(1-MIN(1,INDEX(Tabla_Mortalidad!$B$5:$B$75,MIN(71,Cartera_Polizas!$B$242+29-49))*(1+(Cartera_Polizas!$P$242-1)*MAX(0,1-29/Supuestos!$C$20))*(1-Supuestos!$C$18)^29))</f>
        <v>9.37375679705309E-008</v>
      </c>
      <c r="AG240" s="29" t="n">
        <f aca="false">AF240*(1-MIN(1,INDEX(Tabla_Mortalidad!$B$5:$B$75,MIN(71,Cartera_Polizas!$B$242+30-49))*(1+(Cartera_Polizas!$P$242-1)*MAX(0,1-30/Supuestos!$C$20))*(1-Supuestos!$C$18)^30))</f>
        <v>2.06649892236618E-008</v>
      </c>
      <c r="AH240" s="29" t="n">
        <f aca="false">AG240*(1-MIN(1,INDEX(Tabla_Mortalidad!$B$5:$B$75,MIN(71,Cartera_Polizas!$B$242+31-49))*(1+(Cartera_Polizas!$P$242-1)*MAX(0,1-31/Supuestos!$C$20))*(1-Supuestos!$C$18)^31))</f>
        <v>4.23664236748353E-009</v>
      </c>
      <c r="AI240" s="29" t="n">
        <f aca="false">AH240*(1-MIN(1,INDEX(Tabla_Mortalidad!$B$5:$B$75,MIN(71,Cartera_Polizas!$B$242+32-49))*(1+(Cartera_Polizas!$P$242-1)*MAX(0,1-32/Supuestos!$C$20))*(1-Supuestos!$C$18)^32))</f>
        <v>8.17337897490746E-010</v>
      </c>
      <c r="AJ240" s="29" t="n">
        <f aca="false">AI240*(1-MIN(1,INDEX(Tabla_Mortalidad!$B$5:$B$75,MIN(71,Cartera_Polizas!$B$242+33-49))*(1+(Cartera_Polizas!$P$242-1)*MAX(0,1-33/Supuestos!$C$20))*(1-Supuestos!$C$18)^33))</f>
        <v>1.24609006191313E-010</v>
      </c>
      <c r="AK240" s="29" t="n">
        <f aca="false">AJ240*(1-MIN(1,INDEX(Tabla_Mortalidad!$B$5:$B$75,MIN(71,Cartera_Polizas!$B$242+34-49))*(1+(Cartera_Polizas!$P$242-1)*MAX(0,1-34/Supuestos!$C$20))*(1-Supuestos!$C$18)^34))</f>
        <v>1.95255912719887E-011</v>
      </c>
      <c r="AL240" s="29" t="n">
        <f aca="false">AK240*(1-MIN(1,INDEX(Tabla_Mortalidad!$B$5:$B$75,MIN(71,Cartera_Polizas!$B$242+35-49))*(1+(Cartera_Polizas!$P$242-1)*MAX(0,1-35/Supuestos!$C$20))*(1-Supuestos!$C$18)^35))</f>
        <v>3.14189002491179E-012</v>
      </c>
      <c r="AM240" s="29" t="n">
        <f aca="false">AL240*(1-MIN(1,INDEX(Tabla_Mortalidad!$B$5:$B$75,MIN(71,Cartera_Polizas!$B$242+36-49))*(1+(Cartera_Polizas!$P$242-1)*MAX(0,1-36/Supuestos!$C$20))*(1-Supuestos!$C$18)^36))</f>
        <v>5.18747510646073E-013</v>
      </c>
      <c r="AN240" s="29" t="n">
        <f aca="false">AM240*(1-MIN(1,INDEX(Tabla_Mortalidad!$B$5:$B$75,MIN(71,Cartera_Polizas!$B$242+37-49))*(1+(Cartera_Polizas!$P$242-1)*MAX(0,1-37/Supuestos!$C$20))*(1-Supuestos!$C$18)^37))</f>
        <v>8.78142522050783E-014</v>
      </c>
      <c r="AO240" s="29" t="n">
        <f aca="false">AN240*(1-MIN(1,INDEX(Tabla_Mortalidad!$B$5:$B$75,MIN(71,Cartera_Polizas!$B$242+38-49))*(1+(Cartera_Polizas!$P$242-1)*MAX(0,1-38/Supuestos!$C$20))*(1-Supuestos!$C$18)^38))</f>
        <v>1.52300553494683E-014</v>
      </c>
      <c r="AP240" s="29" t="n">
        <f aca="false">AO240*(1-MIN(1,INDEX(Tabla_Mortalidad!$B$5:$B$75,MIN(71,Cartera_Polizas!$B$242+39-49))*(1+(Cartera_Polizas!$P$242-1)*MAX(0,1-39/Supuestos!$C$20))*(1-Supuestos!$C$18)^39))</f>
        <v>2.70436616679601E-015</v>
      </c>
      <c r="AQ240" s="29" t="n">
        <f aca="false">AP240*(1-MIN(1,INDEX(Tabla_Mortalidad!$B$5:$B$75,MIN(71,Cartera_Polizas!$B$242+40-49))*(1+(Cartera_Polizas!$P$242-1)*MAX(0,1-40/Supuestos!$C$20))*(1-Supuestos!$C$18)^40))</f>
        <v>4.91328917893873E-016</v>
      </c>
      <c r="AR240" s="29" t="n">
        <f aca="false">AQ240*(1-MIN(1,INDEX(Tabla_Mortalidad!$B$5:$B$75,MIN(71,Cartera_Polizas!$B$242+41-49))*(1+(Cartera_Polizas!$P$242-1)*MAX(0,1-41/Supuestos!$C$20))*(1-Supuestos!$C$18)^41))</f>
        <v>9.12749000387836E-017</v>
      </c>
      <c r="AS240" s="29" t="n">
        <f aca="false">AR240*(1-MIN(1,INDEX(Tabla_Mortalidad!$B$5:$B$75,MIN(71,Cartera_Polizas!$B$242+42-49))*(1+(Cartera_Polizas!$P$242-1)*MAX(0,1-42/Supuestos!$C$20))*(1-Supuestos!$C$18)^42))</f>
        <v>1.73278663629933E-017</v>
      </c>
      <c r="AT240" s="29" t="n">
        <f aca="false">AS240*(1-MIN(1,INDEX(Tabla_Mortalidad!$B$5:$B$75,MIN(71,Cartera_Polizas!$B$242+43-49))*(1+(Cartera_Polizas!$P$242-1)*MAX(0,1-43/Supuestos!$C$20))*(1-Supuestos!$C$18)^43))</f>
        <v>3.3597590810926E-018</v>
      </c>
      <c r="AU240" s="29" t="n">
        <f aca="false">AT240*(1-MIN(1,INDEX(Tabla_Mortalidad!$B$5:$B$75,MIN(71,Cartera_Polizas!$B$242+44-49))*(1+(Cartera_Polizas!$P$242-1)*MAX(0,1-44/Supuestos!$C$20))*(1-Supuestos!$C$18)^44))</f>
        <v>6.64976761595012E-019</v>
      </c>
    </row>
    <row r="241" customFormat="false" ht="15" hidden="false" customHeight="false" outlineLevel="0" collapsed="false">
      <c r="A241" s="14" t="n">
        <f aca="false">Cartera_Polizas!A243</f>
        <v>238</v>
      </c>
      <c r="B241" s="26" t="n">
        <f aca="false">SUM(C241:AU241)+0.5</f>
        <v>8.01443233035714</v>
      </c>
      <c r="C241" s="29" t="n">
        <f aca="false">1-MIN(1,INDEX(Tabla_Mortalidad!$B$5:$B$75,MIN(71,Cartera_Polizas!$B$243+0-49))*(1+(Cartera_Polizas!$P$243-1)*MAX(0,1-0/Supuestos!$C$20))*(1-Supuestos!$C$18)^0)</f>
        <v>0.93221006625</v>
      </c>
      <c r="D241" s="29" t="n">
        <f aca="false">C241*(1-MIN(1,INDEX(Tabla_Mortalidad!$B$5:$B$75,MIN(71,Cartera_Polizas!$B$243+1-49))*(1+(Cartera_Polizas!$P$243-1)*MAX(0,1-1/Supuestos!$C$20))*(1-Supuestos!$C$18)^1))</f>
        <v>0.863152579154107</v>
      </c>
      <c r="E241" s="29" t="n">
        <f aca="false">D241*(1-MIN(1,INDEX(Tabla_Mortalidad!$B$5:$B$75,MIN(71,Cartera_Polizas!$B$243+2-49))*(1+(Cartera_Polizas!$P$243-1)*MAX(0,1-2/Supuestos!$C$20))*(1-Supuestos!$C$18)^2))</f>
        <v>0.793316810531458</v>
      </c>
      <c r="F241" s="29" t="n">
        <f aca="false">E241*(1-MIN(1,INDEX(Tabla_Mortalidad!$B$5:$B$75,MIN(71,Cartera_Polizas!$B$243+3-49))*(1+(Cartera_Polizas!$P$243-1)*MAX(0,1-3/Supuestos!$C$20))*(1-Supuestos!$C$18)^3))</f>
        <v>0.723255059640744</v>
      </c>
      <c r="G241" s="29" t="n">
        <f aca="false">F241*(1-MIN(1,INDEX(Tabla_Mortalidad!$B$5:$B$75,MIN(71,Cartera_Polizas!$B$243+4-49))*(1+(Cartera_Polizas!$P$243-1)*MAX(0,1-4/Supuestos!$C$20))*(1-Supuestos!$C$18)^4))</f>
        <v>0.653579217659217</v>
      </c>
      <c r="H241" s="29" t="n">
        <f aca="false">G241*(1-MIN(1,INDEX(Tabla_Mortalidad!$B$5:$B$75,MIN(71,Cartera_Polizas!$B$243+5-49))*(1+(Cartera_Polizas!$P$243-1)*MAX(0,1-5/Supuestos!$C$20))*(1-Supuestos!$C$18)^5))</f>
        <v>0.584943438966295</v>
      </c>
      <c r="I241" s="29" t="n">
        <f aca="false">H241*(1-MIN(1,INDEX(Tabla_Mortalidad!$B$5:$B$75,MIN(71,Cartera_Polizas!$B$243+6-49))*(1+(Cartera_Polizas!$P$243-1)*MAX(0,1-6/Supuestos!$C$20))*(1-Supuestos!$C$18)^6))</f>
        <v>0.51803342103429</v>
      </c>
      <c r="J241" s="29" t="n">
        <f aca="false">I241*(1-MIN(1,INDEX(Tabla_Mortalidad!$B$5:$B$75,MIN(71,Cartera_Polizas!$B$243+7-49))*(1+(Cartera_Polizas!$P$243-1)*MAX(0,1-7/Supuestos!$C$20))*(1-Supuestos!$C$18)^7))</f>
        <v>0.453542300390698</v>
      </c>
      <c r="K241" s="29" t="n">
        <f aca="false">J241*(1-MIN(1,INDEX(Tabla_Mortalidad!$B$5:$B$75,MIN(71,Cartera_Polizas!$B$243+8-49))*(1+(Cartera_Polizas!$P$243-1)*MAX(0,1-8/Supuestos!$C$20))*(1-Supuestos!$C$18)^8))</f>
        <v>0.392147546380369</v>
      </c>
      <c r="L241" s="29" t="n">
        <f aca="false">K241*(1-MIN(1,INDEX(Tabla_Mortalidad!$B$5:$B$75,MIN(71,Cartera_Polizas!$B$243+9-49))*(1+(Cartera_Polizas!$P$243-1)*MAX(0,1-9/Supuestos!$C$20))*(1-Supuestos!$C$18)^9))</f>
        <v>0.334483518176038</v>
      </c>
      <c r="M241" s="29" t="n">
        <f aca="false">L241*(1-MIN(1,INDEX(Tabla_Mortalidad!$B$5:$B$75,MIN(71,Cartera_Polizas!$B$243+10-49))*(1+(Cartera_Polizas!$P$243-1)*MAX(0,1-10/Supuestos!$C$20))*(1-Supuestos!$C$18)^10))</f>
        <v>0.281113024766323</v>
      </c>
      <c r="N241" s="29" t="n">
        <f aca="false">M241*(1-MIN(1,INDEX(Tabla_Mortalidad!$B$5:$B$75,MIN(71,Cartera_Polizas!$B$243+11-49))*(1+(Cartera_Polizas!$P$243-1)*MAX(0,1-11/Supuestos!$C$20))*(1-Supuestos!$C$18)^11))</f>
        <v>0.232499013522498</v>
      </c>
      <c r="O241" s="29" t="n">
        <f aca="false">N241*(1-MIN(1,INDEX(Tabla_Mortalidad!$B$5:$B$75,MIN(71,Cartera_Polizas!$B$243+12-49))*(1+(Cartera_Polizas!$P$243-1)*MAX(0,1-12/Supuestos!$C$20))*(1-Supuestos!$C$18)^12))</f>
        <v>0.188978452344876</v>
      </c>
      <c r="P241" s="29" t="n">
        <f aca="false">O241*(1-MIN(1,INDEX(Tabla_Mortalidad!$B$5:$B$75,MIN(71,Cartera_Polizas!$B$243+13-49))*(1+(Cartera_Polizas!$P$243-1)*MAX(0,1-13/Supuestos!$C$20))*(1-Supuestos!$C$18)^13))</f>
        <v>0.150743340647496</v>
      </c>
      <c r="Q241" s="29" t="n">
        <f aca="false">P241*(1-MIN(1,INDEX(Tabla_Mortalidad!$B$5:$B$75,MIN(71,Cartera_Polizas!$B$243+14-49))*(1+(Cartera_Polizas!$P$243-1)*MAX(0,1-14/Supuestos!$C$20))*(1-Supuestos!$C$18)^14))</f>
        <v>0.117828753203377</v>
      </c>
      <c r="R241" s="29" t="n">
        <f aca="false">Q241*(1-MIN(1,INDEX(Tabla_Mortalidad!$B$5:$B$75,MIN(71,Cartera_Polizas!$B$243+15-49))*(1+(Cartera_Polizas!$P$243-1)*MAX(0,1-15/Supuestos!$C$20))*(1-Supuestos!$C$18)^15))</f>
        <v>0.0901105177272476</v>
      </c>
      <c r="S241" s="29" t="n">
        <f aca="false">R241*(1-MIN(1,INDEX(Tabla_Mortalidad!$B$5:$B$75,MIN(71,Cartera_Polizas!$B$243+16-49))*(1+(Cartera_Polizas!$P$243-1)*MAX(0,1-16/Supuestos!$C$20))*(1-Supuestos!$C$18)^16))</f>
        <v>0.066942937263245</v>
      </c>
      <c r="T241" s="29" t="n">
        <f aca="false">S241*(1-MIN(1,INDEX(Tabla_Mortalidad!$B$5:$B$75,MIN(71,Cartera_Polizas!$B$243+17-49))*(1+(Cartera_Polizas!$P$243-1)*MAX(0,1-17/Supuestos!$C$20))*(1-Supuestos!$C$18)^17))</f>
        <v>0.0481655820247709</v>
      </c>
      <c r="U241" s="29" t="n">
        <f aca="false">T241*(1-MIN(1,INDEX(Tabla_Mortalidad!$B$5:$B$75,MIN(71,Cartera_Polizas!$B$243+18-49))*(1+(Cartera_Polizas!$P$243-1)*MAX(0,1-18/Supuestos!$C$20))*(1-Supuestos!$C$18)^18))</f>
        <v>0.0334543289244808</v>
      </c>
      <c r="V241" s="29" t="n">
        <f aca="false">U241*(1-MIN(1,INDEX(Tabla_Mortalidad!$B$5:$B$75,MIN(71,Cartera_Polizas!$B$243+19-49))*(1+(Cartera_Polizas!$P$243-1)*MAX(0,1-19/Supuestos!$C$20))*(1-Supuestos!$C$18)^19))</f>
        <v>0.0223518030318393</v>
      </c>
      <c r="W241" s="29" t="n">
        <f aca="false">V241*(1-MIN(1,INDEX(Tabla_Mortalidad!$B$5:$B$75,MIN(71,Cartera_Polizas!$B$243+20-49))*(1+(Cartera_Polizas!$P$243-1)*MAX(0,1-20/Supuestos!$C$20))*(1-Supuestos!$C$18)^20))</f>
        <v>0.0143105392730953</v>
      </c>
      <c r="X241" s="29" t="n">
        <f aca="false">W241*(1-MIN(1,INDEX(Tabla_Mortalidad!$B$5:$B$75,MIN(71,Cartera_Polizas!$B$243+21-49))*(1+(Cartera_Polizas!$P$243-1)*MAX(0,1-21/Supuestos!$C$20))*(1-Supuestos!$C$18)^21))</f>
        <v>0.00874379410160849</v>
      </c>
      <c r="Y241" s="29" t="n">
        <f aca="false">X241*(1-MIN(1,INDEX(Tabla_Mortalidad!$B$5:$B$75,MIN(71,Cartera_Polizas!$B$243+22-49))*(1+(Cartera_Polizas!$P$243-1)*MAX(0,1-22/Supuestos!$C$20))*(1-Supuestos!$C$18)^22))</f>
        <v>0.0050763040003822</v>
      </c>
      <c r="Z241" s="29" t="n">
        <f aca="false">Y241*(1-MIN(1,INDEX(Tabla_Mortalidad!$B$5:$B$75,MIN(71,Cartera_Polizas!$B$243+23-49))*(1+(Cartera_Polizas!$P$243-1)*MAX(0,1-23/Supuestos!$C$20))*(1-Supuestos!$C$18)^23))</f>
        <v>0.00278741514297978</v>
      </c>
      <c r="AA241" s="29" t="n">
        <f aca="false">Z241*(1-MIN(1,INDEX(Tabla_Mortalidad!$B$5:$B$75,MIN(71,Cartera_Polizas!$B$243+24-49))*(1+(Cartera_Polizas!$P$243-1)*MAX(0,1-24/Supuestos!$C$20))*(1-Supuestos!$C$18)^24))</f>
        <v>0.00144074249439803</v>
      </c>
      <c r="AB241" s="29" t="n">
        <f aca="false">AA241*(1-MIN(1,INDEX(Tabla_Mortalidad!$B$5:$B$75,MIN(71,Cartera_Polizas!$B$243+25-49))*(1+(Cartera_Polizas!$P$243-1)*MAX(0,1-25/Supuestos!$C$20))*(1-Supuestos!$C$18)^25))</f>
        <v>0.000697563361105659</v>
      </c>
      <c r="AC241" s="29" t="n">
        <f aca="false">AB241*(1-MIN(1,INDEX(Tabla_Mortalidad!$B$5:$B$75,MIN(71,Cartera_Polizas!$B$243+26-49))*(1+(Cartera_Polizas!$P$243-1)*MAX(0,1-26/Supuestos!$C$20))*(1-Supuestos!$C$18)^26))</f>
        <v>0.000314836632742526</v>
      </c>
      <c r="AD241" s="29" t="n">
        <f aca="false">AC241*(1-MIN(1,INDEX(Tabla_Mortalidad!$B$5:$B$75,MIN(71,Cartera_Polizas!$B$243+27-49))*(1+(Cartera_Polizas!$P$243-1)*MAX(0,1-27/Supuestos!$C$20))*(1-Supuestos!$C$18)^27))</f>
        <v>0.000131846727798894</v>
      </c>
      <c r="AE241" s="29" t="n">
        <f aca="false">AD241*(1-MIN(1,INDEX(Tabla_Mortalidad!$B$5:$B$75,MIN(71,Cartera_Polizas!$B$243+28-49))*(1+(Cartera_Polizas!$P$243-1)*MAX(0,1-28/Supuestos!$C$20))*(1-Supuestos!$C$18)^28))</f>
        <v>5.10150014004473E-005</v>
      </c>
      <c r="AF241" s="29" t="n">
        <f aca="false">AE241*(1-MIN(1,INDEX(Tabla_Mortalidad!$B$5:$B$75,MIN(71,Cartera_Polizas!$B$243+29-49))*(1+(Cartera_Polizas!$P$243-1)*MAX(0,1-29/Supuestos!$C$20))*(1-Supuestos!$C$18)^29))</f>
        <v>1.81739265261615E-005</v>
      </c>
      <c r="AG241" s="29" t="n">
        <f aca="false">AF241*(1-MIN(1,INDEX(Tabla_Mortalidad!$B$5:$B$75,MIN(71,Cartera_Polizas!$B$243+30-49))*(1+(Cartera_Polizas!$P$243-1)*MAX(0,1-30/Supuestos!$C$20))*(1-Supuestos!$C$18)^30))</f>
        <v>5.94673150849036E-006</v>
      </c>
      <c r="AH241" s="29" t="n">
        <f aca="false">AG241*(1-MIN(1,INDEX(Tabla_Mortalidad!$B$5:$B$75,MIN(71,Cartera_Polizas!$B$243+31-49))*(1+(Cartera_Polizas!$P$243-1)*MAX(0,1-31/Supuestos!$C$20))*(1-Supuestos!$C$18)^31))</f>
        <v>1.78568631991748E-006</v>
      </c>
      <c r="AI241" s="29" t="n">
        <f aca="false">AH241*(1-MIN(1,INDEX(Tabla_Mortalidad!$B$5:$B$75,MIN(71,Cartera_Polizas!$B$243+32-49))*(1+(Cartera_Polizas!$P$243-1)*MAX(0,1-32/Supuestos!$C$20))*(1-Supuestos!$C$18)^32))</f>
        <v>4.92618110287444E-007</v>
      </c>
      <c r="AJ241" s="29" t="n">
        <f aca="false">AI241*(1-MIN(1,INDEX(Tabla_Mortalidad!$B$5:$B$75,MIN(71,Cartera_Polizas!$B$243+33-49))*(1+(Cartera_Polizas!$P$243-1)*MAX(0,1-33/Supuestos!$C$20))*(1-Supuestos!$C$18)^33))</f>
        <v>1.25290120911588E-007</v>
      </c>
      <c r="AK241" s="29" t="n">
        <f aca="false">AJ241*(1-MIN(1,INDEX(Tabla_Mortalidad!$B$5:$B$75,MIN(71,Cartera_Polizas!$B$243+34-49))*(1+(Cartera_Polizas!$P$243-1)*MAX(0,1-34/Supuestos!$C$20))*(1-Supuestos!$C$18)^34))</f>
        <v>2.95597142540626E-008</v>
      </c>
      <c r="AL241" s="29" t="n">
        <f aca="false">AK241*(1-MIN(1,INDEX(Tabla_Mortalidad!$B$5:$B$75,MIN(71,Cartera_Polizas!$B$243+35-49))*(1+(Cartera_Polizas!$P$243-1)*MAX(0,1-35/Supuestos!$C$20))*(1-Supuestos!$C$18)^35))</f>
        <v>6.52667567419002E-009</v>
      </c>
      <c r="AM241" s="29" t="n">
        <f aca="false">AL241*(1-MIN(1,INDEX(Tabla_Mortalidad!$B$5:$B$75,MIN(71,Cartera_Polizas!$B$243+36-49))*(1+(Cartera_Polizas!$P$243-1)*MAX(0,1-36/Supuestos!$C$20))*(1-Supuestos!$C$18)^36))</f>
        <v>1.36369708340968E-009</v>
      </c>
      <c r="AN241" s="29" t="n">
        <f aca="false">AM241*(1-MIN(1,INDEX(Tabla_Mortalidad!$B$5:$B$75,MIN(71,Cartera_Polizas!$B$243+37-49))*(1+(Cartera_Polizas!$P$243-1)*MAX(0,1-37/Supuestos!$C$20))*(1-Supuestos!$C$18)^37))</f>
        <v>2.30848413064619E-010</v>
      </c>
      <c r="AO241" s="29" t="n">
        <f aca="false">AN241*(1-MIN(1,INDEX(Tabla_Mortalidad!$B$5:$B$75,MIN(71,Cartera_Polizas!$B$243+38-49))*(1+(Cartera_Polizas!$P$243-1)*MAX(0,1-38/Supuestos!$C$20))*(1-Supuestos!$C$18)^38))</f>
        <v>4.00371695940689E-011</v>
      </c>
      <c r="AP241" s="29" t="n">
        <f aca="false">AO241*(1-MIN(1,INDEX(Tabla_Mortalidad!$B$5:$B$75,MIN(71,Cartera_Polizas!$B$243+39-49))*(1+(Cartera_Polizas!$P$243-1)*MAX(0,1-39/Supuestos!$C$20))*(1-Supuestos!$C$18)^39))</f>
        <v>7.1093088225877E-012</v>
      </c>
      <c r="AQ241" s="29" t="n">
        <f aca="false">AP241*(1-MIN(1,INDEX(Tabla_Mortalidad!$B$5:$B$75,MIN(71,Cartera_Polizas!$B$243+40-49))*(1+(Cartera_Polizas!$P$243-1)*MAX(0,1-40/Supuestos!$C$20))*(1-Supuestos!$C$18)^40))</f>
        <v>1.29161836650017E-012</v>
      </c>
      <c r="AR241" s="29" t="n">
        <f aca="false">AQ241*(1-MIN(1,INDEX(Tabla_Mortalidad!$B$5:$B$75,MIN(71,Cartera_Polizas!$B$243+41-49))*(1+(Cartera_Polizas!$P$243-1)*MAX(0,1-41/Supuestos!$C$20))*(1-Supuestos!$C$18)^41))</f>
        <v>2.39945855000589E-013</v>
      </c>
      <c r="AS241" s="29" t="n">
        <f aca="false">AR241*(1-MIN(1,INDEX(Tabla_Mortalidad!$B$5:$B$75,MIN(71,Cartera_Polizas!$B$243+42-49))*(1+(Cartera_Polizas!$P$243-1)*MAX(0,1-42/Supuestos!$C$20))*(1-Supuestos!$C$18)^42))</f>
        <v>4.55519502956201E-014</v>
      </c>
      <c r="AT241" s="29" t="n">
        <f aca="false">AS241*(1-MIN(1,INDEX(Tabla_Mortalidad!$B$5:$B$75,MIN(71,Cartera_Polizas!$B$243+43-49))*(1+(Cartera_Polizas!$P$243-1)*MAX(0,1-43/Supuestos!$C$20))*(1-Supuestos!$C$18)^43))</f>
        <v>8.83222293276917E-015</v>
      </c>
      <c r="AU241" s="29" t="n">
        <f aca="false">AT241*(1-MIN(1,INDEX(Tabla_Mortalidad!$B$5:$B$75,MIN(71,Cartera_Polizas!$B$243+44-49))*(1+(Cartera_Polizas!$P$243-1)*MAX(0,1-44/Supuestos!$C$20))*(1-Supuestos!$C$18)^44))</f>
        <v>1.74810837972586E-015</v>
      </c>
    </row>
    <row r="242" customFormat="false" ht="15" hidden="false" customHeight="false" outlineLevel="0" collapsed="false">
      <c r="A242" s="14" t="n">
        <f aca="false">Cartera_Polizas!A244</f>
        <v>239</v>
      </c>
      <c r="B242" s="26" t="n">
        <f aca="false">SUM(C242:AU242)+0.5</f>
        <v>7.69177941782636</v>
      </c>
      <c r="C242" s="29" t="n">
        <f aca="false">1-MIN(1,INDEX(Tabla_Mortalidad!$B$5:$B$75,MIN(71,Cartera_Polizas!$B$244+0-49))*(1+(Cartera_Polizas!$P$244-1)*MAX(0,1-0/Supuestos!$C$20))*(1-Supuestos!$C$18)^0)</f>
        <v>0.925787862</v>
      </c>
      <c r="D242" s="29" t="n">
        <f aca="false">C242*(1-MIN(1,INDEX(Tabla_Mortalidad!$B$5:$B$75,MIN(71,Cartera_Polizas!$B$244+1-49))*(1+(Cartera_Polizas!$P$244-1)*MAX(0,1-1/Supuestos!$C$20))*(1-Supuestos!$C$18)^1))</f>
        <v>0.851062536585968</v>
      </c>
      <c r="E242" s="29" t="n">
        <f aca="false">D242*(1-MIN(1,INDEX(Tabla_Mortalidad!$B$5:$B$75,MIN(71,Cartera_Polizas!$B$244+2-49))*(1+(Cartera_Polizas!$P$244-1)*MAX(0,1-2/Supuestos!$C$20))*(1-Supuestos!$C$18)^2))</f>
        <v>0.776401128641301</v>
      </c>
      <c r="F242" s="29" t="n">
        <f aca="false">E242*(1-MIN(1,INDEX(Tabla_Mortalidad!$B$5:$B$75,MIN(71,Cartera_Polizas!$B$244+3-49))*(1+(Cartera_Polizas!$P$244-1)*MAX(0,1-3/Supuestos!$C$20))*(1-Supuestos!$C$18)^3))</f>
        <v>0.702426615713095</v>
      </c>
      <c r="G242" s="29" t="n">
        <f aca="false">F242*(1-MIN(1,INDEX(Tabla_Mortalidad!$B$5:$B$75,MIN(71,Cartera_Polizas!$B$244+4-49))*(1+(Cartera_Polizas!$P$244-1)*MAX(0,1-4/Supuestos!$C$20))*(1-Supuestos!$C$18)^4))</f>
        <v>0.629799377862407</v>
      </c>
      <c r="H242" s="29" t="n">
        <f aca="false">G242*(1-MIN(1,INDEX(Tabla_Mortalidad!$B$5:$B$75,MIN(71,Cartera_Polizas!$B$244+5-49))*(1+(Cartera_Polizas!$P$244-1)*MAX(0,1-5/Supuestos!$C$20))*(1-Supuestos!$C$18)^5))</f>
        <v>0.559194623950048</v>
      </c>
      <c r="I242" s="29" t="n">
        <f aca="false">H242*(1-MIN(1,INDEX(Tabla_Mortalidad!$B$5:$B$75,MIN(71,Cartera_Polizas!$B$244+6-49))*(1+(Cartera_Polizas!$P$244-1)*MAX(0,1-6/Supuestos!$C$20))*(1-Supuestos!$C$18)^6))</f>
        <v>0.49128790177088</v>
      </c>
      <c r="J242" s="29" t="n">
        <f aca="false">I242*(1-MIN(1,INDEX(Tabla_Mortalidad!$B$5:$B$75,MIN(71,Cartera_Polizas!$B$244+7-49))*(1+(Cartera_Polizas!$P$244-1)*MAX(0,1-7/Supuestos!$C$20))*(1-Supuestos!$C$18)^7))</f>
        <v>0.426728226802216</v>
      </c>
      <c r="K242" s="29" t="n">
        <f aca="false">J242*(1-MIN(1,INDEX(Tabla_Mortalidad!$B$5:$B$75,MIN(71,Cartera_Polizas!$B$244+8-49))*(1+(Cartera_Polizas!$P$244-1)*MAX(0,1-8/Supuestos!$C$20))*(1-Supuestos!$C$18)^8))</f>
        <v>0.366114400326822</v>
      </c>
      <c r="L242" s="29" t="n">
        <f aca="false">K242*(1-MIN(1,INDEX(Tabla_Mortalidad!$B$5:$B$75,MIN(71,Cartera_Polizas!$B$244+9-49))*(1+(Cartera_Polizas!$P$244-1)*MAX(0,1-9/Supuestos!$C$20))*(1-Supuestos!$C$18)^9))</f>
        <v>0.309969366157197</v>
      </c>
      <c r="M242" s="29" t="n">
        <f aca="false">L242*(1-MIN(1,INDEX(Tabla_Mortalidad!$B$5:$B$75,MIN(71,Cartera_Polizas!$B$244+10-49))*(1+(Cartera_Polizas!$P$244-1)*MAX(0,1-10/Supuestos!$C$20))*(1-Supuestos!$C$18)^10))</f>
        <v>0.258716286365337</v>
      </c>
      <c r="N242" s="29" t="n">
        <f aca="false">M242*(1-MIN(1,INDEX(Tabla_Mortalidad!$B$5:$B$75,MIN(71,Cartera_Polizas!$B$244+11-49))*(1+(Cartera_Polizas!$P$244-1)*MAX(0,1-11/Supuestos!$C$20))*(1-Supuestos!$C$18)^11))</f>
        <v>0.212657485988772</v>
      </c>
      <c r="O242" s="29" t="n">
        <f aca="false">N242*(1-MIN(1,INDEX(Tabla_Mortalidad!$B$5:$B$75,MIN(71,Cartera_Polizas!$B$244+12-49))*(1+(Cartera_Polizas!$P$244-1)*MAX(0,1-12/Supuestos!$C$20))*(1-Supuestos!$C$18)^12))</f>
        <v>0.171958058322063</v>
      </c>
      <c r="P242" s="29" t="n">
        <f aca="false">O242*(1-MIN(1,INDEX(Tabla_Mortalidad!$B$5:$B$75,MIN(71,Cartera_Polizas!$B$244+13-49))*(1+(Cartera_Polizas!$P$244-1)*MAX(0,1-13/Supuestos!$C$20))*(1-Supuestos!$C$18)^13))</f>
        <v>0.136638220205912</v>
      </c>
      <c r="Q242" s="29" t="n">
        <f aca="false">P242*(1-MIN(1,INDEX(Tabla_Mortalidad!$B$5:$B$75,MIN(71,Cartera_Polizas!$B$244+14-49))*(1+(Cartera_Polizas!$P$244-1)*MAX(0,1-14/Supuestos!$C$20))*(1-Supuestos!$C$18)^14))</f>
        <v>0.106573331756887</v>
      </c>
      <c r="R242" s="29" t="n">
        <f aca="false">Q242*(1-MIN(1,INDEX(Tabla_Mortalidad!$B$5:$B$75,MIN(71,Cartera_Polizas!$B$244+15-49))*(1+(Cartera_Polizas!$P$244-1)*MAX(0,1-15/Supuestos!$C$20))*(1-Supuestos!$C$18)^15))</f>
        <v>0.0815028406857112</v>
      </c>
      <c r="S242" s="29" t="n">
        <f aca="false">R242*(1-MIN(1,INDEX(Tabla_Mortalidad!$B$5:$B$75,MIN(71,Cartera_Polizas!$B$244+16-49))*(1+(Cartera_Polizas!$P$244-1)*MAX(0,1-16/Supuestos!$C$20))*(1-Supuestos!$C$18)^16))</f>
        <v>0.0605483098800354</v>
      </c>
      <c r="T242" s="29" t="n">
        <f aca="false">S242*(1-MIN(1,INDEX(Tabla_Mortalidad!$B$5:$B$75,MIN(71,Cartera_Polizas!$B$244+17-49))*(1+(Cartera_Polizas!$P$244-1)*MAX(0,1-17/Supuestos!$C$20))*(1-Supuestos!$C$18)^17))</f>
        <v>0.0435646343768861</v>
      </c>
      <c r="U242" s="29" t="n">
        <f aca="false">T242*(1-MIN(1,INDEX(Tabla_Mortalidad!$B$5:$B$75,MIN(71,Cartera_Polizas!$B$244+18-49))*(1+(Cartera_Polizas!$P$244-1)*MAX(0,1-18/Supuestos!$C$20))*(1-Supuestos!$C$18)^18))</f>
        <v>0.0302586524786425</v>
      </c>
      <c r="V242" s="29" t="n">
        <f aca="false">U242*(1-MIN(1,INDEX(Tabla_Mortalidad!$B$5:$B$75,MIN(71,Cartera_Polizas!$B$244+19-49))*(1+(Cartera_Polizas!$P$244-1)*MAX(0,1-19/Supuestos!$C$20))*(1-Supuestos!$C$18)^19))</f>
        <v>0.0202166793343319</v>
      </c>
      <c r="W242" s="29" t="n">
        <f aca="false">V242*(1-MIN(1,INDEX(Tabla_Mortalidad!$B$5:$B$75,MIN(71,Cartera_Polizas!$B$244+20-49))*(1+(Cartera_Polizas!$P$244-1)*MAX(0,1-20/Supuestos!$C$20))*(1-Supuestos!$C$18)^20))</f>
        <v>0.0129435456805618</v>
      </c>
      <c r="X242" s="29" t="n">
        <f aca="false">W242*(1-MIN(1,INDEX(Tabla_Mortalidad!$B$5:$B$75,MIN(71,Cartera_Polizas!$B$244+21-49))*(1+(Cartera_Polizas!$P$244-1)*MAX(0,1-21/Supuestos!$C$20))*(1-Supuestos!$C$18)^21))</f>
        <v>0.00790855580043537</v>
      </c>
      <c r="Y242" s="29" t="n">
        <f aca="false">X242*(1-MIN(1,INDEX(Tabla_Mortalidad!$B$5:$B$75,MIN(71,Cartera_Polizas!$B$244+22-49))*(1+(Cartera_Polizas!$P$244-1)*MAX(0,1-22/Supuestos!$C$20))*(1-Supuestos!$C$18)^22))</f>
        <v>0.00459139739345082</v>
      </c>
      <c r="Z242" s="29" t="n">
        <f aca="false">Y242*(1-MIN(1,INDEX(Tabla_Mortalidad!$B$5:$B$75,MIN(71,Cartera_Polizas!$B$244+23-49))*(1+(Cartera_Polizas!$P$244-1)*MAX(0,1-23/Supuestos!$C$20))*(1-Supuestos!$C$18)^23))</f>
        <v>0.00252115133785903</v>
      </c>
      <c r="AA242" s="29" t="n">
        <f aca="false">Z242*(1-MIN(1,INDEX(Tabla_Mortalidad!$B$5:$B$75,MIN(71,Cartera_Polizas!$B$244+24-49))*(1+(Cartera_Polizas!$P$244-1)*MAX(0,1-24/Supuestos!$C$20))*(1-Supuestos!$C$18)^24))</f>
        <v>0.00130311764876866</v>
      </c>
      <c r="AB242" s="29" t="n">
        <f aca="false">AA242*(1-MIN(1,INDEX(Tabla_Mortalidad!$B$5:$B$75,MIN(71,Cartera_Polizas!$B$244+25-49))*(1+(Cartera_Polizas!$P$244-1)*MAX(0,1-25/Supuestos!$C$20))*(1-Supuestos!$C$18)^25))</f>
        <v>0.000630929628664118</v>
      </c>
      <c r="AC242" s="29" t="n">
        <f aca="false">AB242*(1-MIN(1,INDEX(Tabla_Mortalidad!$B$5:$B$75,MIN(71,Cartera_Polizas!$B$244+26-49))*(1+(Cartera_Polizas!$P$244-1)*MAX(0,1-26/Supuestos!$C$20))*(1-Supuestos!$C$18)^26))</f>
        <v>0.00028476231818032</v>
      </c>
      <c r="AD242" s="29" t="n">
        <f aca="false">AC242*(1-MIN(1,INDEX(Tabla_Mortalidad!$B$5:$B$75,MIN(71,Cartera_Polizas!$B$244+27-49))*(1+(Cartera_Polizas!$P$244-1)*MAX(0,1-27/Supuestos!$C$20))*(1-Supuestos!$C$18)^27))</f>
        <v>0.000119252259578088</v>
      </c>
      <c r="AE242" s="29" t="n">
        <f aca="false">AD242*(1-MIN(1,INDEX(Tabla_Mortalidad!$B$5:$B$75,MIN(71,Cartera_Polizas!$B$244+28-49))*(1+(Cartera_Polizas!$P$244-1)*MAX(0,1-28/Supuestos!$C$20))*(1-Supuestos!$C$18)^28))</f>
        <v>4.61418670826784E-005</v>
      </c>
      <c r="AF242" s="29" t="n">
        <f aca="false">AE242*(1-MIN(1,INDEX(Tabla_Mortalidad!$B$5:$B$75,MIN(71,Cartera_Polizas!$B$244+29-49))*(1+(Cartera_Polizas!$P$244-1)*MAX(0,1-29/Supuestos!$C$20))*(1-Supuestos!$C$18)^29))</f>
        <v>1.64378884469296E-005</v>
      </c>
      <c r="AG242" s="29" t="n">
        <f aca="false">AF242*(1-MIN(1,INDEX(Tabla_Mortalidad!$B$5:$B$75,MIN(71,Cartera_Polizas!$B$244+30-49))*(1+(Cartera_Polizas!$P$244-1)*MAX(0,1-30/Supuestos!$C$20))*(1-Supuestos!$C$18)^30))</f>
        <v>5.37867857117674E-006</v>
      </c>
      <c r="AH242" s="29" t="n">
        <f aca="false">AG242*(1-MIN(1,INDEX(Tabla_Mortalidad!$B$5:$B$75,MIN(71,Cartera_Polizas!$B$244+31-49))*(1+(Cartera_Polizas!$P$244-1)*MAX(0,1-31/Supuestos!$C$20))*(1-Supuestos!$C$18)^31))</f>
        <v>1.61511121362562E-006</v>
      </c>
      <c r="AI242" s="29" t="n">
        <f aca="false">AH242*(1-MIN(1,INDEX(Tabla_Mortalidad!$B$5:$B$75,MIN(71,Cartera_Polizas!$B$244+32-49))*(1+(Cartera_Polizas!$P$244-1)*MAX(0,1-32/Supuestos!$C$20))*(1-Supuestos!$C$18)^32))</f>
        <v>4.45561476887544E-007</v>
      </c>
      <c r="AJ242" s="29" t="n">
        <f aca="false">AI242*(1-MIN(1,INDEX(Tabla_Mortalidad!$B$5:$B$75,MIN(71,Cartera_Polizas!$B$244+33-49))*(1+(Cartera_Polizas!$P$244-1)*MAX(0,1-33/Supuestos!$C$20))*(1-Supuestos!$C$18)^33))</f>
        <v>1.13321963092693E-007</v>
      </c>
      <c r="AK242" s="29" t="n">
        <f aca="false">AJ242*(1-MIN(1,INDEX(Tabla_Mortalidad!$B$5:$B$75,MIN(71,Cartera_Polizas!$B$244+34-49))*(1+(Cartera_Polizas!$P$244-1)*MAX(0,1-34/Supuestos!$C$20))*(1-Supuestos!$C$18)^34))</f>
        <v>2.67360652488574E-008</v>
      </c>
      <c r="AL242" s="29" t="n">
        <f aca="false">AK242*(1-MIN(1,INDEX(Tabla_Mortalidad!$B$5:$B$75,MIN(71,Cartera_Polizas!$B$244+35-49))*(1+(Cartera_Polizas!$P$244-1)*MAX(0,1-35/Supuestos!$C$20))*(1-Supuestos!$C$18)^35))</f>
        <v>5.90322440817546E-009</v>
      </c>
      <c r="AM242" s="29" t="n">
        <f aca="false">AL242*(1-MIN(1,INDEX(Tabla_Mortalidad!$B$5:$B$75,MIN(71,Cartera_Polizas!$B$244+36-49))*(1+(Cartera_Polizas!$P$244-1)*MAX(0,1-36/Supuestos!$C$20))*(1-Supuestos!$C$18)^36))</f>
        <v>1.23343188937311E-009</v>
      </c>
      <c r="AN242" s="29" t="n">
        <f aca="false">AM242*(1-MIN(1,INDEX(Tabla_Mortalidad!$B$5:$B$75,MIN(71,Cartera_Polizas!$B$244+37-49))*(1+(Cartera_Polizas!$P$244-1)*MAX(0,1-37/Supuestos!$C$20))*(1-Supuestos!$C$18)^37))</f>
        <v>2.08796951866426E-010</v>
      </c>
      <c r="AO242" s="29" t="n">
        <f aca="false">AN242*(1-MIN(1,INDEX(Tabla_Mortalidad!$B$5:$B$75,MIN(71,Cartera_Polizas!$B$244+38-49))*(1+(Cartera_Polizas!$P$244-1)*MAX(0,1-38/Supuestos!$C$20))*(1-Supuestos!$C$18)^38))</f>
        <v>3.62126768021608E-011</v>
      </c>
      <c r="AP242" s="29" t="n">
        <f aca="false">AO242*(1-MIN(1,INDEX(Tabla_Mortalidad!$B$5:$B$75,MIN(71,Cartera_Polizas!$B$244+39-49))*(1+(Cartera_Polizas!$P$244-1)*MAX(0,1-39/Supuestos!$C$20))*(1-Supuestos!$C$18)^39))</f>
        <v>6.4302023666842E-012</v>
      </c>
      <c r="AQ242" s="29" t="n">
        <f aca="false">AP242*(1-MIN(1,INDEX(Tabla_Mortalidad!$B$5:$B$75,MIN(71,Cartera_Polizas!$B$244+40-49))*(1+(Cartera_Polizas!$P$244-1)*MAX(0,1-40/Supuestos!$C$20))*(1-Supuestos!$C$18)^40))</f>
        <v>1.1682383877789E-012</v>
      </c>
      <c r="AR242" s="29" t="n">
        <f aca="false">AQ242*(1-MIN(1,INDEX(Tabla_Mortalidad!$B$5:$B$75,MIN(71,Cartera_Polizas!$B$244+41-49))*(1+(Cartera_Polizas!$P$244-1)*MAX(0,1-41/Supuestos!$C$20))*(1-Supuestos!$C$18)^41))</f>
        <v>2.17025373802689E-013</v>
      </c>
      <c r="AS242" s="29" t="n">
        <f aca="false">AR242*(1-MIN(1,INDEX(Tabla_Mortalidad!$B$5:$B$75,MIN(71,Cartera_Polizas!$B$244+42-49))*(1+(Cartera_Polizas!$P$244-1)*MAX(0,1-42/Supuestos!$C$20))*(1-Supuestos!$C$18)^42))</f>
        <v>4.12006660432797E-014</v>
      </c>
      <c r="AT242" s="29" t="n">
        <f aca="false">AS242*(1-MIN(1,INDEX(Tabla_Mortalidad!$B$5:$B$75,MIN(71,Cartera_Polizas!$B$244+43-49))*(1+(Cartera_Polizas!$P$244-1)*MAX(0,1-43/Supuestos!$C$20))*(1-Supuestos!$C$18)^43))</f>
        <v>7.98853759523459E-015</v>
      </c>
      <c r="AU242" s="29" t="n">
        <f aca="false">AT242*(1-MIN(1,INDEX(Tabla_Mortalidad!$B$5:$B$75,MIN(71,Cartera_Polizas!$B$244+44-49))*(1+(Cartera_Polizas!$P$244-1)*MAX(0,1-44/Supuestos!$C$20))*(1-Supuestos!$C$18)^44))</f>
        <v>1.5811228518896E-015</v>
      </c>
    </row>
    <row r="243" customFormat="false" ht="15" hidden="false" customHeight="false" outlineLevel="0" collapsed="false">
      <c r="A243" s="14" t="n">
        <f aca="false">Cartera_Polizas!A245</f>
        <v>240</v>
      </c>
      <c r="B243" s="26" t="n">
        <f aca="false">SUM(C243:AU243)+0.5</f>
        <v>13.4696775328063</v>
      </c>
      <c r="C243" s="29" t="n">
        <f aca="false">1-MIN(1,INDEX(Tabla_Mortalidad!$B$5:$B$75,MIN(71,Cartera_Polizas!$B$245+0-49))*(1+(Cartera_Polizas!$P$245-1)*MAX(0,1-0/Supuestos!$C$20))*(1-Supuestos!$C$18)^0)</f>
        <v>0.9768283125</v>
      </c>
      <c r="D243" s="29" t="n">
        <f aca="false">C243*(1-MIN(1,INDEX(Tabla_Mortalidad!$B$5:$B$75,MIN(71,Cartera_Polizas!$B$245+1-49))*(1+(Cartera_Polizas!$P$245-1)*MAX(0,1-1/Supuestos!$C$20))*(1-Supuestos!$C$18)^1))</f>
        <v>0.951545271657196</v>
      </c>
      <c r="E243" s="29" t="n">
        <f aca="false">D243*(1-MIN(1,INDEX(Tabla_Mortalidad!$B$5:$B$75,MIN(71,Cartera_Polizas!$B$245+2-49))*(1+(Cartera_Polizas!$P$245-1)*MAX(0,1-2/Supuestos!$C$20))*(1-Supuestos!$C$18)^2))</f>
        <v>0.924040876228227</v>
      </c>
      <c r="F243" s="29" t="n">
        <f aca="false">E243*(1-MIN(1,INDEX(Tabla_Mortalidad!$B$5:$B$75,MIN(71,Cartera_Polizas!$B$245+3-49))*(1+(Cartera_Polizas!$P$245-1)*MAX(0,1-3/Supuestos!$C$20))*(1-Supuestos!$C$18)^3))</f>
        <v>0.894219806209367</v>
      </c>
      <c r="G243" s="29" t="n">
        <f aca="false">F243*(1-MIN(1,INDEX(Tabla_Mortalidad!$B$5:$B$75,MIN(71,Cartera_Polizas!$B$245+4-49))*(1+(Cartera_Polizas!$P$245-1)*MAX(0,1-4/Supuestos!$C$20))*(1-Supuestos!$C$18)^4))</f>
        <v>0.86200791301562</v>
      </c>
      <c r="H243" s="29" t="n">
        <f aca="false">G243*(1-MIN(1,INDEX(Tabla_Mortalidad!$B$5:$B$75,MIN(71,Cartera_Polizas!$B$245+5-49))*(1+(Cartera_Polizas!$P$245-1)*MAX(0,1-5/Supuestos!$C$20))*(1-Supuestos!$C$18)^5))</f>
        <v>0.827358992774653</v>
      </c>
      <c r="I243" s="29" t="n">
        <f aca="false">H243*(1-MIN(1,INDEX(Tabla_Mortalidad!$B$5:$B$75,MIN(71,Cartera_Polizas!$B$245+6-49))*(1+(Cartera_Polizas!$P$245-1)*MAX(0,1-6/Supuestos!$C$20))*(1-Supuestos!$C$18)^6))</f>
        <v>0.790261162854695</v>
      </c>
      <c r="J243" s="29" t="n">
        <f aca="false">I243*(1-MIN(1,INDEX(Tabla_Mortalidad!$B$5:$B$75,MIN(71,Cartera_Polizas!$B$245+7-49))*(1+(Cartera_Polizas!$P$245-1)*MAX(0,1-7/Supuestos!$C$20))*(1-Supuestos!$C$18)^7))</f>
        <v>0.750746721853371</v>
      </c>
      <c r="K243" s="29" t="n">
        <f aca="false">J243*(1-MIN(1,INDEX(Tabla_Mortalidad!$B$5:$B$75,MIN(71,Cartera_Polizas!$B$245+8-49))*(1+(Cartera_Polizas!$P$245-1)*MAX(0,1-8/Supuestos!$C$20))*(1-Supuestos!$C$18)^8))</f>
        <v>0.708902436555738</v>
      </c>
      <c r="L243" s="29" t="n">
        <f aca="false">K243*(1-MIN(1,INDEX(Tabla_Mortalidad!$B$5:$B$75,MIN(71,Cartera_Polizas!$B$245+9-49))*(1+(Cartera_Polizas!$P$245-1)*MAX(0,1-9/Supuestos!$C$20))*(1-Supuestos!$C$18)^9))</f>
        <v>0.664877085821813</v>
      </c>
      <c r="M243" s="29" t="n">
        <f aca="false">L243*(1-MIN(1,INDEX(Tabla_Mortalidad!$B$5:$B$75,MIN(71,Cartera_Polizas!$B$245+10-49))*(1+(Cartera_Polizas!$P$245-1)*MAX(0,1-10/Supuestos!$C$20))*(1-Supuestos!$C$18)^10))</f>
        <v>0.618889690876709</v>
      </c>
      <c r="N243" s="29" t="n">
        <f aca="false">M243*(1-MIN(1,INDEX(Tabla_Mortalidad!$B$5:$B$75,MIN(71,Cartera_Polizas!$B$245+11-49))*(1+(Cartera_Polizas!$P$245-1)*MAX(0,1-11/Supuestos!$C$20))*(1-Supuestos!$C$18)^11))</f>
        <v>0.571239639228662</v>
      </c>
      <c r="O243" s="29" t="n">
        <f aca="false">N243*(1-MIN(1,INDEX(Tabla_Mortalidad!$B$5:$B$75,MIN(71,Cartera_Polizas!$B$245+12-49))*(1+(Cartera_Polizas!$P$245-1)*MAX(0,1-12/Supuestos!$C$20))*(1-Supuestos!$C$18)^12))</f>
        <v>0.522308209070165</v>
      </c>
      <c r="P243" s="29" t="n">
        <f aca="false">O243*(1-MIN(1,INDEX(Tabla_Mortalidad!$B$5:$B$75,MIN(71,Cartera_Polizas!$B$245+13-49))*(1+(Cartera_Polizas!$P$245-1)*MAX(0,1-13/Supuestos!$C$20))*(1-Supuestos!$C$18)^13))</f>
        <v>0.472563908481596</v>
      </c>
      <c r="Q243" s="29" t="n">
        <f aca="false">P243*(1-MIN(1,INDEX(Tabla_Mortalidad!$B$5:$B$75,MIN(71,Cartera_Polizas!$B$245+14-49))*(1+(Cartera_Polizas!$P$245-1)*MAX(0,1-14/Supuestos!$C$20))*(1-Supuestos!$C$18)^14))</f>
        <v>0.422556935409913</v>
      </c>
      <c r="R243" s="29" t="n">
        <f aca="false">Q243*(1-MIN(1,INDEX(Tabla_Mortalidad!$B$5:$B$75,MIN(71,Cartera_Polizas!$B$245+15-49))*(1+(Cartera_Polizas!$P$245-1)*MAX(0,1-15/Supuestos!$C$20))*(1-Supuestos!$C$18)^15))</f>
        <v>0.372910891838056</v>
      </c>
      <c r="S243" s="29" t="n">
        <f aca="false">R243*(1-MIN(1,INDEX(Tabla_Mortalidad!$B$5:$B$75,MIN(71,Cartera_Polizas!$B$245+16-49))*(1+(Cartera_Polizas!$P$245-1)*MAX(0,1-16/Supuestos!$C$20))*(1-Supuestos!$C$18)^16))</f>
        <v>0.32462024921032</v>
      </c>
      <c r="T243" s="29" t="n">
        <f aca="false">S243*(1-MIN(1,INDEX(Tabla_Mortalidad!$B$5:$B$75,MIN(71,Cartera_Polizas!$B$245+17-49))*(1+(Cartera_Polizas!$P$245-1)*MAX(0,1-17/Supuestos!$C$20))*(1-Supuestos!$C$18)^17))</f>
        <v>0.278327362185438</v>
      </c>
      <c r="U243" s="29" t="n">
        <f aca="false">T243*(1-MIN(1,INDEX(Tabla_Mortalidad!$B$5:$B$75,MIN(71,Cartera_Polizas!$B$245+18-49))*(1+(Cartera_Polizas!$P$245-1)*MAX(0,1-18/Supuestos!$C$20))*(1-Supuestos!$C$18)^18))</f>
        <v>0.234660267390061</v>
      </c>
      <c r="V243" s="29" t="n">
        <f aca="false">U243*(1-MIN(1,INDEX(Tabla_Mortalidad!$B$5:$B$75,MIN(71,Cartera_Polizas!$B$245+19-49))*(1+(Cartera_Polizas!$P$245-1)*MAX(0,1-19/Supuestos!$C$20))*(1-Supuestos!$C$18)^19))</f>
        <v>0.194199368928325</v>
      </c>
      <c r="W243" s="29" t="n">
        <f aca="false">V243*(1-MIN(1,INDEX(Tabla_Mortalidad!$B$5:$B$75,MIN(71,Cartera_Polizas!$B$245+20-49))*(1+(Cartera_Polizas!$P$245-1)*MAX(0,1-20/Supuestos!$C$20))*(1-Supuestos!$C$18)^20))</f>
        <v>0.157443460813654</v>
      </c>
      <c r="X243" s="29" t="n">
        <f aca="false">W243*(1-MIN(1,INDEX(Tabla_Mortalidad!$B$5:$B$75,MIN(71,Cartera_Polizas!$B$245+21-49))*(1+(Cartera_Polizas!$P$245-1)*MAX(0,1-21/Supuestos!$C$20))*(1-Supuestos!$C$18)^21))</f>
        <v>0.124775949502879</v>
      </c>
      <c r="Y243" s="29" t="n">
        <f aca="false">X243*(1-MIN(1,INDEX(Tabla_Mortalidad!$B$5:$B$75,MIN(71,Cartera_Polizas!$B$245+22-49))*(1+(Cartera_Polizas!$P$245-1)*MAX(0,1-22/Supuestos!$C$20))*(1-Supuestos!$C$18)^22))</f>
        <v>0.0964354992135065</v>
      </c>
      <c r="Z243" s="29" t="n">
        <f aca="false">Y243*(1-MIN(1,INDEX(Tabla_Mortalidad!$B$5:$B$75,MIN(71,Cartera_Polizas!$B$245+23-49))*(1+(Cartera_Polizas!$P$245-1)*MAX(0,1-23/Supuestos!$C$20))*(1-Supuestos!$C$18)^23))</f>
        <v>0.0724966266192708</v>
      </c>
      <c r="AA243" s="29" t="n">
        <f aca="false">Z243*(1-MIN(1,INDEX(Tabla_Mortalidad!$B$5:$B$75,MIN(71,Cartera_Polizas!$B$245+24-49))*(1+(Cartera_Polizas!$P$245-1)*MAX(0,1-24/Supuestos!$C$20))*(1-Supuestos!$C$18)^24))</f>
        <v>0.0528626159633255</v>
      </c>
      <c r="AB243" s="29" t="n">
        <f aca="false">AA243*(1-MIN(1,INDEX(Tabla_Mortalidad!$B$5:$B$75,MIN(71,Cartera_Polizas!$B$245+25-49))*(1+(Cartera_Polizas!$P$245-1)*MAX(0,1-25/Supuestos!$C$20))*(1-Supuestos!$C$18)^25))</f>
        <v>0.0372734431704963</v>
      </c>
      <c r="AC243" s="29" t="n">
        <f aca="false">AB243*(1-MIN(1,INDEX(Tabla_Mortalidad!$B$5:$B$75,MIN(71,Cartera_Polizas!$B$245+26-49))*(1+(Cartera_Polizas!$P$245-1)*MAX(0,1-26/Supuestos!$C$20))*(1-Supuestos!$C$18)^26))</f>
        <v>0.0253299724204604</v>
      </c>
      <c r="AD243" s="29" t="n">
        <f aca="false">AC243*(1-MIN(1,INDEX(Tabla_Mortalidad!$B$5:$B$75,MIN(71,Cartera_Polizas!$B$245+27-49))*(1+(Cartera_Polizas!$P$245-1)*MAX(0,1-27/Supuestos!$C$20))*(1-Supuestos!$C$18)^27))</f>
        <v>0.0165314847874463</v>
      </c>
      <c r="AE243" s="29" t="n">
        <f aca="false">AD243*(1-MIN(1,INDEX(Tabla_Mortalidad!$B$5:$B$75,MIN(71,Cartera_Polizas!$B$245+28-49))*(1+(Cartera_Polizas!$P$245-1)*MAX(0,1-28/Supuestos!$C$20))*(1-Supuestos!$C$18)^28))</f>
        <v>0.0103225261276969</v>
      </c>
      <c r="AF243" s="29" t="n">
        <f aca="false">AE243*(1-MIN(1,INDEX(Tabla_Mortalidad!$B$5:$B$75,MIN(71,Cartera_Polizas!$B$245+29-49))*(1+(Cartera_Polizas!$P$245-1)*MAX(0,1-29/Supuestos!$C$20))*(1-Supuestos!$C$18)^29))</f>
        <v>0.00614213820825767</v>
      </c>
      <c r="AG243" s="29" t="n">
        <f aca="false">AF243*(1-MIN(1,INDEX(Tabla_Mortalidad!$B$5:$B$75,MIN(71,Cartera_Polizas!$B$245+30-49))*(1+(Cartera_Polizas!$P$245-1)*MAX(0,1-30/Supuestos!$C$20))*(1-Supuestos!$C$18)^30))</f>
        <v>0.00346815773006705</v>
      </c>
      <c r="AH243" s="29" t="n">
        <f aca="false">AG243*(1-MIN(1,INDEX(Tabla_Mortalidad!$B$5:$B$75,MIN(71,Cartera_Polizas!$B$245+31-49))*(1+(Cartera_Polizas!$P$245-1)*MAX(0,1-31/Supuestos!$C$20))*(1-Supuestos!$C$18)^31))</f>
        <v>0.00185037278192553</v>
      </c>
      <c r="AI243" s="29" t="n">
        <f aca="false">AH243*(1-MIN(1,INDEX(Tabla_Mortalidad!$B$5:$B$75,MIN(71,Cartera_Polizas!$B$245+32-49))*(1+(Cartera_Polizas!$P$245-1)*MAX(0,1-32/Supuestos!$C$20))*(1-Supuestos!$C$18)^32))</f>
        <v>0.000928803610512567</v>
      </c>
      <c r="AJ243" s="29" t="n">
        <f aca="false">AI243*(1-MIN(1,INDEX(Tabla_Mortalidad!$B$5:$B$75,MIN(71,Cartera_Polizas!$B$245+33-49))*(1+(Cartera_Polizas!$P$245-1)*MAX(0,1-33/Supuestos!$C$20))*(1-Supuestos!$C$18)^33))</f>
        <v>0.000436774734141046</v>
      </c>
      <c r="AK243" s="29" t="n">
        <f aca="false">AJ243*(1-MIN(1,INDEX(Tabla_Mortalidad!$B$5:$B$75,MIN(71,Cartera_Polizas!$B$245+34-49))*(1+(Cartera_Polizas!$P$245-1)*MAX(0,1-34/Supuestos!$C$20))*(1-Supuestos!$C$18)^34))</f>
        <v>0.00019166478156177</v>
      </c>
      <c r="AL243" s="29" t="n">
        <f aca="false">AK243*(1-MIN(1,INDEX(Tabla_Mortalidad!$B$5:$B$75,MIN(71,Cartera_Polizas!$B$245+35-49))*(1+(Cartera_Polizas!$P$245-1)*MAX(0,1-35/Supuestos!$C$20))*(1-Supuestos!$C$18)^35))</f>
        <v>7.82116775524815E-005</v>
      </c>
      <c r="AM243" s="29" t="n">
        <f aca="false">AL243*(1-MIN(1,INDEX(Tabla_Mortalidad!$B$5:$B$75,MIN(71,Cartera_Polizas!$B$245+36-49))*(1+(Cartera_Polizas!$P$245-1)*MAX(0,1-36/Supuestos!$C$20))*(1-Supuestos!$C$18)^36))</f>
        <v>2.95986547910967E-005</v>
      </c>
      <c r="AN243" s="29" t="n">
        <f aca="false">AM243*(1-MIN(1,INDEX(Tabla_Mortalidad!$B$5:$B$75,MIN(71,Cartera_Polizas!$B$245+37-49))*(1+(Cartera_Polizas!$P$245-1)*MAX(0,1-37/Supuestos!$C$20))*(1-Supuestos!$C$18)^37))</f>
        <v>1.03716510914115E-005</v>
      </c>
      <c r="AO243" s="29" t="n">
        <f aca="false">AN243*(1-MIN(1,INDEX(Tabla_Mortalidad!$B$5:$B$75,MIN(71,Cartera_Polizas!$B$245+38-49))*(1+(Cartera_Polizas!$P$245-1)*MAX(0,1-38/Supuestos!$C$20))*(1-Supuestos!$C$18)^38))</f>
        <v>3.36462773607893E-006</v>
      </c>
      <c r="AP243" s="29" t="n">
        <f aca="false">AO243*(1-MIN(1,INDEX(Tabla_Mortalidad!$B$5:$B$75,MIN(71,Cartera_Polizas!$B$245+39-49))*(1+(Cartera_Polizas!$P$245-1)*MAX(0,1-39/Supuestos!$C$20))*(1-Supuestos!$C$18)^39))</f>
        <v>1.01220781230711E-006</v>
      </c>
      <c r="AQ243" s="29" t="n">
        <f aca="false">AP243*(1-MIN(1,INDEX(Tabla_Mortalidad!$B$5:$B$75,MIN(71,Cartera_Polizas!$B$245+40-49))*(1+(Cartera_Polizas!$P$245-1)*MAX(0,1-40/Supuestos!$C$20))*(1-Supuestos!$C$18)^40))</f>
        <v>2.834639704199E-007</v>
      </c>
      <c r="AR243" s="29" t="n">
        <f aca="false">AQ243*(1-MIN(1,INDEX(Tabla_Mortalidad!$B$5:$B$75,MIN(71,Cartera_Polizas!$B$245+41-49))*(1+(Cartera_Polizas!$P$245-1)*MAX(0,1-41/Supuestos!$C$20))*(1-Supuestos!$C$18)^41))</f>
        <v>7.43454456336582E-008</v>
      </c>
      <c r="AS243" s="29" t="n">
        <f aca="false">AR243*(1-MIN(1,INDEX(Tabla_Mortalidad!$B$5:$B$75,MIN(71,Cartera_Polizas!$B$245+42-49))*(1+(Cartera_Polizas!$P$245-1)*MAX(0,1-42/Supuestos!$C$20))*(1-Supuestos!$C$18)^42))</f>
        <v>1.8412597075619E-008</v>
      </c>
      <c r="AT243" s="29" t="n">
        <f aca="false">AS243*(1-MIN(1,INDEX(Tabla_Mortalidad!$B$5:$B$75,MIN(71,Cartera_Polizas!$B$245+43-49))*(1+(Cartera_Polizas!$P$245-1)*MAX(0,1-43/Supuestos!$C$20))*(1-Supuestos!$C$18)^43))</f>
        <v>4.34937266953713E-009</v>
      </c>
      <c r="AU243" s="29" t="n">
        <f aca="false">AT243*(1-MIN(1,INDEX(Tabla_Mortalidad!$B$5:$B$75,MIN(71,Cartera_Polizas!$B$245+44-49))*(1+(Cartera_Polizas!$P$245-1)*MAX(0,1-44/Supuestos!$C$20))*(1-Supuestos!$C$18)^44))</f>
        <v>8.60844984104662E-010</v>
      </c>
    </row>
    <row r="244" customFormat="false" ht="15" hidden="false" customHeight="false" outlineLevel="0" collapsed="false">
      <c r="A244" s="14" t="n">
        <f aca="false">Cartera_Polizas!A246</f>
        <v>241</v>
      </c>
      <c r="B244" s="26" t="n">
        <f aca="false">SUM(C244:AU244)+0.5</f>
        <v>10.2127984188882</v>
      </c>
      <c r="C244" s="29" t="n">
        <f aca="false">1-MIN(1,INDEX(Tabla_Mortalidad!$B$5:$B$75,MIN(71,Cartera_Polizas!$B$246+0-49))*(1+(Cartera_Polizas!$P$246-1)*MAX(0,1-0/Supuestos!$C$20))*(1-Supuestos!$C$18)^0)</f>
        <v>0.9602168975</v>
      </c>
      <c r="D244" s="29" t="n">
        <f aca="false">C244*(1-MIN(1,INDEX(Tabla_Mortalidad!$B$5:$B$75,MIN(71,Cartera_Polizas!$B$246+1-49))*(1+(Cartera_Polizas!$P$246-1)*MAX(0,1-1/Supuestos!$C$20))*(1-Supuestos!$C$18)^1))</f>
        <v>0.917593112407662</v>
      </c>
      <c r="E244" s="29" t="n">
        <f aca="false">D244*(1-MIN(1,INDEX(Tabla_Mortalidad!$B$5:$B$75,MIN(71,Cartera_Polizas!$B$246+2-49))*(1+(Cartera_Polizas!$P$246-1)*MAX(0,1-2/Supuestos!$C$20))*(1-Supuestos!$C$18)^2))</f>
        <v>0.872160265027687</v>
      </c>
      <c r="F244" s="29" t="n">
        <f aca="false">E244*(1-MIN(1,INDEX(Tabla_Mortalidad!$B$5:$B$75,MIN(71,Cartera_Polizas!$B$246+3-49))*(1+(Cartera_Polizas!$P$246-1)*MAX(0,1-3/Supuestos!$C$20))*(1-Supuestos!$C$18)^3))</f>
        <v>0.824012227404472</v>
      </c>
      <c r="G244" s="29" t="n">
        <f aca="false">F244*(1-MIN(1,INDEX(Tabla_Mortalidad!$B$5:$B$75,MIN(71,Cartera_Polizas!$B$246+4-49))*(1+(Cartera_Polizas!$P$246-1)*MAX(0,1-4/Supuestos!$C$20))*(1-Supuestos!$C$18)^4))</f>
        <v>0.773313958763366</v>
      </c>
      <c r="H244" s="29" t="n">
        <f aca="false">G244*(1-MIN(1,INDEX(Tabla_Mortalidad!$B$5:$B$75,MIN(71,Cartera_Polizas!$B$246+5-49))*(1+(Cartera_Polizas!$P$246-1)*MAX(0,1-5/Supuestos!$C$20))*(1-Supuestos!$C$18)^5))</f>
        <v>0.720311193782499</v>
      </c>
      <c r="I244" s="29" t="n">
        <f aca="false">H244*(1-MIN(1,INDEX(Tabla_Mortalidad!$B$5:$B$75,MIN(71,Cartera_Polizas!$B$246+6-49))*(1+(Cartera_Polizas!$P$246-1)*MAX(0,1-6/Supuestos!$C$20))*(1-Supuestos!$C$18)^6))</f>
        <v>0.665342393957547</v>
      </c>
      <c r="J244" s="29" t="n">
        <f aca="false">I244*(1-MIN(1,INDEX(Tabla_Mortalidad!$B$5:$B$75,MIN(71,Cartera_Polizas!$B$246+7-49))*(1+(Cartera_Polizas!$P$246-1)*MAX(0,1-7/Supuestos!$C$20))*(1-Supuestos!$C$18)^7))</f>
        <v>0.608840877342828</v>
      </c>
      <c r="K244" s="29" t="n">
        <f aca="false">J244*(1-MIN(1,INDEX(Tabla_Mortalidad!$B$5:$B$75,MIN(71,Cartera_Polizas!$B$246+8-49))*(1+(Cartera_Polizas!$P$246-1)*MAX(0,1-8/Supuestos!$C$20))*(1-Supuestos!$C$18)^8))</f>
        <v>0.551341431812733</v>
      </c>
      <c r="L244" s="29" t="n">
        <f aca="false">K244*(1-MIN(1,INDEX(Tabla_Mortalidad!$B$5:$B$75,MIN(71,Cartera_Polizas!$B$246+9-49))*(1+(Cartera_Polizas!$P$246-1)*MAX(0,1-9/Supuestos!$C$20))*(1-Supuestos!$C$18)^9))</f>
        <v>0.493474459519628</v>
      </c>
      <c r="M244" s="29" t="n">
        <f aca="false">L244*(1-MIN(1,INDEX(Tabla_Mortalidad!$B$5:$B$75,MIN(71,Cartera_Polizas!$B$246+10-49))*(1+(Cartera_Polizas!$P$246-1)*MAX(0,1-10/Supuestos!$C$20))*(1-Supuestos!$C$18)^10))</f>
        <v>0.435957004708061</v>
      </c>
      <c r="N244" s="29" t="n">
        <f aca="false">M244*(1-MIN(1,INDEX(Tabla_Mortalidad!$B$5:$B$75,MIN(71,Cartera_Polizas!$B$246+11-49))*(1+(Cartera_Polizas!$P$246-1)*MAX(0,1-11/Supuestos!$C$20))*(1-Supuestos!$C$18)^11))</f>
        <v>0.379574400694172</v>
      </c>
      <c r="O244" s="29" t="n">
        <f aca="false">N244*(1-MIN(1,INDEX(Tabla_Mortalidad!$B$5:$B$75,MIN(71,Cartera_Polizas!$B$246+12-49))*(1+(Cartera_Polizas!$P$246-1)*MAX(0,1-12/Supuestos!$C$20))*(1-Supuestos!$C$18)^12))</f>
        <v>0.325153243960829</v>
      </c>
      <c r="P244" s="29" t="n">
        <f aca="false">O244*(1-MIN(1,INDEX(Tabla_Mortalidad!$B$5:$B$75,MIN(71,Cartera_Polizas!$B$246+13-49))*(1+(Cartera_Polizas!$P$246-1)*MAX(0,1-13/Supuestos!$C$20))*(1-Supuestos!$C$18)^13))</f>
        <v>0.273524895165664</v>
      </c>
      <c r="Q244" s="29" t="n">
        <f aca="false">P244*(1-MIN(1,INDEX(Tabla_Mortalidad!$B$5:$B$75,MIN(71,Cartera_Polizas!$B$246+14-49))*(1+(Cartera_Polizas!$P$246-1)*MAX(0,1-14/Supuestos!$C$20))*(1-Supuestos!$C$18)^14))</f>
        <v>0.225480216937255</v>
      </c>
      <c r="R244" s="29" t="n">
        <f aca="false">Q244*(1-MIN(1,INDEX(Tabla_Mortalidad!$B$5:$B$75,MIN(71,Cartera_Polizas!$B$246+15-49))*(1+(Cartera_Polizas!$P$246-1)*MAX(0,1-15/Supuestos!$C$20))*(1-Supuestos!$C$18)^15))</f>
        <v>0.181720713705074</v>
      </c>
      <c r="S244" s="29" t="n">
        <f aca="false">R244*(1-MIN(1,INDEX(Tabla_Mortalidad!$B$5:$B$75,MIN(71,Cartera_Polizas!$B$246+16-49))*(1+(Cartera_Polizas!$P$246-1)*MAX(0,1-16/Supuestos!$C$20))*(1-Supuestos!$C$18)^16))</f>
        <v>0.14305905766913</v>
      </c>
      <c r="T244" s="29" t="n">
        <f aca="false">S244*(1-MIN(1,INDEX(Tabla_Mortalidad!$B$5:$B$75,MIN(71,Cartera_Polizas!$B$246+17-49))*(1+(Cartera_Polizas!$P$246-1)*MAX(0,1-17/Supuestos!$C$20))*(1-Supuestos!$C$18)^17))</f>
        <v>0.109741295850573</v>
      </c>
      <c r="U244" s="29" t="n">
        <f aca="false">T244*(1-MIN(1,INDEX(Tabla_Mortalidad!$B$5:$B$75,MIN(71,Cartera_Polizas!$B$246+18-49))*(1+(Cartera_Polizas!$P$246-1)*MAX(0,1-18/Supuestos!$C$20))*(1-Supuestos!$C$18)^18))</f>
        <v>0.0818080476203269</v>
      </c>
      <c r="V244" s="29" t="n">
        <f aca="false">U244*(1-MIN(1,INDEX(Tabla_Mortalidad!$B$5:$B$75,MIN(71,Cartera_Polizas!$B$246+19-49))*(1+(Cartera_Polizas!$P$246-1)*MAX(0,1-19/Supuestos!$C$20))*(1-Supuestos!$C$18)^19))</f>
        <v>0.0590899559222227</v>
      </c>
      <c r="W244" s="29" t="n">
        <f aca="false">V244*(1-MIN(1,INDEX(Tabla_Mortalidad!$B$5:$B$75,MIN(71,Cartera_Polizas!$B$246+20-49))*(1+(Cartera_Polizas!$P$246-1)*MAX(0,1-20/Supuestos!$C$20))*(1-Supuestos!$C$18)^20))</f>
        <v>0.0412220901083296</v>
      </c>
      <c r="X244" s="29" t="n">
        <f aca="false">W244*(1-MIN(1,INDEX(Tabla_Mortalidad!$B$5:$B$75,MIN(71,Cartera_Polizas!$B$246+21-49))*(1+(Cartera_Polizas!$P$246-1)*MAX(0,1-21/Supuestos!$C$20))*(1-Supuestos!$C$18)^21))</f>
        <v>0.0276781307509423</v>
      </c>
      <c r="Y244" s="29" t="n">
        <f aca="false">X244*(1-MIN(1,INDEX(Tabla_Mortalidad!$B$5:$B$75,MIN(71,Cartera_Polizas!$B$246+22-49))*(1+(Cartera_Polizas!$P$246-1)*MAX(0,1-22/Supuestos!$C$20))*(1-Supuestos!$C$18)^22))</f>
        <v>0.0178199979602666</v>
      </c>
      <c r="Z244" s="29" t="n">
        <f aca="false">Y244*(1-MIN(1,INDEX(Tabla_Mortalidad!$B$5:$B$75,MIN(71,Cartera_Polizas!$B$246+23-49))*(1+(Cartera_Polizas!$P$246-1)*MAX(0,1-23/Supuestos!$C$20))*(1-Supuestos!$C$18)^23))</f>
        <v>0.0109572325650772</v>
      </c>
      <c r="AA244" s="29" t="n">
        <f aca="false">Z244*(1-MIN(1,INDEX(Tabla_Mortalidad!$B$5:$B$75,MIN(71,Cartera_Polizas!$B$246+24-49))*(1+(Cartera_Polizas!$P$246-1)*MAX(0,1-24/Supuestos!$C$20))*(1-Supuestos!$C$18)^24))</f>
        <v>0.00640718361312477</v>
      </c>
      <c r="AB244" s="29" t="n">
        <f aca="false">AA244*(1-MIN(1,INDEX(Tabla_Mortalidad!$B$5:$B$75,MIN(71,Cartera_Polizas!$B$246+25-49))*(1+(Cartera_Polizas!$P$246-1)*MAX(0,1-25/Supuestos!$C$20))*(1-Supuestos!$C$18)^25))</f>
        <v>0.0035470230514632</v>
      </c>
      <c r="AC244" s="29" t="n">
        <f aca="false">AB244*(1-MIN(1,INDEX(Tabla_Mortalidad!$B$5:$B$75,MIN(71,Cartera_Polizas!$B$246+26-49))*(1+(Cartera_Polizas!$P$246-1)*MAX(0,1-26/Supuestos!$C$20))*(1-Supuestos!$C$18)^26))</f>
        <v>0.00185045784232851</v>
      </c>
      <c r="AD244" s="29" t="n">
        <f aca="false">AC244*(1-MIN(1,INDEX(Tabla_Mortalidad!$B$5:$B$75,MIN(71,Cartera_Polizas!$B$246+27-49))*(1+(Cartera_Polizas!$P$246-1)*MAX(0,1-27/Supuestos!$C$20))*(1-Supuestos!$C$18)^27))</f>
        <v>0.000905456341549242</v>
      </c>
      <c r="AE244" s="29" t="n">
        <f aca="false">AD244*(1-MIN(1,INDEX(Tabla_Mortalidad!$B$5:$B$75,MIN(71,Cartera_Polizas!$B$246+28-49))*(1+(Cartera_Polizas!$P$246-1)*MAX(0,1-28/Supuestos!$C$20))*(1-Supuestos!$C$18)^28))</f>
        <v>0.000413622047301324</v>
      </c>
      <c r="AF244" s="29" t="n">
        <f aca="false">AE244*(1-MIN(1,INDEX(Tabla_Mortalidad!$B$5:$B$75,MIN(71,Cartera_Polizas!$B$246+29-49))*(1+(Cartera_Polizas!$P$246-1)*MAX(0,1-29/Supuestos!$C$20))*(1-Supuestos!$C$18)^29))</f>
        <v>0.000175613960088564</v>
      </c>
      <c r="AG244" s="29" t="n">
        <f aca="false">AF244*(1-MIN(1,INDEX(Tabla_Mortalidad!$B$5:$B$75,MIN(71,Cartera_Polizas!$B$246+30-49))*(1+(Cartera_Polizas!$P$246-1)*MAX(0,1-30/Supuestos!$C$20))*(1-Supuestos!$C$18)^30))</f>
        <v>6.90236571512352E-005</v>
      </c>
      <c r="AH244" s="29" t="n">
        <f aca="false">AG244*(1-MIN(1,INDEX(Tabla_Mortalidad!$B$5:$B$75,MIN(71,Cartera_Polizas!$B$246+31-49))*(1+(Cartera_Polizas!$P$246-1)*MAX(0,1-31/Supuestos!$C$20))*(1-Supuestos!$C$18)^31))</f>
        <v>2.50326821371215E-005</v>
      </c>
      <c r="AI244" s="29" t="n">
        <f aca="false">AH244*(1-MIN(1,INDEX(Tabla_Mortalidad!$B$5:$B$75,MIN(71,Cartera_Polizas!$B$246+32-49))*(1+(Cartera_Polizas!$P$246-1)*MAX(0,1-32/Supuestos!$C$20))*(1-Supuestos!$C$18)^32))</f>
        <v>8.35899618412465E-006</v>
      </c>
      <c r="AJ244" s="29" t="n">
        <f aca="false">AI244*(1-MIN(1,INDEX(Tabla_Mortalidad!$B$5:$B$75,MIN(71,Cartera_Polizas!$B$246+33-49))*(1+(Cartera_Polizas!$P$246-1)*MAX(0,1-33/Supuestos!$C$20))*(1-Supuestos!$C$18)^33))</f>
        <v>2.56838519898509E-006</v>
      </c>
      <c r="AK244" s="29" t="n">
        <f aca="false">AJ244*(1-MIN(1,INDEX(Tabla_Mortalidad!$B$5:$B$75,MIN(71,Cartera_Polizas!$B$246+34-49))*(1+(Cartera_Polizas!$P$246-1)*MAX(0,1-34/Supuestos!$C$20))*(1-Supuestos!$C$18)^34))</f>
        <v>7.27093551543772E-007</v>
      </c>
      <c r="AL244" s="29" t="n">
        <f aca="false">AK244*(1-MIN(1,INDEX(Tabla_Mortalidad!$B$5:$B$75,MIN(71,Cartera_Polizas!$B$246+35-49))*(1+(Cartera_Polizas!$P$246-1)*MAX(0,1-35/Supuestos!$C$20))*(1-Supuestos!$C$18)^35))</f>
        <v>1.90333603469638E-007</v>
      </c>
      <c r="AM244" s="29" t="n">
        <f aca="false">AL244*(1-MIN(1,INDEX(Tabla_Mortalidad!$B$5:$B$75,MIN(71,Cartera_Polizas!$B$246+36-49))*(1+(Cartera_Polizas!$P$246-1)*MAX(0,1-36/Supuestos!$C$20))*(1-Supuestos!$C$18)^36))</f>
        <v>4.63560774307409E-008</v>
      </c>
      <c r="AN244" s="29" t="n">
        <f aca="false">AM244*(1-MIN(1,INDEX(Tabla_Mortalidad!$B$5:$B$75,MIN(71,Cartera_Polizas!$B$246+37-49))*(1+(Cartera_Polizas!$P$246-1)*MAX(0,1-37/Supuestos!$C$20))*(1-Supuestos!$C$18)^37))</f>
        <v>1.05955558430603E-008</v>
      </c>
      <c r="AO244" s="29" t="n">
        <f aca="false">AN244*(1-MIN(1,INDEX(Tabla_Mortalidad!$B$5:$B$75,MIN(71,Cartera_Polizas!$B$246+38-49))*(1+(Cartera_Polizas!$P$246-1)*MAX(0,1-38/Supuestos!$C$20))*(1-Supuestos!$C$18)^38))</f>
        <v>2.29746474512825E-009</v>
      </c>
      <c r="AP244" s="29" t="n">
        <f aca="false">AO244*(1-MIN(1,INDEX(Tabla_Mortalidad!$B$5:$B$75,MIN(71,Cartera_Polizas!$B$246+39-49))*(1+(Cartera_Polizas!$P$246-1)*MAX(0,1-39/Supuestos!$C$20))*(1-Supuestos!$C$18)^39))</f>
        <v>4.07955570978826E-010</v>
      </c>
      <c r="AQ244" s="29" t="n">
        <f aca="false">AP244*(1-MIN(1,INDEX(Tabla_Mortalidad!$B$5:$B$75,MIN(71,Cartera_Polizas!$B$246+40-49))*(1+(Cartera_Polizas!$P$246-1)*MAX(0,1-40/Supuestos!$C$20))*(1-Supuestos!$C$18)^40))</f>
        <v>7.4117318763559E-011</v>
      </c>
      <c r="AR244" s="29" t="n">
        <f aca="false">AQ244*(1-MIN(1,INDEX(Tabla_Mortalidad!$B$5:$B$75,MIN(71,Cartera_Polizas!$B$246+41-49))*(1+(Cartera_Polizas!$P$246-1)*MAX(0,1-41/Supuestos!$C$20))*(1-Supuestos!$C$18)^41))</f>
        <v>1.37688839693896E-011</v>
      </c>
      <c r="AS244" s="29" t="n">
        <f aca="false">AR244*(1-MIN(1,INDEX(Tabla_Mortalidad!$B$5:$B$75,MIN(71,Cartera_Polizas!$B$246+42-49))*(1+(Cartera_Polizas!$P$246-1)*MAX(0,1-42/Supuestos!$C$20))*(1-Supuestos!$C$18)^42))</f>
        <v>2.61392103730343E-012</v>
      </c>
      <c r="AT244" s="29" t="n">
        <f aca="false">AS244*(1-MIN(1,INDEX(Tabla_Mortalidad!$B$5:$B$75,MIN(71,Cartera_Polizas!$B$246+43-49))*(1+(Cartera_Polizas!$P$246-1)*MAX(0,1-43/Supuestos!$C$20))*(1-Supuestos!$C$18)^43))</f>
        <v>5.06822060971973E-013</v>
      </c>
      <c r="AU244" s="29" t="n">
        <f aca="false">AT244*(1-MIN(1,INDEX(Tabla_Mortalidad!$B$5:$B$75,MIN(71,Cartera_Polizas!$B$246+44-49))*(1+(Cartera_Polizas!$P$246-1)*MAX(0,1-44/Supuestos!$C$20))*(1-Supuestos!$C$18)^44))</f>
        <v>1.00312220214448E-013</v>
      </c>
    </row>
    <row r="245" customFormat="false" ht="15" hidden="false" customHeight="false" outlineLevel="0" collapsed="false">
      <c r="A245" s="14" t="n">
        <f aca="false">Cartera_Polizas!A247</f>
        <v>242</v>
      </c>
      <c r="B245" s="26" t="n">
        <f aca="false">SUM(C245:AU245)+0.5</f>
        <v>4.57344726565575</v>
      </c>
      <c r="C245" s="29" t="n">
        <f aca="false">1-MIN(1,INDEX(Tabla_Mortalidad!$B$5:$B$75,MIN(71,Cartera_Polizas!$B$247+0-49))*(1+(Cartera_Polizas!$P$247-1)*MAX(0,1-0/Supuestos!$C$20))*(1-Supuestos!$C$18)^0)</f>
        <v>0.84380077</v>
      </c>
      <c r="D245" s="29" t="n">
        <f aca="false">C245*(1-MIN(1,INDEX(Tabla_Mortalidad!$B$5:$B$75,MIN(71,Cartera_Polizas!$B$247+1-49))*(1+(Cartera_Polizas!$P$247-1)*MAX(0,1-1/Supuestos!$C$20))*(1-Supuestos!$C$18)^1))</f>
        <v>0.702655542615045</v>
      </c>
      <c r="E245" s="29" t="n">
        <f aca="false">D245*(1-MIN(1,INDEX(Tabla_Mortalidad!$B$5:$B$75,MIN(71,Cartera_Polizas!$B$247+2-49))*(1+(Cartera_Polizas!$P$247-1)*MAX(0,1-2/Supuestos!$C$20))*(1-Supuestos!$C$18)^2))</f>
        <v>0.576989626429129</v>
      </c>
      <c r="F245" s="29" t="n">
        <f aca="false">E245*(1-MIN(1,INDEX(Tabla_Mortalidad!$B$5:$B$75,MIN(71,Cartera_Polizas!$B$247+3-49))*(1+(Cartera_Polizas!$P$247-1)*MAX(0,1-3/Supuestos!$C$20))*(1-Supuestos!$C$18)^3))</f>
        <v>0.466850377385672</v>
      </c>
      <c r="G245" s="29" t="n">
        <f aca="false">F245*(1-MIN(1,INDEX(Tabla_Mortalidad!$B$5:$B$75,MIN(71,Cartera_Polizas!$B$247+4-49))*(1+(Cartera_Polizas!$P$247-1)*MAX(0,1-4/Supuestos!$C$20))*(1-Supuestos!$C$18)^4))</f>
        <v>0.371913021188029</v>
      </c>
      <c r="H245" s="29" t="n">
        <f aca="false">G245*(1-MIN(1,INDEX(Tabla_Mortalidad!$B$5:$B$75,MIN(71,Cartera_Polizas!$B$247+5-49))*(1+(Cartera_Polizas!$P$247-1)*MAX(0,1-5/Supuestos!$C$20))*(1-Supuestos!$C$18)^5))</f>
        <v>0.291504421459009</v>
      </c>
      <c r="I245" s="29" t="n">
        <f aca="false">H245*(1-MIN(1,INDEX(Tabla_Mortalidad!$B$5:$B$75,MIN(71,Cartera_Polizas!$B$247+6-49))*(1+(Cartera_Polizas!$P$247-1)*MAX(0,1-6/Supuestos!$C$20))*(1-Supuestos!$C$18)^6))</f>
        <v>0.22464777786175</v>
      </c>
      <c r="J245" s="29" t="n">
        <f aca="false">I245*(1-MIN(1,INDEX(Tabla_Mortalidad!$B$5:$B$75,MIN(71,Cartera_Polizas!$B$247+7-49))*(1+(Cartera_Polizas!$P$247-1)*MAX(0,1-7/Supuestos!$C$20))*(1-Supuestos!$C$18)^7))</f>
        <v>0.170123777641882</v>
      </c>
      <c r="K245" s="29" t="n">
        <f aca="false">J245*(1-MIN(1,INDEX(Tabla_Mortalidad!$B$5:$B$75,MIN(71,Cartera_Polizas!$B$247+8-49))*(1+(Cartera_Polizas!$P$247-1)*MAX(0,1-8/Supuestos!$C$20))*(1-Supuestos!$C$18)^8))</f>
        <v>0.126543257293138</v>
      </c>
      <c r="L245" s="29" t="n">
        <f aca="false">K245*(1-MIN(1,INDEX(Tabla_Mortalidad!$B$5:$B$75,MIN(71,Cartera_Polizas!$B$247+9-49))*(1+(Cartera_Polizas!$P$247-1)*MAX(0,1-9/Supuestos!$C$20))*(1-Supuestos!$C$18)^9))</f>
        <v>0.0924275518425743</v>
      </c>
      <c r="M245" s="29" t="n">
        <f aca="false">L245*(1-MIN(1,INDEX(Tabla_Mortalidad!$B$5:$B$75,MIN(71,Cartera_Polizas!$B$247+10-49))*(1+(Cartera_Polizas!$P$247-1)*MAX(0,1-10/Supuestos!$C$20))*(1-Supuestos!$C$18)^10))</f>
        <v>0.0662861607441351</v>
      </c>
      <c r="N245" s="29" t="n">
        <f aca="false">M245*(1-MIN(1,INDEX(Tabla_Mortalidad!$B$5:$B$75,MIN(71,Cartera_Polizas!$B$247+11-49))*(1+(Cartera_Polizas!$P$247-1)*MAX(0,1-11/Supuestos!$C$20))*(1-Supuestos!$C$18)^11))</f>
        <v>0.0466861843550099</v>
      </c>
      <c r="O245" s="29" t="n">
        <f aca="false">N245*(1-MIN(1,INDEX(Tabla_Mortalidad!$B$5:$B$75,MIN(71,Cartera_Polizas!$B$247+12-49))*(1+(Cartera_Polizas!$P$247-1)*MAX(0,1-12/Supuestos!$C$20))*(1-Supuestos!$C$18)^12))</f>
        <v>0.032309148702534</v>
      </c>
      <c r="P245" s="29" t="n">
        <f aca="false">O245*(1-MIN(1,INDEX(Tabla_Mortalidad!$B$5:$B$75,MIN(71,Cartera_Polizas!$B$247+13-49))*(1+(Cartera_Polizas!$P$247-1)*MAX(0,1-13/Supuestos!$C$20))*(1-Supuestos!$C$18)^13))</f>
        <v>0.021990399779499</v>
      </c>
      <c r="Q245" s="29" t="n">
        <f aca="false">P245*(1-MIN(1,INDEX(Tabla_Mortalidad!$B$5:$B$75,MIN(71,Cartera_Polizas!$B$247+14-49))*(1+(Cartera_Polizas!$P$247-1)*MAX(0,1-14/Supuestos!$C$20))*(1-Supuestos!$C$18)^14))</f>
        <v>0.0147403777817858</v>
      </c>
      <c r="R245" s="29" t="n">
        <f aca="false">Q245*(1-MIN(1,INDEX(Tabla_Mortalidad!$B$5:$B$75,MIN(71,Cartera_Polizas!$B$247+15-49))*(1+(Cartera_Polizas!$P$247-1)*MAX(0,1-15/Supuestos!$C$20))*(1-Supuestos!$C$18)^15))</f>
        <v>0.00974939854289024</v>
      </c>
      <c r="S245" s="29" t="n">
        <f aca="false">R245*(1-MIN(1,INDEX(Tabla_Mortalidad!$B$5:$B$75,MIN(71,Cartera_Polizas!$B$247+16-49))*(1+(Cartera_Polizas!$P$247-1)*MAX(0,1-16/Supuestos!$C$20))*(1-Supuestos!$C$18)^16))</f>
        <v>0.00617092964461913</v>
      </c>
      <c r="T245" s="29" t="n">
        <f aca="false">S245*(1-MIN(1,INDEX(Tabla_Mortalidad!$B$5:$B$75,MIN(71,Cartera_Polizas!$B$247+17-49))*(1+(Cartera_Polizas!$P$247-1)*MAX(0,1-17/Supuestos!$C$20))*(1-Supuestos!$C$18)^17))</f>
        <v>0.00372184602689654</v>
      </c>
      <c r="U245" s="29" t="n">
        <f aca="false">T245*(1-MIN(1,INDEX(Tabla_Mortalidad!$B$5:$B$75,MIN(71,Cartera_Polizas!$B$247+18-49))*(1+(Cartera_Polizas!$P$247-1)*MAX(0,1-18/Supuestos!$C$20))*(1-Supuestos!$C$18)^18))</f>
        <v>0.00212914189259467</v>
      </c>
      <c r="V245" s="29" t="n">
        <f aca="false">U245*(1-MIN(1,INDEX(Tabla_Mortalidad!$B$5:$B$75,MIN(71,Cartera_Polizas!$B$247+19-49))*(1+(Cartera_Polizas!$P$247-1)*MAX(0,1-19/Supuestos!$C$20))*(1-Supuestos!$C$18)^19))</f>
        <v>0.00114967589338233</v>
      </c>
      <c r="W245" s="29" t="n">
        <f aca="false">V245*(1-MIN(1,INDEX(Tabla_Mortalidad!$B$5:$B$75,MIN(71,Cartera_Polizas!$B$247+20-49))*(1+(Cartera_Polizas!$P$247-1)*MAX(0,1-20/Supuestos!$C$20))*(1-Supuestos!$C$18)^20))</f>
        <v>0.0005829885845541</v>
      </c>
      <c r="X245" s="29" t="n">
        <f aca="false">W245*(1-MIN(1,INDEX(Tabla_Mortalidad!$B$5:$B$75,MIN(71,Cartera_Polizas!$B$247+21-49))*(1+(Cartera_Polizas!$P$247-1)*MAX(0,1-21/Supuestos!$C$20))*(1-Supuestos!$C$18)^21))</f>
        <v>0.000276174798828351</v>
      </c>
      <c r="Y245" s="29" t="n">
        <f aca="false">X245*(1-MIN(1,INDEX(Tabla_Mortalidad!$B$5:$B$75,MIN(71,Cartera_Polizas!$B$247+22-49))*(1+(Cartera_Polizas!$P$247-1)*MAX(0,1-22/Supuestos!$C$20))*(1-Supuestos!$C$18)^22))</f>
        <v>0.000121579296515788</v>
      </c>
      <c r="Z245" s="29" t="n">
        <f aca="false">Y245*(1-MIN(1,INDEX(Tabla_Mortalidad!$B$5:$B$75,MIN(71,Cartera_Polizas!$B$247+23-49))*(1+(Cartera_Polizas!$P$247-1)*MAX(0,1-23/Supuestos!$C$20))*(1-Supuestos!$C$18)^23))</f>
        <v>4.94836275680703E-005</v>
      </c>
      <c r="AA245" s="29" t="n">
        <f aca="false">Z245*(1-MIN(1,INDEX(Tabla_Mortalidad!$B$5:$B$75,MIN(71,Cartera_Polizas!$B$247+24-49))*(1+(Cartera_Polizas!$P$247-1)*MAX(0,1-24/Supuestos!$C$20))*(1-Supuestos!$C$18)^24))</f>
        <v>1.85321272662513E-005</v>
      </c>
      <c r="AB245" s="29" t="n">
        <f aca="false">AA245*(1-MIN(1,INDEX(Tabla_Mortalidad!$B$5:$B$75,MIN(71,Cartera_Polizas!$B$247+25-49))*(1+(Cartera_Polizas!$P$247-1)*MAX(0,1-25/Supuestos!$C$20))*(1-Supuestos!$C$18)^25))</f>
        <v>6.36039443530957E-006</v>
      </c>
      <c r="AC245" s="29" t="n">
        <f aca="false">AB245*(1-MIN(1,INDEX(Tabla_Mortalidad!$B$5:$B$75,MIN(71,Cartera_Polizas!$B$247+26-49))*(1+(Cartera_Polizas!$P$247-1)*MAX(0,1-26/Supuestos!$C$20))*(1-Supuestos!$C$18)^26))</f>
        <v>1.99453451594698E-006</v>
      </c>
      <c r="AD245" s="29" t="n">
        <f aca="false">AC245*(1-MIN(1,INDEX(Tabla_Mortalidad!$B$5:$B$75,MIN(71,Cartera_Polizas!$B$247+27-49))*(1+(Cartera_Polizas!$P$247-1)*MAX(0,1-27/Supuestos!$C$20))*(1-Supuestos!$C$18)^27))</f>
        <v>5.70654696856453E-007</v>
      </c>
      <c r="AE245" s="29" t="n">
        <f aca="false">AD245*(1-MIN(1,INDEX(Tabla_Mortalidad!$B$5:$B$75,MIN(71,Cartera_Polizas!$B$247+28-49))*(1+(Cartera_Polizas!$P$247-1)*MAX(0,1-28/Supuestos!$C$20))*(1-Supuestos!$C$18)^28))</f>
        <v>1.49057867335163E-007</v>
      </c>
      <c r="AF245" s="29" t="n">
        <f aca="false">AE245*(1-MIN(1,INDEX(Tabla_Mortalidad!$B$5:$B$75,MIN(71,Cartera_Polizas!$B$247+29-49))*(1+(Cartera_Polizas!$P$247-1)*MAX(0,1-29/Supuestos!$C$20))*(1-Supuestos!$C$18)^29))</f>
        <v>3.56596498349307E-008</v>
      </c>
      <c r="AG245" s="29" t="n">
        <f aca="false">AF245*(1-MIN(1,INDEX(Tabla_Mortalidad!$B$5:$B$75,MIN(71,Cartera_Polizas!$B$247+30-49))*(1+(Cartera_Polizas!$P$247-1)*MAX(0,1-30/Supuestos!$C$20))*(1-Supuestos!$C$18)^30))</f>
        <v>7.86137613246018E-009</v>
      </c>
      <c r="AH245" s="29" t="n">
        <f aca="false">AG245*(1-MIN(1,INDEX(Tabla_Mortalidad!$B$5:$B$75,MIN(71,Cartera_Polizas!$B$247+31-49))*(1+(Cartera_Polizas!$P$247-1)*MAX(0,1-31/Supuestos!$C$20))*(1-Supuestos!$C$18)^31))</f>
        <v>1.61170368051143E-009</v>
      </c>
      <c r="AI245" s="29" t="n">
        <f aca="false">AH245*(1-MIN(1,INDEX(Tabla_Mortalidad!$B$5:$B$75,MIN(71,Cartera_Polizas!$B$247+32-49))*(1+(Cartera_Polizas!$P$247-1)*MAX(0,1-32/Supuestos!$C$20))*(1-Supuestos!$C$18)^32))</f>
        <v>3.10931719825517E-010</v>
      </c>
      <c r="AJ245" s="29" t="n">
        <f aca="false">AI245*(1-MIN(1,INDEX(Tabla_Mortalidad!$B$5:$B$75,MIN(71,Cartera_Polizas!$B$247+33-49))*(1+(Cartera_Polizas!$P$247-1)*MAX(0,1-33/Supuestos!$C$20))*(1-Supuestos!$C$18)^33))</f>
        <v>4.74037637551882E-011</v>
      </c>
      <c r="AK245" s="29" t="n">
        <f aca="false">AJ245*(1-MIN(1,INDEX(Tabla_Mortalidad!$B$5:$B$75,MIN(71,Cartera_Polizas!$B$247+34-49))*(1+(Cartera_Polizas!$P$247-1)*MAX(0,1-34/Supuestos!$C$20))*(1-Supuestos!$C$18)^34))</f>
        <v>7.42792631229764E-012</v>
      </c>
      <c r="AL245" s="29" t="n">
        <f aca="false">AK245*(1-MIN(1,INDEX(Tabla_Mortalidad!$B$5:$B$75,MIN(71,Cartera_Polizas!$B$247+35-49))*(1+(Cartera_Polizas!$P$247-1)*MAX(0,1-35/Supuestos!$C$20))*(1-Supuestos!$C$18)^35))</f>
        <v>1.19523794497675E-012</v>
      </c>
      <c r="AM245" s="29" t="n">
        <f aca="false">AL245*(1-MIN(1,INDEX(Tabla_Mortalidad!$B$5:$B$75,MIN(71,Cartera_Polizas!$B$247+36-49))*(1+(Cartera_Polizas!$P$247-1)*MAX(0,1-36/Supuestos!$C$20))*(1-Supuestos!$C$18)^36))</f>
        <v>1.97341951395586E-013</v>
      </c>
      <c r="AN245" s="29" t="n">
        <f aca="false">AM245*(1-MIN(1,INDEX(Tabla_Mortalidad!$B$5:$B$75,MIN(71,Cartera_Polizas!$B$247+37-49))*(1+(Cartera_Polizas!$P$247-1)*MAX(0,1-37/Supuestos!$C$20))*(1-Supuestos!$C$18)^37))</f>
        <v>3.34063017842946E-014</v>
      </c>
      <c r="AO245" s="29" t="n">
        <f aca="false">AN245*(1-MIN(1,INDEX(Tabla_Mortalidad!$B$5:$B$75,MIN(71,Cartera_Polizas!$B$247+38-49))*(1+(Cartera_Polizas!$P$247-1)*MAX(0,1-38/Supuestos!$C$20))*(1-Supuestos!$C$18)^38))</f>
        <v>5.79381834292299E-015</v>
      </c>
      <c r="AP245" s="29" t="n">
        <f aca="false">AO245*(1-MIN(1,INDEX(Tabla_Mortalidad!$B$5:$B$75,MIN(71,Cartera_Polizas!$B$247+39-49))*(1+(Cartera_Polizas!$P$247-1)*MAX(0,1-39/Supuestos!$C$20))*(1-Supuestos!$C$18)^39))</f>
        <v>1.02879509913994E-015</v>
      </c>
      <c r="AQ245" s="29" t="n">
        <f aca="false">AP245*(1-MIN(1,INDEX(Tabla_Mortalidad!$B$5:$B$75,MIN(71,Cartera_Polizas!$B$247+40-49))*(1+(Cartera_Polizas!$P$247-1)*MAX(0,1-40/Supuestos!$C$20))*(1-Supuestos!$C$18)^40))</f>
        <v>1.86911369104211E-016</v>
      </c>
      <c r="AR245" s="29" t="n">
        <f aca="false">AQ245*(1-MIN(1,INDEX(Tabla_Mortalidad!$B$5:$B$75,MIN(71,Cartera_Polizas!$B$247+41-49))*(1+(Cartera_Polizas!$P$247-1)*MAX(0,1-41/Supuestos!$C$20))*(1-Supuestos!$C$18)^41))</f>
        <v>3.47228015892686E-017</v>
      </c>
      <c r="AS245" s="29" t="n">
        <f aca="false">AR245*(1-MIN(1,INDEX(Tabla_Mortalidad!$B$5:$B$75,MIN(71,Cartera_Polizas!$B$247+42-49))*(1+(Cartera_Polizas!$P$247-1)*MAX(0,1-42/Supuestos!$C$20))*(1-Supuestos!$C$18)^42))</f>
        <v>6.59186770329981E-018</v>
      </c>
      <c r="AT245" s="29" t="n">
        <f aca="false">AS245*(1-MIN(1,INDEX(Tabla_Mortalidad!$B$5:$B$75,MIN(71,Cartera_Polizas!$B$247+43-49))*(1+(Cartera_Polizas!$P$247-1)*MAX(0,1-43/Supuestos!$C$20))*(1-Supuestos!$C$18)^43))</f>
        <v>1.27811970115499E-018</v>
      </c>
      <c r="AU245" s="29" t="n">
        <f aca="false">AT245*(1-MIN(1,INDEX(Tabla_Mortalidad!$B$5:$B$75,MIN(71,Cartera_Polizas!$B$247+44-49))*(1+(Cartera_Polizas!$P$247-1)*MAX(0,1-44/Supuestos!$C$20))*(1-Supuestos!$C$18)^44))</f>
        <v>2.52970489636547E-019</v>
      </c>
    </row>
    <row r="246" customFormat="false" ht="15" hidden="false" customHeight="false" outlineLevel="0" collapsed="false">
      <c r="A246" s="14" t="n">
        <f aca="false">Cartera_Polizas!A248</f>
        <v>243</v>
      </c>
      <c r="B246" s="26" t="n">
        <f aca="false">SUM(C246:AU246)+0.5</f>
        <v>6.24304462428534</v>
      </c>
      <c r="C246" s="29" t="n">
        <f aca="false">1-MIN(1,INDEX(Tabla_Mortalidad!$B$5:$B$75,MIN(71,Cartera_Polizas!$B$248+0-49))*(1+(Cartera_Polizas!$P$248-1)*MAX(0,1-0/Supuestos!$C$20))*(1-Supuestos!$C$18)^0)</f>
        <v>0.891536106</v>
      </c>
      <c r="D246" s="29" t="n">
        <f aca="false">C246*(1-MIN(1,INDEX(Tabla_Mortalidad!$B$5:$B$75,MIN(71,Cartera_Polizas!$B$248+1-49))*(1+(Cartera_Polizas!$P$248-1)*MAX(0,1-1/Supuestos!$C$20))*(1-Supuestos!$C$18)^1))</f>
        <v>0.788021857021728</v>
      </c>
      <c r="E246" s="29" t="n">
        <f aca="false">D246*(1-MIN(1,INDEX(Tabla_Mortalidad!$B$5:$B$75,MIN(71,Cartera_Polizas!$B$248+2-49))*(1+(Cartera_Polizas!$P$248-1)*MAX(0,1-2/Supuestos!$C$20))*(1-Supuestos!$C$18)^2))</f>
        <v>0.690229971467098</v>
      </c>
      <c r="F246" s="29" t="n">
        <f aca="false">E246*(1-MIN(1,INDEX(Tabla_Mortalidad!$B$5:$B$75,MIN(71,Cartera_Polizas!$B$248+3-49))*(1+(Cartera_Polizas!$P$248-1)*MAX(0,1-3/Supuestos!$C$20))*(1-Supuestos!$C$18)^3))</f>
        <v>0.598830564323252</v>
      </c>
      <c r="G246" s="29" t="n">
        <f aca="false">F246*(1-MIN(1,INDEX(Tabla_Mortalidad!$B$5:$B$75,MIN(71,Cartera_Polizas!$B$248+4-49))*(1+(Cartera_Polizas!$P$248-1)*MAX(0,1-4/Supuestos!$C$20))*(1-Supuestos!$C$18)^4))</f>
        <v>0.5143720928239</v>
      </c>
      <c r="H246" s="29" t="n">
        <f aca="false">G246*(1-MIN(1,INDEX(Tabla_Mortalidad!$B$5:$B$75,MIN(71,Cartera_Polizas!$B$248+5-49))*(1+(Cartera_Polizas!$P$248-1)*MAX(0,1-5/Supuestos!$C$20))*(1-Supuestos!$C$18)^5))</f>
        <v>0.437253283368762</v>
      </c>
      <c r="I246" s="29" t="n">
        <f aca="false">H246*(1-MIN(1,INDEX(Tabla_Mortalidad!$B$5:$B$75,MIN(71,Cartera_Polizas!$B$248+6-49))*(1+(Cartera_Polizas!$P$248-1)*MAX(0,1-6/Supuestos!$C$20))*(1-Supuestos!$C$18)^6))</f>
        <v>0.367715170345388</v>
      </c>
      <c r="J246" s="29" t="n">
        <f aca="false">I246*(1-MIN(1,INDEX(Tabla_Mortalidad!$B$5:$B$75,MIN(71,Cartera_Polizas!$B$248+7-49))*(1+(Cartera_Polizas!$P$248-1)*MAX(0,1-7/Supuestos!$C$20))*(1-Supuestos!$C$18)^7))</f>
        <v>0.305829114007294</v>
      </c>
      <c r="K246" s="29" t="n">
        <f aca="false">J246*(1-MIN(1,INDEX(Tabla_Mortalidad!$B$5:$B$75,MIN(71,Cartera_Polizas!$B$248+8-49))*(1+(Cartera_Polizas!$P$248-1)*MAX(0,1-8/Supuestos!$C$20))*(1-Supuestos!$C$18)^8))</f>
        <v>0.251499104646614</v>
      </c>
      <c r="L246" s="29" t="n">
        <f aca="false">K246*(1-MIN(1,INDEX(Tabla_Mortalidad!$B$5:$B$75,MIN(71,Cartera_Polizas!$B$248+9-49))*(1+(Cartera_Polizas!$P$248-1)*MAX(0,1-9/Supuestos!$C$20))*(1-Supuestos!$C$18)^9))</f>
        <v>0.204470956999306</v>
      </c>
      <c r="M246" s="29" t="n">
        <f aca="false">L246*(1-MIN(1,INDEX(Tabla_Mortalidad!$B$5:$B$75,MIN(71,Cartera_Polizas!$B$248+10-49))*(1+(Cartera_Polizas!$P$248-1)*MAX(0,1-10/Supuestos!$C$20))*(1-Supuestos!$C$18)^10))</f>
        <v>0.164350092489637</v>
      </c>
      <c r="N246" s="29" t="n">
        <f aca="false">M246*(1-MIN(1,INDEX(Tabla_Mortalidad!$B$5:$B$75,MIN(71,Cartera_Polizas!$B$248+11-49))*(1+(Cartera_Polizas!$P$248-1)*MAX(0,1-11/Supuestos!$C$20))*(1-Supuestos!$C$18)^11))</f>
        <v>0.130625915791974</v>
      </c>
      <c r="O246" s="29" t="n">
        <f aca="false">N246*(1-MIN(1,INDEX(Tabla_Mortalidad!$B$5:$B$75,MIN(71,Cartera_Polizas!$B$248+12-49))*(1+(Cartera_Polizas!$P$248-1)*MAX(0,1-12/Supuestos!$C$20))*(1-Supuestos!$C$18)^12))</f>
        <v>0.102700851932484</v>
      </c>
      <c r="P246" s="29" t="n">
        <f aca="false">O246*(1-MIN(1,INDEX(Tabla_Mortalidad!$B$5:$B$75,MIN(71,Cartera_Polizas!$B$248+13-49))*(1+(Cartera_Polizas!$P$248-1)*MAX(0,1-13/Supuestos!$C$20))*(1-Supuestos!$C$18)^13))</f>
        <v>0.0799232500292819</v>
      </c>
      <c r="Q246" s="29" t="n">
        <f aca="false">P246*(1-MIN(1,INDEX(Tabla_Mortalidad!$B$5:$B$75,MIN(71,Cartera_Polizas!$B$248+14-49))*(1+(Cartera_Polizas!$P$248-1)*MAX(0,1-14/Supuestos!$C$20))*(1-Supuestos!$C$18)^14))</f>
        <v>0.0616195892244855</v>
      </c>
      <c r="R246" s="29" t="n">
        <f aca="false">Q246*(1-MIN(1,INDEX(Tabla_Mortalidad!$B$5:$B$75,MIN(71,Cartera_Polizas!$B$248+15-49))*(1+(Cartera_Polizas!$P$248-1)*MAX(0,1-15/Supuestos!$C$20))*(1-Supuestos!$C$18)^15))</f>
        <v>0.0471240926870776</v>
      </c>
      <c r="S246" s="29" t="n">
        <f aca="false">R246*(1-MIN(1,INDEX(Tabla_Mortalidad!$B$5:$B$75,MIN(71,Cartera_Polizas!$B$248+16-49))*(1+(Cartera_Polizas!$P$248-1)*MAX(0,1-16/Supuestos!$C$20))*(1-Supuestos!$C$18)^16))</f>
        <v>0.0350084014597164</v>
      </c>
      <c r="T246" s="29" t="n">
        <f aca="false">S246*(1-MIN(1,INDEX(Tabla_Mortalidad!$B$5:$B$75,MIN(71,Cartera_Polizas!$B$248+17-49))*(1+(Cartera_Polizas!$P$248-1)*MAX(0,1-17/Supuestos!$C$20))*(1-Supuestos!$C$18)^17))</f>
        <v>0.0251886173657619</v>
      </c>
      <c r="U246" s="29" t="n">
        <f aca="false">T246*(1-MIN(1,INDEX(Tabla_Mortalidad!$B$5:$B$75,MIN(71,Cartera_Polizas!$B$248+18-49))*(1+(Cartera_Polizas!$P$248-1)*MAX(0,1-18/Supuestos!$C$20))*(1-Supuestos!$C$18)^18))</f>
        <v>0.017495237368329</v>
      </c>
      <c r="V246" s="29" t="n">
        <f aca="false">U246*(1-MIN(1,INDEX(Tabla_Mortalidad!$B$5:$B$75,MIN(71,Cartera_Polizas!$B$248+19-49))*(1+(Cartera_Polizas!$P$248-1)*MAX(0,1-19/Supuestos!$C$20))*(1-Supuestos!$C$18)^19))</f>
        <v>0.0116890731999113</v>
      </c>
      <c r="W246" s="29" t="n">
        <f aca="false">V246*(1-MIN(1,INDEX(Tabla_Mortalidad!$B$5:$B$75,MIN(71,Cartera_Polizas!$B$248+20-49))*(1+(Cartera_Polizas!$P$248-1)*MAX(0,1-20/Supuestos!$C$20))*(1-Supuestos!$C$18)^20))</f>
        <v>0.0074838231553462</v>
      </c>
      <c r="X246" s="29" t="n">
        <f aca="false">W246*(1-MIN(1,INDEX(Tabla_Mortalidad!$B$5:$B$75,MIN(71,Cartera_Polizas!$B$248+21-49))*(1+(Cartera_Polizas!$P$248-1)*MAX(0,1-21/Supuestos!$C$20))*(1-Supuestos!$C$18)^21))</f>
        <v>0.00457264450447528</v>
      </c>
      <c r="Y246" s="29" t="n">
        <f aca="false">X246*(1-MIN(1,INDEX(Tabla_Mortalidad!$B$5:$B$75,MIN(71,Cartera_Polizas!$B$248+22-49))*(1+(Cartera_Polizas!$P$248-1)*MAX(0,1-22/Supuestos!$C$20))*(1-Supuestos!$C$18)^22))</f>
        <v>0.00265469810023586</v>
      </c>
      <c r="Z246" s="29" t="n">
        <f aca="false">Y246*(1-MIN(1,INDEX(Tabla_Mortalidad!$B$5:$B$75,MIN(71,Cartera_Polizas!$B$248+23-49))*(1+(Cartera_Polizas!$P$248-1)*MAX(0,1-23/Supuestos!$C$20))*(1-Supuestos!$C$18)^23))</f>
        <v>0.0014577034165172</v>
      </c>
      <c r="AA246" s="29" t="n">
        <f aca="false">Z246*(1-MIN(1,INDEX(Tabla_Mortalidad!$B$5:$B$75,MIN(71,Cartera_Polizas!$B$248+24-49))*(1+(Cartera_Polizas!$P$248-1)*MAX(0,1-24/Supuestos!$C$20))*(1-Supuestos!$C$18)^24))</f>
        <v>0.000753449037433449</v>
      </c>
      <c r="AB246" s="29" t="n">
        <f aca="false">AA246*(1-MIN(1,INDEX(Tabla_Mortalidad!$B$5:$B$75,MIN(71,Cartera_Polizas!$B$248+25-49))*(1+(Cartera_Polizas!$P$248-1)*MAX(0,1-25/Supuestos!$C$20))*(1-Supuestos!$C$18)^25))</f>
        <v>0.000364796932843641</v>
      </c>
      <c r="AC246" s="29" t="n">
        <f aca="false">AB246*(1-MIN(1,INDEX(Tabla_Mortalidad!$B$5:$B$75,MIN(71,Cartera_Polizas!$B$248+26-49))*(1+(Cartera_Polizas!$P$248-1)*MAX(0,1-26/Supuestos!$C$20))*(1-Supuestos!$C$18)^26))</f>
        <v>0.000164646603269487</v>
      </c>
      <c r="AD246" s="29" t="n">
        <f aca="false">AC246*(1-MIN(1,INDEX(Tabla_Mortalidad!$B$5:$B$75,MIN(71,Cartera_Polizas!$B$248+27-49))*(1+(Cartera_Polizas!$P$248-1)*MAX(0,1-27/Supuestos!$C$20))*(1-Supuestos!$C$18)^27))</f>
        <v>6.89504130926135E-005</v>
      </c>
      <c r="AE246" s="29" t="n">
        <f aca="false">AD246*(1-MIN(1,INDEX(Tabla_Mortalidad!$B$5:$B$75,MIN(71,Cartera_Polizas!$B$248+28-49))*(1+(Cartera_Polizas!$P$248-1)*MAX(0,1-28/Supuestos!$C$20))*(1-Supuestos!$C$18)^28))</f>
        <v>2.66787464444802E-005</v>
      </c>
      <c r="AF246" s="29" t="n">
        <f aca="false">AE246*(1-MIN(1,INDEX(Tabla_Mortalidad!$B$5:$B$75,MIN(71,Cartera_Polizas!$B$248+29-49))*(1+(Cartera_Polizas!$P$248-1)*MAX(0,1-29/Supuestos!$C$20))*(1-Supuestos!$C$18)^29))</f>
        <v>9.50421570875082E-006</v>
      </c>
      <c r="AG246" s="29" t="n">
        <f aca="false">AF246*(1-MIN(1,INDEX(Tabla_Mortalidad!$B$5:$B$75,MIN(71,Cartera_Polizas!$B$248+30-49))*(1+(Cartera_Polizas!$P$248-1)*MAX(0,1-30/Supuestos!$C$20))*(1-Supuestos!$C$18)^30))</f>
        <v>3.1098958685322E-006</v>
      </c>
      <c r="AH246" s="29" t="n">
        <f aca="false">AG246*(1-MIN(1,INDEX(Tabla_Mortalidad!$B$5:$B$75,MIN(71,Cartera_Polizas!$B$248+31-49))*(1+(Cartera_Polizas!$P$248-1)*MAX(0,1-31/Supuestos!$C$20))*(1-Supuestos!$C$18)^31))</f>
        <v>9.33840463602095E-007</v>
      </c>
      <c r="AI246" s="29" t="n">
        <f aca="false">AH246*(1-MIN(1,INDEX(Tabla_Mortalidad!$B$5:$B$75,MIN(71,Cartera_Polizas!$B$248+32-49))*(1+(Cartera_Polizas!$P$248-1)*MAX(0,1-32/Supuestos!$C$20))*(1-Supuestos!$C$18)^32))</f>
        <v>2.57619000245729E-007</v>
      </c>
      <c r="AJ246" s="29" t="n">
        <f aca="false">AI246*(1-MIN(1,INDEX(Tabla_Mortalidad!$B$5:$B$75,MIN(71,Cartera_Polizas!$B$248+33-49))*(1+(Cartera_Polizas!$P$248-1)*MAX(0,1-33/Supuestos!$C$20))*(1-Supuestos!$C$18)^33))</f>
        <v>6.5521577497579E-008</v>
      </c>
      <c r="AK246" s="29" t="n">
        <f aca="false">AJ246*(1-MIN(1,INDEX(Tabla_Mortalidad!$B$5:$B$75,MIN(71,Cartera_Polizas!$B$248+34-49))*(1+(Cartera_Polizas!$P$248-1)*MAX(0,1-34/Supuestos!$C$20))*(1-Supuestos!$C$18)^34))</f>
        <v>1.54585141606702E-008</v>
      </c>
      <c r="AL246" s="29" t="n">
        <f aca="false">AK246*(1-MIN(1,INDEX(Tabla_Mortalidad!$B$5:$B$75,MIN(71,Cartera_Polizas!$B$248+35-49))*(1+(Cartera_Polizas!$P$248-1)*MAX(0,1-35/Supuestos!$C$20))*(1-Supuestos!$C$18)^35))</f>
        <v>3.41318280225599E-009</v>
      </c>
      <c r="AM246" s="29" t="n">
        <f aca="false">AL246*(1-MIN(1,INDEX(Tabla_Mortalidad!$B$5:$B$75,MIN(71,Cartera_Polizas!$B$248+36-49))*(1+(Cartera_Polizas!$P$248-1)*MAX(0,1-36/Supuestos!$C$20))*(1-Supuestos!$C$18)^36))</f>
        <v>7.13157457936382E-010</v>
      </c>
      <c r="AN246" s="29" t="n">
        <f aca="false">AM246*(1-MIN(1,INDEX(Tabla_Mortalidad!$B$5:$B$75,MIN(71,Cartera_Polizas!$B$248+37-49))*(1+(Cartera_Polizas!$P$248-1)*MAX(0,1-37/Supuestos!$C$20))*(1-Supuestos!$C$18)^37))</f>
        <v>1.20724220527172E-010</v>
      </c>
      <c r="AO246" s="29" t="n">
        <f aca="false">AN246*(1-MIN(1,INDEX(Tabla_Mortalidad!$B$5:$B$75,MIN(71,Cartera_Polizas!$B$248+38-49))*(1+(Cartera_Polizas!$P$248-1)*MAX(0,1-38/Supuestos!$C$20))*(1-Supuestos!$C$18)^38))</f>
        <v>2.09377921519659E-011</v>
      </c>
      <c r="AP246" s="29" t="n">
        <f aca="false">AO246*(1-MIN(1,INDEX(Tabla_Mortalidad!$B$5:$B$75,MIN(71,Cartera_Polizas!$B$248+39-49))*(1+(Cartera_Polizas!$P$248-1)*MAX(0,1-39/Supuestos!$C$20))*(1-Supuestos!$C$18)^39))</f>
        <v>3.71787596327813E-012</v>
      </c>
      <c r="AQ246" s="29" t="n">
        <f aca="false">AP246*(1-MIN(1,INDEX(Tabla_Mortalidad!$B$5:$B$75,MIN(71,Cartera_Polizas!$B$248+40-49))*(1+(Cartera_Polizas!$P$248-1)*MAX(0,1-40/Supuestos!$C$20))*(1-Supuestos!$C$18)^40))</f>
        <v>6.75463255061079E-013</v>
      </c>
      <c r="AR246" s="29" t="n">
        <f aca="false">AQ246*(1-MIN(1,INDEX(Tabla_Mortalidad!$B$5:$B$75,MIN(71,Cartera_Polizas!$B$248+41-49))*(1+(Cartera_Polizas!$P$248-1)*MAX(0,1-41/Supuestos!$C$20))*(1-Supuestos!$C$18)^41))</f>
        <v>1.25481808296267E-013</v>
      </c>
      <c r="AS246" s="29" t="n">
        <f aca="false">AR246*(1-MIN(1,INDEX(Tabla_Mortalidad!$B$5:$B$75,MIN(71,Cartera_Polizas!$B$248+42-49))*(1+(Cartera_Polizas!$P$248-1)*MAX(0,1-42/Supuestos!$C$20))*(1-Supuestos!$C$18)^42))</f>
        <v>2.38217955234195E-014</v>
      </c>
      <c r="AT246" s="29" t="n">
        <f aca="false">AS246*(1-MIN(1,INDEX(Tabla_Mortalidad!$B$5:$B$75,MIN(71,Cartera_Polizas!$B$248+43-49))*(1+(Cartera_Polizas!$P$248-1)*MAX(0,1-43/Supuestos!$C$20))*(1-Supuestos!$C$18)^43))</f>
        <v>4.61888914429013E-015</v>
      </c>
      <c r="AU246" s="29" t="n">
        <f aca="false">AT246*(1-MIN(1,INDEX(Tabla_Mortalidad!$B$5:$B$75,MIN(71,Cartera_Polizas!$B$248+44-49))*(1+(Cartera_Polizas!$P$248-1)*MAX(0,1-44/Supuestos!$C$20))*(1-Supuestos!$C$18)^44))</f>
        <v>9.14188747229329E-016</v>
      </c>
    </row>
    <row r="247" customFormat="false" ht="15" hidden="false" customHeight="false" outlineLevel="0" collapsed="false">
      <c r="A247" s="14" t="n">
        <f aca="false">Cartera_Polizas!A249</f>
        <v>244</v>
      </c>
      <c r="B247" s="26" t="n">
        <f aca="false">SUM(C247:AU247)+0.5</f>
        <v>7.41975713786944</v>
      </c>
      <c r="C247" s="29" t="n">
        <f aca="false">1-MIN(1,INDEX(Tabla_Mortalidad!$B$5:$B$75,MIN(71,Cartera_Polizas!$B$249+0-49))*(1+(Cartera_Polizas!$P$249-1)*MAX(0,1-0/Supuestos!$C$20))*(1-Supuestos!$C$18)^0)</f>
        <v>0.920079236</v>
      </c>
      <c r="D247" s="29" t="n">
        <f aca="false">C247*(1-MIN(1,INDEX(Tabla_Mortalidad!$B$5:$B$75,MIN(71,Cartera_Polizas!$B$249+1-49))*(1+(Cartera_Polizas!$P$249-1)*MAX(0,1-1/Supuestos!$C$20))*(1-Supuestos!$C$18)^1))</f>
        <v>0.840387388533935</v>
      </c>
      <c r="E247" s="29" t="n">
        <f aca="false">D247*(1-MIN(1,INDEX(Tabla_Mortalidad!$B$5:$B$75,MIN(71,Cartera_Polizas!$B$249+2-49))*(1+(Cartera_Polizas!$P$249-1)*MAX(0,1-2/Supuestos!$C$20))*(1-Supuestos!$C$18)^2))</f>
        <v>0.761568243415722</v>
      </c>
      <c r="F247" s="29" t="n">
        <f aca="false">E247*(1-MIN(1,INDEX(Tabla_Mortalidad!$B$5:$B$75,MIN(71,Cartera_Polizas!$B$249+3-49))*(1+(Cartera_Polizas!$P$249-1)*MAX(0,1-3/Supuestos!$C$20))*(1-Supuestos!$C$18)^3))</f>
        <v>0.684292875736635</v>
      </c>
      <c r="G247" s="29" t="n">
        <f aca="false">F247*(1-MIN(1,INDEX(Tabla_Mortalidad!$B$5:$B$75,MIN(71,Cartera_Polizas!$B$249+4-49))*(1+(Cartera_Polizas!$P$249-1)*MAX(0,1-4/Supuestos!$C$20))*(1-Supuestos!$C$18)^4))</f>
        <v>0.609247290492478</v>
      </c>
      <c r="H247" s="29" t="n">
        <f aca="false">G247*(1-MIN(1,INDEX(Tabla_Mortalidad!$B$5:$B$75,MIN(71,Cartera_Polizas!$B$249+5-49))*(1+(Cartera_Polizas!$P$249-1)*MAX(0,1-5/Supuestos!$C$20))*(1-Supuestos!$C$18)^5))</f>
        <v>0.537106141181732</v>
      </c>
      <c r="I247" s="29" t="n">
        <f aca="false">H247*(1-MIN(1,INDEX(Tabla_Mortalidad!$B$5:$B$75,MIN(71,Cartera_Polizas!$B$249+6-49))*(1+(Cartera_Polizas!$P$249-1)*MAX(0,1-6/Supuestos!$C$20))*(1-Supuestos!$C$18)^6))</f>
        <v>0.468516147743598</v>
      </c>
      <c r="J247" s="29" t="n">
        <f aca="false">I247*(1-MIN(1,INDEX(Tabla_Mortalidad!$B$5:$B$75,MIN(71,Cartera_Polizas!$B$249+7-49))*(1+(Cartera_Polizas!$P$249-1)*MAX(0,1-7/Supuestos!$C$20))*(1-Supuestos!$C$18)^7))</f>
        <v>0.404068305797114</v>
      </c>
      <c r="K247" s="29" t="n">
        <f aca="false">J247*(1-MIN(1,INDEX(Tabla_Mortalidad!$B$5:$B$75,MIN(71,Cartera_Polizas!$B$249+8-49))*(1+(Cartera_Polizas!$P$249-1)*MAX(0,1-8/Supuestos!$C$20))*(1-Supuestos!$C$18)^8))</f>
        <v>0.344275350976238</v>
      </c>
      <c r="L247" s="29" t="n">
        <f aca="false">K247*(1-MIN(1,INDEX(Tabla_Mortalidad!$B$5:$B$75,MIN(71,Cartera_Polizas!$B$249+9-49))*(1+(Cartera_Polizas!$P$249-1)*MAX(0,1-9/Supuestos!$C$20))*(1-Supuestos!$C$18)^9))</f>
        <v>0.289549323537681</v>
      </c>
      <c r="M247" s="29" t="n">
        <f aca="false">L247*(1-MIN(1,INDEX(Tabla_Mortalidad!$B$5:$B$75,MIN(71,Cartera_Polizas!$B$249+10-49))*(1+(Cartera_Polizas!$P$249-1)*MAX(0,1-10/Supuestos!$C$20))*(1-Supuestos!$C$18)^10))</f>
        <v>0.240182988590738</v>
      </c>
      <c r="N247" s="29" t="n">
        <f aca="false">M247*(1-MIN(1,INDEX(Tabla_Mortalidad!$B$5:$B$75,MIN(71,Cartera_Polizas!$B$249+11-49))*(1+(Cartera_Polizas!$P$249-1)*MAX(0,1-11/Supuestos!$C$20))*(1-Supuestos!$C$18)^11))</f>
        <v>0.196336051034535</v>
      </c>
      <c r="O247" s="29" t="n">
        <f aca="false">N247*(1-MIN(1,INDEX(Tabla_Mortalidad!$B$5:$B$75,MIN(71,Cartera_Polizas!$B$249+12-49))*(1+(Cartera_Polizas!$P$249-1)*MAX(0,1-12/Supuestos!$C$20))*(1-Supuestos!$C$18)^12))</f>
        <v>0.15802750723154</v>
      </c>
      <c r="P247" s="29" t="n">
        <f aca="false">O247*(1-MIN(1,INDEX(Tabla_Mortalidad!$B$5:$B$75,MIN(71,Cartera_Polizas!$B$249+13-49))*(1+(Cartera_Polizas!$P$249-1)*MAX(0,1-13/Supuestos!$C$20))*(1-Supuestos!$C$18)^13))</f>
        <v>0.125137352283743</v>
      </c>
      <c r="Q247" s="29" t="n">
        <f aca="false">P247*(1-MIN(1,INDEX(Tabla_Mortalidad!$B$5:$B$75,MIN(71,Cartera_Polizas!$B$249+14-49))*(1+(Cartera_Polizas!$P$249-1)*MAX(0,1-14/Supuestos!$C$20))*(1-Supuestos!$C$18)^14))</f>
        <v>0.0974156869710325</v>
      </c>
      <c r="R247" s="29" t="n">
        <f aca="false">Q247*(1-MIN(1,INDEX(Tabla_Mortalidad!$B$5:$B$75,MIN(71,Cartera_Polizas!$B$249+15-49))*(1+(Cartera_Polizas!$P$249-1)*MAX(0,1-15/Supuestos!$C$20))*(1-Supuestos!$C$18)^15))</f>
        <v>0.0744994557700511</v>
      </c>
      <c r="S247" s="29" t="n">
        <f aca="false">R247*(1-MIN(1,INDEX(Tabla_Mortalidad!$B$5:$B$75,MIN(71,Cartera_Polizas!$B$249+16-49))*(1+(Cartera_Polizas!$P$249-1)*MAX(0,1-16/Supuestos!$C$20))*(1-Supuestos!$C$18)^16))</f>
        <v>0.055345508155397</v>
      </c>
      <c r="T247" s="29" t="n">
        <f aca="false">S247*(1-MIN(1,INDEX(Tabla_Mortalidad!$B$5:$B$75,MIN(71,Cartera_Polizas!$B$249+17-49))*(1+(Cartera_Polizas!$P$249-1)*MAX(0,1-17/Supuestos!$C$20))*(1-Supuestos!$C$18)^17))</f>
        <v>0.03982120775906</v>
      </c>
      <c r="U247" s="29" t="n">
        <f aca="false">T247*(1-MIN(1,INDEX(Tabla_Mortalidad!$B$5:$B$75,MIN(71,Cartera_Polizas!$B$249+18-49))*(1+(Cartera_Polizas!$P$249-1)*MAX(0,1-18/Supuestos!$C$20))*(1-Supuestos!$C$18)^18))</f>
        <v>0.0276585837135022</v>
      </c>
      <c r="V247" s="29" t="n">
        <f aca="false">U247*(1-MIN(1,INDEX(Tabla_Mortalidad!$B$5:$B$75,MIN(71,Cartera_Polizas!$B$249+19-49))*(1+(Cartera_Polizas!$P$249-1)*MAX(0,1-19/Supuestos!$C$20))*(1-Supuestos!$C$18)^19))</f>
        <v>0.0184794983243991</v>
      </c>
      <c r="W247" s="29" t="n">
        <f aca="false">V247*(1-MIN(1,INDEX(Tabla_Mortalidad!$B$5:$B$75,MIN(71,Cartera_Polizas!$B$249+20-49))*(1+(Cartera_Polizas!$P$249-1)*MAX(0,1-20/Supuestos!$C$20))*(1-Supuestos!$C$18)^20))</f>
        <v>0.0118313312864162</v>
      </c>
      <c r="X247" s="29" t="n">
        <f aca="false">W247*(1-MIN(1,INDEX(Tabla_Mortalidad!$B$5:$B$75,MIN(71,Cartera_Polizas!$B$249+21-49))*(1+(Cartera_Polizas!$P$249-1)*MAX(0,1-21/Supuestos!$C$20))*(1-Supuestos!$C$18)^21))</f>
        <v>0.00722898856165647</v>
      </c>
      <c r="Y247" s="29" t="n">
        <f aca="false">X247*(1-MIN(1,INDEX(Tabla_Mortalidad!$B$5:$B$75,MIN(71,Cartera_Polizas!$B$249+22-49))*(1+(Cartera_Polizas!$P$249-1)*MAX(0,1-22/Supuestos!$C$20))*(1-Supuestos!$C$18)^22))</f>
        <v>0.0041968673012901</v>
      </c>
      <c r="Z247" s="29" t="n">
        <f aca="false">Y247*(1-MIN(1,INDEX(Tabla_Mortalidad!$B$5:$B$75,MIN(71,Cartera_Polizas!$B$249+23-49))*(1+(Cartera_Polizas!$P$249-1)*MAX(0,1-23/Supuestos!$C$20))*(1-Supuestos!$C$18)^23))</f>
        <v>0.00230451357283014</v>
      </c>
      <c r="AA247" s="29" t="n">
        <f aca="false">Z247*(1-MIN(1,INDEX(Tabla_Mortalidad!$B$5:$B$75,MIN(71,Cartera_Polizas!$B$249+24-49))*(1+(Cartera_Polizas!$P$249-1)*MAX(0,1-24/Supuestos!$C$20))*(1-Supuestos!$C$18)^24))</f>
        <v>0.00119114321440619</v>
      </c>
      <c r="AB247" s="29" t="n">
        <f aca="false">AA247*(1-MIN(1,INDEX(Tabla_Mortalidad!$B$5:$B$75,MIN(71,Cartera_Polizas!$B$249+25-49))*(1+(Cartera_Polizas!$P$249-1)*MAX(0,1-25/Supuestos!$C$20))*(1-Supuestos!$C$18)^25))</f>
        <v>0.00057671503924547</v>
      </c>
      <c r="AC247" s="29" t="n">
        <f aca="false">AB247*(1-MIN(1,INDEX(Tabla_Mortalidad!$B$5:$B$75,MIN(71,Cartera_Polizas!$B$249+26-49))*(1+(Cartera_Polizas!$P$249-1)*MAX(0,1-26/Supuestos!$C$20))*(1-Supuestos!$C$18)^26))</f>
        <v>0.000260293230883316</v>
      </c>
      <c r="AD247" s="29" t="n">
        <f aca="false">AC247*(1-MIN(1,INDEX(Tabla_Mortalidad!$B$5:$B$75,MIN(71,Cartera_Polizas!$B$249+27-49))*(1+(Cartera_Polizas!$P$249-1)*MAX(0,1-27/Supuestos!$C$20))*(1-Supuestos!$C$18)^27))</f>
        <v>0.000109005138510147</v>
      </c>
      <c r="AE247" s="29" t="n">
        <f aca="false">AD247*(1-MIN(1,INDEX(Tabla_Mortalidad!$B$5:$B$75,MIN(71,Cartera_Polizas!$B$249+28-49))*(1+(Cartera_Polizas!$P$249-1)*MAX(0,1-28/Supuestos!$C$20))*(1-Supuestos!$C$18)^28))</f>
        <v>4.21769837339698E-005</v>
      </c>
      <c r="AF247" s="29" t="n">
        <f aca="false">AE247*(1-MIN(1,INDEX(Tabla_Mortalidad!$B$5:$B$75,MIN(71,Cartera_Polizas!$B$249+29-49))*(1+(Cartera_Polizas!$P$249-1)*MAX(0,1-29/Supuestos!$C$20))*(1-Supuestos!$C$18)^29))</f>
        <v>1.50254117893557E-005</v>
      </c>
      <c r="AG247" s="29" t="n">
        <f aca="false">AF247*(1-MIN(1,INDEX(Tabla_Mortalidad!$B$5:$B$75,MIN(71,Cartera_Polizas!$B$249+30-49))*(1+(Cartera_Polizas!$P$249-1)*MAX(0,1-30/Supuestos!$C$20))*(1-Supuestos!$C$18)^30))</f>
        <v>4.91649889676734E-006</v>
      </c>
      <c r="AH247" s="29" t="n">
        <f aca="false">AG247*(1-MIN(1,INDEX(Tabla_Mortalidad!$B$5:$B$75,MIN(71,Cartera_Polizas!$B$249+31-49))*(1+(Cartera_Polizas!$P$249-1)*MAX(0,1-31/Supuestos!$C$20))*(1-Supuestos!$C$18)^31))</f>
        <v>1.47632776245443E-006</v>
      </c>
      <c r="AI247" s="29" t="n">
        <f aca="false">AH247*(1-MIN(1,INDEX(Tabla_Mortalidad!$B$5:$B$75,MIN(71,Cartera_Polizas!$B$249+32-49))*(1+(Cartera_Polizas!$P$249-1)*MAX(0,1-32/Supuestos!$C$20))*(1-Supuestos!$C$18)^32))</f>
        <v>4.07275222077526E-007</v>
      </c>
      <c r="AJ247" s="29" t="n">
        <f aca="false">AI247*(1-MIN(1,INDEX(Tabla_Mortalidad!$B$5:$B$75,MIN(71,Cartera_Polizas!$B$249+33-49))*(1+(Cartera_Polizas!$P$249-1)*MAX(0,1-33/Supuestos!$C$20))*(1-Supuestos!$C$18)^33))</f>
        <v>1.03584421182998E-007</v>
      </c>
      <c r="AK247" s="29" t="n">
        <f aca="false">AJ247*(1-MIN(1,INDEX(Tabla_Mortalidad!$B$5:$B$75,MIN(71,Cartera_Polizas!$B$249+34-49))*(1+(Cartera_Polizas!$P$249-1)*MAX(0,1-34/Supuestos!$C$20))*(1-Supuestos!$C$18)^34))</f>
        <v>2.44386857404548E-008</v>
      </c>
      <c r="AL247" s="29" t="n">
        <f aca="false">AK247*(1-MIN(1,INDEX(Tabla_Mortalidad!$B$5:$B$75,MIN(71,Cartera_Polizas!$B$249+35-49))*(1+(Cartera_Polizas!$P$249-1)*MAX(0,1-35/Supuestos!$C$20))*(1-Supuestos!$C$18)^35))</f>
        <v>5.39597150231177E-009</v>
      </c>
      <c r="AM247" s="29" t="n">
        <f aca="false">AL247*(1-MIN(1,INDEX(Tabla_Mortalidad!$B$5:$B$75,MIN(71,Cartera_Polizas!$B$249+36-49))*(1+(Cartera_Polizas!$P$249-1)*MAX(0,1-36/Supuestos!$C$20))*(1-Supuestos!$C$18)^36))</f>
        <v>1.12744542048621E-009</v>
      </c>
      <c r="AN247" s="29" t="n">
        <f aca="false">AM247*(1-MIN(1,INDEX(Tabla_Mortalidad!$B$5:$B$75,MIN(71,Cartera_Polizas!$B$249+37-49))*(1+(Cartera_Polizas!$P$249-1)*MAX(0,1-37/Supuestos!$C$20))*(1-Supuestos!$C$18)^37))</f>
        <v>1.90855424787929E-010</v>
      </c>
      <c r="AO247" s="29" t="n">
        <f aca="false">AN247*(1-MIN(1,INDEX(Tabla_Mortalidad!$B$5:$B$75,MIN(71,Cartera_Polizas!$B$249+38-49))*(1+(Cartera_Polizas!$P$249-1)*MAX(0,1-38/Supuestos!$C$20))*(1-Supuestos!$C$18)^38))</f>
        <v>3.3100989990533E-011</v>
      </c>
      <c r="AP247" s="29" t="n">
        <f aca="false">AO247*(1-MIN(1,INDEX(Tabla_Mortalidad!$B$5:$B$75,MIN(71,Cartera_Polizas!$B$249+39-49))*(1+(Cartera_Polizas!$P$249-1)*MAX(0,1-39/Supuestos!$C$20))*(1-Supuestos!$C$18)^39))</f>
        <v>5.87766724176588E-012</v>
      </c>
      <c r="AQ247" s="29" t="n">
        <f aca="false">AP247*(1-MIN(1,INDEX(Tabla_Mortalidad!$B$5:$B$75,MIN(71,Cartera_Polizas!$B$249+40-49))*(1+(Cartera_Polizas!$P$249-1)*MAX(0,1-40/Supuestos!$C$20))*(1-Supuestos!$C$18)^40))</f>
        <v>1.06785387315302E-012</v>
      </c>
      <c r="AR247" s="29" t="n">
        <f aca="false">AQ247*(1-MIN(1,INDEX(Tabla_Mortalidad!$B$5:$B$75,MIN(71,Cartera_Polizas!$B$249+41-49))*(1+(Cartera_Polizas!$P$249-1)*MAX(0,1-41/Supuestos!$C$20))*(1-Supuestos!$C$18)^41))</f>
        <v>1.98376793993474E-013</v>
      </c>
      <c r="AS247" s="29" t="n">
        <f aca="false">AR247*(1-MIN(1,INDEX(Tabla_Mortalidad!$B$5:$B$75,MIN(71,Cartera_Polizas!$B$249+42-49))*(1+(Cartera_Polizas!$P$249-1)*MAX(0,1-42/Supuestos!$C$20))*(1-Supuestos!$C$18)^42))</f>
        <v>3.76603707522808E-014</v>
      </c>
      <c r="AT247" s="29" t="n">
        <f aca="false">AS247*(1-MIN(1,INDEX(Tabla_Mortalidad!$B$5:$B$75,MIN(71,Cartera_Polizas!$B$249+43-49))*(1+(Cartera_Polizas!$P$249-1)*MAX(0,1-43/Supuestos!$C$20))*(1-Supuestos!$C$18)^43))</f>
        <v>7.30209767213559E-015</v>
      </c>
      <c r="AU247" s="29" t="n">
        <f aca="false">AT247*(1-MIN(1,INDEX(Tabla_Mortalidad!$B$5:$B$75,MIN(71,Cartera_Polizas!$B$249+44-49))*(1+(Cartera_Polizas!$P$249-1)*MAX(0,1-44/Supuestos!$C$20))*(1-Supuestos!$C$18)^44))</f>
        <v>1.44525995634428E-015</v>
      </c>
    </row>
    <row r="248" customFormat="false" ht="15" hidden="false" customHeight="false" outlineLevel="0" collapsed="false">
      <c r="A248" s="14" t="n">
        <f aca="false">Cartera_Polizas!A250</f>
        <v>245</v>
      </c>
      <c r="B248" s="26" t="n">
        <f aca="false">SUM(C248:AU248)+0.5</f>
        <v>9.26018757892311</v>
      </c>
      <c r="C248" s="29" t="n">
        <f aca="false">1-MIN(1,INDEX(Tabla_Mortalidad!$B$5:$B$75,MIN(71,Cartera_Polizas!$B$250+0-49))*(1+(Cartera_Polizas!$P$250-1)*MAX(0,1-0/Supuestos!$C$20))*(1-Supuestos!$C$18)^0)</f>
        <v>0.9501694778125</v>
      </c>
      <c r="D248" s="29" t="n">
        <f aca="false">C248*(1-MIN(1,INDEX(Tabla_Mortalidad!$B$5:$B$75,MIN(71,Cartera_Polizas!$B$250+1-49))*(1+(Cartera_Polizas!$P$250-1)*MAX(0,1-1/Supuestos!$C$20))*(1-Supuestos!$C$18)^1))</f>
        <v>0.897785036751921</v>
      </c>
      <c r="E248" s="29" t="n">
        <f aca="false">D248*(1-MIN(1,INDEX(Tabla_Mortalidad!$B$5:$B$75,MIN(71,Cartera_Polizas!$B$250+2-49))*(1+(Cartera_Polizas!$P$250-1)*MAX(0,1-2/Supuestos!$C$20))*(1-Supuestos!$C$18)^2))</f>
        <v>0.843042338812281</v>
      </c>
      <c r="F248" s="29" t="n">
        <f aca="false">E248*(1-MIN(1,INDEX(Tabla_Mortalidad!$B$5:$B$75,MIN(71,Cartera_Polizas!$B$250+3-49))*(1+(Cartera_Polizas!$P$250-1)*MAX(0,1-3/Supuestos!$C$20))*(1-Supuestos!$C$18)^3))</f>
        <v>0.786210506959075</v>
      </c>
      <c r="G248" s="29" t="n">
        <f aca="false">F248*(1-MIN(1,INDEX(Tabla_Mortalidad!$B$5:$B$75,MIN(71,Cartera_Polizas!$B$250+4-49))*(1+(Cartera_Polizas!$P$250-1)*MAX(0,1-4/Supuestos!$C$20))*(1-Supuestos!$C$18)^4))</f>
        <v>0.727637648940149</v>
      </c>
      <c r="H248" s="29" t="n">
        <f aca="false">G248*(1-MIN(1,INDEX(Tabla_Mortalidad!$B$5:$B$75,MIN(71,Cartera_Polizas!$B$250+5-49))*(1+(Cartera_Polizas!$P$250-1)*MAX(0,1-5/Supuestos!$C$20))*(1-Supuestos!$C$18)^5))</f>
        <v>0.667758062181336</v>
      </c>
      <c r="I248" s="29" t="n">
        <f aca="false">H248*(1-MIN(1,INDEX(Tabla_Mortalidad!$B$5:$B$75,MIN(71,Cartera_Polizas!$B$250+6-49))*(1+(Cartera_Polizas!$P$250-1)*MAX(0,1-6/Supuestos!$C$20))*(1-Supuestos!$C$18)^6))</f>
        <v>0.607087992527711</v>
      </c>
      <c r="J248" s="29" t="n">
        <f aca="false">I248*(1-MIN(1,INDEX(Tabla_Mortalidad!$B$5:$B$75,MIN(71,Cartera_Polizas!$B$250+7-49))*(1+(Cartera_Polizas!$P$250-1)*MAX(0,1-7/Supuestos!$C$20))*(1-Supuestos!$C$18)^7))</f>
        <v>0.54622618903761</v>
      </c>
      <c r="K248" s="29" t="n">
        <f aca="false">J248*(1-MIN(1,INDEX(Tabla_Mortalidad!$B$5:$B$75,MIN(71,Cartera_Polizas!$B$250+8-49))*(1+(Cartera_Polizas!$P$250-1)*MAX(0,1-8/Supuestos!$C$20))*(1-Supuestos!$C$18)^8))</f>
        <v>0.485841262710079</v>
      </c>
      <c r="L248" s="29" t="n">
        <f aca="false">K248*(1-MIN(1,INDEX(Tabla_Mortalidad!$B$5:$B$75,MIN(71,Cartera_Polizas!$B$250+9-49))*(1+(Cartera_Polizas!$P$250-1)*MAX(0,1-9/Supuestos!$C$20))*(1-Supuestos!$C$18)^9))</f>
        <v>0.426656860863722</v>
      </c>
      <c r="M248" s="29" t="n">
        <f aca="false">L248*(1-MIN(1,INDEX(Tabla_Mortalidad!$B$5:$B$75,MIN(71,Cartera_Polizas!$B$250+10-49))*(1+(Cartera_Polizas!$P$250-1)*MAX(0,1-10/Supuestos!$C$20))*(1-Supuestos!$C$18)^10))</f>
        <v>0.369428772487627</v>
      </c>
      <c r="N248" s="29" t="n">
        <f aca="false">M248*(1-MIN(1,INDEX(Tabla_Mortalidad!$B$5:$B$75,MIN(71,Cartera_Polizas!$B$250+11-49))*(1+(Cartera_Polizas!$P$250-1)*MAX(0,1-11/Supuestos!$C$20))*(1-Supuestos!$C$18)^11))</f>
        <v>0.314915701325124</v>
      </c>
      <c r="O248" s="29" t="n">
        <f aca="false">N248*(1-MIN(1,INDEX(Tabla_Mortalidad!$B$5:$B$75,MIN(71,Cartera_Polizas!$B$250+12-49))*(1+(Cartera_Polizas!$P$250-1)*MAX(0,1-12/Supuestos!$C$20))*(1-Supuestos!$C$18)^12))</f>
        <v>0.263843777237708</v>
      </c>
      <c r="P248" s="29" t="n">
        <f aca="false">O248*(1-MIN(1,INDEX(Tabla_Mortalidad!$B$5:$B$75,MIN(71,Cartera_Polizas!$B$250+13-49))*(1+(Cartera_Polizas!$P$250-1)*MAX(0,1-13/Supuestos!$C$20))*(1-Supuestos!$C$18)^13))</f>
        <v>0.216866254319548</v>
      </c>
      <c r="Q248" s="29" t="n">
        <f aca="false">P248*(1-MIN(1,INDEX(Tabla_Mortalidad!$B$5:$B$75,MIN(71,Cartera_Polizas!$B$250+14-49))*(1+(Cartera_Polizas!$P$250-1)*MAX(0,1-14/Supuestos!$C$20))*(1-Supuestos!$C$18)^14))</f>
        <v>0.174523807277843</v>
      </c>
      <c r="R248" s="29" t="n">
        <f aca="false">Q248*(1-MIN(1,INDEX(Tabla_Mortalidad!$B$5:$B$75,MIN(71,Cartera_Polizas!$B$250+15-49))*(1+(Cartera_Polizas!$P$250-1)*MAX(0,1-15/Supuestos!$C$20))*(1-Supuestos!$C$18)^15))</f>
        <v>0.137206730440656</v>
      </c>
      <c r="S248" s="29" t="n">
        <f aca="false">R248*(1-MIN(1,INDEX(Tabla_Mortalidad!$B$5:$B$75,MIN(71,Cartera_Polizas!$B$250+16-49))*(1+(Cartera_Polizas!$P$250-1)*MAX(0,1-16/Supuestos!$C$20))*(1-Supuestos!$C$18)^16))</f>
        <v>0.105091370496076</v>
      </c>
      <c r="T248" s="29" t="n">
        <f aca="false">S248*(1-MIN(1,INDEX(Tabla_Mortalidad!$B$5:$B$75,MIN(71,Cartera_Polizas!$B$250+17-49))*(1+(Cartera_Polizas!$P$250-1)*MAX(0,1-17/Supuestos!$C$20))*(1-Supuestos!$C$18)^17))</f>
        <v>0.0782072810553445</v>
      </c>
      <c r="U248" s="29" t="n">
        <f aca="false">T248*(1-MIN(1,INDEX(Tabla_Mortalidad!$B$5:$B$75,MIN(71,Cartera_Polizas!$B$250+18-49))*(1+(Cartera_Polizas!$P$250-1)*MAX(0,1-18/Supuestos!$C$20))*(1-Supuestos!$C$18)^18))</f>
        <v>0.0563799856175539</v>
      </c>
      <c r="V248" s="29" t="n">
        <f aca="false">U248*(1-MIN(1,INDEX(Tabla_Mortalidad!$B$5:$B$75,MIN(71,Cartera_Polizas!$B$250+19-49))*(1+(Cartera_Polizas!$P$250-1)*MAX(0,1-19/Supuestos!$C$20))*(1-Supuestos!$C$18)^19))</f>
        <v>0.0392459014369647</v>
      </c>
      <c r="W248" s="29" t="n">
        <f aca="false">V248*(1-MIN(1,INDEX(Tabla_Mortalidad!$B$5:$B$75,MIN(71,Cartera_Polizas!$B$250+20-49))*(1+(Cartera_Polizas!$P$250-1)*MAX(0,1-20/Supuestos!$C$20))*(1-Supuestos!$C$18)^20))</f>
        <v>0.0262864427469332</v>
      </c>
      <c r="X248" s="29" t="n">
        <f aca="false">W248*(1-MIN(1,INDEX(Tabla_Mortalidad!$B$5:$B$75,MIN(71,Cartera_Polizas!$B$250+21-49))*(1+(Cartera_Polizas!$P$250-1)*MAX(0,1-21/Supuestos!$C$20))*(1-Supuestos!$C$18)^21))</f>
        <v>0.0168769406136787</v>
      </c>
      <c r="Y248" s="29" t="n">
        <f aca="false">X248*(1-MIN(1,INDEX(Tabla_Mortalidad!$B$5:$B$75,MIN(71,Cartera_Polizas!$B$250+22-49))*(1+(Cartera_Polizas!$P$250-1)*MAX(0,1-22/Supuestos!$C$20))*(1-Supuestos!$C$18)^22))</f>
        <v>0.0103447004410067</v>
      </c>
      <c r="Z248" s="29" t="n">
        <f aca="false">Y248*(1-MIN(1,INDEX(Tabla_Mortalidad!$B$5:$B$75,MIN(71,Cartera_Polizas!$B$250+23-49))*(1+(Cartera_Polizas!$P$250-1)*MAX(0,1-23/Supuestos!$C$20))*(1-Supuestos!$C$18)^23))</f>
        <v>0.00602742231248111</v>
      </c>
      <c r="AA248" s="29" t="n">
        <f aca="false">Z248*(1-MIN(1,INDEX(Tabla_Mortalidad!$B$5:$B$75,MIN(71,Cartera_Polizas!$B$250+24-49))*(1+(Cartera_Polizas!$P$250-1)*MAX(0,1-24/Supuestos!$C$20))*(1-Supuestos!$C$18)^24))</f>
        <v>0.00332326604642342</v>
      </c>
      <c r="AB248" s="29" t="n">
        <f aca="false">AA248*(1-MIN(1,INDEX(Tabla_Mortalidad!$B$5:$B$75,MIN(71,Cartera_Polizas!$B$250+25-49))*(1+(Cartera_Polizas!$P$250-1)*MAX(0,1-25/Supuestos!$C$20))*(1-Supuestos!$C$18)^25))</f>
        <v>0.00172573769028658</v>
      </c>
      <c r="AC248" s="29" t="n">
        <f aca="false">AB248*(1-MIN(1,INDEX(Tabla_Mortalidad!$B$5:$B$75,MIN(71,Cartera_Polizas!$B$250+26-49))*(1+(Cartera_Polizas!$P$250-1)*MAX(0,1-26/Supuestos!$C$20))*(1-Supuestos!$C$18)^26))</f>
        <v>0.000840000242606477</v>
      </c>
      <c r="AD248" s="29" t="n">
        <f aca="false">AC248*(1-MIN(1,INDEX(Tabla_Mortalidad!$B$5:$B$75,MIN(71,Cartera_Polizas!$B$250+27-49))*(1+(Cartera_Polizas!$P$250-1)*MAX(0,1-27/Supuestos!$C$20))*(1-Supuestos!$C$18)^27))</f>
        <v>0.000381428147525959</v>
      </c>
      <c r="AE248" s="29" t="n">
        <f aca="false">AD248*(1-MIN(1,INDEX(Tabla_Mortalidad!$B$5:$B$75,MIN(71,Cartera_Polizas!$B$250+28-49))*(1+(Cartera_Polizas!$P$250-1)*MAX(0,1-28/Supuestos!$C$20))*(1-Supuestos!$C$18)^28))</f>
        <v>0.000160842276208046</v>
      </c>
      <c r="AF248" s="29" t="n">
        <f aca="false">AE248*(1-MIN(1,INDEX(Tabla_Mortalidad!$B$5:$B$75,MIN(71,Cartera_Polizas!$B$250+29-49))*(1+(Cartera_Polizas!$P$250-1)*MAX(0,1-29/Supuestos!$C$20))*(1-Supuestos!$C$18)^29))</f>
        <v>6.27271899605895E-005</v>
      </c>
      <c r="AG248" s="29" t="n">
        <f aca="false">AF248*(1-MIN(1,INDEX(Tabla_Mortalidad!$B$5:$B$75,MIN(71,Cartera_Polizas!$B$250+30-49))*(1+(Cartera_Polizas!$P$250-1)*MAX(0,1-30/Supuestos!$C$20))*(1-Supuestos!$C$18)^30))</f>
        <v>2.25482593682138E-005</v>
      </c>
      <c r="AH248" s="29" t="n">
        <f aca="false">AG248*(1-MIN(1,INDEX(Tabla_Mortalidad!$B$5:$B$75,MIN(71,Cartera_Polizas!$B$250+31-49))*(1+(Cartera_Polizas!$P$250-1)*MAX(0,1-31/Supuestos!$C$20))*(1-Supuestos!$C$18)^31))</f>
        <v>7.45391779121507E-006</v>
      </c>
      <c r="AI248" s="29" t="n">
        <f aca="false">AH248*(1-MIN(1,INDEX(Tabla_Mortalidad!$B$5:$B$75,MIN(71,Cartera_Polizas!$B$250+32-49))*(1+(Cartera_Polizas!$P$250-1)*MAX(0,1-32/Supuestos!$C$20))*(1-Supuestos!$C$18)^32))</f>
        <v>2.26434293428969E-006</v>
      </c>
      <c r="AJ248" s="29" t="n">
        <f aca="false">AI248*(1-MIN(1,INDEX(Tabla_Mortalidad!$B$5:$B$75,MIN(71,Cartera_Polizas!$B$250+33-49))*(1+(Cartera_Polizas!$P$250-1)*MAX(0,1-33/Supuestos!$C$20))*(1-Supuestos!$C$18)^33))</f>
        <v>6.32863719706881E-007</v>
      </c>
      <c r="AK248" s="29" t="n">
        <f aca="false">AJ248*(1-MIN(1,INDEX(Tabla_Mortalidad!$B$5:$B$75,MIN(71,Cartera_Polizas!$B$250+34-49))*(1+(Cartera_Polizas!$P$250-1)*MAX(0,1-34/Supuestos!$C$20))*(1-Supuestos!$C$18)^34))</f>
        <v>1.6331903572167E-007</v>
      </c>
      <c r="AL248" s="29" t="n">
        <f aca="false">AK248*(1-MIN(1,INDEX(Tabla_Mortalidad!$B$5:$B$75,MIN(71,Cartera_Polizas!$B$250+35-49))*(1+(Cartera_Polizas!$P$250-1)*MAX(0,1-35/Supuestos!$C$20))*(1-Supuestos!$C$18)^35))</f>
        <v>3.91558167636075E-008</v>
      </c>
      <c r="AM248" s="29" t="n">
        <f aca="false">AL248*(1-MIN(1,INDEX(Tabla_Mortalidad!$B$5:$B$75,MIN(71,Cartera_Polizas!$B$250+36-49))*(1+(Cartera_Polizas!$P$250-1)*MAX(0,1-36/Supuestos!$C$20))*(1-Supuestos!$C$18)^36))</f>
        <v>8.79801143304519E-009</v>
      </c>
      <c r="AN248" s="29" t="n">
        <f aca="false">AM248*(1-MIN(1,INDEX(Tabla_Mortalidad!$B$5:$B$75,MIN(71,Cartera_Polizas!$B$250+37-49))*(1+(Cartera_Polizas!$P$250-1)*MAX(0,1-37/Supuestos!$C$20))*(1-Supuestos!$C$18)^37))</f>
        <v>1.87307334769889E-009</v>
      </c>
      <c r="AO248" s="29" t="n">
        <f aca="false">AN248*(1-MIN(1,INDEX(Tabla_Mortalidad!$B$5:$B$75,MIN(71,Cartera_Polizas!$B$250+38-49))*(1+(Cartera_Polizas!$P$250-1)*MAX(0,1-38/Supuestos!$C$20))*(1-Supuestos!$C$18)^38))</f>
        <v>3.24856273813583E-010</v>
      </c>
      <c r="AP248" s="29" t="n">
        <f aca="false">AO248*(1-MIN(1,INDEX(Tabla_Mortalidad!$B$5:$B$75,MIN(71,Cartera_Polizas!$B$250+39-49))*(1+(Cartera_Polizas!$P$250-1)*MAX(0,1-39/Supuestos!$C$20))*(1-Supuestos!$C$18)^39))</f>
        <v>5.76839870777978E-011</v>
      </c>
      <c r="AQ248" s="29" t="n">
        <f aca="false">AP248*(1-MIN(1,INDEX(Tabla_Mortalidad!$B$5:$B$75,MIN(71,Cartera_Polizas!$B$250+40-49))*(1+(Cartera_Polizas!$P$250-1)*MAX(0,1-40/Supuestos!$C$20))*(1-Supuestos!$C$18)^40))</f>
        <v>1.04800197912239E-011</v>
      </c>
      <c r="AR248" s="29" t="n">
        <f aca="false">AQ248*(1-MIN(1,INDEX(Tabla_Mortalidad!$B$5:$B$75,MIN(71,Cartera_Polizas!$B$250+41-49))*(1+(Cartera_Polizas!$P$250-1)*MAX(0,1-41/Supuestos!$C$20))*(1-Supuestos!$C$18)^41))</f>
        <v>1.94688878266891E-012</v>
      </c>
      <c r="AS248" s="29" t="n">
        <f aca="false">AR248*(1-MIN(1,INDEX(Tabla_Mortalidad!$B$5:$B$75,MIN(71,Cartera_Polizas!$B$250+42-49))*(1+(Cartera_Polizas!$P$250-1)*MAX(0,1-42/Supuestos!$C$20))*(1-Supuestos!$C$18)^42))</f>
        <v>3.69602471603508E-013</v>
      </c>
      <c r="AT248" s="29" t="n">
        <f aca="false">AS248*(1-MIN(1,INDEX(Tabla_Mortalidad!$B$5:$B$75,MIN(71,Cartera_Polizas!$B$250+43-49))*(1+(Cartera_Polizas!$P$250-1)*MAX(0,1-43/Supuestos!$C$20))*(1-Supuestos!$C$18)^43))</f>
        <v>7.16634832212342E-014</v>
      </c>
      <c r="AU248" s="29" t="n">
        <f aca="false">AT248*(1-MIN(1,INDEX(Tabla_Mortalidad!$B$5:$B$75,MIN(71,Cartera_Polizas!$B$250+44-49))*(1+(Cartera_Polizas!$P$250-1)*MAX(0,1-44/Supuestos!$C$20))*(1-Supuestos!$C$18)^44))</f>
        <v>1.4183919098621E-014</v>
      </c>
    </row>
    <row r="249" customFormat="false" ht="15" hidden="false" customHeight="false" outlineLevel="0" collapsed="false">
      <c r="A249" s="14" t="n">
        <f aca="false">Cartera_Polizas!A251</f>
        <v>246</v>
      </c>
      <c r="B249" s="26" t="n">
        <f aca="false">SUM(C249:AU249)+0.5</f>
        <v>3.98782124602581</v>
      </c>
      <c r="C249" s="29" t="n">
        <f aca="false">1-MIN(1,INDEX(Tabla_Mortalidad!$B$5:$B$75,MIN(71,Cartera_Polizas!$B$251+0-49))*(1+(Cartera_Polizas!$P$251-1)*MAX(0,1-0/Supuestos!$C$20))*(1-Supuestos!$C$18)^0)</f>
        <v>0.81873584</v>
      </c>
      <c r="D249" s="29" t="n">
        <f aca="false">C249*(1-MIN(1,INDEX(Tabla_Mortalidad!$B$5:$B$75,MIN(71,Cartera_Polizas!$B$251+1-49))*(1+(Cartera_Polizas!$P$251-1)*MAX(0,1-1/Supuestos!$C$20))*(1-Supuestos!$C$18)^1))</f>
        <v>0.659634931257819</v>
      </c>
      <c r="E249" s="29" t="n">
        <f aca="false">D249*(1-MIN(1,INDEX(Tabla_Mortalidad!$B$5:$B$75,MIN(71,Cartera_Polizas!$B$251+2-49))*(1+(Cartera_Polizas!$P$251-1)*MAX(0,1-2/Supuestos!$C$20))*(1-Supuestos!$C$18)^2))</f>
        <v>0.522432400227292</v>
      </c>
      <c r="F249" s="29" t="n">
        <f aca="false">E249*(1-MIN(1,INDEX(Tabla_Mortalidad!$B$5:$B$75,MIN(71,Cartera_Polizas!$B$251+3-49))*(1+(Cartera_Polizas!$P$251-1)*MAX(0,1-3/Supuestos!$C$20))*(1-Supuestos!$C$18)^3))</f>
        <v>0.406321226699386</v>
      </c>
      <c r="G249" s="29" t="n">
        <f aca="false">F249*(1-MIN(1,INDEX(Tabla_Mortalidad!$B$5:$B$75,MIN(71,Cartera_Polizas!$B$251+4-49))*(1+(Cartera_Polizas!$P$251-1)*MAX(0,1-4/Supuestos!$C$20))*(1-Supuestos!$C$18)^4))</f>
        <v>0.310007164578662</v>
      </c>
      <c r="H249" s="29" t="n">
        <f aca="false">G249*(1-MIN(1,INDEX(Tabla_Mortalidad!$B$5:$B$75,MIN(71,Cartera_Polizas!$B$251+5-49))*(1+(Cartera_Polizas!$P$251-1)*MAX(0,1-5/Supuestos!$C$20))*(1-Supuestos!$C$18)^5))</f>
        <v>0.23179266758888</v>
      </c>
      <c r="I249" s="29" t="n">
        <f aca="false">H249*(1-MIN(1,INDEX(Tabla_Mortalidad!$B$5:$B$75,MIN(71,Cartera_Polizas!$B$251+6-49))*(1+(Cartera_Polizas!$P$251-1)*MAX(0,1-6/Supuestos!$C$20))*(1-Supuestos!$C$18)^6))</f>
        <v>0.16968331818667</v>
      </c>
      <c r="J249" s="29" t="n">
        <f aca="false">I249*(1-MIN(1,INDEX(Tabla_Mortalidad!$B$5:$B$75,MIN(71,Cartera_Polizas!$B$251+7-49))*(1+(Cartera_Polizas!$P$251-1)*MAX(0,1-7/Supuestos!$C$20))*(1-Supuestos!$C$18)^7))</f>
        <v>0.121510973080893</v>
      </c>
      <c r="K249" s="29" t="n">
        <f aca="false">J249*(1-MIN(1,INDEX(Tabla_Mortalidad!$B$5:$B$75,MIN(71,Cartera_Polizas!$B$251+8-49))*(1+(Cartera_Polizas!$P$251-1)*MAX(0,1-8/Supuestos!$C$20))*(1-Supuestos!$C$18)^8))</f>
        <v>0.0850574660486076</v>
      </c>
      <c r="L249" s="29" t="n">
        <f aca="false">K249*(1-MIN(1,INDEX(Tabla_Mortalidad!$B$5:$B$75,MIN(71,Cartera_Polizas!$B$251+9-49))*(1+(Cartera_Polizas!$P$251-1)*MAX(0,1-9/Supuestos!$C$20))*(1-Supuestos!$C$18)^9))</f>
        <v>0.0581690112632381</v>
      </c>
      <c r="M249" s="29" t="n">
        <f aca="false">L249*(1-MIN(1,INDEX(Tabla_Mortalidad!$B$5:$B$75,MIN(71,Cartera_Polizas!$B$251+10-49))*(1+(Cartera_Polizas!$P$251-1)*MAX(0,1-10/Supuestos!$C$20))*(1-Supuestos!$C$18)^10))</f>
        <v>0.0388526649637144</v>
      </c>
      <c r="N249" s="29" t="n">
        <f aca="false">M249*(1-MIN(1,INDEX(Tabla_Mortalidad!$B$5:$B$75,MIN(71,Cartera_Polizas!$B$251+11-49))*(1+(Cartera_Polizas!$P$251-1)*MAX(0,1-11/Supuestos!$C$20))*(1-Supuestos!$C$18)^11))</f>
        <v>0.0253457159259883</v>
      </c>
      <c r="O249" s="29" t="n">
        <f aca="false">N249*(1-MIN(1,INDEX(Tabla_Mortalidad!$B$5:$B$75,MIN(71,Cartera_Polizas!$B$251+12-49))*(1+(Cartera_Polizas!$P$251-1)*MAX(0,1-12/Supuestos!$C$20))*(1-Supuestos!$C$18)^12))</f>
        <v>0.0161553794423233</v>
      </c>
      <c r="P249" s="29" t="n">
        <f aca="false">O249*(1-MIN(1,INDEX(Tabla_Mortalidad!$B$5:$B$75,MIN(71,Cartera_Polizas!$B$251+13-49))*(1+(Cartera_Polizas!$P$251-1)*MAX(0,1-13/Supuestos!$C$20))*(1-Supuestos!$C$18)^13))</f>
        <v>0.0100702904458396</v>
      </c>
      <c r="Q249" s="29" t="n">
        <f aca="false">P249*(1-MIN(1,INDEX(Tabla_Mortalidad!$B$5:$B$75,MIN(71,Cartera_Polizas!$B$251+14-49))*(1+(Cartera_Polizas!$P$251-1)*MAX(0,1-14/Supuestos!$C$20))*(1-Supuestos!$C$18)^14))</f>
        <v>0.00614763455461214</v>
      </c>
      <c r="R249" s="29" t="n">
        <f aca="false">Q249*(1-MIN(1,INDEX(Tabla_Mortalidad!$B$5:$B$75,MIN(71,Cartera_Polizas!$B$251+15-49))*(1+(Cartera_Polizas!$P$251-1)*MAX(0,1-15/Supuestos!$C$20))*(1-Supuestos!$C$18)^15))</f>
        <v>0.00368321356090311</v>
      </c>
      <c r="S249" s="29" t="n">
        <f aca="false">R249*(1-MIN(1,INDEX(Tabla_Mortalidad!$B$5:$B$75,MIN(71,Cartera_Polizas!$B$251+16-49))*(1+(Cartera_Polizas!$P$251-1)*MAX(0,1-16/Supuestos!$C$20))*(1-Supuestos!$C$18)^16))</f>
        <v>0.00209116084308689</v>
      </c>
      <c r="T249" s="29" t="n">
        <f aca="false">S249*(1-MIN(1,INDEX(Tabla_Mortalidad!$B$5:$B$75,MIN(71,Cartera_Polizas!$B$251+17-49))*(1+(Cartera_Polizas!$P$251-1)*MAX(0,1-17/Supuestos!$C$20))*(1-Supuestos!$C$18)^17))</f>
        <v>0.00111947464009074</v>
      </c>
      <c r="U249" s="29" t="n">
        <f aca="false">T249*(1-MIN(1,INDEX(Tabla_Mortalidad!$B$5:$B$75,MIN(71,Cartera_Polizas!$B$251+18-49))*(1+(Cartera_Polizas!$P$251-1)*MAX(0,1-18/Supuestos!$C$20))*(1-Supuestos!$C$18)^18))</f>
        <v>0.000562114175206982</v>
      </c>
      <c r="V249" s="29" t="n">
        <f aca="false">U249*(1-MIN(1,INDEX(Tabla_Mortalidad!$B$5:$B$75,MIN(71,Cartera_Polizas!$B$251+19-49))*(1+(Cartera_Polizas!$P$251-1)*MAX(0,1-19/Supuestos!$C$20))*(1-Supuestos!$C$18)^19))</f>
        <v>0.000263305505355574</v>
      </c>
      <c r="W249" s="29" t="n">
        <f aca="false">V249*(1-MIN(1,INDEX(Tabla_Mortalidad!$B$5:$B$75,MIN(71,Cartera_Polizas!$B$251+20-49))*(1+(Cartera_Polizas!$P$251-1)*MAX(0,1-20/Supuestos!$C$20))*(1-Supuestos!$C$18)^20))</f>
        <v>0.000114428855767806</v>
      </c>
      <c r="X249" s="29" t="n">
        <f aca="false">W249*(1-MIN(1,INDEX(Tabla_Mortalidad!$B$5:$B$75,MIN(71,Cartera_Polizas!$B$251+21-49))*(1+(Cartera_Polizas!$P$251-1)*MAX(0,1-21/Supuestos!$C$20))*(1-Supuestos!$C$18)^21))</f>
        <v>4.58896695818478E-005</v>
      </c>
      <c r="Y249" s="29" t="n">
        <f aca="false">X249*(1-MIN(1,INDEX(Tabla_Mortalidad!$B$5:$B$75,MIN(71,Cartera_Polizas!$B$251+22-49))*(1+(Cartera_Polizas!$P$251-1)*MAX(0,1-22/Supuestos!$C$20))*(1-Supuestos!$C$18)^22))</f>
        <v>1.68969506798206E-005</v>
      </c>
      <c r="Z249" s="29" t="n">
        <f aca="false">Y249*(1-MIN(1,INDEX(Tabla_Mortalidad!$B$5:$B$75,MIN(71,Cartera_Polizas!$B$251+23-49))*(1+(Cartera_Polizas!$P$251-1)*MAX(0,1-23/Supuestos!$C$20))*(1-Supuestos!$C$18)^23))</f>
        <v>5.6873714227822E-006</v>
      </c>
      <c r="AA249" s="29" t="n">
        <f aca="false">Z249*(1-MIN(1,INDEX(Tabla_Mortalidad!$B$5:$B$75,MIN(71,Cartera_Polizas!$B$251+24-49))*(1+(Cartera_Polizas!$P$251-1)*MAX(0,1-24/Supuestos!$C$20))*(1-Supuestos!$C$18)^24))</f>
        <v>1.74414987748793E-006</v>
      </c>
      <c r="AB249" s="29" t="n">
        <f aca="false">AA249*(1-MIN(1,INDEX(Tabla_Mortalidad!$B$5:$B$75,MIN(71,Cartera_Polizas!$B$251+25-49))*(1+(Cartera_Polizas!$P$251-1)*MAX(0,1-25/Supuestos!$C$20))*(1-Supuestos!$C$18)^25))</f>
        <v>4.86472008736191E-007</v>
      </c>
      <c r="AC249" s="29" t="n">
        <f aca="false">AB249*(1-MIN(1,INDEX(Tabla_Mortalidad!$B$5:$B$75,MIN(71,Cartera_Polizas!$B$251+26-49))*(1+(Cartera_Polizas!$P$251-1)*MAX(0,1-26/Supuestos!$C$20))*(1-Supuestos!$C$18)^26))</f>
        <v>1.23447760338492E-007</v>
      </c>
      <c r="AD249" s="29" t="n">
        <f aca="false">AC249*(1-MIN(1,INDEX(Tabla_Mortalidad!$B$5:$B$75,MIN(71,Cartera_Polizas!$B$251+27-49))*(1+(Cartera_Polizas!$P$251-1)*MAX(0,1-27/Supuestos!$C$20))*(1-Supuestos!$C$18)^27))</f>
        <v>2.85866118501598E-008</v>
      </c>
      <c r="AE249" s="29" t="n">
        <f aca="false">AD249*(1-MIN(1,INDEX(Tabla_Mortalidad!$B$5:$B$75,MIN(71,Cartera_Polizas!$B$251+28-49))*(1+(Cartera_Polizas!$P$251-1)*MAX(0,1-28/Supuestos!$C$20))*(1-Supuestos!$C$18)^28))</f>
        <v>6.07755615362291E-009</v>
      </c>
      <c r="AF249" s="29" t="n">
        <f aca="false">AE249*(1-MIN(1,INDEX(Tabla_Mortalidad!$B$5:$B$75,MIN(71,Cartera_Polizas!$B$251+29-49))*(1+(Cartera_Polizas!$P$251-1)*MAX(0,1-29/Supuestos!$C$20))*(1-Supuestos!$C$18)^29))</f>
        <v>1.19731256895775E-009</v>
      </c>
      <c r="AG249" s="29" t="n">
        <f aca="false">AF249*(1-MIN(1,INDEX(Tabla_Mortalidad!$B$5:$B$75,MIN(71,Cartera_Polizas!$B$251+30-49))*(1+(Cartera_Polizas!$P$251-1)*MAX(0,1-30/Supuestos!$C$20))*(1-Supuestos!$C$18)^30))</f>
        <v>2.21250694814337E-010</v>
      </c>
      <c r="AH249" s="29" t="n">
        <f aca="false">AG249*(1-MIN(1,INDEX(Tabla_Mortalidad!$B$5:$B$75,MIN(71,Cartera_Polizas!$B$251+31-49))*(1+(Cartera_Polizas!$P$251-1)*MAX(0,1-31/Supuestos!$C$20))*(1-Supuestos!$C$18)^31))</f>
        <v>3.18418975472806E-011</v>
      </c>
      <c r="AI249" s="29" t="n">
        <f aca="false">AH249*(1-MIN(1,INDEX(Tabla_Mortalidad!$B$5:$B$75,MIN(71,Cartera_Polizas!$B$251+32-49))*(1+(Cartera_Polizas!$P$251-1)*MAX(0,1-32/Supuestos!$C$20))*(1-Supuestos!$C$18)^32))</f>
        <v>4.71891000330326E-012</v>
      </c>
      <c r="AJ249" s="29" t="n">
        <f aca="false">AI249*(1-MIN(1,INDEX(Tabla_Mortalidad!$B$5:$B$75,MIN(71,Cartera_Polizas!$B$251+33-49))*(1+(Cartera_Polizas!$P$251-1)*MAX(0,1-33/Supuestos!$C$20))*(1-Supuestos!$C$18)^33))</f>
        <v>7.19431568783366E-013</v>
      </c>
      <c r="AK249" s="29" t="n">
        <f aca="false">AJ249*(1-MIN(1,INDEX(Tabla_Mortalidad!$B$5:$B$75,MIN(71,Cartera_Polizas!$B$251+34-49))*(1+(Cartera_Polizas!$P$251-1)*MAX(0,1-34/Supuestos!$C$20))*(1-Supuestos!$C$18)^34))</f>
        <v>1.12731231791245E-013</v>
      </c>
      <c r="AL249" s="29" t="n">
        <f aca="false">AK249*(1-MIN(1,INDEX(Tabla_Mortalidad!$B$5:$B$75,MIN(71,Cartera_Polizas!$B$251+35-49))*(1+(Cartera_Polizas!$P$251-1)*MAX(0,1-35/Supuestos!$C$20))*(1-Supuestos!$C$18)^35))</f>
        <v>1.81397391621656E-014</v>
      </c>
      <c r="AM249" s="29" t="n">
        <f aca="false">AL249*(1-MIN(1,INDEX(Tabla_Mortalidad!$B$5:$B$75,MIN(71,Cartera_Polizas!$B$251+36-49))*(1+(Cartera_Polizas!$P$251-1)*MAX(0,1-36/Supuestos!$C$20))*(1-Supuestos!$C$18)^36))</f>
        <v>2.99499487872962E-015</v>
      </c>
      <c r="AN249" s="29" t="n">
        <f aca="false">AM249*(1-MIN(1,INDEX(Tabla_Mortalidad!$B$5:$B$75,MIN(71,Cartera_Polizas!$B$251+37-49))*(1+(Cartera_Polizas!$P$251-1)*MAX(0,1-37/Supuestos!$C$20))*(1-Supuestos!$C$18)^37))</f>
        <v>5.06996622125712E-016</v>
      </c>
      <c r="AO249" s="29" t="n">
        <f aca="false">AN249*(1-MIN(1,INDEX(Tabla_Mortalidad!$B$5:$B$75,MIN(71,Cartera_Polizas!$B$251+38-49))*(1+(Cartera_Polizas!$P$251-1)*MAX(0,1-38/Supuestos!$C$20))*(1-Supuestos!$C$18)^38))</f>
        <v>8.79309044155535E-017</v>
      </c>
      <c r="AP249" s="29" t="n">
        <f aca="false">AO249*(1-MIN(1,INDEX(Tabla_Mortalidad!$B$5:$B$75,MIN(71,Cartera_Polizas!$B$251+39-49))*(1+(Cartera_Polizas!$P$251-1)*MAX(0,1-39/Supuestos!$C$20))*(1-Supuestos!$C$18)^39))</f>
        <v>1.56136900005093E-017</v>
      </c>
      <c r="AQ249" s="29" t="n">
        <f aca="false">AP249*(1-MIN(1,INDEX(Tabla_Mortalidad!$B$5:$B$75,MIN(71,Cartera_Polizas!$B$251+40-49))*(1+(Cartera_Polizas!$P$251-1)*MAX(0,1-40/Supuestos!$C$20))*(1-Supuestos!$C$18)^40))</f>
        <v>2.83669330968202E-018</v>
      </c>
      <c r="AR249" s="29" t="n">
        <f aca="false">AQ249*(1-MIN(1,INDEX(Tabla_Mortalidad!$B$5:$B$75,MIN(71,Cartera_Polizas!$B$251+41-49))*(1+(Cartera_Polizas!$P$251-1)*MAX(0,1-41/Supuestos!$C$20))*(1-Supuestos!$C$18)^41))</f>
        <v>5.26976713261235E-019</v>
      </c>
      <c r="AS249" s="29" t="n">
        <f aca="false">AR249*(1-MIN(1,INDEX(Tabla_Mortalidad!$B$5:$B$75,MIN(71,Cartera_Polizas!$B$251+42-49))*(1+(Cartera_Polizas!$P$251-1)*MAX(0,1-42/Supuestos!$C$20))*(1-Supuestos!$C$18)^42))</f>
        <v>1.00042641075696E-019</v>
      </c>
      <c r="AT249" s="29" t="n">
        <f aca="false">AS249*(1-MIN(1,INDEX(Tabla_Mortalidad!$B$5:$B$75,MIN(71,Cartera_Polizas!$B$251+43-49))*(1+(Cartera_Polizas!$P$251-1)*MAX(0,1-43/Supuestos!$C$20))*(1-Supuestos!$C$18)^43))</f>
        <v>1.93976087308938E-020</v>
      </c>
      <c r="AU249" s="29" t="n">
        <f aca="false">AT249*(1-MIN(1,INDEX(Tabla_Mortalidad!$B$5:$B$75,MIN(71,Cartera_Polizas!$B$251+44-49))*(1+(Cartera_Polizas!$P$251-1)*MAX(0,1-44/Supuestos!$C$20))*(1-Supuestos!$C$18)^44))</f>
        <v>3.83925118593983E-021</v>
      </c>
    </row>
    <row r="250" customFormat="false" ht="15" hidden="false" customHeight="false" outlineLevel="0" collapsed="false">
      <c r="A250" s="14" t="n">
        <f aca="false">Cartera_Polizas!A252</f>
        <v>247</v>
      </c>
      <c r="B250" s="26" t="n">
        <f aca="false">SUM(C250:AU250)+0.5</f>
        <v>5.84199174633384</v>
      </c>
      <c r="C250" s="29" t="n">
        <f aca="false">1-MIN(1,INDEX(Tabla_Mortalidad!$B$5:$B$75,MIN(71,Cartera_Polizas!$B$252+0-49))*(1+(Cartera_Polizas!$P$252-1)*MAX(0,1-0/Supuestos!$C$20))*(1-Supuestos!$C$18)^0)</f>
        <v>0.8799891125</v>
      </c>
      <c r="D250" s="29" t="n">
        <f aca="false">C250*(1-MIN(1,INDEX(Tabla_Mortalidad!$B$5:$B$75,MIN(71,Cartera_Polizas!$B$252+1-49))*(1+(Cartera_Polizas!$P$252-1)*MAX(0,1-1/Supuestos!$C$20))*(1-Supuestos!$C$18)^1))</f>
        <v>0.767315955202975</v>
      </c>
      <c r="E250" s="29" t="n">
        <f aca="false">D250*(1-MIN(1,INDEX(Tabla_Mortalidad!$B$5:$B$75,MIN(71,Cartera_Polizas!$B$252+2-49))*(1+(Cartera_Polizas!$P$252-1)*MAX(0,1-2/Supuestos!$C$20))*(1-Supuestos!$C$18)^2))</f>
        <v>0.662685325242169</v>
      </c>
      <c r="F250" s="29" t="n">
        <f aca="false">E250*(1-MIN(1,INDEX(Tabla_Mortalidad!$B$5:$B$75,MIN(71,Cartera_Polizas!$B$252+3-49))*(1+(Cartera_Polizas!$P$252-1)*MAX(0,1-3/Supuestos!$C$20))*(1-Supuestos!$C$18)^3))</f>
        <v>0.566636064127832</v>
      </c>
      <c r="G250" s="29" t="n">
        <f aca="false">F250*(1-MIN(1,INDEX(Tabla_Mortalidad!$B$5:$B$75,MIN(71,Cartera_Polizas!$B$252+4-49))*(1+(Cartera_Polizas!$P$252-1)*MAX(0,1-4/Supuestos!$C$20))*(1-Supuestos!$C$18)^4))</f>
        <v>0.479527280180136</v>
      </c>
      <c r="H250" s="29" t="n">
        <f aca="false">G250*(1-MIN(1,INDEX(Tabla_Mortalidad!$B$5:$B$75,MIN(71,Cartera_Polizas!$B$252+5-49))*(1+(Cartera_Polizas!$P$252-1)*MAX(0,1-5/Supuestos!$C$20))*(1-Supuestos!$C$18)^5))</f>
        <v>0.401518535828349</v>
      </c>
      <c r="I250" s="29" t="n">
        <f aca="false">H250*(1-MIN(1,INDEX(Tabla_Mortalidad!$B$5:$B$75,MIN(71,Cartera_Polizas!$B$252+6-49))*(1+(Cartera_Polizas!$P$252-1)*MAX(0,1-6/Supuestos!$C$20))*(1-Supuestos!$C$18)^6))</f>
        <v>0.332574275655299</v>
      </c>
      <c r="J250" s="29" t="n">
        <f aca="false">I250*(1-MIN(1,INDEX(Tabla_Mortalidad!$B$5:$B$75,MIN(71,Cartera_Polizas!$B$252+7-49))*(1+(Cartera_Polizas!$P$252-1)*MAX(0,1-7/Supuestos!$C$20))*(1-Supuestos!$C$18)^7))</f>
        <v>0.272466382983693</v>
      </c>
      <c r="K250" s="29" t="n">
        <f aca="false">J250*(1-MIN(1,INDEX(Tabla_Mortalidad!$B$5:$B$75,MIN(71,Cartera_Polizas!$B$252+8-49))*(1+(Cartera_Polizas!$P$252-1)*MAX(0,1-8/Supuestos!$C$20))*(1-Supuestos!$C$18)^8))</f>
        <v>0.220792727119105</v>
      </c>
      <c r="L250" s="29" t="n">
        <f aca="false">K250*(1-MIN(1,INDEX(Tabla_Mortalidad!$B$5:$B$75,MIN(71,Cartera_Polizas!$B$252+9-49))*(1+(Cartera_Polizas!$P$252-1)*MAX(0,1-9/Supuestos!$C$20))*(1-Supuestos!$C$18)^9))</f>
        <v>0.1770026336012</v>
      </c>
      <c r="M250" s="29" t="n">
        <f aca="false">L250*(1-MIN(1,INDEX(Tabla_Mortalidad!$B$5:$B$75,MIN(71,Cartera_Polizas!$B$252+10-49))*(1+(Cartera_Polizas!$P$252-1)*MAX(0,1-10/Supuestos!$C$20))*(1-Supuestos!$C$18)^10))</f>
        <v>0.140429548046478</v>
      </c>
      <c r="N250" s="29" t="n">
        <f aca="false">M250*(1-MIN(1,INDEX(Tabla_Mortalidad!$B$5:$B$75,MIN(71,Cartera_Polizas!$B$252+11-49))*(1+(Cartera_Polizas!$P$252-1)*MAX(0,1-11/Supuestos!$C$20))*(1-Supuestos!$C$18)^11))</f>
        <v>0.110327572609923</v>
      </c>
      <c r="O250" s="29" t="n">
        <f aca="false">N250*(1-MIN(1,INDEX(Tabla_Mortalidad!$B$5:$B$75,MIN(71,Cartera_Polizas!$B$252+12-49))*(1+(Cartera_Polizas!$P$252-1)*MAX(0,1-12/Supuestos!$C$20))*(1-Supuestos!$C$18)^12))</f>
        <v>0.0859089484448222</v>
      </c>
      <c r="P250" s="29" t="n">
        <f aca="false">O250*(1-MIN(1,INDEX(Tabla_Mortalidad!$B$5:$B$75,MIN(71,Cartera_Polizas!$B$252+13-49))*(1+(Cartera_Polizas!$P$252-1)*MAX(0,1-13/Supuestos!$C$20))*(1-Supuestos!$C$18)^13))</f>
        <v>0.0663809314017313</v>
      </c>
      <c r="Q250" s="29" t="n">
        <f aca="false">P250*(1-MIN(1,INDEX(Tabla_Mortalidad!$B$5:$B$75,MIN(71,Cartera_Polizas!$B$252+14-49))*(1+(Cartera_Polizas!$P$252-1)*MAX(0,1-14/Supuestos!$C$20))*(1-Supuestos!$C$18)^14))</f>
        <v>0.0509776528015384</v>
      </c>
      <c r="R250" s="29" t="n">
        <f aca="false">Q250*(1-MIN(1,INDEX(Tabla_Mortalidad!$B$5:$B$75,MIN(71,Cartera_Polizas!$B$252+15-49))*(1+(Cartera_Polizas!$P$252-1)*MAX(0,1-15/Supuestos!$C$20))*(1-Supuestos!$C$18)^15))</f>
        <v>0.0389855834130549</v>
      </c>
      <c r="S250" s="29" t="n">
        <f aca="false">R250*(1-MIN(1,INDEX(Tabla_Mortalidad!$B$5:$B$75,MIN(71,Cartera_Polizas!$B$252+16-49))*(1+(Cartera_Polizas!$P$252-1)*MAX(0,1-16/Supuestos!$C$20))*(1-Supuestos!$C$18)^16))</f>
        <v>0.028962317944845</v>
      </c>
      <c r="T250" s="29" t="n">
        <f aca="false">S250*(1-MIN(1,INDEX(Tabla_Mortalidad!$B$5:$B$75,MIN(71,Cartera_Polizas!$B$252+17-49))*(1+(Cartera_Polizas!$P$252-1)*MAX(0,1-17/Supuestos!$C$20))*(1-Supuestos!$C$18)^17))</f>
        <v>0.0208384477531111</v>
      </c>
      <c r="U250" s="29" t="n">
        <f aca="false">T250*(1-MIN(1,INDEX(Tabla_Mortalidad!$B$5:$B$75,MIN(71,Cartera_Polizas!$B$252+18-49))*(1+(Cartera_Polizas!$P$252-1)*MAX(0,1-18/Supuestos!$C$20))*(1-Supuestos!$C$18)^18))</f>
        <v>0.0144737436173752</v>
      </c>
      <c r="V250" s="29" t="n">
        <f aca="false">U250*(1-MIN(1,INDEX(Tabla_Mortalidad!$B$5:$B$75,MIN(71,Cartera_Polizas!$B$252+19-49))*(1+(Cartera_Polizas!$P$252-1)*MAX(0,1-19/Supuestos!$C$20))*(1-Supuestos!$C$18)^19))</f>
        <v>0.0096703259897757</v>
      </c>
      <c r="W250" s="29" t="n">
        <f aca="false">V250*(1-MIN(1,INDEX(Tabla_Mortalidad!$B$5:$B$75,MIN(71,Cartera_Polizas!$B$252+20-49))*(1+(Cartera_Polizas!$P$252-1)*MAX(0,1-20/Supuestos!$C$20))*(1-Supuestos!$C$18)^20))</f>
        <v>0.0061913385539051</v>
      </c>
      <c r="X250" s="29" t="n">
        <f aca="false">W250*(1-MIN(1,INDEX(Tabla_Mortalidad!$B$5:$B$75,MIN(71,Cartera_Polizas!$B$252+21-49))*(1+(Cartera_Polizas!$P$252-1)*MAX(0,1-21/Supuestos!$C$20))*(1-Supuestos!$C$18)^21))</f>
        <v>0.00378293148116892</v>
      </c>
      <c r="Y250" s="29" t="n">
        <f aca="false">X250*(1-MIN(1,INDEX(Tabla_Mortalidad!$B$5:$B$75,MIN(71,Cartera_Polizas!$B$252+22-49))*(1+(Cartera_Polizas!$P$252-1)*MAX(0,1-22/Supuestos!$C$20))*(1-Supuestos!$C$18)^22))</f>
        <v>0.00219622168453131</v>
      </c>
      <c r="Z250" s="29" t="n">
        <f aca="false">Y250*(1-MIN(1,INDEX(Tabla_Mortalidad!$B$5:$B$75,MIN(71,Cartera_Polizas!$B$252+23-49))*(1+(Cartera_Polizas!$P$252-1)*MAX(0,1-23/Supuestos!$C$20))*(1-Supuestos!$C$18)^23))</f>
        <v>0.00120595251591359</v>
      </c>
      <c r="AA250" s="29" t="n">
        <f aca="false">Z250*(1-MIN(1,INDEX(Tabla_Mortalidad!$B$5:$B$75,MIN(71,Cartera_Polizas!$B$252+24-49))*(1+(Cartera_Polizas!$P$252-1)*MAX(0,1-24/Supuestos!$C$20))*(1-Supuestos!$C$18)^24))</f>
        <v>0.000623325535228872</v>
      </c>
      <c r="AB250" s="29" t="n">
        <f aca="false">AA250*(1-MIN(1,INDEX(Tabla_Mortalidad!$B$5:$B$75,MIN(71,Cartera_Polizas!$B$252+25-49))*(1+(Cartera_Polizas!$P$252-1)*MAX(0,1-25/Supuestos!$C$20))*(1-Supuestos!$C$18)^25))</f>
        <v>0.000301795120993433</v>
      </c>
      <c r="AC250" s="29" t="n">
        <f aca="false">AB250*(1-MIN(1,INDEX(Tabla_Mortalidad!$B$5:$B$75,MIN(71,Cartera_Polizas!$B$252+26-49))*(1+(Cartera_Polizas!$P$252-1)*MAX(0,1-26/Supuestos!$C$20))*(1-Supuestos!$C$18)^26))</f>
        <v>0.00013621151134012</v>
      </c>
      <c r="AD250" s="29" t="n">
        <f aca="false">AC250*(1-MIN(1,INDEX(Tabla_Mortalidad!$B$5:$B$75,MIN(71,Cartera_Polizas!$B$252+27-49))*(1+(Cartera_Polizas!$P$252-1)*MAX(0,1-27/Supuestos!$C$20))*(1-Supuestos!$C$18)^27))</f>
        <v>5.70424156245622E-005</v>
      </c>
      <c r="AE250" s="29" t="n">
        <f aca="false">AD250*(1-MIN(1,INDEX(Tabla_Mortalidad!$B$5:$B$75,MIN(71,Cartera_Polizas!$B$252+28-49))*(1+(Cartera_Polizas!$P$252-1)*MAX(0,1-28/Supuestos!$C$20))*(1-Supuestos!$C$18)^28))</f>
        <v>2.20712258965622E-005</v>
      </c>
      <c r="AF250" s="29" t="n">
        <f aca="false">AE250*(1-MIN(1,INDEX(Tabla_Mortalidad!$B$5:$B$75,MIN(71,Cartera_Polizas!$B$252+29-49))*(1+(Cartera_Polizas!$P$252-1)*MAX(0,1-29/Supuestos!$C$20))*(1-Supuestos!$C$18)^29))</f>
        <v>7.86280166176606E-006</v>
      </c>
      <c r="AG250" s="29" t="n">
        <f aca="false">AF250*(1-MIN(1,INDEX(Tabla_Mortalidad!$B$5:$B$75,MIN(71,Cartera_Polizas!$B$252+30-49))*(1+(Cartera_Polizas!$P$252-1)*MAX(0,1-30/Supuestos!$C$20))*(1-Supuestos!$C$18)^30))</f>
        <v>2.57280507433141E-006</v>
      </c>
      <c r="AH250" s="29" t="n">
        <f aca="false">AG250*(1-MIN(1,INDEX(Tabla_Mortalidad!$B$5:$B$75,MIN(71,Cartera_Polizas!$B$252+31-49))*(1+(Cartera_Polizas!$P$252-1)*MAX(0,1-31/Supuestos!$C$20))*(1-Supuestos!$C$18)^31))</f>
        <v>7.72562678925141E-007</v>
      </c>
      <c r="AI250" s="29" t="n">
        <f aca="false">AH250*(1-MIN(1,INDEX(Tabla_Mortalidad!$B$5:$B$75,MIN(71,Cartera_Polizas!$B$252+32-49))*(1+(Cartera_Polizas!$P$252-1)*MAX(0,1-32/Supuestos!$C$20))*(1-Supuestos!$C$18)^32))</f>
        <v>2.13127223256264E-007</v>
      </c>
      <c r="AJ250" s="29" t="n">
        <f aca="false">AI250*(1-MIN(1,INDEX(Tabla_Mortalidad!$B$5:$B$75,MIN(71,Cartera_Polizas!$B$252+33-49))*(1+(Cartera_Polizas!$P$252-1)*MAX(0,1-33/Supuestos!$C$20))*(1-Supuestos!$C$18)^33))</f>
        <v>5.42057529223746E-008</v>
      </c>
      <c r="AK250" s="29" t="n">
        <f aca="false">AJ250*(1-MIN(1,INDEX(Tabla_Mortalidad!$B$5:$B$75,MIN(71,Cartera_Polizas!$B$252+34-49))*(1+(Cartera_Polizas!$P$252-1)*MAX(0,1-34/Supuestos!$C$20))*(1-Supuestos!$C$18)^34))</f>
        <v>1.27887702210967E-008</v>
      </c>
      <c r="AL250" s="29" t="n">
        <f aca="false">AK250*(1-MIN(1,INDEX(Tabla_Mortalidad!$B$5:$B$75,MIN(71,Cartera_Polizas!$B$252+35-49))*(1+(Cartera_Polizas!$P$252-1)*MAX(0,1-35/Supuestos!$C$20))*(1-Supuestos!$C$18)^35))</f>
        <v>2.82371320600183E-009</v>
      </c>
      <c r="AM250" s="29" t="n">
        <f aca="false">AL250*(1-MIN(1,INDEX(Tabla_Mortalidad!$B$5:$B$75,MIN(71,Cartera_Polizas!$B$252+36-49))*(1+(Cartera_Polizas!$P$252-1)*MAX(0,1-36/Supuestos!$C$20))*(1-Supuestos!$C$18)^36))</f>
        <v>5.89992464102022E-010</v>
      </c>
      <c r="AN250" s="29" t="n">
        <f aca="false">AM250*(1-MIN(1,INDEX(Tabla_Mortalidad!$B$5:$B$75,MIN(71,Cartera_Polizas!$B$252+37-49))*(1+(Cartera_Polizas!$P$252-1)*MAX(0,1-37/Supuestos!$C$20))*(1-Supuestos!$C$18)^37))</f>
        <v>9.98746904389464E-011</v>
      </c>
      <c r="AO250" s="29" t="n">
        <f aca="false">AN250*(1-MIN(1,INDEX(Tabla_Mortalidad!$B$5:$B$75,MIN(71,Cartera_Polizas!$B$252+38-49))*(1+(Cartera_Polizas!$P$252-1)*MAX(0,1-38/Supuestos!$C$20))*(1-Supuestos!$C$18)^38))</f>
        <v>1.73217561523367E-011</v>
      </c>
      <c r="AP250" s="29" t="n">
        <f aca="false">AO250*(1-MIN(1,INDEX(Tabla_Mortalidad!$B$5:$B$75,MIN(71,Cartera_Polizas!$B$252+39-49))*(1+(Cartera_Polizas!$P$252-1)*MAX(0,1-39/Supuestos!$C$20))*(1-Supuestos!$C$18)^39))</f>
        <v>3.07578470419056E-012</v>
      </c>
      <c r="AQ250" s="29" t="n">
        <f aca="false">AP250*(1-MIN(1,INDEX(Tabla_Mortalidad!$B$5:$B$75,MIN(71,Cartera_Polizas!$B$252+40-49))*(1+(Cartera_Polizas!$P$252-1)*MAX(0,1-40/Supuestos!$C$20))*(1-Supuestos!$C$18)^40))</f>
        <v>5.5880819281765E-013</v>
      </c>
      <c r="AR250" s="29" t="n">
        <f aca="false">AQ250*(1-MIN(1,INDEX(Tabla_Mortalidad!$B$5:$B$75,MIN(71,Cartera_Polizas!$B$252+41-49))*(1+(Cartera_Polizas!$P$252-1)*MAX(0,1-41/Supuestos!$C$20))*(1-Supuestos!$C$18)^41))</f>
        <v>1.03810624782524E-013</v>
      </c>
      <c r="AS250" s="29" t="n">
        <f aca="false">AR250*(1-MIN(1,INDEX(Tabla_Mortalidad!$B$5:$B$75,MIN(71,Cartera_Polizas!$B$252+42-49))*(1+(Cartera_Polizas!$P$252-1)*MAX(0,1-42/Supuestos!$C$20))*(1-Supuestos!$C$18)^42))</f>
        <v>1.97076812193283E-014</v>
      </c>
      <c r="AT250" s="29" t="n">
        <f aca="false">AS250*(1-MIN(1,INDEX(Tabla_Mortalidad!$B$5:$B$75,MIN(71,Cartera_Polizas!$B$252+43-49))*(1+(Cartera_Polizas!$P$252-1)*MAX(0,1-43/Supuestos!$C$20))*(1-Supuestos!$C$18)^43))</f>
        <v>3.82118949655142E-015</v>
      </c>
      <c r="AU250" s="29" t="n">
        <f aca="false">AT250*(1-MIN(1,INDEX(Tabla_Mortalidad!$B$5:$B$75,MIN(71,Cartera_Polizas!$B$252+44-49))*(1+(Cartera_Polizas!$P$252-1)*MAX(0,1-44/Supuestos!$C$20))*(1-Supuestos!$C$18)^44))</f>
        <v>7.56304888394348E-016</v>
      </c>
    </row>
    <row r="251" customFormat="false" ht="15" hidden="false" customHeight="false" outlineLevel="0" collapsed="false">
      <c r="A251" s="14" t="n">
        <f aca="false">Cartera_Polizas!A253</f>
        <v>248</v>
      </c>
      <c r="B251" s="26" t="n">
        <f aca="false">SUM(C251:AU251)+0.5</f>
        <v>13.9861325295271</v>
      </c>
      <c r="C251" s="29" t="n">
        <f aca="false">1-MIN(1,INDEX(Tabla_Mortalidad!$B$5:$B$75,MIN(71,Cartera_Polizas!$B$253+0-49))*(1+(Cartera_Polizas!$P$253-1)*MAX(0,1-0/Supuestos!$C$20))*(1-Supuestos!$C$18)^0)</f>
        <v>0.96710824</v>
      </c>
      <c r="D251" s="29" t="n">
        <f aca="false">C251*(1-MIN(1,INDEX(Tabla_Mortalidad!$B$5:$B$75,MIN(71,Cartera_Polizas!$B$253+1-49))*(1+(Cartera_Polizas!$P$253-1)*MAX(0,1-1/Supuestos!$C$20))*(1-Supuestos!$C$18)^1))</f>
        <v>0.932975354760262</v>
      </c>
      <c r="E251" s="29" t="n">
        <f aca="false">D251*(1-MIN(1,INDEX(Tabla_Mortalidad!$B$5:$B$75,MIN(71,Cartera_Polizas!$B$253+2-49))*(1+(Cartera_Polizas!$P$253-1)*MAX(0,1-2/Supuestos!$C$20))*(1-Supuestos!$C$18)^2))</f>
        <v>0.897689651270239</v>
      </c>
      <c r="F251" s="29" t="n">
        <f aca="false">E251*(1-MIN(1,INDEX(Tabla_Mortalidad!$B$5:$B$75,MIN(71,Cartera_Polizas!$B$253+3-49))*(1+(Cartera_Polizas!$P$253-1)*MAX(0,1-3/Supuestos!$C$20))*(1-Supuestos!$C$18)^3))</f>
        <v>0.861354919145648</v>
      </c>
      <c r="G251" s="29" t="n">
        <f aca="false">F251*(1-MIN(1,INDEX(Tabla_Mortalidad!$B$5:$B$75,MIN(71,Cartera_Polizas!$B$253+4-49))*(1+(Cartera_Polizas!$P$253-1)*MAX(0,1-4/Supuestos!$C$20))*(1-Supuestos!$C$18)^4))</f>
        <v>0.824100605421527</v>
      </c>
      <c r="H251" s="29" t="n">
        <f aca="false">G251*(1-MIN(1,INDEX(Tabla_Mortalidad!$B$5:$B$75,MIN(71,Cartera_Polizas!$B$253+5-49))*(1+(Cartera_Polizas!$P$253-1)*MAX(0,1-5/Supuestos!$C$20))*(1-Supuestos!$C$18)^5))</f>
        <v>0.786074647595097</v>
      </c>
      <c r="I251" s="29" t="n">
        <f aca="false">H251*(1-MIN(1,INDEX(Tabla_Mortalidad!$B$5:$B$75,MIN(71,Cartera_Polizas!$B$253+6-49))*(1+(Cartera_Polizas!$P$253-1)*MAX(0,1-6/Supuestos!$C$20))*(1-Supuestos!$C$18)^6))</f>
        <v>0.747444985453113</v>
      </c>
      <c r="J251" s="29" t="n">
        <f aca="false">I251*(1-MIN(1,INDEX(Tabla_Mortalidad!$B$5:$B$75,MIN(71,Cartera_Polizas!$B$253+7-49))*(1+(Cartera_Polizas!$P$253-1)*MAX(0,1-7/Supuestos!$C$20))*(1-Supuestos!$C$18)^7))</f>
        <v>0.708398898757817</v>
      </c>
      <c r="K251" s="29" t="n">
        <f aca="false">J251*(1-MIN(1,INDEX(Tabla_Mortalidad!$B$5:$B$75,MIN(71,Cartera_Polizas!$B$253+8-49))*(1+(Cartera_Polizas!$P$253-1)*MAX(0,1-8/Supuestos!$C$20))*(1-Supuestos!$C$18)^8))</f>
        <v>0.669141713596741</v>
      </c>
      <c r="L251" s="29" t="n">
        <f aca="false">K251*(1-MIN(1,INDEX(Tabla_Mortalidad!$B$5:$B$75,MIN(71,Cartera_Polizas!$B$253+9-49))*(1+(Cartera_Polizas!$P$253-1)*MAX(0,1-9/Supuestos!$C$20))*(1-Supuestos!$C$18)^9))</f>
        <v>0.629893806366969</v>
      </c>
      <c r="M251" s="29" t="n">
        <f aca="false">L251*(1-MIN(1,INDEX(Tabla_Mortalidad!$B$5:$B$75,MIN(71,Cartera_Polizas!$B$253+10-49))*(1+(Cartera_Polizas!$P$253-1)*MAX(0,1-10/Supuestos!$C$20))*(1-Supuestos!$C$18)^10))</f>
        <v>0.590885628150554</v>
      </c>
      <c r="N251" s="29" t="n">
        <f aca="false">M251*(1-MIN(1,INDEX(Tabla_Mortalidad!$B$5:$B$75,MIN(71,Cartera_Polizas!$B$253+11-49))*(1+(Cartera_Polizas!$P$253-1)*MAX(0,1-11/Supuestos!$C$20))*(1-Supuestos!$C$18)^11))</f>
        <v>0.552355319418106</v>
      </c>
      <c r="O251" s="29" t="n">
        <f aca="false">N251*(1-MIN(1,INDEX(Tabla_Mortalidad!$B$5:$B$75,MIN(71,Cartera_Polizas!$B$253+12-49))*(1+(Cartera_Polizas!$P$253-1)*MAX(0,1-12/Supuestos!$C$20))*(1-Supuestos!$C$18)^12))</f>
        <v>0.514545132819032</v>
      </c>
      <c r="P251" s="29" t="n">
        <f aca="false">O251*(1-MIN(1,INDEX(Tabla_Mortalidad!$B$5:$B$75,MIN(71,Cartera_Polizas!$B$253+13-49))*(1+(Cartera_Polizas!$P$253-1)*MAX(0,1-13/Supuestos!$C$20))*(1-Supuestos!$C$18)^13))</f>
        <v>0.477694635429854</v>
      </c>
      <c r="Q251" s="29" t="n">
        <f aca="false">P251*(1-MIN(1,INDEX(Tabla_Mortalidad!$B$5:$B$75,MIN(71,Cartera_Polizas!$B$253+14-49))*(1+(Cartera_Polizas!$P$253-1)*MAX(0,1-14/Supuestos!$C$20))*(1-Supuestos!$C$18)^14))</f>
        <v>0.442035182817222</v>
      </c>
      <c r="R251" s="29" t="n">
        <f aca="false">Q251*(1-MIN(1,INDEX(Tabla_Mortalidad!$B$5:$B$75,MIN(71,Cartera_Polizas!$B$253+15-49))*(1+(Cartera_Polizas!$P$253-1)*MAX(0,1-15/Supuestos!$C$20))*(1-Supuestos!$C$18)^15))</f>
        <v>0.407786779379729</v>
      </c>
      <c r="S251" s="29" t="n">
        <f aca="false">R251*(1-MIN(1,INDEX(Tabla_Mortalidad!$B$5:$B$75,MIN(71,Cartera_Polizas!$B$253+16-49))*(1+(Cartera_Polizas!$P$253-1)*MAX(0,1-16/Supuestos!$C$20))*(1-Supuestos!$C$18)^16))</f>
        <v>0.372868933813256</v>
      </c>
      <c r="T251" s="29" t="n">
        <f aca="false">S251*(1-MIN(1,INDEX(Tabla_Mortalidad!$B$5:$B$75,MIN(71,Cartera_Polizas!$B$253+17-49))*(1+(Cartera_Polizas!$P$253-1)*MAX(0,1-17/Supuestos!$C$20))*(1-Supuestos!$C$18)^17))</f>
        <v>0.337603612225179</v>
      </c>
      <c r="U251" s="29" t="n">
        <f aca="false">T251*(1-MIN(1,INDEX(Tabla_Mortalidad!$B$5:$B$75,MIN(71,Cartera_Polizas!$B$253+18-49))*(1+(Cartera_Polizas!$P$253-1)*MAX(0,1-18/Supuestos!$C$20))*(1-Supuestos!$C$18)^18))</f>
        <v>0.302358284439562</v>
      </c>
      <c r="V251" s="29" t="n">
        <f aca="false">U251*(1-MIN(1,INDEX(Tabla_Mortalidad!$B$5:$B$75,MIN(71,Cartera_Polizas!$B$253+19-49))*(1+(Cartera_Polizas!$P$253-1)*MAX(0,1-19/Supuestos!$C$20))*(1-Supuestos!$C$18)^19))</f>
        <v>0.267539499993689</v>
      </c>
      <c r="W251" s="29" t="n">
        <f aca="false">V251*(1-MIN(1,INDEX(Tabla_Mortalidad!$B$5:$B$75,MIN(71,Cartera_Polizas!$B$253+20-49))*(1+(Cartera_Polizas!$P$253-1)*MAX(0,1-20/Supuestos!$C$20))*(1-Supuestos!$C$18)^20))</f>
        <v>0.233581809111217</v>
      </c>
      <c r="X251" s="29" t="n">
        <f aca="false">W251*(1-MIN(1,INDEX(Tabla_Mortalidad!$B$5:$B$75,MIN(71,Cartera_Polizas!$B$253+21-49))*(1+(Cartera_Polizas!$P$253-1)*MAX(0,1-21/Supuestos!$C$20))*(1-Supuestos!$C$18)^21))</f>
        <v>0.200932800379798</v>
      </c>
      <c r="Y251" s="29" t="n">
        <f aca="false">X251*(1-MIN(1,INDEX(Tabla_Mortalidad!$B$5:$B$75,MIN(71,Cartera_Polizas!$B$253+22-49))*(1+(Cartera_Polizas!$P$253-1)*MAX(0,1-22/Supuestos!$C$20))*(1-Supuestos!$C$18)^22))</f>
        <v>0.170034004506915</v>
      </c>
      <c r="Z251" s="29" t="n">
        <f aca="false">Y251*(1-MIN(1,INDEX(Tabla_Mortalidad!$B$5:$B$75,MIN(71,Cartera_Polizas!$B$253+23-49))*(1+(Cartera_Polizas!$P$253-1)*MAX(0,1-23/Supuestos!$C$20))*(1-Supuestos!$C$18)^23))</f>
        <v>0.141298153234385</v>
      </c>
      <c r="AA251" s="29" t="n">
        <f aca="false">Z251*(1-MIN(1,INDEX(Tabla_Mortalidad!$B$5:$B$75,MIN(71,Cartera_Polizas!$B$253+24-49))*(1+(Cartera_Polizas!$P$253-1)*MAX(0,1-24/Supuestos!$C$20))*(1-Supuestos!$C$18)^24))</f>
        <v>0.115085670855212</v>
      </c>
      <c r="AB251" s="29" t="n">
        <f aca="false">AA251*(1-MIN(1,INDEX(Tabla_Mortalidad!$B$5:$B$75,MIN(71,Cartera_Polizas!$B$253+25-49))*(1+(Cartera_Polizas!$P$253-1)*MAX(0,1-25/Supuestos!$C$20))*(1-Supuestos!$C$18)^25))</f>
        <v>0.091680867358283</v>
      </c>
      <c r="AC251" s="29" t="n">
        <f aca="false">AB251*(1-MIN(1,INDEX(Tabla_Mortalidad!$B$5:$B$75,MIN(71,Cartera_Polizas!$B$253+26-49))*(1+(Cartera_Polizas!$P$253-1)*MAX(0,1-26/Supuestos!$C$20))*(1-Supuestos!$C$18)^26))</f>
        <v>0.0712706843320814</v>
      </c>
      <c r="AD251" s="29" t="n">
        <f aca="false">AC251*(1-MIN(1,INDEX(Tabla_Mortalidad!$B$5:$B$75,MIN(71,Cartera_Polizas!$B$253+27-49))*(1+(Cartera_Polizas!$P$253-1)*MAX(0,1-27/Supuestos!$C$20))*(1-Supuestos!$C$18)^27))</f>
        <v>0.0539298490805324</v>
      </c>
      <c r="AE251" s="29" t="n">
        <f aca="false">AD251*(1-MIN(1,INDEX(Tabla_Mortalidad!$B$5:$B$75,MIN(71,Cartera_Polizas!$B$253+28-49))*(1+(Cartera_Polizas!$P$253-1)*MAX(0,1-28/Supuestos!$C$20))*(1-Supuestos!$C$18)^28))</f>
        <v>0.0396141437104386</v>
      </c>
      <c r="AF251" s="29" t="n">
        <f aca="false">AE251*(1-MIN(1,INDEX(Tabla_Mortalidad!$B$5:$B$75,MIN(71,Cartera_Polizas!$B$253+29-49))*(1+(Cartera_Polizas!$P$253-1)*MAX(0,1-29/Supuestos!$C$20))*(1-Supuestos!$C$18)^29))</f>
        <v>0.0281638397469553</v>
      </c>
      <c r="AG251" s="29" t="n">
        <f aca="false">AF251*(1-MIN(1,INDEX(Tabla_Mortalidad!$B$5:$B$75,MIN(71,Cartera_Polizas!$B$253+30-49))*(1+(Cartera_Polizas!$P$253-1)*MAX(0,1-30/Supuestos!$C$20))*(1-Supuestos!$C$18)^30))</f>
        <v>0.019318485618642</v>
      </c>
      <c r="AH251" s="29" t="n">
        <f aca="false">AG251*(1-MIN(1,INDEX(Tabla_Mortalidad!$B$5:$B$75,MIN(71,Cartera_Polizas!$B$253+31-49))*(1+(Cartera_Polizas!$P$253-1)*MAX(0,1-31/Supuestos!$C$20))*(1-Supuestos!$C$18)^31))</f>
        <v>0.0127413209837704</v>
      </c>
      <c r="AI251" s="29" t="n">
        <f aca="false">AH251*(1-MIN(1,INDEX(Tabla_Mortalidad!$B$5:$B$75,MIN(71,Cartera_Polizas!$B$253+32-49))*(1+(Cartera_Polizas!$P$253-1)*MAX(0,1-32/Supuestos!$C$20))*(1-Supuestos!$C$18)^32))</f>
        <v>0.00805087988938674</v>
      </c>
      <c r="AJ251" s="29" t="n">
        <f aca="false">AI251*(1-MIN(1,INDEX(Tabla_Mortalidad!$B$5:$B$75,MIN(71,Cartera_Polizas!$B$253+33-49))*(1+(Cartera_Polizas!$P$253-1)*MAX(0,1-33/Supuestos!$C$20))*(1-Supuestos!$C$18)^33))</f>
        <v>0.00485517796865075</v>
      </c>
      <c r="AK251" s="29" t="n">
        <f aca="false">AJ251*(1-MIN(1,INDEX(Tabla_Mortalidad!$B$5:$B$75,MIN(71,Cartera_Polizas!$B$253+34-49))*(1+(Cartera_Polizas!$P$253-1)*MAX(0,1-34/Supuestos!$C$20))*(1-Supuestos!$C$18)^34))</f>
        <v>0.0027834338028269</v>
      </c>
      <c r="AL251" s="29" t="n">
        <f aca="false">AK251*(1-MIN(1,INDEX(Tabla_Mortalidad!$B$5:$B$75,MIN(71,Cartera_Polizas!$B$253+35-49))*(1+(Cartera_Polizas!$P$253-1)*MAX(0,1-35/Supuestos!$C$20))*(1-Supuestos!$C$18)^35))</f>
        <v>0.00151082427679436</v>
      </c>
      <c r="AM251" s="29" t="n">
        <f aca="false">AL251*(1-MIN(1,INDEX(Tabla_Mortalidad!$B$5:$B$75,MIN(71,Cartera_Polizas!$B$253+36-49))*(1+(Cartera_Polizas!$P$253-1)*MAX(0,1-36/Supuestos!$C$20))*(1-Supuestos!$C$18)^36))</f>
        <v>0.000773302268918342</v>
      </c>
      <c r="AN251" s="29" t="n">
        <f aca="false">AM251*(1-MIN(1,INDEX(Tabla_Mortalidad!$B$5:$B$75,MIN(71,Cartera_Polizas!$B$253+37-49))*(1+(Cartera_Polizas!$P$253-1)*MAX(0,1-37/Supuestos!$C$20))*(1-Supuestos!$C$18)^37))</f>
        <v>0.000371781232208056</v>
      </c>
      <c r="AO251" s="29" t="n">
        <f aca="false">AN251*(1-MIN(1,INDEX(Tabla_Mortalidad!$B$5:$B$75,MIN(71,Cartera_Polizas!$B$253+38-49))*(1+(Cartera_Polizas!$P$253-1)*MAX(0,1-38/Supuestos!$C$20))*(1-Supuestos!$C$18)^38))</f>
        <v>0.000167285982835517</v>
      </c>
      <c r="AP251" s="29" t="n">
        <f aca="false">AO251*(1-MIN(1,INDEX(Tabla_Mortalidad!$B$5:$B$75,MIN(71,Cartera_Polizas!$B$253+39-49))*(1+(Cartera_Polizas!$P$253-1)*MAX(0,1-39/Supuestos!$C$20))*(1-Supuestos!$C$18)^39))</f>
        <v>7.02291893674561E-005</v>
      </c>
      <c r="AQ251" s="29" t="n">
        <f aca="false">AP251*(1-MIN(1,INDEX(Tabla_Mortalidad!$B$5:$B$75,MIN(71,Cartera_Polizas!$B$253+40-49))*(1+(Cartera_Polizas!$P$253-1)*MAX(0,1-40/Supuestos!$C$20))*(1-Supuestos!$C$18)^40))</f>
        <v>2.74442418326327E-005</v>
      </c>
      <c r="AR251" s="29" t="n">
        <f aca="false">AQ251*(1-MIN(1,INDEX(Tabla_Mortalidad!$B$5:$B$75,MIN(71,Cartera_Polizas!$B$253+41-49))*(1+(Cartera_Polizas!$P$253-1)*MAX(0,1-41/Supuestos!$C$20))*(1-Supuestos!$C$18)^41))</f>
        <v>9.97060935873229E-006</v>
      </c>
      <c r="AS251" s="29" t="n">
        <f aca="false">AR251*(1-MIN(1,INDEX(Tabla_Mortalidad!$B$5:$B$75,MIN(71,Cartera_Polizas!$B$253+42-49))*(1+(Cartera_Polizas!$P$253-1)*MAX(0,1-42/Supuestos!$C$20))*(1-Supuestos!$C$18)^42))</f>
        <v>3.36824191091255E-006</v>
      </c>
      <c r="AT251" s="29" t="n">
        <f aca="false">AS251*(1-MIN(1,INDEX(Tabla_Mortalidad!$B$5:$B$75,MIN(71,Cartera_Polizas!$B$253+43-49))*(1+(Cartera_Polizas!$P$253-1)*MAX(0,1-43/Supuestos!$C$20))*(1-Supuestos!$C$18)^43))</f>
        <v>1.06004196369411E-006</v>
      </c>
      <c r="AU251" s="29" t="n">
        <f aca="false">AT251*(1-MIN(1,INDEX(Tabla_Mortalidad!$B$5:$B$75,MIN(71,Cartera_Polizas!$B$253+44-49))*(1+(Cartera_Polizas!$P$253-1)*MAX(0,1-44/Supuestos!$C$20))*(1-Supuestos!$C$18)^44))</f>
        <v>3.12009245505644E-007</v>
      </c>
    </row>
    <row r="252" customFormat="false" ht="15" hidden="false" customHeight="false" outlineLevel="0" collapsed="false">
      <c r="A252" s="14" t="n">
        <f aca="false">Cartera_Polizas!A254</f>
        <v>249</v>
      </c>
      <c r="B252" s="26" t="n">
        <f aca="false">SUM(C252:AU252)+0.5</f>
        <v>8.4502793382588</v>
      </c>
      <c r="C252" s="29" t="n">
        <f aca="false">1-MIN(1,INDEX(Tabla_Mortalidad!$B$5:$B$75,MIN(71,Cartera_Polizas!$B$254+0-49))*(1+(Cartera_Polizas!$P$254-1)*MAX(0,1-0/Supuestos!$C$20))*(1-Supuestos!$C$18)^0)</f>
        <v>0.929682577</v>
      </c>
      <c r="D252" s="29" t="n">
        <f aca="false">C252*(1-MIN(1,INDEX(Tabla_Mortalidad!$B$5:$B$75,MIN(71,Cartera_Polizas!$B$254+1-49))*(1+(Cartera_Polizas!$P$254-1)*MAX(0,1-1/Supuestos!$C$20))*(1-Supuestos!$C$18)^1))</f>
        <v>0.859354107260021</v>
      </c>
      <c r="E252" s="29" t="n">
        <f aca="false">D252*(1-MIN(1,INDEX(Tabla_Mortalidad!$B$5:$B$75,MIN(71,Cartera_Polizas!$B$254+2-49))*(1+(Cartera_Polizas!$P$254-1)*MAX(0,1-2/Supuestos!$C$20))*(1-Supuestos!$C$18)^2))</f>
        <v>0.78949849368375</v>
      </c>
      <c r="F252" s="29" t="n">
        <f aca="false">E252*(1-MIN(1,INDEX(Tabla_Mortalidad!$B$5:$B$75,MIN(71,Cartera_Polizas!$B$254+3-49))*(1+(Cartera_Polizas!$P$254-1)*MAX(0,1-3/Supuestos!$C$20))*(1-Supuestos!$C$18)^3))</f>
        <v>0.720621775822077</v>
      </c>
      <c r="G252" s="29" t="n">
        <f aca="false">F252*(1-MIN(1,INDEX(Tabla_Mortalidad!$B$5:$B$75,MIN(71,Cartera_Polizas!$B$254+4-49))*(1+(Cartera_Polizas!$P$254-1)*MAX(0,1-4/Supuestos!$C$20))*(1-Supuestos!$C$18)^4))</f>
        <v>0.653242753009961</v>
      </c>
      <c r="H252" s="29" t="n">
        <f aca="false">G252*(1-MIN(1,INDEX(Tabla_Mortalidad!$B$5:$B$75,MIN(71,Cartera_Polizas!$B$254+5-49))*(1+(Cartera_Polizas!$P$254-1)*MAX(0,1-5/Supuestos!$C$20))*(1-Supuestos!$C$18)^5))</f>
        <v>0.587876793466289</v>
      </c>
      <c r="I252" s="29" t="n">
        <f aca="false">H252*(1-MIN(1,INDEX(Tabla_Mortalidad!$B$5:$B$75,MIN(71,Cartera_Polizas!$B$254+6-49))*(1+(Cartera_Polizas!$P$254-1)*MAX(0,1-6/Supuestos!$C$20))*(1-Supuestos!$C$18)^6))</f>
        <v>0.525021073135986</v>
      </c>
      <c r="J252" s="29" t="n">
        <f aca="false">I252*(1-MIN(1,INDEX(Tabla_Mortalidad!$B$5:$B$75,MIN(71,Cartera_Polizas!$B$254+7-49))*(1+(Cartera_Polizas!$P$254-1)*MAX(0,1-7/Supuestos!$C$20))*(1-Supuestos!$C$18)^7))</f>
        <v>0.465143258421711</v>
      </c>
      <c r="K252" s="29" t="n">
        <f aca="false">J252*(1-MIN(1,INDEX(Tabla_Mortalidad!$B$5:$B$75,MIN(71,Cartera_Polizas!$B$254+8-49))*(1+(Cartera_Polizas!$P$254-1)*MAX(0,1-8/Supuestos!$C$20))*(1-Supuestos!$C$18)^8))</f>
        <v>0.40866121605825</v>
      </c>
      <c r="L252" s="29" t="n">
        <f aca="false">K252*(1-MIN(1,INDEX(Tabla_Mortalidad!$B$5:$B$75,MIN(71,Cartera_Polizas!$B$254+9-49))*(1+(Cartera_Polizas!$P$254-1)*MAX(0,1-9/Supuestos!$C$20))*(1-Supuestos!$C$18)^9))</f>
        <v>0.355933302297563</v>
      </c>
      <c r="M252" s="29" t="n">
        <f aca="false">L252*(1-MIN(1,INDEX(Tabla_Mortalidad!$B$5:$B$75,MIN(71,Cartera_Polizas!$B$254+10-49))*(1+(Cartera_Polizas!$P$254-1)*MAX(0,1-10/Supuestos!$C$20))*(1-Supuestos!$C$18)^10))</f>
        <v>0.307242527940236</v>
      </c>
      <c r="N252" s="29" t="n">
        <f aca="false">M252*(1-MIN(1,INDEX(Tabla_Mortalidad!$B$5:$B$75,MIN(71,Cartera_Polizas!$B$254+11-49))*(1+(Cartera_Polizas!$P$254-1)*MAX(0,1-11/Supuestos!$C$20))*(1-Supuestos!$C$18)^11))</f>
        <v>0.262787624250407</v>
      </c>
      <c r="O252" s="29" t="n">
        <f aca="false">N252*(1-MIN(1,INDEX(Tabla_Mortalidad!$B$5:$B$75,MIN(71,Cartera_Polizas!$B$254+12-49))*(1+(Cartera_Polizas!$P$254-1)*MAX(0,1-12/Supuestos!$C$20))*(1-Supuestos!$C$18)^12))</f>
        <v>0.222676459283692</v>
      </c>
      <c r="P252" s="29" t="n">
        <f aca="false">O252*(1-MIN(1,INDEX(Tabla_Mortalidad!$B$5:$B$75,MIN(71,Cartera_Polizas!$B$254+13-49))*(1+(Cartera_Polizas!$P$254-1)*MAX(0,1-13/Supuestos!$C$20))*(1-Supuestos!$C$18)^13))</f>
        <v>0.186923985291189</v>
      </c>
      <c r="Q252" s="29" t="n">
        <f aca="false">P252*(1-MIN(1,INDEX(Tabla_Mortalidad!$B$5:$B$75,MIN(71,Cartera_Polizas!$B$254+14-49))*(1+(Cartera_Polizas!$P$254-1)*MAX(0,1-14/Supuestos!$C$20))*(1-Supuestos!$C$18)^14))</f>
        <v>0.155454437170017</v>
      </c>
      <c r="R252" s="29" t="n">
        <f aca="false">Q252*(1-MIN(1,INDEX(Tabla_Mortalidad!$B$5:$B$75,MIN(71,Cartera_Polizas!$B$254+15-49))*(1+(Cartera_Polizas!$P$254-1)*MAX(0,1-15/Supuestos!$C$20))*(1-Supuestos!$C$18)^15))</f>
        <v>0.128107621652822</v>
      </c>
      <c r="S252" s="29" t="n">
        <f aca="false">R252*(1-MIN(1,INDEX(Tabla_Mortalidad!$B$5:$B$75,MIN(71,Cartera_Polizas!$B$254+16-49))*(1+(Cartera_Polizas!$P$254-1)*MAX(0,1-16/Supuestos!$C$20))*(1-Supuestos!$C$18)^16))</f>
        <v>0.103369769569254</v>
      </c>
      <c r="T252" s="29" t="n">
        <f aca="false">S252*(1-MIN(1,INDEX(Tabla_Mortalidad!$B$5:$B$75,MIN(71,Cartera_Polizas!$B$254+17-49))*(1+(Cartera_Polizas!$P$254-1)*MAX(0,1-17/Supuestos!$C$20))*(1-Supuestos!$C$18)^17))</f>
        <v>0.0814874856944668</v>
      </c>
      <c r="U252" s="29" t="n">
        <f aca="false">T252*(1-MIN(1,INDEX(Tabla_Mortalidad!$B$5:$B$75,MIN(71,Cartera_Polizas!$B$254+18-49))*(1+(Cartera_Polizas!$P$254-1)*MAX(0,1-18/Supuestos!$C$20))*(1-Supuestos!$C$18)^18))</f>
        <v>0.0626043350546006</v>
      </c>
      <c r="V252" s="29" t="n">
        <f aca="false">U252*(1-MIN(1,INDEX(Tabla_Mortalidad!$B$5:$B$75,MIN(71,Cartera_Polizas!$B$254+19-49))*(1+(Cartera_Polizas!$P$254-1)*MAX(0,1-19/Supuestos!$C$20))*(1-Supuestos!$C$18)^19))</f>
        <v>0.0467488751228896</v>
      </c>
      <c r="W252" s="29" t="n">
        <f aca="false">V252*(1-MIN(1,INDEX(Tabla_Mortalidad!$B$5:$B$75,MIN(71,Cartera_Polizas!$B$254+20-49))*(1+(Cartera_Polizas!$P$254-1)*MAX(0,1-20/Supuestos!$C$20))*(1-Supuestos!$C$18)^20))</f>
        <v>0.033831625091814</v>
      </c>
      <c r="X252" s="29" t="n">
        <f aca="false">W252*(1-MIN(1,INDEX(Tabla_Mortalidad!$B$5:$B$75,MIN(71,Cartera_Polizas!$B$254+21-49))*(1+(Cartera_Polizas!$P$254-1)*MAX(0,1-21/Supuestos!$C$20))*(1-Supuestos!$C$18)^21))</f>
        <v>0.023652628791476</v>
      </c>
      <c r="Y252" s="29" t="n">
        <f aca="false">X252*(1-MIN(1,INDEX(Tabla_Mortalidad!$B$5:$B$75,MIN(71,Cartera_Polizas!$B$254+22-49))*(1+(Cartera_Polizas!$P$254-1)*MAX(0,1-22/Supuestos!$C$20))*(1-Supuestos!$C$18)^22))</f>
        <v>0.0159201608114627</v>
      </c>
      <c r="Z252" s="29" t="n">
        <f aca="false">Y252*(1-MIN(1,INDEX(Tabla_Mortalidad!$B$5:$B$75,MIN(71,Cartera_Polizas!$B$254+23-49))*(1+(Cartera_Polizas!$P$254-1)*MAX(0,1-23/Supuestos!$C$20))*(1-Supuestos!$C$18)^23))</f>
        <v>0.0102782211358091</v>
      </c>
      <c r="AA252" s="29" t="n">
        <f aca="false">Z252*(1-MIN(1,INDEX(Tabla_Mortalidad!$B$5:$B$75,MIN(71,Cartera_Polizas!$B$254+24-49))*(1+(Cartera_Polizas!$P$254-1)*MAX(0,1-24/Supuestos!$C$20))*(1-Supuestos!$C$18)^24))</f>
        <v>0.00633970580097287</v>
      </c>
      <c r="AB252" s="29" t="n">
        <f aca="false">AA252*(1-MIN(1,INDEX(Tabla_Mortalidad!$B$5:$B$75,MIN(71,Cartera_Polizas!$B$254+25-49))*(1+(Cartera_Polizas!$P$254-1)*MAX(0,1-25/Supuestos!$C$20))*(1-Supuestos!$C$18)^25))</f>
        <v>0.00372027231662716</v>
      </c>
      <c r="AC252" s="29" t="n">
        <f aca="false">AB252*(1-MIN(1,INDEX(Tabla_Mortalidad!$B$5:$B$75,MIN(71,Cartera_Polizas!$B$254+26-49))*(1+(Cartera_Polizas!$P$254-1)*MAX(0,1-26/Supuestos!$C$20))*(1-Supuestos!$C$18)^26))</f>
        <v>0.00206784998613902</v>
      </c>
      <c r="AD252" s="29" t="n">
        <f aca="false">AC252*(1-MIN(1,INDEX(Tabla_Mortalidad!$B$5:$B$75,MIN(71,Cartera_Polizas!$B$254+27-49))*(1+(Cartera_Polizas!$P$254-1)*MAX(0,1-27/Supuestos!$C$20))*(1-Supuestos!$C$18)^27))</f>
        <v>0.0010837286308994</v>
      </c>
      <c r="AE252" s="29" t="n">
        <f aca="false">AD252*(1-MIN(1,INDEX(Tabla_Mortalidad!$B$5:$B$75,MIN(71,Cartera_Polizas!$B$254+28-49))*(1+(Cartera_Polizas!$P$254-1)*MAX(0,1-28/Supuestos!$C$20))*(1-Supuestos!$C$18)^28))</f>
        <v>0.000533051639824612</v>
      </c>
      <c r="AF252" s="29" t="n">
        <f aca="false">AE252*(1-MIN(1,INDEX(Tabla_Mortalidad!$B$5:$B$75,MIN(71,Cartera_Polizas!$B$254+29-49))*(1+(Cartera_Polizas!$P$254-1)*MAX(0,1-29/Supuestos!$C$20))*(1-Supuestos!$C$18)^29))</f>
        <v>0.00024495137511263</v>
      </c>
      <c r="AG252" s="29" t="n">
        <f aca="false">AF252*(1-MIN(1,INDEX(Tabla_Mortalidad!$B$5:$B$75,MIN(71,Cartera_Polizas!$B$254+30-49))*(1+(Cartera_Polizas!$P$254-1)*MAX(0,1-30/Supuestos!$C$20))*(1-Supuestos!$C$18)^30))</f>
        <v>0.000104705209348697</v>
      </c>
      <c r="AH252" s="29" t="n">
        <f aca="false">AG252*(1-MIN(1,INDEX(Tabla_Mortalidad!$B$5:$B$75,MIN(71,Cartera_Polizas!$B$254+31-49))*(1+(Cartera_Polizas!$P$254-1)*MAX(0,1-31/Supuestos!$C$20))*(1-Supuestos!$C$18)^31))</f>
        <v>4.14713002786217E-005</v>
      </c>
      <c r="AI252" s="29" t="n">
        <f aca="false">AH252*(1-MIN(1,INDEX(Tabla_Mortalidad!$B$5:$B$75,MIN(71,Cartera_Polizas!$B$254+32-49))*(1+(Cartera_Polizas!$P$254-1)*MAX(0,1-32/Supuestos!$C$20))*(1-Supuestos!$C$18)^32))</f>
        <v>1.51724747076939E-005</v>
      </c>
      <c r="AJ252" s="29" t="n">
        <f aca="false">AI252*(1-MIN(1,INDEX(Tabla_Mortalidad!$B$5:$B$75,MIN(71,Cartera_Polizas!$B$254+33-49))*(1+(Cartera_Polizas!$P$254-1)*MAX(0,1-33/Supuestos!$C$20))*(1-Supuestos!$C$18)^33))</f>
        <v>5.11697319830627E-006</v>
      </c>
      <c r="AK252" s="29" t="n">
        <f aca="false">AJ252*(1-MIN(1,INDEX(Tabla_Mortalidad!$B$5:$B$75,MIN(71,Cartera_Polizas!$B$254+34-49))*(1+(Cartera_Polizas!$P$254-1)*MAX(0,1-34/Supuestos!$C$20))*(1-Supuestos!$C$18)^34))</f>
        <v>1.58996486413505E-006</v>
      </c>
      <c r="AL252" s="29" t="n">
        <f aca="false">AK252*(1-MIN(1,INDEX(Tabla_Mortalidad!$B$5:$B$75,MIN(71,Cartera_Polizas!$B$254+35-49))*(1+(Cartera_Polizas!$P$254-1)*MAX(0,1-35/Supuestos!$C$20))*(1-Supuestos!$C$18)^35))</f>
        <v>4.55808243045728E-007</v>
      </c>
      <c r="AM252" s="29" t="n">
        <f aca="false">AL252*(1-MIN(1,INDEX(Tabla_Mortalidad!$B$5:$B$75,MIN(71,Cartera_Polizas!$B$254+36-49))*(1+(Cartera_Polizas!$P$254-1)*MAX(0,1-36/Supuestos!$C$20))*(1-Supuestos!$C$18)^36))</f>
        <v>1.21000830288764E-007</v>
      </c>
      <c r="AN252" s="29" t="n">
        <f aca="false">AM252*(1-MIN(1,INDEX(Tabla_Mortalidad!$B$5:$B$75,MIN(71,Cartera_Polizas!$B$254+37-49))*(1+(Cartera_Polizas!$P$254-1)*MAX(0,1-37/Supuestos!$C$20))*(1-Supuestos!$C$18)^37))</f>
        <v>2.9927615277492E-008</v>
      </c>
      <c r="AO252" s="29" t="n">
        <f aca="false">AN252*(1-MIN(1,INDEX(Tabla_Mortalidad!$B$5:$B$75,MIN(71,Cartera_Polizas!$B$254+38-49))*(1+(Cartera_Polizas!$P$254-1)*MAX(0,1-38/Supuestos!$C$20))*(1-Supuestos!$C$18)^38))</f>
        <v>6.95595642372994E-009</v>
      </c>
      <c r="AP252" s="29" t="n">
        <f aca="false">AO252*(1-MIN(1,INDEX(Tabla_Mortalidad!$B$5:$B$75,MIN(71,Cartera_Polizas!$B$254+39-49))*(1+(Cartera_Polizas!$P$254-1)*MAX(0,1-39/Supuestos!$C$20))*(1-Supuestos!$C$18)^39))</f>
        <v>1.53551835255634E-009</v>
      </c>
      <c r="AQ252" s="29" t="n">
        <f aca="false">AP252*(1-MIN(1,INDEX(Tabla_Mortalidad!$B$5:$B$75,MIN(71,Cartera_Polizas!$B$254+40-49))*(1+(Cartera_Polizas!$P$254-1)*MAX(0,1-40/Supuestos!$C$20))*(1-Supuestos!$C$18)^40))</f>
        <v>2.78972788459899E-010</v>
      </c>
      <c r="AR252" s="29" t="n">
        <f aca="false">AQ252*(1-MIN(1,INDEX(Tabla_Mortalidad!$B$5:$B$75,MIN(71,Cartera_Polizas!$B$254+41-49))*(1+(Cartera_Polizas!$P$254-1)*MAX(0,1-41/Supuestos!$C$20))*(1-Supuestos!$C$18)^41))</f>
        <v>5.18251876754342E-011</v>
      </c>
      <c r="AS252" s="29" t="n">
        <f aca="false">AR252*(1-MIN(1,INDEX(Tabla_Mortalidad!$B$5:$B$75,MIN(71,Cartera_Polizas!$B$254+42-49))*(1+(Cartera_Polizas!$P$254-1)*MAX(0,1-42/Supuestos!$C$20))*(1-Supuestos!$C$18)^42))</f>
        <v>9.83862952350966E-012</v>
      </c>
      <c r="AT252" s="29" t="n">
        <f aca="false">AS252*(1-MIN(1,INDEX(Tabla_Mortalidad!$B$5:$B$75,MIN(71,Cartera_Polizas!$B$254+43-49))*(1+(Cartera_Polizas!$P$254-1)*MAX(0,1-43/Supuestos!$C$20))*(1-Supuestos!$C$18)^43))</f>
        <v>1.9076454189255E-012</v>
      </c>
      <c r="AU252" s="29" t="n">
        <f aca="false">AT252*(1-MIN(1,INDEX(Tabla_Mortalidad!$B$5:$B$75,MIN(71,Cartera_Polizas!$B$254+44-49))*(1+(Cartera_Polizas!$P$254-1)*MAX(0,1-44/Supuestos!$C$20))*(1-Supuestos!$C$18)^44))</f>
        <v>3.77568701305841E-013</v>
      </c>
    </row>
    <row r="253" customFormat="false" ht="15" hidden="false" customHeight="false" outlineLevel="0" collapsed="false">
      <c r="A253" s="14" t="n">
        <f aca="false">Cartera_Polizas!A255</f>
        <v>250</v>
      </c>
      <c r="B253" s="26" t="n">
        <f aca="false">SUM(C253:AU253)+0.5</f>
        <v>15.1170489420545</v>
      </c>
      <c r="C253" s="29" t="n">
        <f aca="false">1-MIN(1,INDEX(Tabla_Mortalidad!$B$5:$B$75,MIN(71,Cartera_Polizas!$B$255+0-49))*(1+(Cartera_Polizas!$P$255-1)*MAX(0,1-0/Supuestos!$C$20))*(1-Supuestos!$C$18)^0)</f>
        <v>0.9793666675</v>
      </c>
      <c r="D253" s="29" t="n">
        <f aca="false">C253*(1-MIN(1,INDEX(Tabla_Mortalidad!$B$5:$B$75,MIN(71,Cartera_Polizas!$B$255+1-49))*(1+(Cartera_Polizas!$P$255-1)*MAX(0,1-1/Supuestos!$C$20))*(1-Supuestos!$C$18)^1))</f>
        <v>0.957099949121863</v>
      </c>
      <c r="E253" s="29" t="n">
        <f aca="false">D253*(1-MIN(1,INDEX(Tabla_Mortalidad!$B$5:$B$75,MIN(71,Cartera_Polizas!$B$255+2-49))*(1+(Cartera_Polizas!$P$255-1)*MAX(0,1-2/Supuestos!$C$20))*(1-Supuestos!$C$18)^2))</f>
        <v>0.933124424856191</v>
      </c>
      <c r="F253" s="29" t="n">
        <f aca="false">E253*(1-MIN(1,INDEX(Tabla_Mortalidad!$B$5:$B$75,MIN(71,Cartera_Polizas!$B$255+3-49))*(1+(Cartera_Polizas!$P$255-1)*MAX(0,1-3/Supuestos!$C$20))*(1-Supuestos!$C$18)^3))</f>
        <v>0.907376395092707</v>
      </c>
      <c r="G253" s="29" t="n">
        <f aca="false">F253*(1-MIN(1,INDEX(Tabla_Mortalidad!$B$5:$B$75,MIN(71,Cartera_Polizas!$B$255+4-49))*(1+(Cartera_Polizas!$P$255-1)*MAX(0,1-4/Supuestos!$C$20))*(1-Supuestos!$C$18)^4))</f>
        <v>0.879802417656356</v>
      </c>
      <c r="H253" s="29" t="n">
        <f aca="false">G253*(1-MIN(1,INDEX(Tabla_Mortalidad!$B$5:$B$75,MIN(71,Cartera_Polizas!$B$255+5-49))*(1+(Cartera_Polizas!$P$255-1)*MAX(0,1-5/Supuestos!$C$20))*(1-Supuestos!$C$18)^5))</f>
        <v>0.850364052464067</v>
      </c>
      <c r="I253" s="29" t="n">
        <f aca="false">H253*(1-MIN(1,INDEX(Tabla_Mortalidad!$B$5:$B$75,MIN(71,Cartera_Polizas!$B$255+6-49))*(1+(Cartera_Polizas!$P$255-1)*MAX(0,1-6/Supuestos!$C$20))*(1-Supuestos!$C$18)^6))</f>
        <v>0.81904214841765</v>
      </c>
      <c r="J253" s="29" t="n">
        <f aca="false">I253*(1-MIN(1,INDEX(Tabla_Mortalidad!$B$5:$B$75,MIN(71,Cartera_Polizas!$B$255+7-49))*(1+(Cartera_Polizas!$P$255-1)*MAX(0,1-7/Supuestos!$C$20))*(1-Supuestos!$C$18)^7))</f>
        <v>0.785841660080398</v>
      </c>
      <c r="K253" s="29" t="n">
        <f aca="false">J253*(1-MIN(1,INDEX(Tabla_Mortalidad!$B$5:$B$75,MIN(71,Cartera_Polizas!$B$255+8-49))*(1+(Cartera_Polizas!$P$255-1)*MAX(0,1-8/Supuestos!$C$20))*(1-Supuestos!$C$18)^8))</f>
        <v>0.750796030038021</v>
      </c>
      <c r="L253" s="29" t="n">
        <f aca="false">K253*(1-MIN(1,INDEX(Tabla_Mortalidad!$B$5:$B$75,MIN(71,Cartera_Polizas!$B$255+9-49))*(1+(Cartera_Polizas!$P$255-1)*MAX(0,1-9/Supuestos!$C$20))*(1-Supuestos!$C$18)^9))</f>
        <v>0.713970463520193</v>
      </c>
      <c r="M253" s="29" t="n">
        <f aca="false">L253*(1-MIN(1,INDEX(Tabla_Mortalidad!$B$5:$B$75,MIN(71,Cartera_Polizas!$B$255+10-49))*(1+(Cartera_Polizas!$P$255-1)*MAX(0,1-10/Supuestos!$C$20))*(1-Supuestos!$C$18)^10))</f>
        <v>0.675467971484843</v>
      </c>
      <c r="N253" s="29" t="n">
        <f aca="false">M253*(1-MIN(1,INDEX(Tabla_Mortalidad!$B$5:$B$75,MIN(71,Cartera_Polizas!$B$255+11-49))*(1+(Cartera_Polizas!$P$255-1)*MAX(0,1-11/Supuestos!$C$20))*(1-Supuestos!$C$18)^11))</f>
        <v>0.635434935142456</v>
      </c>
      <c r="O253" s="29" t="n">
        <f aca="false">N253*(1-MIN(1,INDEX(Tabla_Mortalidad!$B$5:$B$75,MIN(71,Cartera_Polizas!$B$255+12-49))*(1+(Cartera_Polizas!$P$255-1)*MAX(0,1-12/Supuestos!$C$20))*(1-Supuestos!$C$18)^12))</f>
        <v>0.594063290459542</v>
      </c>
      <c r="P253" s="29" t="n">
        <f aca="false">O253*(1-MIN(1,INDEX(Tabla_Mortalidad!$B$5:$B$75,MIN(71,Cartera_Polizas!$B$255+13-49))*(1+(Cartera_Polizas!$P$255-1)*MAX(0,1-13/Supuestos!$C$20))*(1-Supuestos!$C$18)^13))</f>
        <v>0.551592946622112</v>
      </c>
      <c r="Q253" s="29" t="n">
        <f aca="false">P253*(1-MIN(1,INDEX(Tabla_Mortalidad!$B$5:$B$75,MIN(71,Cartera_Polizas!$B$255+14-49))*(1+(Cartera_Polizas!$P$255-1)*MAX(0,1-14/Supuestos!$C$20))*(1-Supuestos!$C$18)^14))</f>
        <v>0.508315653224684</v>
      </c>
      <c r="R253" s="29" t="n">
        <f aca="false">Q253*(1-MIN(1,INDEX(Tabla_Mortalidad!$B$5:$B$75,MIN(71,Cartera_Polizas!$B$255+15-49))*(1+(Cartera_Polizas!$P$255-1)*MAX(0,1-15/Supuestos!$C$20))*(1-Supuestos!$C$18)^15))</f>
        <v>0.464571027896609</v>
      </c>
      <c r="S253" s="29" t="n">
        <f aca="false">R253*(1-MIN(1,INDEX(Tabla_Mortalidad!$B$5:$B$75,MIN(71,Cartera_Polizas!$B$255+16-49))*(1+(Cartera_Polizas!$P$255-1)*MAX(0,1-16/Supuestos!$C$20))*(1-Supuestos!$C$18)^16))</f>
        <v>0.420411879523082</v>
      </c>
      <c r="T253" s="29" t="n">
        <f aca="false">S253*(1-MIN(1,INDEX(Tabla_Mortalidad!$B$5:$B$75,MIN(71,Cartera_Polizas!$B$255+17-49))*(1+(Cartera_Polizas!$P$255-1)*MAX(0,1-17/Supuestos!$C$20))*(1-Supuestos!$C$18)^17))</f>
        <v>0.376300933927857</v>
      </c>
      <c r="U253" s="29" t="n">
        <f aca="false">T253*(1-MIN(1,INDEX(Tabla_Mortalidad!$B$5:$B$75,MIN(71,Cartera_Polizas!$B$255+18-49))*(1+(Cartera_Polizas!$P$255-1)*MAX(0,1-18/Supuestos!$C$20))*(1-Supuestos!$C$18)^18))</f>
        <v>0.332749350614374</v>
      </c>
      <c r="V253" s="29" t="n">
        <f aca="false">U253*(1-MIN(1,INDEX(Tabla_Mortalidad!$B$5:$B$75,MIN(71,Cartera_Polizas!$B$255+19-49))*(1+(Cartera_Polizas!$P$255-1)*MAX(0,1-19/Supuestos!$C$20))*(1-Supuestos!$C$18)^19))</f>
        <v>0.290302607265322</v>
      </c>
      <c r="W253" s="29" t="n">
        <f aca="false">V253*(1-MIN(1,INDEX(Tabla_Mortalidad!$B$5:$B$75,MIN(71,Cartera_Polizas!$B$255+20-49))*(1+(Cartera_Polizas!$P$255-1)*MAX(0,1-20/Supuestos!$C$20))*(1-Supuestos!$C$18)^20))</f>
        <v>0.249521516475651</v>
      </c>
      <c r="X253" s="29" t="n">
        <f aca="false">W253*(1-MIN(1,INDEX(Tabla_Mortalidad!$B$5:$B$75,MIN(71,Cartera_Polizas!$B$255+21-49))*(1+(Cartera_Polizas!$P$255-1)*MAX(0,1-21/Supuestos!$C$20))*(1-Supuestos!$C$18)^21))</f>
        <v>0.210958087920001</v>
      </c>
      <c r="Y253" s="29" t="n">
        <f aca="false">X253*(1-MIN(1,INDEX(Tabla_Mortalidad!$B$5:$B$75,MIN(71,Cartera_Polizas!$B$255+22-49))*(1+(Cartera_Polizas!$P$255-1)*MAX(0,1-22/Supuestos!$C$20))*(1-Supuestos!$C$18)^22))</f>
        <v>0.175126885384122</v>
      </c>
      <c r="Z253" s="29" t="n">
        <f aca="false">Y253*(1-MIN(1,INDEX(Tabla_Mortalidad!$B$5:$B$75,MIN(71,Cartera_Polizas!$B$255+23-49))*(1+(Cartera_Polizas!$P$255-1)*MAX(0,1-23/Supuestos!$C$20))*(1-Supuestos!$C$18)^23))</f>
        <v>0.142475515333721</v>
      </c>
      <c r="AA253" s="29" t="n">
        <f aca="false">Z253*(1-MIN(1,INDEX(Tabla_Mortalidad!$B$5:$B$75,MIN(71,Cartera_Polizas!$B$255+24-49))*(1+(Cartera_Polizas!$P$255-1)*MAX(0,1-24/Supuestos!$C$20))*(1-Supuestos!$C$18)^24))</f>
        <v>0.113354876282745</v>
      </c>
      <c r="AB253" s="29" t="n">
        <f aca="false">AA253*(1-MIN(1,INDEX(Tabla_Mortalidad!$B$5:$B$75,MIN(71,Cartera_Polizas!$B$255+25-49))*(1+(Cartera_Polizas!$P$255-1)*MAX(0,1-25/Supuestos!$C$20))*(1-Supuestos!$C$18)^25))</f>
        <v>0.0879927703363382</v>
      </c>
      <c r="AC253" s="29" t="n">
        <f aca="false">AB253*(1-MIN(1,INDEX(Tabla_Mortalidad!$B$5:$B$75,MIN(71,Cartera_Polizas!$B$255+26-49))*(1+(Cartera_Polizas!$P$255-1)*MAX(0,1-26/Supuestos!$C$20))*(1-Supuestos!$C$18)^26))</f>
        <v>0.066475707224549</v>
      </c>
      <c r="AD253" s="29" t="n">
        <f aca="false">AC253*(1-MIN(1,INDEX(Tabla_Mortalidad!$B$5:$B$75,MIN(71,Cartera_Polizas!$B$255+27-49))*(1+(Cartera_Polizas!$P$255-1)*MAX(0,1-27/Supuestos!$C$20))*(1-Supuestos!$C$18)^27))</f>
        <v>0.0487410241294584</v>
      </c>
      <c r="AE253" s="29" t="n">
        <f aca="false">AD253*(1-MIN(1,INDEX(Tabla_Mortalidad!$B$5:$B$75,MIN(71,Cartera_Polizas!$B$255+28-49))*(1+(Cartera_Polizas!$P$255-1)*MAX(0,1-28/Supuestos!$C$20))*(1-Supuestos!$C$18)^28))</f>
        <v>0.0345818372949745</v>
      </c>
      <c r="AF253" s="29" t="n">
        <f aca="false">AE253*(1-MIN(1,INDEX(Tabla_Mortalidad!$B$5:$B$75,MIN(71,Cartera_Polizas!$B$255+29-49))*(1+(Cartera_Polizas!$P$255-1)*MAX(0,1-29/Supuestos!$C$20))*(1-Supuestos!$C$18)^29))</f>
        <v>0.0236662189462886</v>
      </c>
      <c r="AG253" s="29" t="n">
        <f aca="false">AF253*(1-MIN(1,INDEX(Tabla_Mortalidad!$B$5:$B$75,MIN(71,Cartera_Polizas!$B$255+30-49))*(1+(Cartera_Polizas!$P$255-1)*MAX(0,1-30/Supuestos!$C$20))*(1-Supuestos!$C$18)^30))</f>
        <v>0.0155683371845071</v>
      </c>
      <c r="AH253" s="29" t="n">
        <f aca="false">AG253*(1-MIN(1,INDEX(Tabla_Mortalidad!$B$5:$B$75,MIN(71,Cartera_Polizas!$B$255+31-49))*(1+(Cartera_Polizas!$P$255-1)*MAX(0,1-31/Supuestos!$C$20))*(1-Supuestos!$C$18)^31))</f>
        <v>0.00980839163645132</v>
      </c>
      <c r="AI253" s="29" t="n">
        <f aca="false">AH253*(1-MIN(1,INDEX(Tabla_Mortalidad!$B$5:$B$75,MIN(71,Cartera_Polizas!$B$255+32-49))*(1+(Cartera_Polizas!$P$255-1)*MAX(0,1-32/Supuestos!$C$20))*(1-Supuestos!$C$18)^32))</f>
        <v>0.00589550168406212</v>
      </c>
      <c r="AJ253" s="29" t="n">
        <f aca="false">AI253*(1-MIN(1,INDEX(Tabla_Mortalidad!$B$5:$B$75,MIN(71,Cartera_Polizas!$B$255+33-49))*(1+(Cartera_Polizas!$P$255-1)*MAX(0,1-33/Supuestos!$C$20))*(1-Supuestos!$C$18)^33))</f>
        <v>0.00336720137506985</v>
      </c>
      <c r="AK253" s="29" t="n">
        <f aca="false">AJ253*(1-MIN(1,INDEX(Tabla_Mortalidad!$B$5:$B$75,MIN(71,Cartera_Polizas!$B$255+34-49))*(1+(Cartera_Polizas!$P$255-1)*MAX(0,1-34/Supuestos!$C$20))*(1-Supuestos!$C$18)^34))</f>
        <v>0.00181995212093396</v>
      </c>
      <c r="AL253" s="29" t="n">
        <f aca="false">AK253*(1-MIN(1,INDEX(Tabla_Mortalidad!$B$5:$B$75,MIN(71,Cartera_Polizas!$B$255+35-49))*(1+(Cartera_Polizas!$P$255-1)*MAX(0,1-35/Supuestos!$C$20))*(1-Supuestos!$C$18)^35))</f>
        <v>0.000927062218451326</v>
      </c>
      <c r="AM253" s="29" t="n">
        <f aca="false">AL253*(1-MIN(1,INDEX(Tabla_Mortalidad!$B$5:$B$75,MIN(71,Cartera_Polizas!$B$255+36-49))*(1+(Cartera_Polizas!$P$255-1)*MAX(0,1-36/Supuestos!$C$20))*(1-Supuestos!$C$18)^36))</f>
        <v>0.000443285659611278</v>
      </c>
      <c r="AN253" s="29" t="n">
        <f aca="false">AM253*(1-MIN(1,INDEX(Tabla_Mortalidad!$B$5:$B$75,MIN(71,Cartera_Polizas!$B$255+37-49))*(1+(Cartera_Polizas!$P$255-1)*MAX(0,1-37/Supuestos!$C$20))*(1-Supuestos!$C$18)^37))</f>
        <v>0.000198234725610724</v>
      </c>
      <c r="AO253" s="29" t="n">
        <f aca="false">AN253*(1-MIN(1,INDEX(Tabla_Mortalidad!$B$5:$B$75,MIN(71,Cartera_Polizas!$B$255+38-49))*(1+(Cartera_Polizas!$P$255-1)*MAX(0,1-38/Supuestos!$C$20))*(1-Supuestos!$C$18)^38))</f>
        <v>8.26439866503724E-005</v>
      </c>
      <c r="AP253" s="29" t="n">
        <f aca="false">AO253*(1-MIN(1,INDEX(Tabla_Mortalidad!$B$5:$B$75,MIN(71,Cartera_Polizas!$B$255+39-49))*(1+(Cartera_Polizas!$P$255-1)*MAX(0,1-39/Supuestos!$C$20))*(1-Supuestos!$C$18)^39))</f>
        <v>3.20427039037881E-005</v>
      </c>
      <c r="AQ253" s="29" t="n">
        <f aca="false">AP253*(1-MIN(1,INDEX(Tabla_Mortalidad!$B$5:$B$75,MIN(71,Cartera_Polizas!$B$255+40-49))*(1+(Cartera_Polizas!$P$255-1)*MAX(0,1-40/Supuestos!$C$20))*(1-Supuestos!$C$18)^40))</f>
        <v>1.15387302478855E-005</v>
      </c>
      <c r="AR253" s="29" t="n">
        <f aca="false">AQ253*(1-MIN(1,INDEX(Tabla_Mortalidad!$B$5:$B$75,MIN(71,Cartera_Polizas!$B$255+41-49))*(1+(Cartera_Polizas!$P$255-1)*MAX(0,1-41/Supuestos!$C$20))*(1-Supuestos!$C$18)^41))</f>
        <v>3.85958416442273E-006</v>
      </c>
      <c r="AS253" s="29" t="n">
        <f aca="false">AR253*(1-MIN(1,INDEX(Tabla_Mortalidad!$B$5:$B$75,MIN(71,Cartera_Polizas!$B$255+42-49))*(1+(Cartera_Polizas!$P$255-1)*MAX(0,1-42/Supuestos!$C$20))*(1-Supuestos!$C$18)^42))</f>
        <v>1.20138457611451E-006</v>
      </c>
      <c r="AT253" s="29" t="n">
        <f aca="false">AS253*(1-MIN(1,INDEX(Tabla_Mortalidad!$B$5:$B$75,MIN(71,Cartera_Polizas!$B$255+43-49))*(1+(Cartera_Polizas!$P$255-1)*MAX(0,1-43/Supuestos!$C$20))*(1-Supuestos!$C$18)^43))</f>
        <v>3.49351396657585E-007</v>
      </c>
      <c r="AU253" s="29" t="n">
        <f aca="false">AT253*(1-MIN(1,INDEX(Tabla_Mortalidad!$B$5:$B$75,MIN(71,Cartera_Polizas!$B$255+44-49))*(1+(Cartera_Polizas!$P$255-1)*MAX(0,1-44/Supuestos!$C$20))*(1-Supuestos!$C$18)^44))</f>
        <v>9.54726376724503E-008</v>
      </c>
    </row>
    <row r="254" customFormat="false" ht="15" hidden="false" customHeight="false" outlineLevel="0" collapsed="false">
      <c r="A254" s="14" t="n">
        <f aca="false">Cartera_Polizas!A256</f>
        <v>251</v>
      </c>
      <c r="B254" s="26" t="n">
        <f aca="false">SUM(C254:AU254)+0.5</f>
        <v>15.5400043372508</v>
      </c>
      <c r="C254" s="29" t="n">
        <f aca="false">1-MIN(1,INDEX(Tabla_Mortalidad!$B$5:$B$75,MIN(71,Cartera_Polizas!$B$256+0-49))*(1+(Cartera_Polizas!$P$256-1)*MAX(0,1-0/Supuestos!$C$20))*(1-Supuestos!$C$18)^0)</f>
        <v>0.972237034</v>
      </c>
      <c r="D254" s="29" t="n">
        <f aca="false">C254*(1-MIN(1,INDEX(Tabla_Mortalidad!$B$5:$B$75,MIN(71,Cartera_Polizas!$B$256+1-49))*(1+(Cartera_Polizas!$P$256-1)*MAX(0,1-1/Supuestos!$C$20))*(1-Supuestos!$C$18)^1))</f>
        <v>0.943317083416258</v>
      </c>
      <c r="E254" s="29" t="n">
        <f aca="false">D254*(1-MIN(1,INDEX(Tabla_Mortalidad!$B$5:$B$75,MIN(71,Cartera_Polizas!$B$256+2-49))*(1+(Cartera_Polizas!$P$256-1)*MAX(0,1-2/Supuestos!$C$20))*(1-Supuestos!$C$18)^2))</f>
        <v>0.91329528687812</v>
      </c>
      <c r="F254" s="29" t="n">
        <f aca="false">E254*(1-MIN(1,INDEX(Tabla_Mortalidad!$B$5:$B$75,MIN(71,Cartera_Polizas!$B$256+3-49))*(1+(Cartera_Polizas!$P$256-1)*MAX(0,1-3/Supuestos!$C$20))*(1-Supuestos!$C$18)^3))</f>
        <v>0.882240997622686</v>
      </c>
      <c r="G254" s="29" t="n">
        <f aca="false">F254*(1-MIN(1,INDEX(Tabla_Mortalidad!$B$5:$B$75,MIN(71,Cartera_Polizas!$B$256+4-49))*(1+(Cartera_Polizas!$P$256-1)*MAX(0,1-4/Supuestos!$C$20))*(1-Supuestos!$C$18)^4))</f>
        <v>0.850244160373098</v>
      </c>
      <c r="H254" s="29" t="n">
        <f aca="false">G254*(1-MIN(1,INDEX(Tabla_Mortalidad!$B$5:$B$75,MIN(71,Cartera_Polizas!$B$256+5-49))*(1+(Cartera_Polizas!$P$256-1)*MAX(0,1-5/Supuestos!$C$20))*(1-Supuestos!$C$18)^5))</f>
        <v>0.817408118827339</v>
      </c>
      <c r="I254" s="29" t="n">
        <f aca="false">H254*(1-MIN(1,INDEX(Tabla_Mortalidad!$B$5:$B$75,MIN(71,Cartera_Polizas!$B$256+6-49))*(1+(Cartera_Polizas!$P$256-1)*MAX(0,1-6/Supuestos!$C$20))*(1-Supuestos!$C$18)^6))</f>
        <v>0.783858549821907</v>
      </c>
      <c r="J254" s="29" t="n">
        <f aca="false">I254*(1-MIN(1,INDEX(Tabla_Mortalidad!$B$5:$B$75,MIN(71,Cartera_Polizas!$B$256+7-49))*(1+(Cartera_Polizas!$P$256-1)*MAX(0,1-7/Supuestos!$C$20))*(1-Supuestos!$C$18)^7))</f>
        <v>0.749736698417934</v>
      </c>
      <c r="K254" s="29" t="n">
        <f aca="false">J254*(1-MIN(1,INDEX(Tabla_Mortalidad!$B$5:$B$75,MIN(71,Cartera_Polizas!$B$256+8-49))*(1+(Cartera_Polizas!$P$256-1)*MAX(0,1-8/Supuestos!$C$20))*(1-Supuestos!$C$18)^8))</f>
        <v>0.71520049340106</v>
      </c>
      <c r="L254" s="29" t="n">
        <f aca="false">K254*(1-MIN(1,INDEX(Tabla_Mortalidad!$B$5:$B$75,MIN(71,Cartera_Polizas!$B$256+9-49))*(1+(Cartera_Polizas!$P$256-1)*MAX(0,1-9/Supuestos!$C$20))*(1-Supuestos!$C$18)^9))</f>
        <v>0.680423735042182</v>
      </c>
      <c r="M254" s="29" t="n">
        <f aca="false">L254*(1-MIN(1,INDEX(Tabla_Mortalidad!$B$5:$B$75,MIN(71,Cartera_Polizas!$B$256+10-49))*(1+(Cartera_Polizas!$P$256-1)*MAX(0,1-10/Supuestos!$C$20))*(1-Supuestos!$C$18)^10))</f>
        <v>0.645594779807821</v>
      </c>
      <c r="N254" s="29" t="n">
        <f aca="false">M254*(1-MIN(1,INDEX(Tabla_Mortalidad!$B$5:$B$75,MIN(71,Cartera_Polizas!$B$256+11-49))*(1+(Cartera_Polizas!$P$256-1)*MAX(0,1-11/Supuestos!$C$20))*(1-Supuestos!$C$18)^11))</f>
        <v>0.610913806753416</v>
      </c>
      <c r="O254" s="29" t="n">
        <f aca="false">N254*(1-MIN(1,INDEX(Tabla_Mortalidad!$B$5:$B$75,MIN(71,Cartera_Polizas!$B$256+12-49))*(1+(Cartera_Polizas!$P$256-1)*MAX(0,1-12/Supuestos!$C$20))*(1-Supuestos!$C$18)^12))</f>
        <v>0.576588474189654</v>
      </c>
      <c r="P254" s="29" t="n">
        <f aca="false">O254*(1-MIN(1,INDEX(Tabla_Mortalidad!$B$5:$B$75,MIN(71,Cartera_Polizas!$B$256+13-49))*(1+(Cartera_Polizas!$P$256-1)*MAX(0,1-13/Supuestos!$C$20))*(1-Supuestos!$C$18)^13))</f>
        <v>0.542832028552826</v>
      </c>
      <c r="Q254" s="29" t="n">
        <f aca="false">P254*(1-MIN(1,INDEX(Tabla_Mortalidad!$B$5:$B$75,MIN(71,Cartera_Polizas!$B$256+14-49))*(1+(Cartera_Polizas!$P$256-1)*MAX(0,1-14/Supuestos!$C$20))*(1-Supuestos!$C$18)^14))</f>
        <v>0.509860543976786</v>
      </c>
      <c r="R254" s="29" t="n">
        <f aca="false">Q254*(1-MIN(1,INDEX(Tabla_Mortalidad!$B$5:$B$75,MIN(71,Cartera_Polizas!$B$256+15-49))*(1+(Cartera_Polizas!$P$256-1)*MAX(0,1-15/Supuestos!$C$20))*(1-Supuestos!$C$18)^15))</f>
        <v>0.477887583026275</v>
      </c>
      <c r="S254" s="29" t="n">
        <f aca="false">R254*(1-MIN(1,INDEX(Tabla_Mortalidad!$B$5:$B$75,MIN(71,Cartera_Polizas!$B$256+16-49))*(1+(Cartera_Polizas!$P$256-1)*MAX(0,1-16/Supuestos!$C$20))*(1-Supuestos!$C$18)^16))</f>
        <v>0.44473550925761</v>
      </c>
      <c r="T254" s="29" t="n">
        <f aca="false">S254*(1-MIN(1,INDEX(Tabla_Mortalidad!$B$5:$B$75,MIN(71,Cartera_Polizas!$B$256+17-49))*(1+(Cartera_Polizas!$P$256-1)*MAX(0,1-17/Supuestos!$C$20))*(1-Supuestos!$C$18)^17))</f>
        <v>0.410621602252481</v>
      </c>
      <c r="U254" s="29" t="n">
        <f aca="false">T254*(1-MIN(1,INDEX(Tabla_Mortalidad!$B$5:$B$75,MIN(71,Cartera_Polizas!$B$256+18-49))*(1+(Cartera_Polizas!$P$256-1)*MAX(0,1-18/Supuestos!$C$20))*(1-Supuestos!$C$18)^18))</f>
        <v>0.375811744147453</v>
      </c>
      <c r="V254" s="29" t="n">
        <f aca="false">U254*(1-MIN(1,INDEX(Tabla_Mortalidad!$B$5:$B$75,MIN(71,Cartera_Polizas!$B$256+19-49))*(1+(Cartera_Polizas!$P$256-1)*MAX(0,1-19/Supuestos!$C$20))*(1-Supuestos!$C$18)^19))</f>
        <v>0.340622644353961</v>
      </c>
      <c r="W254" s="29" t="n">
        <f aca="false">V254*(1-MIN(1,INDEX(Tabla_Mortalidad!$B$5:$B$75,MIN(71,Cartera_Polizas!$B$256+20-49))*(1+(Cartera_Polizas!$P$256-1)*MAX(0,1-20/Supuestos!$C$20))*(1-Supuestos!$C$18)^20))</f>
        <v>0.305416850080838</v>
      </c>
      <c r="X254" s="29" t="n">
        <f aca="false">W254*(1-MIN(1,INDEX(Tabla_Mortalidad!$B$5:$B$75,MIN(71,Cartera_Polizas!$B$256+21-49))*(1+(Cartera_Polizas!$P$256-1)*MAX(0,1-21/Supuestos!$C$20))*(1-Supuestos!$C$18)^21))</f>
        <v>0.270596679996818</v>
      </c>
      <c r="Y254" s="29" t="n">
        <f aca="false">X254*(1-MIN(1,INDEX(Tabla_Mortalidad!$B$5:$B$75,MIN(71,Cartera_Polizas!$B$256+22-49))*(1+(Cartera_Polizas!$P$256-1)*MAX(0,1-22/Supuestos!$C$20))*(1-Supuestos!$C$18)^22))</f>
        <v>0.236593552420522</v>
      </c>
      <c r="Z254" s="29" t="n">
        <f aca="false">Y254*(1-MIN(1,INDEX(Tabla_Mortalidad!$B$5:$B$75,MIN(71,Cartera_Polizas!$B$256+23-49))*(1+(Cartera_Polizas!$P$256-1)*MAX(0,1-23/Supuestos!$C$20))*(1-Supuestos!$C$18)^23))</f>
        <v>0.20385344884863</v>
      </c>
      <c r="AA254" s="29" t="n">
        <f aca="false">Z254*(1-MIN(1,INDEX(Tabla_Mortalidad!$B$5:$B$75,MIN(71,Cartera_Polizas!$B$256+24-49))*(1+(Cartera_Polizas!$P$256-1)*MAX(0,1-24/Supuestos!$C$20))*(1-Supuestos!$C$18)^24))</f>
        <v>0.172818220644061</v>
      </c>
      <c r="AB254" s="29" t="n">
        <f aca="false">AA254*(1-MIN(1,INDEX(Tabla_Mortalidad!$B$5:$B$75,MIN(71,Cartera_Polizas!$B$256+25-49))*(1+(Cartera_Polizas!$P$256-1)*MAX(0,1-25/Supuestos!$C$20))*(1-Supuestos!$C$18)^25))</f>
        <v>0.143903168828516</v>
      </c>
      <c r="AC254" s="29" t="n">
        <f aca="false">AB254*(1-MIN(1,INDEX(Tabla_Mortalidad!$B$5:$B$75,MIN(71,Cartera_Polizas!$B$256+26-49))*(1+(Cartera_Polizas!$P$256-1)*MAX(0,1-26/Supuestos!$C$20))*(1-Supuestos!$C$18)^26))</f>
        <v>0.117473715219596</v>
      </c>
      <c r="AD254" s="29" t="n">
        <f aca="false">AC254*(1-MIN(1,INDEX(Tabla_Mortalidad!$B$5:$B$75,MIN(71,Cartera_Polizas!$B$256+27-49))*(1+(Cartera_Polizas!$P$256-1)*MAX(0,1-27/Supuestos!$C$20))*(1-Supuestos!$C$18)^27))</f>
        <v>0.0938215659592745</v>
      </c>
      <c r="AE254" s="29" t="n">
        <f aca="false">AD254*(1-MIN(1,INDEX(Tabla_Mortalidad!$B$5:$B$75,MIN(71,Cartera_Polizas!$B$256+28-49))*(1+(Cartera_Polizas!$P$256-1)*MAX(0,1-28/Supuestos!$C$20))*(1-Supuestos!$C$18)^28))</f>
        <v>0.0731431615417213</v>
      </c>
      <c r="AF254" s="29" t="n">
        <f aca="false">AE254*(1-MIN(1,INDEX(Tabla_Mortalidad!$B$5:$B$75,MIN(71,Cartera_Polizas!$B$256+29-49))*(1+(Cartera_Polizas!$P$256-1)*MAX(0,1-29/Supuestos!$C$20))*(1-Supuestos!$C$18)^29))</f>
        <v>0.055524254135576</v>
      </c>
      <c r="AG254" s="29" t="n">
        <f aca="false">AF254*(1-MIN(1,INDEX(Tabla_Mortalidad!$B$5:$B$75,MIN(71,Cartera_Polizas!$B$256+30-49))*(1+(Cartera_Polizas!$P$256-1)*MAX(0,1-30/Supuestos!$C$20))*(1-Supuestos!$C$18)^30))</f>
        <v>0.0409323340837586</v>
      </c>
      <c r="AH254" s="29" t="n">
        <f aca="false">AG254*(1-MIN(1,INDEX(Tabla_Mortalidad!$B$5:$B$75,MIN(71,Cartera_Polizas!$B$256+31-49))*(1+(Cartera_Polizas!$P$256-1)*MAX(0,1-31/Supuestos!$C$20))*(1-Supuestos!$C$18)^31))</f>
        <v>0.0292190300904842</v>
      </c>
      <c r="AI254" s="29" t="n">
        <f aca="false">AH254*(1-MIN(1,INDEX(Tabla_Mortalidad!$B$5:$B$75,MIN(71,Cartera_Polizas!$B$256+32-49))*(1+(Cartera_Polizas!$P$256-1)*MAX(0,1-32/Supuestos!$C$20))*(1-Supuestos!$C$18)^32))</f>
        <v>0.0201338128272315</v>
      </c>
      <c r="AJ254" s="29" t="n">
        <f aca="false">AI254*(1-MIN(1,INDEX(Tabla_Mortalidad!$B$5:$B$75,MIN(71,Cartera_Polizas!$B$256+33-49))*(1+(Cartera_Polizas!$P$256-1)*MAX(0,1-33/Supuestos!$C$20))*(1-Supuestos!$C$18)^33))</f>
        <v>0.0133474383231142</v>
      </c>
      <c r="AK254" s="29" t="n">
        <f aca="false">AJ254*(1-MIN(1,INDEX(Tabla_Mortalidad!$B$5:$B$75,MIN(71,Cartera_Polizas!$B$256+34-49))*(1+(Cartera_Polizas!$P$256-1)*MAX(0,1-34/Supuestos!$C$20))*(1-Supuestos!$C$18)^34))</f>
        <v>0.00848288113186126</v>
      </c>
      <c r="AL254" s="29" t="n">
        <f aca="false">AK254*(1-MIN(1,INDEX(Tabla_Mortalidad!$B$5:$B$75,MIN(71,Cartera_Polizas!$B$256+35-49))*(1+(Cartera_Polizas!$P$256-1)*MAX(0,1-35/Supuestos!$C$20))*(1-Supuestos!$C$18)^35))</f>
        <v>0.00514928902529314</v>
      </c>
      <c r="AM254" s="29" t="n">
        <f aca="false">AL254*(1-MIN(1,INDEX(Tabla_Mortalidad!$B$5:$B$75,MIN(71,Cartera_Polizas!$B$256+36-49))*(1+(Cartera_Polizas!$P$256-1)*MAX(0,1-36/Supuestos!$C$20))*(1-Supuestos!$C$18)^36))</f>
        <v>0.00297396277159839</v>
      </c>
      <c r="AN254" s="29" t="n">
        <f aca="false">AM254*(1-MIN(1,INDEX(Tabla_Mortalidad!$B$5:$B$75,MIN(71,Cartera_Polizas!$B$256+37-49))*(1+(Cartera_Polizas!$P$256-1)*MAX(0,1-37/Supuestos!$C$20))*(1-Supuestos!$C$18)^37))</f>
        <v>0.00162780500301823</v>
      </c>
      <c r="AO254" s="29" t="n">
        <f aca="false">AN254*(1-MIN(1,INDEX(Tabla_Mortalidad!$B$5:$B$75,MIN(71,Cartera_Polizas!$B$256+38-49))*(1+(Cartera_Polizas!$P$256-1)*MAX(0,1-38/Supuestos!$C$20))*(1-Supuestos!$C$18)^38))</f>
        <v>0.000841104242433217</v>
      </c>
      <c r="AP254" s="29" t="n">
        <f aca="false">AO254*(1-MIN(1,INDEX(Tabla_Mortalidad!$B$5:$B$75,MIN(71,Cartera_Polizas!$B$256+39-49))*(1+(Cartera_Polizas!$P$256-1)*MAX(0,1-39/Supuestos!$C$20))*(1-Supuestos!$C$18)^39))</f>
        <v>0.000408734788218329</v>
      </c>
      <c r="AQ254" s="29" t="n">
        <f aca="false">AP254*(1-MIN(1,INDEX(Tabla_Mortalidad!$B$5:$B$75,MIN(71,Cartera_Polizas!$B$256+40-49))*(1+(Cartera_Polizas!$P$256-1)*MAX(0,1-40/Supuestos!$C$20))*(1-Supuestos!$C$18)^40))</f>
        <v>0.000186156127278145</v>
      </c>
      <c r="AR254" s="29" t="n">
        <f aca="false">AQ254*(1-MIN(1,INDEX(Tabla_Mortalidad!$B$5:$B$75,MIN(71,Cartera_Polizas!$B$256+41-49))*(1+(Cartera_Polizas!$P$256-1)*MAX(0,1-41/Supuestos!$C$20))*(1-Supuestos!$C$18)^41))</f>
        <v>7.9228511348864E-005</v>
      </c>
      <c r="AS254" s="29" t="n">
        <f aca="false">AR254*(1-MIN(1,INDEX(Tabla_Mortalidad!$B$5:$B$75,MIN(71,Cartera_Polizas!$B$256+42-49))*(1+(Cartera_Polizas!$P$256-1)*MAX(0,1-42/Supuestos!$C$20))*(1-Supuestos!$C$18)^42))</f>
        <v>3.14424753824892E-005</v>
      </c>
      <c r="AT254" s="29" t="n">
        <f aca="false">AS254*(1-MIN(1,INDEX(Tabla_Mortalidad!$B$5:$B$75,MIN(71,Cartera_Polizas!$B$256+43-49))*(1+(Cartera_Polizas!$P$256-1)*MAX(0,1-43/Supuestos!$C$20))*(1-Supuestos!$C$18)^43))</f>
        <v>1.16228769768247E-005</v>
      </c>
      <c r="AU254" s="29" t="n">
        <f aca="false">AT254*(1-MIN(1,INDEX(Tabla_Mortalidad!$B$5:$B$75,MIN(71,Cartera_Polizas!$B$256+44-49))*(1+(Cartera_Polizas!$P$256-1)*MAX(0,1-44/Supuestos!$C$20))*(1-Supuestos!$C$18)^44))</f>
        <v>4.00317839221809E-006</v>
      </c>
    </row>
    <row r="255" customFormat="false" ht="15" hidden="false" customHeight="false" outlineLevel="0" collapsed="false">
      <c r="A255" s="14" t="n">
        <f aca="false">Cartera_Polizas!A257</f>
        <v>252</v>
      </c>
      <c r="B255" s="26" t="n">
        <f aca="false">SUM(C255:AU255)+0.5</f>
        <v>9.81225506734239</v>
      </c>
      <c r="C255" s="29" t="n">
        <f aca="false">1-MIN(1,INDEX(Tabla_Mortalidad!$B$5:$B$75,MIN(71,Cartera_Polizas!$B$257+0-49))*(1+(Cartera_Polizas!$P$257-1)*MAX(0,1-0/Supuestos!$C$20))*(1-Supuestos!$C$18)^0)</f>
        <v>0.950881211875</v>
      </c>
      <c r="D255" s="29" t="n">
        <f aca="false">C255*(1-MIN(1,INDEX(Tabla_Mortalidad!$B$5:$B$75,MIN(71,Cartera_Polizas!$B$257+1-49))*(1+(Cartera_Polizas!$P$257-1)*MAX(0,1-1/Supuestos!$C$20))*(1-Supuestos!$C$18)^1))</f>
        <v>0.899796310886197</v>
      </c>
      <c r="E255" s="29" t="n">
        <f aca="false">D255*(1-MIN(1,INDEX(Tabla_Mortalidad!$B$5:$B$75,MIN(71,Cartera_Polizas!$B$257+2-49))*(1+(Cartera_Polizas!$P$257-1)*MAX(0,1-2/Supuestos!$C$20))*(1-Supuestos!$C$18)^2))</f>
        <v>0.846946307766959</v>
      </c>
      <c r="F255" s="29" t="n">
        <f aca="false">E255*(1-MIN(1,INDEX(Tabla_Mortalidad!$B$5:$B$75,MIN(71,Cartera_Polizas!$B$257+3-49))*(1+(Cartera_Polizas!$P$257-1)*MAX(0,1-3/Supuestos!$C$20))*(1-Supuestos!$C$18)^3))</f>
        <v>0.792585006097307</v>
      </c>
      <c r="G255" s="29" t="n">
        <f aca="false">F255*(1-MIN(1,INDEX(Tabla_Mortalidad!$B$5:$B$75,MIN(71,Cartera_Polizas!$B$257+4-49))*(1+(Cartera_Polizas!$P$257-1)*MAX(0,1-4/Supuestos!$C$20))*(1-Supuestos!$C$18)^4))</f>
        <v>0.737022548559382</v>
      </c>
      <c r="H255" s="29" t="n">
        <f aca="false">G255*(1-MIN(1,INDEX(Tabla_Mortalidad!$B$5:$B$75,MIN(71,Cartera_Polizas!$B$257+5-49))*(1+(Cartera_Polizas!$P$257-1)*MAX(0,1-5/Supuestos!$C$20))*(1-Supuestos!$C$18)^5))</f>
        <v>0.680623296993179</v>
      </c>
      <c r="I255" s="29" t="n">
        <f aca="false">H255*(1-MIN(1,INDEX(Tabla_Mortalidad!$B$5:$B$75,MIN(71,Cartera_Polizas!$B$257+6-49))*(1+(Cartera_Polizas!$P$257-1)*MAX(0,1-6/Supuestos!$C$20))*(1-Supuestos!$C$18)^6))</f>
        <v>0.623803396416079</v>
      </c>
      <c r="J255" s="29" t="n">
        <f aca="false">I255*(1-MIN(1,INDEX(Tabla_Mortalidad!$B$5:$B$75,MIN(71,Cartera_Polizas!$B$257+7-49))*(1+(Cartera_Polizas!$P$257-1)*MAX(0,1-7/Supuestos!$C$20))*(1-Supuestos!$C$18)^7))</f>
        <v>0.567029572590857</v>
      </c>
      <c r="K255" s="29" t="n">
        <f aca="false">J255*(1-MIN(1,INDEX(Tabla_Mortalidad!$B$5:$B$75,MIN(71,Cartera_Polizas!$B$257+8-49))*(1+(Cartera_Polizas!$P$257-1)*MAX(0,1-8/Supuestos!$C$20))*(1-Supuestos!$C$18)^8))</f>
        <v>0.510806965272249</v>
      </c>
      <c r="L255" s="29" t="n">
        <f aca="false">K255*(1-MIN(1,INDEX(Tabla_Mortalidad!$B$5:$B$75,MIN(71,Cartera_Polizas!$B$257+9-49))*(1+(Cartera_Polizas!$P$257-1)*MAX(0,1-9/Supuestos!$C$20))*(1-Supuestos!$C$18)^9))</f>
        <v>0.455672529271302</v>
      </c>
      <c r="M255" s="29" t="n">
        <f aca="false">L255*(1-MIN(1,INDEX(Tabla_Mortalidad!$B$5:$B$75,MIN(71,Cartera_Polizas!$B$257+10-49))*(1+(Cartera_Polizas!$P$257-1)*MAX(0,1-10/Supuestos!$C$20))*(1-Supuestos!$C$18)^10))</f>
        <v>0.402177667229403</v>
      </c>
      <c r="N255" s="29" t="n">
        <f aca="false">M255*(1-MIN(1,INDEX(Tabla_Mortalidad!$B$5:$B$75,MIN(71,Cartera_Polizas!$B$257+11-49))*(1+(Cartera_Polizas!$P$257-1)*MAX(0,1-11/Supuestos!$C$20))*(1-Supuestos!$C$18)^11))</f>
        <v>0.350871603468905</v>
      </c>
      <c r="O255" s="29" t="n">
        <f aca="false">N255*(1-MIN(1,INDEX(Tabla_Mortalidad!$B$5:$B$75,MIN(71,Cartera_Polizas!$B$257+12-49))*(1+(Cartera_Polizas!$P$257-1)*MAX(0,1-12/Supuestos!$C$20))*(1-Supuestos!$C$18)^12))</f>
        <v>0.302280944210171</v>
      </c>
      <c r="P255" s="29" t="n">
        <f aca="false">O255*(1-MIN(1,INDEX(Tabla_Mortalidad!$B$5:$B$75,MIN(71,Cartera_Polizas!$B$257+13-49))*(1+(Cartera_Polizas!$P$257-1)*MAX(0,1-13/Supuestos!$C$20))*(1-Supuestos!$C$18)^13))</f>
        <v>0.256887890064004</v>
      </c>
      <c r="Q255" s="29" t="n">
        <f aca="false">P255*(1-MIN(1,INDEX(Tabla_Mortalidad!$B$5:$B$75,MIN(71,Cartera_Polizas!$B$257+14-49))*(1+(Cartera_Polizas!$P$257-1)*MAX(0,1-14/Supuestos!$C$20))*(1-Supuestos!$C$18)^14))</f>
        <v>0.21510772734312</v>
      </c>
      <c r="R255" s="29" t="n">
        <f aca="false">Q255*(1-MIN(1,INDEX(Tabla_Mortalidad!$B$5:$B$75,MIN(71,Cartera_Polizas!$B$257+15-49))*(1+(Cartera_Polizas!$P$257-1)*MAX(0,1-15/Supuestos!$C$20))*(1-Supuestos!$C$18)^15))</f>
        <v>0.17726698478817</v>
      </c>
      <c r="S255" s="29" t="n">
        <f aca="false">R255*(1-MIN(1,INDEX(Tabla_Mortalidad!$B$5:$B$75,MIN(71,Cartera_Polizas!$B$257+16-49))*(1+(Cartera_Polizas!$P$257-1)*MAX(0,1-16/Supuestos!$C$20))*(1-Supuestos!$C$18)^16))</f>
        <v>0.143036355943354</v>
      </c>
      <c r="T255" s="29" t="n">
        <f aca="false">S255*(1-MIN(1,INDEX(Tabla_Mortalidad!$B$5:$B$75,MIN(71,Cartera_Polizas!$B$257+17-49))*(1+(Cartera_Polizas!$P$257-1)*MAX(0,1-17/Supuestos!$C$20))*(1-Supuestos!$C$18)^17))</f>
        <v>0.112757076438231</v>
      </c>
      <c r="U255" s="29" t="n">
        <f aca="false">T255*(1-MIN(1,INDEX(Tabla_Mortalidad!$B$5:$B$75,MIN(71,Cartera_Polizas!$B$257+18-49))*(1+(Cartera_Polizas!$P$257-1)*MAX(0,1-18/Supuestos!$C$20))*(1-Supuestos!$C$18)^18))</f>
        <v>0.086627802207371</v>
      </c>
      <c r="V255" s="29" t="n">
        <f aca="false">U255*(1-MIN(1,INDEX(Tabla_Mortalidad!$B$5:$B$75,MIN(71,Cartera_Polizas!$B$257+19-49))*(1+(Cartera_Polizas!$P$257-1)*MAX(0,1-19/Supuestos!$C$20))*(1-Supuestos!$C$18)^19))</f>
        <v>0.0646880492226419</v>
      </c>
      <c r="W255" s="29" t="n">
        <f aca="false">V255*(1-MIN(1,INDEX(Tabla_Mortalidad!$B$5:$B$75,MIN(71,Cartera_Polizas!$B$257+20-49))*(1+(Cartera_Polizas!$P$257-1)*MAX(0,1-20/Supuestos!$C$20))*(1-Supuestos!$C$18)^20))</f>
        <v>0.0468139997693693</v>
      </c>
      <c r="X255" s="29" t="n">
        <f aca="false">W255*(1-MIN(1,INDEX(Tabla_Mortalidad!$B$5:$B$75,MIN(71,Cartera_Polizas!$B$257+21-49))*(1+(Cartera_Polizas!$P$257-1)*MAX(0,1-21/Supuestos!$C$20))*(1-Supuestos!$C$18)^21))</f>
        <v>0.0327289675203056</v>
      </c>
      <c r="Y255" s="29" t="n">
        <f aca="false">X255*(1-MIN(1,INDEX(Tabla_Mortalidad!$B$5:$B$75,MIN(71,Cartera_Polizas!$B$257+22-49))*(1+(Cartera_Polizas!$P$257-1)*MAX(0,1-22/Supuestos!$C$20))*(1-Supuestos!$C$18)^22))</f>
        <v>0.0220292818489664</v>
      </c>
      <c r="Z255" s="29" t="n">
        <f aca="false">Y255*(1-MIN(1,INDEX(Tabla_Mortalidad!$B$5:$B$75,MIN(71,Cartera_Polizas!$B$257+23-49))*(1+(Cartera_Polizas!$P$257-1)*MAX(0,1-23/Supuestos!$C$20))*(1-Supuestos!$C$18)^23))</f>
        <v>0.01422233311511</v>
      </c>
      <c r="AA255" s="29" t="n">
        <f aca="false">Z255*(1-MIN(1,INDEX(Tabla_Mortalidad!$B$5:$B$75,MIN(71,Cartera_Polizas!$B$257+24-49))*(1+(Cartera_Polizas!$P$257-1)*MAX(0,1-24/Supuestos!$C$20))*(1-Supuestos!$C$18)^24))</f>
        <v>0.00877247206124972</v>
      </c>
      <c r="AB255" s="29" t="n">
        <f aca="false">AA255*(1-MIN(1,INDEX(Tabla_Mortalidad!$B$5:$B$75,MIN(71,Cartera_Polizas!$B$257+25-49))*(1+(Cartera_Polizas!$P$257-1)*MAX(0,1-25/Supuestos!$C$20))*(1-Supuestos!$C$18)^25))</f>
        <v>0.00514787057671419</v>
      </c>
      <c r="AC255" s="29" t="n">
        <f aca="false">AB255*(1-MIN(1,INDEX(Tabla_Mortalidad!$B$5:$B$75,MIN(71,Cartera_Polizas!$B$257+26-49))*(1+(Cartera_Polizas!$P$257-1)*MAX(0,1-26/Supuestos!$C$20))*(1-Supuestos!$C$18)^26))</f>
        <v>0.00286135615748549</v>
      </c>
      <c r="AD255" s="29" t="n">
        <f aca="false">AC255*(1-MIN(1,INDEX(Tabla_Mortalidad!$B$5:$B$75,MIN(71,Cartera_Polizas!$B$257+27-49))*(1+(Cartera_Polizas!$P$257-1)*MAX(0,1-27/Supuestos!$C$20))*(1-Supuestos!$C$18)^27))</f>
        <v>0.00149959310968066</v>
      </c>
      <c r="AE255" s="29" t="n">
        <f aca="false">AD255*(1-MIN(1,INDEX(Tabla_Mortalidad!$B$5:$B$75,MIN(71,Cartera_Polizas!$B$257+28-49))*(1+(Cartera_Polizas!$P$257-1)*MAX(0,1-28/Supuestos!$C$20))*(1-Supuestos!$C$18)^28))</f>
        <v>0.000737602148170214</v>
      </c>
      <c r="AF255" s="29" t="n">
        <f aca="false">AE255*(1-MIN(1,INDEX(Tabla_Mortalidad!$B$5:$B$75,MIN(71,Cartera_Polizas!$B$257+29-49))*(1+(Cartera_Polizas!$P$257-1)*MAX(0,1-29/Supuestos!$C$20))*(1-Supuestos!$C$18)^29))</f>
        <v>0.000338947762246396</v>
      </c>
      <c r="AG255" s="29" t="n">
        <f aca="false">AF255*(1-MIN(1,INDEX(Tabla_Mortalidad!$B$5:$B$75,MIN(71,Cartera_Polizas!$B$257+30-49))*(1+(Cartera_Polizas!$P$257-1)*MAX(0,1-30/Supuestos!$C$20))*(1-Supuestos!$C$18)^30))</f>
        <v>0.000144884250549575</v>
      </c>
      <c r="AH255" s="29" t="n">
        <f aca="false">AG255*(1-MIN(1,INDEX(Tabla_Mortalidad!$B$5:$B$75,MIN(71,Cartera_Polizas!$B$257+31-49))*(1+(Cartera_Polizas!$P$257-1)*MAX(0,1-31/Supuestos!$C$20))*(1-Supuestos!$C$18)^31))</f>
        <v>5.73852848159103E-005</v>
      </c>
      <c r="AI255" s="29" t="n">
        <f aca="false">AH255*(1-MIN(1,INDEX(Tabla_Mortalidad!$B$5:$B$75,MIN(71,Cartera_Polizas!$B$257+32-49))*(1+(Cartera_Polizas!$P$257-1)*MAX(0,1-32/Supuestos!$C$20))*(1-Supuestos!$C$18)^32))</f>
        <v>2.09946825060617E-005</v>
      </c>
      <c r="AJ255" s="29" t="n">
        <f aca="false">AI255*(1-MIN(1,INDEX(Tabla_Mortalidad!$B$5:$B$75,MIN(71,Cartera_Polizas!$B$257+33-49))*(1+(Cartera_Polizas!$P$257-1)*MAX(0,1-33/Supuestos!$C$20))*(1-Supuestos!$C$18)^33))</f>
        <v>7.08053430703629E-006</v>
      </c>
      <c r="AK255" s="29" t="n">
        <f aca="false">AJ255*(1-MIN(1,INDEX(Tabla_Mortalidad!$B$5:$B$75,MIN(71,Cartera_Polizas!$B$257+34-49))*(1+(Cartera_Polizas!$P$257-1)*MAX(0,1-34/Supuestos!$C$20))*(1-Supuestos!$C$18)^34))</f>
        <v>2.20008984436675E-006</v>
      </c>
      <c r="AL255" s="29" t="n">
        <f aca="false">AK255*(1-MIN(1,INDEX(Tabla_Mortalidad!$B$5:$B$75,MIN(71,Cartera_Polizas!$B$257+35-49))*(1+(Cartera_Polizas!$P$257-1)*MAX(0,1-35/Supuestos!$C$20))*(1-Supuestos!$C$18)^35))</f>
        <v>6.30717765608676E-007</v>
      </c>
      <c r="AM255" s="29" t="n">
        <f aca="false">AL255*(1-MIN(1,INDEX(Tabla_Mortalidad!$B$5:$B$75,MIN(71,Cartera_Polizas!$B$257+36-49))*(1+(Cartera_Polizas!$P$257-1)*MAX(0,1-36/Supuestos!$C$20))*(1-Supuestos!$C$18)^36))</f>
        <v>1.67433069675459E-007</v>
      </c>
      <c r="AN255" s="29" t="n">
        <f aca="false">AM255*(1-MIN(1,INDEX(Tabla_Mortalidad!$B$5:$B$75,MIN(71,Cartera_Polizas!$B$257+37-49))*(1+(Cartera_Polizas!$P$257-1)*MAX(0,1-37/Supuestos!$C$20))*(1-Supuestos!$C$18)^37))</f>
        <v>4.14118852078815E-008</v>
      </c>
      <c r="AO255" s="29" t="n">
        <f aca="false">AN255*(1-MIN(1,INDEX(Tabla_Mortalidad!$B$5:$B$75,MIN(71,Cartera_Polizas!$B$257+38-49))*(1+(Cartera_Polizas!$P$257-1)*MAX(0,1-38/Supuestos!$C$20))*(1-Supuestos!$C$18)^38))</f>
        <v>9.62519954428758E-009</v>
      </c>
      <c r="AP255" s="29" t="n">
        <f aca="false">AO255*(1-MIN(1,INDEX(Tabla_Mortalidad!$B$5:$B$75,MIN(71,Cartera_Polizas!$B$257+39-49))*(1+(Cartera_Polizas!$P$257-1)*MAX(0,1-39/Supuestos!$C$20))*(1-Supuestos!$C$18)^39))</f>
        <v>2.12475030706782E-009</v>
      </c>
      <c r="AQ255" s="29" t="n">
        <f aca="false">AP255*(1-MIN(1,INDEX(Tabla_Mortalidad!$B$5:$B$75,MIN(71,Cartera_Polizas!$B$257+40-49))*(1+(Cartera_Polizas!$P$257-1)*MAX(0,1-40/Supuestos!$C$20))*(1-Supuestos!$C$18)^40))</f>
        <v>3.86024378645116E-010</v>
      </c>
      <c r="AR255" s="29" t="n">
        <f aca="false">AQ255*(1-MIN(1,INDEX(Tabla_Mortalidad!$B$5:$B$75,MIN(71,Cartera_Polizas!$B$257+41-49))*(1+(Cartera_Polizas!$P$257-1)*MAX(0,1-41/Supuestos!$C$20))*(1-Supuestos!$C$18)^41))</f>
        <v>7.1712319975795E-011</v>
      </c>
      <c r="AS255" s="29" t="n">
        <f aca="false">AR255*(1-MIN(1,INDEX(Tabla_Mortalidad!$B$5:$B$75,MIN(71,Cartera_Polizas!$B$257+42-49))*(1+(Cartera_Polizas!$P$257-1)*MAX(0,1-42/Supuestos!$C$20))*(1-Supuestos!$C$18)^42))</f>
        <v>1.36140548671408E-011</v>
      </c>
      <c r="AT255" s="29" t="n">
        <f aca="false">AS255*(1-MIN(1,INDEX(Tabla_Mortalidad!$B$5:$B$75,MIN(71,Cartera_Polizas!$B$257+43-49))*(1+(Cartera_Polizas!$P$257-1)*MAX(0,1-43/Supuestos!$C$20))*(1-Supuestos!$C$18)^43))</f>
        <v>2.63967550950502E-012</v>
      </c>
      <c r="AU255" s="29" t="n">
        <f aca="false">AT255*(1-MIN(1,INDEX(Tabla_Mortalidad!$B$5:$B$75,MIN(71,Cartera_Polizas!$B$257+44-49))*(1+(Cartera_Polizas!$P$257-1)*MAX(0,1-44/Supuestos!$C$20))*(1-Supuestos!$C$18)^44))</f>
        <v>5.22454982516626E-013</v>
      </c>
    </row>
    <row r="256" customFormat="false" ht="15" hidden="false" customHeight="false" outlineLevel="0" collapsed="false">
      <c r="A256" s="14" t="n">
        <f aca="false">Cartera_Polizas!A258</f>
        <v>253</v>
      </c>
      <c r="B256" s="26" t="n">
        <f aca="false">SUM(C256:AU256)+0.5</f>
        <v>4.83311854917408</v>
      </c>
      <c r="C256" s="29" t="n">
        <f aca="false">1-MIN(1,INDEX(Tabla_Mortalidad!$B$5:$B$75,MIN(71,Cartera_Polizas!$B$258+0-49))*(1+(Cartera_Polizas!$P$258-1)*MAX(0,1-0/Supuestos!$C$20))*(1-Supuestos!$C$18)^0)</f>
        <v>0.864321</v>
      </c>
      <c r="D256" s="29" t="n">
        <f aca="false">C256*(1-MIN(1,INDEX(Tabla_Mortalidad!$B$5:$B$75,MIN(71,Cartera_Polizas!$B$258+1-49))*(1+(Cartera_Polizas!$P$258-1)*MAX(0,1-1/Supuestos!$C$20))*(1-Supuestos!$C$18)^1))</f>
        <v>0.736327118042271</v>
      </c>
      <c r="E256" s="29" t="n">
        <f aca="false">D256*(1-MIN(1,INDEX(Tabla_Mortalidad!$B$5:$B$75,MIN(71,Cartera_Polizas!$B$258+2-49))*(1+(Cartera_Polizas!$P$258-1)*MAX(0,1-2/Supuestos!$C$20))*(1-Supuestos!$C$18)^2))</f>
        <v>0.617422549054384</v>
      </c>
      <c r="F256" s="29" t="n">
        <f aca="false">E256*(1-MIN(1,INDEX(Tabla_Mortalidad!$B$5:$B$75,MIN(71,Cartera_Polizas!$B$258+3-49))*(1+(Cartera_Polizas!$P$258-1)*MAX(0,1-3/Supuestos!$C$20))*(1-Supuestos!$C$18)^3))</f>
        <v>0.50880603619531</v>
      </c>
      <c r="G256" s="29" t="n">
        <f aca="false">F256*(1-MIN(1,INDEX(Tabla_Mortalidad!$B$5:$B$75,MIN(71,Cartera_Polizas!$B$258+4-49))*(1+(Cartera_Polizas!$P$258-1)*MAX(0,1-4/Supuestos!$C$20))*(1-Supuestos!$C$18)^4))</f>
        <v>0.411401557786099</v>
      </c>
      <c r="H256" s="29" t="n">
        <f aca="false">G256*(1-MIN(1,INDEX(Tabla_Mortalidad!$B$5:$B$75,MIN(71,Cartera_Polizas!$B$258+5-49))*(1+(Cartera_Polizas!$P$258-1)*MAX(0,1-5/Supuestos!$C$20))*(1-Supuestos!$C$18)^5))</f>
        <v>0.325798104442048</v>
      </c>
      <c r="I256" s="29" t="n">
        <f aca="false">H256*(1-MIN(1,INDEX(Tabla_Mortalidad!$B$5:$B$75,MIN(71,Cartera_Polizas!$B$258+6-49))*(1+(Cartera_Polizas!$P$258-1)*MAX(0,1-6/Supuestos!$C$20))*(1-Supuestos!$C$18)^6))</f>
        <v>0.252210479657596</v>
      </c>
      <c r="J256" s="29" t="n">
        <f aca="false">I256*(1-MIN(1,INDEX(Tabla_Mortalidad!$B$5:$B$75,MIN(71,Cartera_Polizas!$B$258+7-49))*(1+(Cartera_Polizas!$P$258-1)*MAX(0,1-7/Supuestos!$C$20))*(1-Supuestos!$C$18)^7))</f>
        <v>0.190462307632969</v>
      </c>
      <c r="K256" s="29" t="n">
        <f aca="false">J256*(1-MIN(1,INDEX(Tabla_Mortalidad!$B$5:$B$75,MIN(71,Cartera_Polizas!$B$258+8-49))*(1+(Cartera_Polizas!$P$258-1)*MAX(0,1-8/Supuestos!$C$20))*(1-Supuestos!$C$18)^8))</f>
        <v>0.139997219039992</v>
      </c>
      <c r="L256" s="29" t="n">
        <f aca="false">K256*(1-MIN(1,INDEX(Tabla_Mortalidad!$B$5:$B$75,MIN(71,Cartera_Polizas!$B$258+9-49))*(1+(Cartera_Polizas!$P$258-1)*MAX(0,1-9/Supuestos!$C$20))*(1-Supuestos!$C$18)^9))</f>
        <v>0.0999224061841268</v>
      </c>
      <c r="M256" s="29" t="n">
        <f aca="false">L256*(1-MIN(1,INDEX(Tabla_Mortalidad!$B$5:$B$75,MIN(71,Cartera_Polizas!$B$258+10-49))*(1+(Cartera_Polizas!$P$258-1)*MAX(0,1-10/Supuestos!$C$20))*(1-Supuestos!$C$18)^10))</f>
        <v>0.0690791717035982</v>
      </c>
      <c r="N256" s="29" t="n">
        <f aca="false">M256*(1-MIN(1,INDEX(Tabla_Mortalidad!$B$5:$B$75,MIN(71,Cartera_Polizas!$B$258+11-49))*(1+(Cartera_Polizas!$P$258-1)*MAX(0,1-11/Supuestos!$C$20))*(1-Supuestos!$C$18)^11))</f>
        <v>0.0461341902950335</v>
      </c>
      <c r="O256" s="29" t="n">
        <f aca="false">N256*(1-MIN(1,INDEX(Tabla_Mortalidad!$B$5:$B$75,MIN(71,Cartera_Polizas!$B$258+12-49))*(1+(Cartera_Polizas!$P$258-1)*MAX(0,1-12/Supuestos!$C$20))*(1-Supuestos!$C$18)^12))</f>
        <v>0.0296821821847767</v>
      </c>
      <c r="P256" s="29" t="n">
        <f aca="false">O256*(1-MIN(1,INDEX(Tabla_Mortalidad!$B$5:$B$75,MIN(71,Cartera_Polizas!$B$258+13-49))*(1+(Cartera_Polizas!$P$258-1)*MAX(0,1-13/Supuestos!$C$20))*(1-Supuestos!$C$18)^13))</f>
        <v>0.0183459202441991</v>
      </c>
      <c r="Q256" s="29" t="n">
        <f aca="false">P256*(1-MIN(1,INDEX(Tabla_Mortalidad!$B$5:$B$75,MIN(71,Cartera_Polizas!$B$258+14-49))*(1+(Cartera_Polizas!$P$258-1)*MAX(0,1-14/Supuestos!$C$20))*(1-Supuestos!$C$18)^14))</f>
        <v>0.0108621868230951</v>
      </c>
      <c r="R256" s="29" t="n">
        <f aca="false">Q256*(1-MIN(1,INDEX(Tabla_Mortalidad!$B$5:$B$75,MIN(71,Cartera_Polizas!$B$258+15-49))*(1+(Cartera_Polizas!$P$258-1)*MAX(0,1-15/Supuestos!$C$20))*(1-Supuestos!$C$18)^15))</f>
        <v>0.00614346114024303</v>
      </c>
      <c r="S256" s="29" t="n">
        <f aca="false">R256*(1-MIN(1,INDEX(Tabla_Mortalidad!$B$5:$B$75,MIN(71,Cartera_Polizas!$B$258+16-49))*(1+(Cartera_Polizas!$P$258-1)*MAX(0,1-16/Supuestos!$C$20))*(1-Supuestos!$C$18)^16))</f>
        <v>0.0032744737936007</v>
      </c>
      <c r="T256" s="29" t="n">
        <f aca="false">S256*(1-MIN(1,INDEX(Tabla_Mortalidad!$B$5:$B$75,MIN(71,Cartera_Polizas!$B$258+17-49))*(1+(Cartera_Polizas!$P$258-1)*MAX(0,1-17/Supuestos!$C$20))*(1-Supuestos!$C$18)^17))</f>
        <v>0.00163599683559063</v>
      </c>
      <c r="U256" s="29" t="n">
        <f aca="false">T256*(1-MIN(1,INDEX(Tabla_Mortalidad!$B$5:$B$75,MIN(71,Cartera_Polizas!$B$258+18-49))*(1+(Cartera_Polizas!$P$258-1)*MAX(0,1-18/Supuestos!$C$20))*(1-Supuestos!$C$18)^18))</f>
        <v>0.000761963422362902</v>
      </c>
      <c r="V256" s="29" t="n">
        <f aca="false">U256*(1-MIN(1,INDEX(Tabla_Mortalidad!$B$5:$B$75,MIN(71,Cartera_Polizas!$B$258+19-49))*(1+(Cartera_Polizas!$P$258-1)*MAX(0,1-19/Supuestos!$C$20))*(1-Supuestos!$C$18)^19))</f>
        <v>0.000328973598249203</v>
      </c>
      <c r="W256" s="29" t="n">
        <f aca="false">V256*(1-MIN(1,INDEX(Tabla_Mortalidad!$B$5:$B$75,MIN(71,Cartera_Polizas!$B$258+20-49))*(1+(Cartera_Polizas!$P$258-1)*MAX(0,1-20/Supuestos!$C$20))*(1-Supuestos!$C$18)^20))</f>
        <v>0.000130938871918189</v>
      </c>
      <c r="X256" s="29" t="n">
        <f aca="false">W256*(1-MIN(1,INDEX(Tabla_Mortalidad!$B$5:$B$75,MIN(71,Cartera_Polizas!$B$258+21-49))*(1+(Cartera_Polizas!$P$258-1)*MAX(0,1-21/Supuestos!$C$20))*(1-Supuestos!$C$18)^21))</f>
        <v>4.77970516579999E-005</v>
      </c>
      <c r="Y256" s="29" t="n">
        <f aca="false">X256*(1-MIN(1,INDEX(Tabla_Mortalidad!$B$5:$B$75,MIN(71,Cartera_Polizas!$B$258+22-49))*(1+(Cartera_Polizas!$P$258-1)*MAX(0,1-22/Supuestos!$C$20))*(1-Supuestos!$C$18)^22))</f>
        <v>1.59287438703184E-005</v>
      </c>
      <c r="Z256" s="29" t="n">
        <f aca="false">Y256*(1-MIN(1,INDEX(Tabla_Mortalidad!$B$5:$B$75,MIN(71,Cartera_Polizas!$B$258+23-49))*(1+(Cartera_Polizas!$P$258-1)*MAX(0,1-23/Supuestos!$C$20))*(1-Supuestos!$C$18)^23))</f>
        <v>4.82938138608439E-006</v>
      </c>
      <c r="AA256" s="29" t="n">
        <f aca="false">Z256*(1-MIN(1,INDEX(Tabla_Mortalidad!$B$5:$B$75,MIN(71,Cartera_Polizas!$B$258+24-49))*(1+(Cartera_Polizas!$P$258-1)*MAX(0,1-24/Supuestos!$C$20))*(1-Supuestos!$C$18)^24))</f>
        <v>1.32949424538162E-006</v>
      </c>
      <c r="AB256" s="29" t="n">
        <f aca="false">AA256*(1-MIN(1,INDEX(Tabla_Mortalidad!$B$5:$B$75,MIN(71,Cartera_Polizas!$B$258+25-49))*(1+(Cartera_Polizas!$P$258-1)*MAX(0,1-25/Supuestos!$C$20))*(1-Supuestos!$C$18)^25))</f>
        <v>3.32388635371296E-007</v>
      </c>
      <c r="AC256" s="29" t="n">
        <f aca="false">AB256*(1-MIN(1,INDEX(Tabla_Mortalidad!$B$5:$B$75,MIN(71,Cartera_Polizas!$B$258+26-49))*(1+(Cartera_Polizas!$P$258-1)*MAX(0,1-26/Supuestos!$C$20))*(1-Supuestos!$C$18)^26))</f>
        <v>7.56872284140344E-008</v>
      </c>
      <c r="AD256" s="29" t="n">
        <f aca="false">AC256*(1-MIN(1,INDEX(Tabla_Mortalidad!$B$5:$B$75,MIN(71,Cartera_Polizas!$B$258+27-49))*(1+(Cartera_Polizas!$P$258-1)*MAX(0,1-27/Supuestos!$C$20))*(1-Supuestos!$C$18)^27))</f>
        <v>1.57917397744805E-008</v>
      </c>
      <c r="AE256" s="29" t="n">
        <f aca="false">AD256*(1-MIN(1,INDEX(Tabla_Mortalidad!$B$5:$B$75,MIN(71,Cartera_Polizas!$B$258+28-49))*(1+(Cartera_Polizas!$P$258-1)*MAX(0,1-28/Supuestos!$C$20))*(1-Supuestos!$C$18)^28))</f>
        <v>3.04733909414565E-009</v>
      </c>
      <c r="AF256" s="29" t="n">
        <f aca="false">AE256*(1-MIN(1,INDEX(Tabla_Mortalidad!$B$5:$B$75,MIN(71,Cartera_Polizas!$B$258+29-49))*(1+(Cartera_Polizas!$P$258-1)*MAX(0,1-29/Supuestos!$C$20))*(1-Supuestos!$C$18)^29))</f>
        <v>5.50632489807272E-010</v>
      </c>
      <c r="AG256" s="29" t="n">
        <f aca="false">AF256*(1-MIN(1,INDEX(Tabla_Mortalidad!$B$5:$B$75,MIN(71,Cartera_Polizas!$B$258+30-49))*(1+(Cartera_Polizas!$P$258-1)*MAX(0,1-30/Supuestos!$C$20))*(1-Supuestos!$C$18)^30))</f>
        <v>7.68770000224652E-011</v>
      </c>
      <c r="AH256" s="29" t="n">
        <f aca="false">AG256*(1-MIN(1,INDEX(Tabla_Mortalidad!$B$5:$B$75,MIN(71,Cartera_Polizas!$B$258+31-49))*(1+(Cartera_Polizas!$P$258-1)*MAX(0,1-31/Supuestos!$C$20))*(1-Supuestos!$C$18)^31))</f>
        <v>1.10639632590162E-011</v>
      </c>
      <c r="AI256" s="29" t="n">
        <f aca="false">AH256*(1-MIN(1,INDEX(Tabla_Mortalidad!$B$5:$B$75,MIN(71,Cartera_Polizas!$B$258+32-49))*(1+(Cartera_Polizas!$P$258-1)*MAX(0,1-32/Supuestos!$C$20))*(1-Supuestos!$C$18)^32))</f>
        <v>1.63965878043628E-012</v>
      </c>
      <c r="AJ256" s="29" t="n">
        <f aca="false">AI256*(1-MIN(1,INDEX(Tabla_Mortalidad!$B$5:$B$75,MIN(71,Cartera_Polizas!$B$258+33-49))*(1+(Cartera_Polizas!$P$258-1)*MAX(0,1-33/Supuestos!$C$20))*(1-Supuestos!$C$18)^33))</f>
        <v>2.49977704142048E-013</v>
      </c>
      <c r="AK256" s="29" t="n">
        <f aca="false">AJ256*(1-MIN(1,INDEX(Tabla_Mortalidad!$B$5:$B$75,MIN(71,Cartera_Polizas!$B$258+34-49))*(1+(Cartera_Polizas!$P$258-1)*MAX(0,1-34/Supuestos!$C$20))*(1-Supuestos!$C$18)^34))</f>
        <v>3.91702223408633E-014</v>
      </c>
      <c r="AL256" s="29" t="n">
        <f aca="false">AK256*(1-MIN(1,INDEX(Tabla_Mortalidad!$B$5:$B$75,MIN(71,Cartera_Polizas!$B$258+35-49))*(1+(Cartera_Polizas!$P$258-1)*MAX(0,1-35/Supuestos!$C$20))*(1-Supuestos!$C$18)^35))</f>
        <v>6.30293490896169E-015</v>
      </c>
      <c r="AM256" s="29" t="n">
        <f aca="false">AL256*(1-MIN(1,INDEX(Tabla_Mortalidad!$B$5:$B$75,MIN(71,Cartera_Polizas!$B$258+36-49))*(1+(Cartera_Polizas!$P$258-1)*MAX(0,1-36/Supuestos!$C$20))*(1-Supuestos!$C$18)^36))</f>
        <v>1.0406576194149E-015</v>
      </c>
      <c r="AN256" s="29" t="n">
        <f aca="false">AM256*(1-MIN(1,INDEX(Tabla_Mortalidad!$B$5:$B$75,MIN(71,Cartera_Polizas!$B$258+37-49))*(1+(Cartera_Polizas!$P$258-1)*MAX(0,1-37/Supuestos!$C$20))*(1-Supuestos!$C$18)^37))</f>
        <v>1.76163873127066E-016</v>
      </c>
      <c r="AO256" s="29" t="n">
        <f aca="false">AN256*(1-MIN(1,INDEX(Tabla_Mortalidad!$B$5:$B$75,MIN(71,Cartera_Polizas!$B$258+38-49))*(1+(Cartera_Polizas!$P$258-1)*MAX(0,1-38/Supuestos!$C$20))*(1-Supuestos!$C$18)^38))</f>
        <v>3.05529623145475E-017</v>
      </c>
      <c r="AP256" s="29" t="n">
        <f aca="false">AO256*(1-MIN(1,INDEX(Tabla_Mortalidad!$B$5:$B$75,MIN(71,Cartera_Polizas!$B$258+39-49))*(1+(Cartera_Polizas!$P$258-1)*MAX(0,1-39/Supuestos!$C$20))*(1-Supuestos!$C$18)^39))</f>
        <v>5.42521978304829E-018</v>
      </c>
      <c r="AQ256" s="29" t="n">
        <f aca="false">AP256*(1-MIN(1,INDEX(Tabla_Mortalidad!$B$5:$B$75,MIN(71,Cartera_Polizas!$B$258+40-49))*(1+(Cartera_Polizas!$P$258-1)*MAX(0,1-40/Supuestos!$C$20))*(1-Supuestos!$C$18)^40))</f>
        <v>9.85653273609606E-019</v>
      </c>
      <c r="AR256" s="29" t="n">
        <f aca="false">AQ256*(1-MIN(1,INDEX(Tabla_Mortalidad!$B$5:$B$75,MIN(71,Cartera_Polizas!$B$258+41-49))*(1+(Cartera_Polizas!$P$258-1)*MAX(0,1-41/Supuestos!$C$20))*(1-Supuestos!$C$18)^41))</f>
        <v>1.83106266993731E-019</v>
      </c>
      <c r="AS256" s="29" t="n">
        <f aca="false">AR256*(1-MIN(1,INDEX(Tabla_Mortalidad!$B$5:$B$75,MIN(71,Cartera_Polizas!$B$258+42-49))*(1+(Cartera_Polizas!$P$258-1)*MAX(0,1-42/Supuestos!$C$20))*(1-Supuestos!$C$18)^42))</f>
        <v>3.476137386451E-020</v>
      </c>
      <c r="AT256" s="29" t="n">
        <f aca="false">AS256*(1-MIN(1,INDEX(Tabla_Mortalidad!$B$5:$B$75,MIN(71,Cartera_Polizas!$B$258+43-49))*(1+(Cartera_Polizas!$P$258-1)*MAX(0,1-43/Supuestos!$C$20))*(1-Supuestos!$C$18)^43))</f>
        <v>6.74000128267194E-021</v>
      </c>
      <c r="AU256" s="29" t="n">
        <f aca="false">AT256*(1-MIN(1,INDEX(Tabla_Mortalidad!$B$5:$B$75,MIN(71,Cartera_Polizas!$B$258+44-49))*(1+(Cartera_Polizas!$P$258-1)*MAX(0,1-44/Supuestos!$C$20))*(1-Supuestos!$C$18)^44))</f>
        <v>1.3340076231418E-021</v>
      </c>
    </row>
    <row r="257" customFormat="false" ht="15" hidden="false" customHeight="false" outlineLevel="0" collapsed="false">
      <c r="A257" s="14" t="n">
        <f aca="false">Cartera_Polizas!A259</f>
        <v>254</v>
      </c>
      <c r="B257" s="26" t="n">
        <f aca="false">SUM(C257:AU257)+0.5</f>
        <v>8.01443233035714</v>
      </c>
      <c r="C257" s="29" t="n">
        <f aca="false">1-MIN(1,INDEX(Tabla_Mortalidad!$B$5:$B$75,MIN(71,Cartera_Polizas!$B$259+0-49))*(1+(Cartera_Polizas!$P$259-1)*MAX(0,1-0/Supuestos!$C$20))*(1-Supuestos!$C$18)^0)</f>
        <v>0.93221006625</v>
      </c>
      <c r="D257" s="29" t="n">
        <f aca="false">C257*(1-MIN(1,INDEX(Tabla_Mortalidad!$B$5:$B$75,MIN(71,Cartera_Polizas!$B$259+1-49))*(1+(Cartera_Polizas!$P$259-1)*MAX(0,1-1/Supuestos!$C$20))*(1-Supuestos!$C$18)^1))</f>
        <v>0.863152579154107</v>
      </c>
      <c r="E257" s="29" t="n">
        <f aca="false">D257*(1-MIN(1,INDEX(Tabla_Mortalidad!$B$5:$B$75,MIN(71,Cartera_Polizas!$B$259+2-49))*(1+(Cartera_Polizas!$P$259-1)*MAX(0,1-2/Supuestos!$C$20))*(1-Supuestos!$C$18)^2))</f>
        <v>0.793316810531458</v>
      </c>
      <c r="F257" s="29" t="n">
        <f aca="false">E257*(1-MIN(1,INDEX(Tabla_Mortalidad!$B$5:$B$75,MIN(71,Cartera_Polizas!$B$259+3-49))*(1+(Cartera_Polizas!$P$259-1)*MAX(0,1-3/Supuestos!$C$20))*(1-Supuestos!$C$18)^3))</f>
        <v>0.723255059640744</v>
      </c>
      <c r="G257" s="29" t="n">
        <f aca="false">F257*(1-MIN(1,INDEX(Tabla_Mortalidad!$B$5:$B$75,MIN(71,Cartera_Polizas!$B$259+4-49))*(1+(Cartera_Polizas!$P$259-1)*MAX(0,1-4/Supuestos!$C$20))*(1-Supuestos!$C$18)^4))</f>
        <v>0.653579217659217</v>
      </c>
      <c r="H257" s="29" t="n">
        <f aca="false">G257*(1-MIN(1,INDEX(Tabla_Mortalidad!$B$5:$B$75,MIN(71,Cartera_Polizas!$B$259+5-49))*(1+(Cartera_Polizas!$P$259-1)*MAX(0,1-5/Supuestos!$C$20))*(1-Supuestos!$C$18)^5))</f>
        <v>0.584943438966295</v>
      </c>
      <c r="I257" s="29" t="n">
        <f aca="false">H257*(1-MIN(1,INDEX(Tabla_Mortalidad!$B$5:$B$75,MIN(71,Cartera_Polizas!$B$259+6-49))*(1+(Cartera_Polizas!$P$259-1)*MAX(0,1-6/Supuestos!$C$20))*(1-Supuestos!$C$18)^6))</f>
        <v>0.51803342103429</v>
      </c>
      <c r="J257" s="29" t="n">
        <f aca="false">I257*(1-MIN(1,INDEX(Tabla_Mortalidad!$B$5:$B$75,MIN(71,Cartera_Polizas!$B$259+7-49))*(1+(Cartera_Polizas!$P$259-1)*MAX(0,1-7/Supuestos!$C$20))*(1-Supuestos!$C$18)^7))</f>
        <v>0.453542300390698</v>
      </c>
      <c r="K257" s="29" t="n">
        <f aca="false">J257*(1-MIN(1,INDEX(Tabla_Mortalidad!$B$5:$B$75,MIN(71,Cartera_Polizas!$B$259+8-49))*(1+(Cartera_Polizas!$P$259-1)*MAX(0,1-8/Supuestos!$C$20))*(1-Supuestos!$C$18)^8))</f>
        <v>0.392147546380369</v>
      </c>
      <c r="L257" s="29" t="n">
        <f aca="false">K257*(1-MIN(1,INDEX(Tabla_Mortalidad!$B$5:$B$75,MIN(71,Cartera_Polizas!$B$259+9-49))*(1+(Cartera_Polizas!$P$259-1)*MAX(0,1-9/Supuestos!$C$20))*(1-Supuestos!$C$18)^9))</f>
        <v>0.334483518176038</v>
      </c>
      <c r="M257" s="29" t="n">
        <f aca="false">L257*(1-MIN(1,INDEX(Tabla_Mortalidad!$B$5:$B$75,MIN(71,Cartera_Polizas!$B$259+10-49))*(1+(Cartera_Polizas!$P$259-1)*MAX(0,1-10/Supuestos!$C$20))*(1-Supuestos!$C$18)^10))</f>
        <v>0.281113024766323</v>
      </c>
      <c r="N257" s="29" t="n">
        <f aca="false">M257*(1-MIN(1,INDEX(Tabla_Mortalidad!$B$5:$B$75,MIN(71,Cartera_Polizas!$B$259+11-49))*(1+(Cartera_Polizas!$P$259-1)*MAX(0,1-11/Supuestos!$C$20))*(1-Supuestos!$C$18)^11))</f>
        <v>0.232499013522498</v>
      </c>
      <c r="O257" s="29" t="n">
        <f aca="false">N257*(1-MIN(1,INDEX(Tabla_Mortalidad!$B$5:$B$75,MIN(71,Cartera_Polizas!$B$259+12-49))*(1+(Cartera_Polizas!$P$259-1)*MAX(0,1-12/Supuestos!$C$20))*(1-Supuestos!$C$18)^12))</f>
        <v>0.188978452344876</v>
      </c>
      <c r="P257" s="29" t="n">
        <f aca="false">O257*(1-MIN(1,INDEX(Tabla_Mortalidad!$B$5:$B$75,MIN(71,Cartera_Polizas!$B$259+13-49))*(1+(Cartera_Polizas!$P$259-1)*MAX(0,1-13/Supuestos!$C$20))*(1-Supuestos!$C$18)^13))</f>
        <v>0.150743340647496</v>
      </c>
      <c r="Q257" s="29" t="n">
        <f aca="false">P257*(1-MIN(1,INDEX(Tabla_Mortalidad!$B$5:$B$75,MIN(71,Cartera_Polizas!$B$259+14-49))*(1+(Cartera_Polizas!$P$259-1)*MAX(0,1-14/Supuestos!$C$20))*(1-Supuestos!$C$18)^14))</f>
        <v>0.117828753203377</v>
      </c>
      <c r="R257" s="29" t="n">
        <f aca="false">Q257*(1-MIN(1,INDEX(Tabla_Mortalidad!$B$5:$B$75,MIN(71,Cartera_Polizas!$B$259+15-49))*(1+(Cartera_Polizas!$P$259-1)*MAX(0,1-15/Supuestos!$C$20))*(1-Supuestos!$C$18)^15))</f>
        <v>0.0901105177272476</v>
      </c>
      <c r="S257" s="29" t="n">
        <f aca="false">R257*(1-MIN(1,INDEX(Tabla_Mortalidad!$B$5:$B$75,MIN(71,Cartera_Polizas!$B$259+16-49))*(1+(Cartera_Polizas!$P$259-1)*MAX(0,1-16/Supuestos!$C$20))*(1-Supuestos!$C$18)^16))</f>
        <v>0.066942937263245</v>
      </c>
      <c r="T257" s="29" t="n">
        <f aca="false">S257*(1-MIN(1,INDEX(Tabla_Mortalidad!$B$5:$B$75,MIN(71,Cartera_Polizas!$B$259+17-49))*(1+(Cartera_Polizas!$P$259-1)*MAX(0,1-17/Supuestos!$C$20))*(1-Supuestos!$C$18)^17))</f>
        <v>0.0481655820247709</v>
      </c>
      <c r="U257" s="29" t="n">
        <f aca="false">T257*(1-MIN(1,INDEX(Tabla_Mortalidad!$B$5:$B$75,MIN(71,Cartera_Polizas!$B$259+18-49))*(1+(Cartera_Polizas!$P$259-1)*MAX(0,1-18/Supuestos!$C$20))*(1-Supuestos!$C$18)^18))</f>
        <v>0.0334543289244808</v>
      </c>
      <c r="V257" s="29" t="n">
        <f aca="false">U257*(1-MIN(1,INDEX(Tabla_Mortalidad!$B$5:$B$75,MIN(71,Cartera_Polizas!$B$259+19-49))*(1+(Cartera_Polizas!$P$259-1)*MAX(0,1-19/Supuestos!$C$20))*(1-Supuestos!$C$18)^19))</f>
        <v>0.0223518030318393</v>
      </c>
      <c r="W257" s="29" t="n">
        <f aca="false">V257*(1-MIN(1,INDEX(Tabla_Mortalidad!$B$5:$B$75,MIN(71,Cartera_Polizas!$B$259+20-49))*(1+(Cartera_Polizas!$P$259-1)*MAX(0,1-20/Supuestos!$C$20))*(1-Supuestos!$C$18)^20))</f>
        <v>0.0143105392730953</v>
      </c>
      <c r="X257" s="29" t="n">
        <f aca="false">W257*(1-MIN(1,INDEX(Tabla_Mortalidad!$B$5:$B$75,MIN(71,Cartera_Polizas!$B$259+21-49))*(1+(Cartera_Polizas!$P$259-1)*MAX(0,1-21/Supuestos!$C$20))*(1-Supuestos!$C$18)^21))</f>
        <v>0.00874379410160849</v>
      </c>
      <c r="Y257" s="29" t="n">
        <f aca="false">X257*(1-MIN(1,INDEX(Tabla_Mortalidad!$B$5:$B$75,MIN(71,Cartera_Polizas!$B$259+22-49))*(1+(Cartera_Polizas!$P$259-1)*MAX(0,1-22/Supuestos!$C$20))*(1-Supuestos!$C$18)^22))</f>
        <v>0.0050763040003822</v>
      </c>
      <c r="Z257" s="29" t="n">
        <f aca="false">Y257*(1-MIN(1,INDEX(Tabla_Mortalidad!$B$5:$B$75,MIN(71,Cartera_Polizas!$B$259+23-49))*(1+(Cartera_Polizas!$P$259-1)*MAX(0,1-23/Supuestos!$C$20))*(1-Supuestos!$C$18)^23))</f>
        <v>0.00278741514297978</v>
      </c>
      <c r="AA257" s="29" t="n">
        <f aca="false">Z257*(1-MIN(1,INDEX(Tabla_Mortalidad!$B$5:$B$75,MIN(71,Cartera_Polizas!$B$259+24-49))*(1+(Cartera_Polizas!$P$259-1)*MAX(0,1-24/Supuestos!$C$20))*(1-Supuestos!$C$18)^24))</f>
        <v>0.00144074249439803</v>
      </c>
      <c r="AB257" s="29" t="n">
        <f aca="false">AA257*(1-MIN(1,INDEX(Tabla_Mortalidad!$B$5:$B$75,MIN(71,Cartera_Polizas!$B$259+25-49))*(1+(Cartera_Polizas!$P$259-1)*MAX(0,1-25/Supuestos!$C$20))*(1-Supuestos!$C$18)^25))</f>
        <v>0.000697563361105659</v>
      </c>
      <c r="AC257" s="29" t="n">
        <f aca="false">AB257*(1-MIN(1,INDEX(Tabla_Mortalidad!$B$5:$B$75,MIN(71,Cartera_Polizas!$B$259+26-49))*(1+(Cartera_Polizas!$P$259-1)*MAX(0,1-26/Supuestos!$C$20))*(1-Supuestos!$C$18)^26))</f>
        <v>0.000314836632742526</v>
      </c>
      <c r="AD257" s="29" t="n">
        <f aca="false">AC257*(1-MIN(1,INDEX(Tabla_Mortalidad!$B$5:$B$75,MIN(71,Cartera_Polizas!$B$259+27-49))*(1+(Cartera_Polizas!$P$259-1)*MAX(0,1-27/Supuestos!$C$20))*(1-Supuestos!$C$18)^27))</f>
        <v>0.000131846727798894</v>
      </c>
      <c r="AE257" s="29" t="n">
        <f aca="false">AD257*(1-MIN(1,INDEX(Tabla_Mortalidad!$B$5:$B$75,MIN(71,Cartera_Polizas!$B$259+28-49))*(1+(Cartera_Polizas!$P$259-1)*MAX(0,1-28/Supuestos!$C$20))*(1-Supuestos!$C$18)^28))</f>
        <v>5.10150014004473E-005</v>
      </c>
      <c r="AF257" s="29" t="n">
        <f aca="false">AE257*(1-MIN(1,INDEX(Tabla_Mortalidad!$B$5:$B$75,MIN(71,Cartera_Polizas!$B$259+29-49))*(1+(Cartera_Polizas!$P$259-1)*MAX(0,1-29/Supuestos!$C$20))*(1-Supuestos!$C$18)^29))</f>
        <v>1.81739265261615E-005</v>
      </c>
      <c r="AG257" s="29" t="n">
        <f aca="false">AF257*(1-MIN(1,INDEX(Tabla_Mortalidad!$B$5:$B$75,MIN(71,Cartera_Polizas!$B$259+30-49))*(1+(Cartera_Polizas!$P$259-1)*MAX(0,1-30/Supuestos!$C$20))*(1-Supuestos!$C$18)^30))</f>
        <v>5.94673150849036E-006</v>
      </c>
      <c r="AH257" s="29" t="n">
        <f aca="false">AG257*(1-MIN(1,INDEX(Tabla_Mortalidad!$B$5:$B$75,MIN(71,Cartera_Polizas!$B$259+31-49))*(1+(Cartera_Polizas!$P$259-1)*MAX(0,1-31/Supuestos!$C$20))*(1-Supuestos!$C$18)^31))</f>
        <v>1.78568631991748E-006</v>
      </c>
      <c r="AI257" s="29" t="n">
        <f aca="false">AH257*(1-MIN(1,INDEX(Tabla_Mortalidad!$B$5:$B$75,MIN(71,Cartera_Polizas!$B$259+32-49))*(1+(Cartera_Polizas!$P$259-1)*MAX(0,1-32/Supuestos!$C$20))*(1-Supuestos!$C$18)^32))</f>
        <v>4.92618110287444E-007</v>
      </c>
      <c r="AJ257" s="29" t="n">
        <f aca="false">AI257*(1-MIN(1,INDEX(Tabla_Mortalidad!$B$5:$B$75,MIN(71,Cartera_Polizas!$B$259+33-49))*(1+(Cartera_Polizas!$P$259-1)*MAX(0,1-33/Supuestos!$C$20))*(1-Supuestos!$C$18)^33))</f>
        <v>1.25290120911588E-007</v>
      </c>
      <c r="AK257" s="29" t="n">
        <f aca="false">AJ257*(1-MIN(1,INDEX(Tabla_Mortalidad!$B$5:$B$75,MIN(71,Cartera_Polizas!$B$259+34-49))*(1+(Cartera_Polizas!$P$259-1)*MAX(0,1-34/Supuestos!$C$20))*(1-Supuestos!$C$18)^34))</f>
        <v>2.95597142540626E-008</v>
      </c>
      <c r="AL257" s="29" t="n">
        <f aca="false">AK257*(1-MIN(1,INDEX(Tabla_Mortalidad!$B$5:$B$75,MIN(71,Cartera_Polizas!$B$259+35-49))*(1+(Cartera_Polizas!$P$259-1)*MAX(0,1-35/Supuestos!$C$20))*(1-Supuestos!$C$18)^35))</f>
        <v>6.52667567419002E-009</v>
      </c>
      <c r="AM257" s="29" t="n">
        <f aca="false">AL257*(1-MIN(1,INDEX(Tabla_Mortalidad!$B$5:$B$75,MIN(71,Cartera_Polizas!$B$259+36-49))*(1+(Cartera_Polizas!$P$259-1)*MAX(0,1-36/Supuestos!$C$20))*(1-Supuestos!$C$18)^36))</f>
        <v>1.36369708340968E-009</v>
      </c>
      <c r="AN257" s="29" t="n">
        <f aca="false">AM257*(1-MIN(1,INDEX(Tabla_Mortalidad!$B$5:$B$75,MIN(71,Cartera_Polizas!$B$259+37-49))*(1+(Cartera_Polizas!$P$259-1)*MAX(0,1-37/Supuestos!$C$20))*(1-Supuestos!$C$18)^37))</f>
        <v>2.30848413064619E-010</v>
      </c>
      <c r="AO257" s="29" t="n">
        <f aca="false">AN257*(1-MIN(1,INDEX(Tabla_Mortalidad!$B$5:$B$75,MIN(71,Cartera_Polizas!$B$259+38-49))*(1+(Cartera_Polizas!$P$259-1)*MAX(0,1-38/Supuestos!$C$20))*(1-Supuestos!$C$18)^38))</f>
        <v>4.00371695940689E-011</v>
      </c>
      <c r="AP257" s="29" t="n">
        <f aca="false">AO257*(1-MIN(1,INDEX(Tabla_Mortalidad!$B$5:$B$75,MIN(71,Cartera_Polizas!$B$259+39-49))*(1+(Cartera_Polizas!$P$259-1)*MAX(0,1-39/Supuestos!$C$20))*(1-Supuestos!$C$18)^39))</f>
        <v>7.1093088225877E-012</v>
      </c>
      <c r="AQ257" s="29" t="n">
        <f aca="false">AP257*(1-MIN(1,INDEX(Tabla_Mortalidad!$B$5:$B$75,MIN(71,Cartera_Polizas!$B$259+40-49))*(1+(Cartera_Polizas!$P$259-1)*MAX(0,1-40/Supuestos!$C$20))*(1-Supuestos!$C$18)^40))</f>
        <v>1.29161836650017E-012</v>
      </c>
      <c r="AR257" s="29" t="n">
        <f aca="false">AQ257*(1-MIN(1,INDEX(Tabla_Mortalidad!$B$5:$B$75,MIN(71,Cartera_Polizas!$B$259+41-49))*(1+(Cartera_Polizas!$P$259-1)*MAX(0,1-41/Supuestos!$C$20))*(1-Supuestos!$C$18)^41))</f>
        <v>2.39945855000589E-013</v>
      </c>
      <c r="AS257" s="29" t="n">
        <f aca="false">AR257*(1-MIN(1,INDEX(Tabla_Mortalidad!$B$5:$B$75,MIN(71,Cartera_Polizas!$B$259+42-49))*(1+(Cartera_Polizas!$P$259-1)*MAX(0,1-42/Supuestos!$C$20))*(1-Supuestos!$C$18)^42))</f>
        <v>4.55519502956201E-014</v>
      </c>
      <c r="AT257" s="29" t="n">
        <f aca="false">AS257*(1-MIN(1,INDEX(Tabla_Mortalidad!$B$5:$B$75,MIN(71,Cartera_Polizas!$B$259+43-49))*(1+(Cartera_Polizas!$P$259-1)*MAX(0,1-43/Supuestos!$C$20))*(1-Supuestos!$C$18)^43))</f>
        <v>8.83222293276917E-015</v>
      </c>
      <c r="AU257" s="29" t="n">
        <f aca="false">AT257*(1-MIN(1,INDEX(Tabla_Mortalidad!$B$5:$B$75,MIN(71,Cartera_Polizas!$B$259+44-49))*(1+(Cartera_Polizas!$P$259-1)*MAX(0,1-44/Supuestos!$C$20))*(1-Supuestos!$C$18)^44))</f>
        <v>1.74810837972586E-015</v>
      </c>
    </row>
    <row r="258" customFormat="false" ht="15" hidden="false" customHeight="false" outlineLevel="0" collapsed="false">
      <c r="A258" s="14" t="n">
        <f aca="false">Cartera_Polizas!A260</f>
        <v>255</v>
      </c>
      <c r="B258" s="26" t="n">
        <f aca="false">SUM(C258:AU258)+0.5</f>
        <v>8.72755578037901</v>
      </c>
      <c r="C258" s="29" t="n">
        <f aca="false">1-MIN(1,INDEX(Tabla_Mortalidad!$B$5:$B$75,MIN(71,Cartera_Polizas!$B$260+0-49))*(1+(Cartera_Polizas!$P$260-1)*MAX(0,1-0/Supuestos!$C$20))*(1-Supuestos!$C$18)^0)</f>
        <v>0.92455843375</v>
      </c>
      <c r="D258" s="29" t="n">
        <f aca="false">C258*(1-MIN(1,INDEX(Tabla_Mortalidad!$B$5:$B$75,MIN(71,Cartera_Polizas!$B$260+1-49))*(1+(Cartera_Polizas!$P$260-1)*MAX(0,1-1/Supuestos!$C$20))*(1-Supuestos!$C$18)^1))</f>
        <v>0.85041725825084</v>
      </c>
      <c r="E258" s="29" t="n">
        <f aca="false">D258*(1-MIN(1,INDEX(Tabla_Mortalidad!$B$5:$B$75,MIN(71,Cartera_Polizas!$B$260+2-49))*(1+(Cartera_Polizas!$P$260-1)*MAX(0,1-2/Supuestos!$C$20))*(1-Supuestos!$C$18)^2))</f>
        <v>0.778076781569008</v>
      </c>
      <c r="F258" s="29" t="n">
        <f aca="false">E258*(1-MIN(1,INDEX(Tabla_Mortalidad!$B$5:$B$75,MIN(71,Cartera_Polizas!$B$260+3-49))*(1+(Cartera_Polizas!$P$260-1)*MAX(0,1-3/Supuestos!$C$20))*(1-Supuestos!$C$18)^3))</f>
        <v>0.708025938660913</v>
      </c>
      <c r="G258" s="29" t="n">
        <f aca="false">F258*(1-MIN(1,INDEX(Tabla_Mortalidad!$B$5:$B$75,MIN(71,Cartera_Polizas!$B$260+4-49))*(1+(Cartera_Polizas!$P$260-1)*MAX(0,1-4/Supuestos!$C$20))*(1-Supuestos!$C$18)^4))</f>
        <v>0.640728403270054</v>
      </c>
      <c r="H258" s="29" t="n">
        <f aca="false">G258*(1-MIN(1,INDEX(Tabla_Mortalidad!$B$5:$B$75,MIN(71,Cartera_Polizas!$B$260+5-49))*(1+(Cartera_Polizas!$P$260-1)*MAX(0,1-5/Supuestos!$C$20))*(1-Supuestos!$C$18)^5))</f>
        <v>0.576606781092386</v>
      </c>
      <c r="I258" s="29" t="n">
        <f aca="false">H258*(1-MIN(1,INDEX(Tabla_Mortalidad!$B$5:$B$75,MIN(71,Cartera_Polizas!$B$260+6-49))*(1+(Cartera_Polizas!$P$260-1)*MAX(0,1-6/Supuestos!$C$20))*(1-Supuestos!$C$18)^6))</f>
        <v>0.516033318857694</v>
      </c>
      <c r="J258" s="29" t="n">
        <f aca="false">I258*(1-MIN(1,INDEX(Tabla_Mortalidad!$B$5:$B$75,MIN(71,Cartera_Polizas!$B$260+7-49))*(1+(Cartera_Polizas!$P$260-1)*MAX(0,1-7/Supuestos!$C$20))*(1-Supuestos!$C$18)^7))</f>
        <v>0.459320410372215</v>
      </c>
      <c r="K258" s="29" t="n">
        <f aca="false">J258*(1-MIN(1,INDEX(Tabla_Mortalidad!$B$5:$B$75,MIN(71,Cartera_Polizas!$B$260+8-49))*(1+(Cartera_Polizas!$P$260-1)*MAX(0,1-8/Supuestos!$C$20))*(1-Supuestos!$C$18)^8))</f>
        <v>0.406708797344584</v>
      </c>
      <c r="L258" s="29" t="n">
        <f aca="false">K258*(1-MIN(1,INDEX(Tabla_Mortalidad!$B$5:$B$75,MIN(71,Cartera_Polizas!$B$260+9-49))*(1+(Cartera_Polizas!$P$260-1)*MAX(0,1-9/Supuestos!$C$20))*(1-Supuestos!$C$18)^9))</f>
        <v>0.358361330243513</v>
      </c>
      <c r="M258" s="29" t="n">
        <f aca="false">L258*(1-MIN(1,INDEX(Tabla_Mortalidad!$B$5:$B$75,MIN(71,Cartera_Polizas!$B$260+10-49))*(1+(Cartera_Polizas!$P$260-1)*MAX(0,1-10/Supuestos!$C$20))*(1-Supuestos!$C$18)^10))</f>
        <v>0.314363139190607</v>
      </c>
      <c r="N258" s="29" t="n">
        <f aca="false">M258*(1-MIN(1,INDEX(Tabla_Mortalidad!$B$5:$B$75,MIN(71,Cartera_Polizas!$B$260+11-49))*(1+(Cartera_Polizas!$P$260-1)*MAX(0,1-11/Supuestos!$C$20))*(1-Supuestos!$C$18)^11))</f>
        <v>0.274718383052476</v>
      </c>
      <c r="O258" s="29" t="n">
        <f aca="false">N258*(1-MIN(1,INDEX(Tabla_Mortalidad!$B$5:$B$75,MIN(71,Cartera_Polizas!$B$260+12-49))*(1+(Cartera_Polizas!$P$260-1)*MAX(0,1-12/Supuestos!$C$20))*(1-Supuestos!$C$18)^12))</f>
        <v>0.239358021284287</v>
      </c>
      <c r="P258" s="29" t="n">
        <f aca="false">O258*(1-MIN(1,INDEX(Tabla_Mortalidad!$B$5:$B$75,MIN(71,Cartera_Polizas!$B$260+13-49))*(1+(Cartera_Polizas!$P$260-1)*MAX(0,1-13/Supuestos!$C$20))*(1-Supuestos!$C$18)^13))</f>
        <v>0.208145147017903</v>
      </c>
      <c r="Q258" s="29" t="n">
        <f aca="false">P258*(1-MIN(1,INDEX(Tabla_Mortalidad!$B$5:$B$75,MIN(71,Cartera_Polizas!$B$260+14-49))*(1+(Cartera_Polizas!$P$260-1)*MAX(0,1-14/Supuestos!$C$20))*(1-Supuestos!$C$18)^14))</f>
        <v>0.180886342962193</v>
      </c>
      <c r="R258" s="29" t="n">
        <f aca="false">Q258*(1-MIN(1,INDEX(Tabla_Mortalidad!$B$5:$B$75,MIN(71,Cartera_Polizas!$B$260+15-49))*(1+(Cartera_Polizas!$P$260-1)*MAX(0,1-15/Supuestos!$C$20))*(1-Supuestos!$C$18)^15))</f>
        <v>0.157344491542956</v>
      </c>
      <c r="S258" s="29" t="n">
        <f aca="false">R258*(1-MIN(1,INDEX(Tabla_Mortalidad!$B$5:$B$75,MIN(71,Cartera_Polizas!$B$260+16-49))*(1+(Cartera_Polizas!$P$260-1)*MAX(0,1-16/Supuestos!$C$20))*(1-Supuestos!$C$18)^16))</f>
        <v>0.134793423160794</v>
      </c>
      <c r="T258" s="29" t="n">
        <f aca="false">S258*(1-MIN(1,INDEX(Tabla_Mortalidad!$B$5:$B$75,MIN(71,Cartera_Polizas!$B$260+17-49))*(1+(Cartera_Polizas!$P$260-1)*MAX(0,1-17/Supuestos!$C$20))*(1-Supuestos!$C$18)^17))</f>
        <v>0.113539259657707</v>
      </c>
      <c r="U258" s="29" t="n">
        <f aca="false">T258*(1-MIN(1,INDEX(Tabla_Mortalidad!$B$5:$B$75,MIN(71,Cartera_Polizas!$B$260+18-49))*(1+(Cartera_Polizas!$P$260-1)*MAX(0,1-18/Supuestos!$C$20))*(1-Supuestos!$C$18)^18))</f>
        <v>0.0938640695000426</v>
      </c>
      <c r="V258" s="29" t="n">
        <f aca="false">U258*(1-MIN(1,INDEX(Tabla_Mortalidad!$B$5:$B$75,MIN(71,Cartera_Polizas!$B$260+19-49))*(1+(Cartera_Polizas!$P$260-1)*MAX(0,1-19/Supuestos!$C$20))*(1-Supuestos!$C$18)^19))</f>
        <v>0.0760092427134332</v>
      </c>
      <c r="W258" s="29" t="n">
        <f aca="false">V258*(1-MIN(1,INDEX(Tabla_Mortalidad!$B$5:$B$75,MIN(71,Cartera_Polizas!$B$260+20-49))*(1+(Cartera_Polizas!$P$260-1)*MAX(0,1-20/Supuestos!$C$20))*(1-Supuestos!$C$18)^20))</f>
        <v>0.0601590426803105</v>
      </c>
      <c r="X258" s="29" t="n">
        <f aca="false">W258*(1-MIN(1,INDEX(Tabla_Mortalidad!$B$5:$B$75,MIN(71,Cartera_Polizas!$B$260+21-49))*(1+(Cartera_Polizas!$P$260-1)*MAX(0,1-21/Supuestos!$C$20))*(1-Supuestos!$C$18)^21))</f>
        <v>0.0464264133178113</v>
      </c>
      <c r="Y258" s="29" t="n">
        <f aca="false">X258*(1-MIN(1,INDEX(Tabla_Mortalidad!$B$5:$B$75,MIN(71,Cartera_Polizas!$B$260+22-49))*(1+(Cartera_Polizas!$P$260-1)*MAX(0,1-22/Supuestos!$C$20))*(1-Supuestos!$C$18)^22))</f>
        <v>0.0348437398519023</v>
      </c>
      <c r="Z258" s="29" t="n">
        <f aca="false">Y258*(1-MIN(1,INDEX(Tabla_Mortalidad!$B$5:$B$75,MIN(71,Cartera_Polizas!$B$260+23-49))*(1+(Cartera_Polizas!$P$260-1)*MAX(0,1-23/Supuestos!$C$20))*(1-Supuestos!$C$18)^23))</f>
        <v>0.0253597101472125</v>
      </c>
      <c r="AA258" s="29" t="n">
        <f aca="false">Z258*(1-MIN(1,INDEX(Tabla_Mortalidad!$B$5:$B$75,MIN(71,Cartera_Polizas!$B$260+24-49))*(1+(Cartera_Polizas!$P$260-1)*MAX(0,1-24/Supuestos!$C$20))*(1-Supuestos!$C$18)^24))</f>
        <v>0.0178435569295597</v>
      </c>
      <c r="AB258" s="29" t="n">
        <f aca="false">AA258*(1-MIN(1,INDEX(Tabla_Mortalidad!$B$5:$B$75,MIN(71,Cartera_Polizas!$B$260+25-49))*(1+(Cartera_Polizas!$P$260-1)*MAX(0,1-25/Supuestos!$C$20))*(1-Supuestos!$C$18)^25))</f>
        <v>0.0120972424849961</v>
      </c>
      <c r="AC258" s="29" t="n">
        <f aca="false">AB258*(1-MIN(1,INDEX(Tabla_Mortalidad!$B$5:$B$75,MIN(71,Cartera_Polizas!$B$260+26-49))*(1+(Cartera_Polizas!$P$260-1)*MAX(0,1-26/Supuestos!$C$20))*(1-Supuestos!$C$18)^26))</f>
        <v>0.00787409142420419</v>
      </c>
      <c r="AD258" s="29" t="n">
        <f aca="false">AC258*(1-MIN(1,INDEX(Tabla_Mortalidad!$B$5:$B$75,MIN(71,Cartera_Polizas!$B$260+27-49))*(1+(Cartera_Polizas!$P$260-1)*MAX(0,1-27/Supuestos!$C$20))*(1-Supuestos!$C$18)^27))</f>
        <v>0.00490184865847177</v>
      </c>
      <c r="AE258" s="29" t="n">
        <f aca="false">AD258*(1-MIN(1,INDEX(Tabla_Mortalidad!$B$5:$B$75,MIN(71,Cartera_Polizas!$B$260+28-49))*(1+(Cartera_Polizas!$P$260-1)*MAX(0,1-28/Supuestos!$C$20))*(1-Supuestos!$C$18)^28))</f>
        <v>0.00290673606009739</v>
      </c>
      <c r="AF258" s="29" t="n">
        <f aca="false">AE258*(1-MIN(1,INDEX(Tabla_Mortalidad!$B$5:$B$75,MIN(71,Cartera_Polizas!$B$260+29-49))*(1+(Cartera_Polizas!$P$260-1)*MAX(0,1-29/Supuestos!$C$20))*(1-Supuestos!$C$18)^29))</f>
        <v>0.00163492919368897</v>
      </c>
      <c r="AG258" s="29" t="n">
        <f aca="false">AF258*(1-MIN(1,INDEX(Tabla_Mortalidad!$B$5:$B$75,MIN(71,Cartera_Polizas!$B$260+30-49))*(1+(Cartera_Polizas!$P$260-1)*MAX(0,1-30/Supuestos!$C$20))*(1-Supuestos!$C$18)^30))</f>
        <v>0.000868454505019659</v>
      </c>
      <c r="AH258" s="29" t="n">
        <f aca="false">AG258*(1-MIN(1,INDEX(Tabla_Mortalidad!$B$5:$B$75,MIN(71,Cartera_Polizas!$B$260+31-49))*(1+(Cartera_Polizas!$P$260-1)*MAX(0,1-31/Supuestos!$C$20))*(1-Supuestos!$C$18)^31))</f>
        <v>0.000433751444091257</v>
      </c>
      <c r="AI258" s="29" t="n">
        <f aca="false">AH258*(1-MIN(1,INDEX(Tabla_Mortalidad!$B$5:$B$75,MIN(71,Cartera_Polizas!$B$260+32-49))*(1+(Cartera_Polizas!$P$260-1)*MAX(0,1-32/Supuestos!$C$20))*(1-Supuestos!$C$18)^32))</f>
        <v>0.000202819213985143</v>
      </c>
      <c r="AJ258" s="29" t="n">
        <f aca="false">AI258*(1-MIN(1,INDEX(Tabla_Mortalidad!$B$5:$B$75,MIN(71,Cartera_Polizas!$B$260+33-49))*(1+(Cartera_Polizas!$P$260-1)*MAX(0,1-33/Supuestos!$C$20))*(1-Supuestos!$C$18)^33))</f>
        <v>8.84288472198091E-005</v>
      </c>
      <c r="AK258" s="29" t="n">
        <f aca="false">AJ258*(1-MIN(1,INDEX(Tabla_Mortalidad!$B$5:$B$75,MIN(71,Cartera_Polizas!$B$260+34-49))*(1+(Cartera_Polizas!$P$260-1)*MAX(0,1-34/Supuestos!$C$20))*(1-Supuestos!$C$18)^34))</f>
        <v>3.58216763643019E-005</v>
      </c>
      <c r="AL258" s="29" t="n">
        <f aca="false">AK258*(1-MIN(1,INDEX(Tabla_Mortalidad!$B$5:$B$75,MIN(71,Cartera_Polizas!$B$260+35-49))*(1+(Cartera_Polizas!$P$260-1)*MAX(0,1-35/Supuestos!$C$20))*(1-Supuestos!$C$18)^35))</f>
        <v>1.34445739055971E-005</v>
      </c>
      <c r="AM258" s="29" t="n">
        <f aca="false">AL258*(1-MIN(1,INDEX(Tabla_Mortalidad!$B$5:$B$75,MIN(71,Cartera_Polizas!$B$260+36-49))*(1+(Cartera_Polizas!$P$260-1)*MAX(0,1-36/Supuestos!$C$20))*(1-Supuestos!$C$18)^36))</f>
        <v>4.66722022635453E-006</v>
      </c>
      <c r="AN258" s="29" t="n">
        <f aca="false">AM258*(1-MIN(1,INDEX(Tabla_Mortalidad!$B$5:$B$75,MIN(71,Cartera_Polizas!$B$260+37-49))*(1+(Cartera_Polizas!$P$260-1)*MAX(0,1-37/Supuestos!$C$20))*(1-Supuestos!$C$18)^37))</f>
        <v>1.49823014579715E-006</v>
      </c>
      <c r="AO258" s="29" t="n">
        <f aca="false">AN258*(1-MIN(1,INDEX(Tabla_Mortalidad!$B$5:$B$75,MIN(71,Cartera_Polizas!$B$260+38-49))*(1+(Cartera_Polizas!$P$260-1)*MAX(0,1-38/Supuestos!$C$20))*(1-Supuestos!$C$18)^38))</f>
        <v>4.45460683652459E-007</v>
      </c>
      <c r="AP258" s="29" t="n">
        <f aca="false">AO258*(1-MIN(1,INDEX(Tabla_Mortalidad!$B$5:$B$75,MIN(71,Cartera_Polizas!$B$260+39-49))*(1+(Cartera_Polizas!$P$260-1)*MAX(0,1-39/Supuestos!$C$20))*(1-Supuestos!$C$18)^39))</f>
        <v>1.23137524170478E-007</v>
      </c>
      <c r="AQ258" s="29" t="n">
        <f aca="false">AP258*(1-MIN(1,INDEX(Tabla_Mortalidad!$B$5:$B$75,MIN(71,Cartera_Polizas!$B$260+40-49))*(1+(Cartera_Polizas!$P$260-1)*MAX(0,1-40/Supuestos!$C$20))*(1-Supuestos!$C$18)^40))</f>
        <v>3.18393742065574E-008</v>
      </c>
      <c r="AR258" s="29" t="n">
        <f aca="false">AQ258*(1-MIN(1,INDEX(Tabla_Mortalidad!$B$5:$B$75,MIN(71,Cartera_Polizas!$B$260+41-49))*(1+(Cartera_Polizas!$P$260-1)*MAX(0,1-41/Supuestos!$C$20))*(1-Supuestos!$C$18)^41))</f>
        <v>7.7650551907656E-009</v>
      </c>
      <c r="AS258" s="29" t="n">
        <f aca="false">AR258*(1-MIN(1,INDEX(Tabla_Mortalidad!$B$5:$B$75,MIN(71,Cartera_Polizas!$B$260+42-49))*(1+(Cartera_Polizas!$P$260-1)*MAX(0,1-42/Supuestos!$C$20))*(1-Supuestos!$C$18)^42))</f>
        <v>1.80443673196653E-009</v>
      </c>
      <c r="AT258" s="29" t="n">
        <f aca="false">AS258*(1-MIN(1,INDEX(Tabla_Mortalidad!$B$5:$B$75,MIN(71,Cartera_Polizas!$B$260+43-49))*(1+(Cartera_Polizas!$P$260-1)*MAX(0,1-43/Supuestos!$C$20))*(1-Supuestos!$C$18)^43))</f>
        <v>3.49868389418625E-010</v>
      </c>
      <c r="AU258" s="29" t="n">
        <f aca="false">AT258*(1-MIN(1,INDEX(Tabla_Mortalidad!$B$5:$B$75,MIN(71,Cartera_Polizas!$B$260+44-49))*(1+(Cartera_Polizas!$P$260-1)*MAX(0,1-44/Supuestos!$C$20))*(1-Supuestos!$C$18)^44))</f>
        <v>6.92473308248043E-011</v>
      </c>
    </row>
    <row r="259" customFormat="false" ht="15" hidden="false" customHeight="false" outlineLevel="0" collapsed="false">
      <c r="A259" s="14" t="n">
        <f aca="false">Cartera_Polizas!A261</f>
        <v>256</v>
      </c>
      <c r="B259" s="26" t="n">
        <f aca="false">SUM(C259:AU259)+0.5</f>
        <v>9.83613014804338</v>
      </c>
      <c r="C259" s="29" t="n">
        <f aca="false">1-MIN(1,INDEX(Tabla_Mortalidad!$B$5:$B$75,MIN(71,Cartera_Polizas!$B$261+0-49))*(1+(Cartera_Polizas!$P$261-1)*MAX(0,1-0/Supuestos!$C$20))*(1-Supuestos!$C$18)^0)</f>
        <v>0.94410304975</v>
      </c>
      <c r="D259" s="29" t="n">
        <f aca="false">C259*(1-MIN(1,INDEX(Tabla_Mortalidad!$B$5:$B$75,MIN(71,Cartera_Polizas!$B$261+1-49))*(1+(Cartera_Polizas!$P$261-1)*MAX(0,1-1/Supuestos!$C$20))*(1-Supuestos!$C$18)^1))</f>
        <v>0.887272941461695</v>
      </c>
      <c r="E259" s="29" t="n">
        <f aca="false">D259*(1-MIN(1,INDEX(Tabla_Mortalidad!$B$5:$B$75,MIN(71,Cartera_Polizas!$B$261+2-49))*(1+(Cartera_Polizas!$P$261-1)*MAX(0,1-2/Supuestos!$C$20))*(1-Supuestos!$C$18)^2))</f>
        <v>0.829820043570074</v>
      </c>
      <c r="F259" s="29" t="n">
        <f aca="false">E259*(1-MIN(1,INDEX(Tabla_Mortalidad!$B$5:$B$75,MIN(71,Cartera_Polizas!$B$261+3-49))*(1+(Cartera_Polizas!$P$261-1)*MAX(0,1-3/Supuestos!$C$20))*(1-Supuestos!$C$18)^3))</f>
        <v>0.772087415398586</v>
      </c>
      <c r="G259" s="29" t="n">
        <f aca="false">F259*(1-MIN(1,INDEX(Tabla_Mortalidad!$B$5:$B$75,MIN(71,Cartera_Polizas!$B$261+4-49))*(1+(Cartera_Polizas!$P$261-1)*MAX(0,1-4/Supuestos!$C$20))*(1-Supuestos!$C$18)^4))</f>
        <v>0.714443843691014</v>
      </c>
      <c r="H259" s="29" t="n">
        <f aca="false">G259*(1-MIN(1,INDEX(Tabla_Mortalidad!$B$5:$B$75,MIN(71,Cartera_Polizas!$B$261+5-49))*(1+(Cartera_Polizas!$P$261-1)*MAX(0,1-5/Supuestos!$C$20))*(1-Supuestos!$C$18)^5))</f>
        <v>0.657280115953993</v>
      </c>
      <c r="I259" s="29" t="n">
        <f aca="false">H259*(1-MIN(1,INDEX(Tabla_Mortalidad!$B$5:$B$75,MIN(71,Cartera_Polizas!$B$261+6-49))*(1+(Cartera_Polizas!$P$261-1)*MAX(0,1-6/Supuestos!$C$20))*(1-Supuestos!$C$18)^6))</f>
        <v>0.601002845092334</v>
      </c>
      <c r="J259" s="29" t="n">
        <f aca="false">I259*(1-MIN(1,INDEX(Tabla_Mortalidad!$B$5:$B$75,MIN(71,Cartera_Polizas!$B$261+7-49))*(1+(Cartera_Polizas!$P$261-1)*MAX(0,1-7/Supuestos!$C$20))*(1-Supuestos!$C$18)^7))</f>
        <v>0.546022671477522</v>
      </c>
      <c r="K259" s="29" t="n">
        <f aca="false">J259*(1-MIN(1,INDEX(Tabla_Mortalidad!$B$5:$B$75,MIN(71,Cartera_Polizas!$B$261+8-49))*(1+(Cartera_Polizas!$P$261-1)*MAX(0,1-8/Supuestos!$C$20))*(1-Supuestos!$C$18)^8))</f>
        <v>0.492743507263859</v>
      </c>
      <c r="L259" s="29" t="n">
        <f aca="false">K259*(1-MIN(1,INDEX(Tabla_Mortalidad!$B$5:$B$75,MIN(71,Cartera_Polizas!$B$261+9-49))*(1+(Cartera_Polizas!$P$261-1)*MAX(0,1-9/Supuestos!$C$20))*(1-Supuestos!$C$18)^9))</f>
        <v>0.441554513084892</v>
      </c>
      <c r="M259" s="29" t="n">
        <f aca="false">L259*(1-MIN(1,INDEX(Tabla_Mortalidad!$B$5:$B$75,MIN(71,Cartera_Polizas!$B$261+10-49))*(1+(Cartera_Polizas!$P$261-1)*MAX(0,1-10/Supuestos!$C$20))*(1-Supuestos!$C$18)^10))</f>
        <v>0.392814176872062</v>
      </c>
      <c r="N259" s="29" t="n">
        <f aca="false">M259*(1-MIN(1,INDEX(Tabla_Mortalidad!$B$5:$B$75,MIN(71,Cartera_Polizas!$B$261+11-49))*(1+(Cartera_Polizas!$P$261-1)*MAX(0,1-11/Supuestos!$C$20))*(1-Supuestos!$C$18)^11))</f>
        <v>0.34684286644053</v>
      </c>
      <c r="O259" s="29" t="n">
        <f aca="false">N259*(1-MIN(1,INDEX(Tabla_Mortalidad!$B$5:$B$75,MIN(71,Cartera_Polizas!$B$261+12-49))*(1+(Cartera_Polizas!$P$261-1)*MAX(0,1-12/Supuestos!$C$20))*(1-Supuestos!$C$18)^12))</f>
        <v>0.303909568708557</v>
      </c>
      <c r="P259" s="29" t="n">
        <f aca="false">O259*(1-MIN(1,INDEX(Tabla_Mortalidad!$B$5:$B$75,MIN(71,Cartera_Polizas!$B$261+13-49))*(1+(Cartera_Polizas!$P$261-1)*MAX(0,1-13/Supuestos!$C$20))*(1-Supuestos!$C$18)^13))</f>
        <v>0.264223777010231</v>
      </c>
      <c r="Q259" s="29" t="n">
        <f aca="false">P259*(1-MIN(1,INDEX(Tabla_Mortalidad!$B$5:$B$75,MIN(71,Cartera_Polizas!$B$261+14-49))*(1+(Cartera_Polizas!$P$261-1)*MAX(0,1-14/Supuestos!$C$20))*(1-Supuestos!$C$18)^14))</f>
        <v>0.227928612174207</v>
      </c>
      <c r="R259" s="29" t="n">
        <f aca="false">Q259*(1-MIN(1,INDEX(Tabla_Mortalidad!$B$5:$B$75,MIN(71,Cartera_Polizas!$B$261+15-49))*(1+(Cartera_Polizas!$P$261-1)*MAX(0,1-15/Supuestos!$C$20))*(1-Supuestos!$C$18)^15))</f>
        <v>0.195097065394863</v>
      </c>
      <c r="S259" s="29" t="n">
        <f aca="false">R259*(1-MIN(1,INDEX(Tabla_Mortalidad!$B$5:$B$75,MIN(71,Cartera_Polizas!$B$261+16-49))*(1+(Cartera_Polizas!$P$261-1)*MAX(0,1-16/Supuestos!$C$20))*(1-Supuestos!$C$18)^16))</f>
        <v>0.164179664973228</v>
      </c>
      <c r="T259" s="29" t="n">
        <f aca="false">S259*(1-MIN(1,INDEX(Tabla_Mortalidad!$B$5:$B$75,MIN(71,Cartera_Polizas!$B$261+17-49))*(1+(Cartera_Polizas!$P$261-1)*MAX(0,1-17/Supuestos!$C$20))*(1-Supuestos!$C$18)^17))</f>
        <v>0.135586043425362</v>
      </c>
      <c r="U259" s="29" t="n">
        <f aca="false">T259*(1-MIN(1,INDEX(Tabla_Mortalidad!$B$5:$B$75,MIN(71,Cartera_Polizas!$B$261+18-49))*(1+(Cartera_Polizas!$P$261-1)*MAX(0,1-18/Supuestos!$C$20))*(1-Supuestos!$C$18)^18))</f>
        <v>0.109665257278301</v>
      </c>
      <c r="V259" s="29" t="n">
        <f aca="false">U259*(1-MIN(1,INDEX(Tabla_Mortalidad!$B$5:$B$75,MIN(71,Cartera_Polizas!$B$261+19-49))*(1+(Cartera_Polizas!$P$261-1)*MAX(0,1-19/Supuestos!$C$20))*(1-Supuestos!$C$18)^19))</f>
        <v>0.0866818547698789</v>
      </c>
      <c r="W259" s="29" t="n">
        <f aca="false">V259*(1-MIN(1,INDEX(Tabla_Mortalidad!$B$5:$B$75,MIN(71,Cartera_Polizas!$B$261+20-49))*(1+(Cartera_Polizas!$P$261-1)*MAX(0,1-20/Supuestos!$C$20))*(1-Supuestos!$C$18)^20))</f>
        <v>0.0667953757234151</v>
      </c>
      <c r="X259" s="29" t="n">
        <f aca="false">W259*(1-MIN(1,INDEX(Tabla_Mortalidad!$B$5:$B$75,MIN(71,Cartera_Polizas!$B$261+21-49))*(1+(Cartera_Polizas!$P$261-1)*MAX(0,1-21/Supuestos!$C$20))*(1-Supuestos!$C$18)^21))</f>
        <v>0.0500472197811348</v>
      </c>
      <c r="Y259" s="29" t="n">
        <f aca="false">X259*(1-MIN(1,INDEX(Tabla_Mortalidad!$B$5:$B$75,MIN(71,Cartera_Polizas!$B$261+22-49))*(1+(Cartera_Polizas!$P$261-1)*MAX(0,1-22/Supuestos!$C$20))*(1-Supuestos!$C$18)^22))</f>
        <v>0.0363565398045745</v>
      </c>
      <c r="Z259" s="29" t="n">
        <f aca="false">Y259*(1-MIN(1,INDEX(Tabla_Mortalidad!$B$5:$B$75,MIN(71,Cartera_Polizas!$B$261+23-49))*(1+(Cartera_Polizas!$P$261-1)*MAX(0,1-23/Supuestos!$C$20))*(1-Supuestos!$C$18)^23))</f>
        <v>0.0255269800611387</v>
      </c>
      <c r="AA259" s="29" t="n">
        <f aca="false">Z259*(1-MIN(1,INDEX(Tabla_Mortalidad!$B$5:$B$75,MIN(71,Cartera_Polizas!$B$261+24-49))*(1+(Cartera_Polizas!$P$261-1)*MAX(0,1-24/Supuestos!$C$20))*(1-Supuestos!$C$18)^24))</f>
        <v>0.0172649967198187</v>
      </c>
      <c r="AB259" s="29" t="n">
        <f aca="false">AA259*(1-MIN(1,INDEX(Tabla_Mortalidad!$B$5:$B$75,MIN(71,Cartera_Polizas!$B$261+25-49))*(1+(Cartera_Polizas!$P$261-1)*MAX(0,1-25/Supuestos!$C$20))*(1-Supuestos!$C$18)^25))</f>
        <v>0.0112074935552808</v>
      </c>
      <c r="AC259" s="29" t="n">
        <f aca="false">AB259*(1-MIN(1,INDEX(Tabla_Mortalidad!$B$5:$B$75,MIN(71,Cartera_Polizas!$B$261+26-49))*(1+(Cartera_Polizas!$P$261-1)*MAX(0,1-26/Supuestos!$C$20))*(1-Supuestos!$C$18)^26))</f>
        <v>0.00695572865112777</v>
      </c>
      <c r="AD259" s="29" t="n">
        <f aca="false">AC259*(1-MIN(1,INDEX(Tabla_Mortalidad!$B$5:$B$75,MIN(71,Cartera_Polizas!$B$261+27-49))*(1+(Cartera_Polizas!$P$261-1)*MAX(0,1-27/Supuestos!$C$20))*(1-Supuestos!$C$18)^27))</f>
        <v>0.00411043520701174</v>
      </c>
      <c r="AE259" s="29" t="n">
        <f aca="false">AD259*(1-MIN(1,INDEX(Tabla_Mortalidad!$B$5:$B$75,MIN(71,Cartera_Polizas!$B$261+28-49))*(1+(Cartera_Polizas!$P$261-1)*MAX(0,1-28/Supuestos!$C$20))*(1-Supuestos!$C$18)^28))</f>
        <v>0.00230292693693987</v>
      </c>
      <c r="AF259" s="29" t="n">
        <f aca="false">AE259*(1-MIN(1,INDEX(Tabla_Mortalidad!$B$5:$B$75,MIN(71,Cartera_Polizas!$B$261+29-49))*(1+(Cartera_Polizas!$P$261-1)*MAX(0,1-29/Supuestos!$C$20))*(1-Supuestos!$C$18)^29))</f>
        <v>0.00121786145518509</v>
      </c>
      <c r="AG259" s="29" t="n">
        <f aca="false">AF259*(1-MIN(1,INDEX(Tabla_Mortalidad!$B$5:$B$75,MIN(71,Cartera_Polizas!$B$261+30-49))*(1+(Cartera_Polizas!$P$261-1)*MAX(0,1-30/Supuestos!$C$20))*(1-Supuestos!$C$18)^30))</f>
        <v>0.000605200179892924</v>
      </c>
      <c r="AH259" s="29" t="n">
        <f aca="false">AG259*(1-MIN(1,INDEX(Tabla_Mortalidad!$B$5:$B$75,MIN(71,Cartera_Polizas!$B$261+31-49))*(1+(Cartera_Polizas!$P$261-1)*MAX(0,1-31/Supuestos!$C$20))*(1-Supuestos!$C$18)^31))</f>
        <v>0.000281368313010987</v>
      </c>
      <c r="AI259" s="29" t="n">
        <f aca="false">AH259*(1-MIN(1,INDEX(Tabla_Mortalidad!$B$5:$B$75,MIN(71,Cartera_Polizas!$B$261+32-49))*(1+(Cartera_Polizas!$P$261-1)*MAX(0,1-32/Supuestos!$C$20))*(1-Supuestos!$C$18)^32))</f>
        <v>0.000121878678387389</v>
      </c>
      <c r="AJ259" s="29" t="n">
        <f aca="false">AI259*(1-MIN(1,INDEX(Tabla_Mortalidad!$B$5:$B$75,MIN(71,Cartera_Polizas!$B$261+33-49))*(1+(Cartera_Polizas!$P$261-1)*MAX(0,1-33/Supuestos!$C$20))*(1-Supuestos!$C$18)^33))</f>
        <v>4.90075258138477E-005</v>
      </c>
      <c r="AK259" s="29" t="n">
        <f aca="false">AJ259*(1-MIN(1,INDEX(Tabla_Mortalidad!$B$5:$B$75,MIN(71,Cartera_Polizas!$B$261+34-49))*(1+(Cartera_Polizas!$P$261-1)*MAX(0,1-34/Supuestos!$C$20))*(1-Supuestos!$C$18)^34))</f>
        <v>1.82396409935639E-005</v>
      </c>
      <c r="AL259" s="29" t="n">
        <f aca="false">AK259*(1-MIN(1,INDEX(Tabla_Mortalidad!$B$5:$B$75,MIN(71,Cartera_Polizas!$B$261+35-49))*(1+(Cartera_Polizas!$P$261-1)*MAX(0,1-35/Supuestos!$C$20))*(1-Supuestos!$C$18)^35))</f>
        <v>6.27196670952531E-006</v>
      </c>
      <c r="AM259" s="29" t="n">
        <f aca="false">AL259*(1-MIN(1,INDEX(Tabla_Mortalidad!$B$5:$B$75,MIN(71,Cartera_Polizas!$B$261+36-49))*(1+(Cartera_Polizas!$P$261-1)*MAX(0,1-36/Supuestos!$C$20))*(1-Supuestos!$C$18)^36))</f>
        <v>1.99197182762923E-006</v>
      </c>
      <c r="AN259" s="29" t="n">
        <f aca="false">AM259*(1-MIN(1,INDEX(Tabla_Mortalidad!$B$5:$B$75,MIN(71,Cartera_Polizas!$B$261+37-49))*(1+(Cartera_Polizas!$P$261-1)*MAX(0,1-37/Supuestos!$C$20))*(1-Supuestos!$C$18)^37))</f>
        <v>5.85228516748904E-007</v>
      </c>
      <c r="AO259" s="29" t="n">
        <f aca="false">AN259*(1-MIN(1,INDEX(Tabla_Mortalidad!$B$5:$B$75,MIN(71,Cartera_Polizas!$B$261+38-49))*(1+(Cartera_Polizas!$P$261-1)*MAX(0,1-38/Supuestos!$C$20))*(1-Supuestos!$C$18)^38))</f>
        <v>1.59645262081149E-007</v>
      </c>
      <c r="AP259" s="29" t="n">
        <f aca="false">AO259*(1-MIN(1,INDEX(Tabla_Mortalidad!$B$5:$B$75,MIN(71,Cartera_Polizas!$B$261+39-49))*(1+(Cartera_Polizas!$P$261-1)*MAX(0,1-39/Supuestos!$C$20))*(1-Supuestos!$C$18)^39))</f>
        <v>4.06842875400056E-008</v>
      </c>
      <c r="AQ259" s="29" t="n">
        <f aca="false">AP259*(1-MIN(1,INDEX(Tabla_Mortalidad!$B$5:$B$75,MIN(71,Cartera_Polizas!$B$261+40-49))*(1+(Cartera_Polizas!$P$261-1)*MAX(0,1-40/Supuestos!$C$20))*(1-Supuestos!$C$18)^40))</f>
        <v>9.76758821742968E-009</v>
      </c>
      <c r="AR259" s="29" t="n">
        <f aca="false">AQ259*(1-MIN(1,INDEX(Tabla_Mortalidad!$B$5:$B$75,MIN(71,Cartera_Polizas!$B$261+41-49))*(1+(Cartera_Polizas!$P$261-1)*MAX(0,1-41/Supuestos!$C$20))*(1-Supuestos!$C$18)^41))</f>
        <v>2.23210619467162E-009</v>
      </c>
      <c r="AS259" s="29" t="n">
        <f aca="false">AR259*(1-MIN(1,INDEX(Tabla_Mortalidad!$B$5:$B$75,MIN(71,Cartera_Polizas!$B$261+42-49))*(1+(Cartera_Polizas!$P$261-1)*MAX(0,1-42/Supuestos!$C$20))*(1-Supuestos!$C$18)^42))</f>
        <v>4.23748892990787E-010</v>
      </c>
      <c r="AT259" s="29" t="n">
        <f aca="false">AS259*(1-MIN(1,INDEX(Tabla_Mortalidad!$B$5:$B$75,MIN(71,Cartera_Polizas!$B$261+43-49))*(1+(Cartera_Polizas!$P$261-1)*MAX(0,1-43/Supuestos!$C$20))*(1-Supuestos!$C$18)^43))</f>
        <v>8.21621174531497E-011</v>
      </c>
      <c r="AU259" s="29" t="n">
        <f aca="false">AT259*(1-MIN(1,INDEX(Tabla_Mortalidad!$B$5:$B$75,MIN(71,Cartera_Polizas!$B$261+44-49))*(1+(Cartera_Polizas!$P$261-1)*MAX(0,1-44/Supuestos!$C$20))*(1-Supuestos!$C$18)^44))</f>
        <v>1.62618501717143E-011</v>
      </c>
    </row>
    <row r="260" customFormat="false" ht="15" hidden="false" customHeight="false" outlineLevel="0" collapsed="false">
      <c r="A260" s="14" t="n">
        <f aca="false">Cartera_Polizas!A262</f>
        <v>257</v>
      </c>
      <c r="B260" s="26" t="n">
        <f aca="false">SUM(C260:AU260)+0.5</f>
        <v>2.15698422520375</v>
      </c>
      <c r="C260" s="29" t="n">
        <f aca="false">1-MIN(1,INDEX(Tabla_Mortalidad!$B$5:$B$75,MIN(71,Cartera_Polizas!$B$262+0-49))*(1+(Cartera_Polizas!$P$262-1)*MAX(0,1-0/Supuestos!$C$20))*(1-Supuestos!$C$18)^0)</f>
        <v>0.6498306</v>
      </c>
      <c r="D260" s="29" t="n">
        <f aca="false">C260*(1-MIN(1,INDEX(Tabla_Mortalidad!$B$5:$B$75,MIN(71,Cartera_Polizas!$B$262+1-49))*(1+(Cartera_Polizas!$P$262-1)*MAX(0,1-1/Supuestos!$C$20))*(1-Supuestos!$C$18)^1))</f>
        <v>0.41047297622068</v>
      </c>
      <c r="E260" s="29" t="n">
        <f aca="false">D260*(1-MIN(1,INDEX(Tabla_Mortalidad!$B$5:$B$75,MIN(71,Cartera_Polizas!$B$262+2-49))*(1+(Cartera_Polizas!$P$262-1)*MAX(0,1-2/Supuestos!$C$20))*(1-Supuestos!$C$18)^2))</f>
        <v>0.251934511911401</v>
      </c>
      <c r="F260" s="29" t="n">
        <f aca="false">E260*(1-MIN(1,INDEX(Tabla_Mortalidad!$B$5:$B$75,MIN(71,Cartera_Polizas!$B$262+3-49))*(1+(Cartera_Polizas!$P$262-1)*MAX(0,1-3/Supuestos!$C$20))*(1-Supuestos!$C$18)^3))</f>
        <v>0.150256187002072</v>
      </c>
      <c r="G260" s="29" t="n">
        <f aca="false">F260*(1-MIN(1,INDEX(Tabla_Mortalidad!$B$5:$B$75,MIN(71,Cartera_Polizas!$B$262+4-49))*(1+(Cartera_Polizas!$P$262-1)*MAX(0,1-4/Supuestos!$C$20))*(1-Supuestos!$C$18)^4))</f>
        <v>0.0871342880930103</v>
      </c>
      <c r="H260" s="29" t="n">
        <f aca="false">G260*(1-MIN(1,INDEX(Tabla_Mortalidad!$B$5:$B$75,MIN(71,Cartera_Polizas!$B$262+5-49))*(1+(Cartera_Polizas!$P$262-1)*MAX(0,1-5/Supuestos!$C$20))*(1-Supuestos!$C$18)^5))</f>
        <v>0.0491974805953673</v>
      </c>
      <c r="I260" s="29" t="n">
        <f aca="false">H260*(1-MIN(1,INDEX(Tabla_Mortalidad!$B$5:$B$75,MIN(71,Cartera_Polizas!$B$262+6-49))*(1+(Cartera_Polizas!$P$262-1)*MAX(0,1-6/Supuestos!$C$20))*(1-Supuestos!$C$18)^6))</f>
        <v>0.0271058078651543</v>
      </c>
      <c r="J260" s="29" t="n">
        <f aca="false">I260*(1-MIN(1,INDEX(Tabla_Mortalidad!$B$5:$B$75,MIN(71,Cartera_Polizas!$B$262+7-49))*(1+(Cartera_Polizas!$P$262-1)*MAX(0,1-7/Supuestos!$C$20))*(1-Supuestos!$C$18)^7))</f>
        <v>0.0146211542973817</v>
      </c>
      <c r="K260" s="29" t="n">
        <f aca="false">J260*(1-MIN(1,INDEX(Tabla_Mortalidad!$B$5:$B$75,MIN(71,Cartera_Polizas!$B$262+8-49))*(1+(Cartera_Polizas!$P$262-1)*MAX(0,1-8/Supuestos!$C$20))*(1-Supuestos!$C$18)^8))</f>
        <v>0.00775665453892396</v>
      </c>
      <c r="L260" s="29" t="n">
        <f aca="false">K260*(1-MIN(1,INDEX(Tabla_Mortalidad!$B$5:$B$75,MIN(71,Cartera_Polizas!$B$262+9-49))*(1+(Cartera_Polizas!$P$262-1)*MAX(0,1-9/Supuestos!$C$20))*(1-Supuestos!$C$18)^9))</f>
        <v>0.0040710703672692</v>
      </c>
      <c r="M260" s="29" t="n">
        <f aca="false">L260*(1-MIN(1,INDEX(Tabla_Mortalidad!$B$5:$B$75,MIN(71,Cartera_Polizas!$B$262+10-49))*(1+(Cartera_Polizas!$P$262-1)*MAX(0,1-10/Supuestos!$C$20))*(1-Supuestos!$C$18)^10))</f>
        <v>0.00212952373981116</v>
      </c>
      <c r="N260" s="29" t="n">
        <f aca="false">M260*(1-MIN(1,INDEX(Tabla_Mortalidad!$B$5:$B$75,MIN(71,Cartera_Polizas!$B$262+11-49))*(1+(Cartera_Polizas!$P$262-1)*MAX(0,1-11/Supuestos!$C$20))*(1-Supuestos!$C$18)^11))</f>
        <v>0.00111999774104633</v>
      </c>
      <c r="O260" s="29" t="n">
        <f aca="false">N260*(1-MIN(1,INDEX(Tabla_Mortalidad!$B$5:$B$75,MIN(71,Cartera_Polizas!$B$262+12-49))*(1+(Cartera_Polizas!$P$262-1)*MAX(0,1-12/Supuestos!$C$20))*(1-Supuestos!$C$18)^12))</f>
        <v>0.000598258823961568</v>
      </c>
      <c r="P260" s="29" t="n">
        <f aca="false">O260*(1-MIN(1,INDEX(Tabla_Mortalidad!$B$5:$B$75,MIN(71,Cartera_Polizas!$B$262+13-49))*(1+(Cartera_Polizas!$P$262-1)*MAX(0,1-13/Supuestos!$C$20))*(1-Supuestos!$C$18)^13))</f>
        <v>0.000328177824723948</v>
      </c>
      <c r="Q260" s="29" t="n">
        <f aca="false">P260*(1-MIN(1,INDEX(Tabla_Mortalidad!$B$5:$B$75,MIN(71,Cartera_Polizas!$B$262+14-49))*(1+(Cartera_Polizas!$P$262-1)*MAX(0,1-14/Supuestos!$C$20))*(1-Supuestos!$C$18)^14))</f>
        <v>0.000187040954482704</v>
      </c>
      <c r="R260" s="29" t="n">
        <f aca="false">Q260*(1-MIN(1,INDEX(Tabla_Mortalidad!$B$5:$B$75,MIN(71,Cartera_Polizas!$B$262+15-49))*(1+(Cartera_Polizas!$P$262-1)*MAX(0,1-15/Supuestos!$C$20))*(1-Supuestos!$C$18)^15))</f>
        <v>0.000112061277207526</v>
      </c>
      <c r="S260" s="29" t="n">
        <f aca="false">R260*(1-MIN(1,INDEX(Tabla_Mortalidad!$B$5:$B$75,MIN(71,Cartera_Polizas!$B$262+16-49))*(1+(Cartera_Polizas!$P$262-1)*MAX(0,1-16/Supuestos!$C$20))*(1-Supuestos!$C$18)^16))</f>
        <v>6.36232873950498E-005</v>
      </c>
      <c r="T260" s="29" t="n">
        <f aca="false">S260*(1-MIN(1,INDEX(Tabla_Mortalidad!$B$5:$B$75,MIN(71,Cartera_Polizas!$B$262+17-49))*(1+(Cartera_Polizas!$P$262-1)*MAX(0,1-17/Supuestos!$C$20))*(1-Supuestos!$C$18)^17))</f>
        <v>3.405986535824E-005</v>
      </c>
      <c r="U260" s="29" t="n">
        <f aca="false">T260*(1-MIN(1,INDEX(Tabla_Mortalidad!$B$5:$B$75,MIN(71,Cartera_Polizas!$B$262+18-49))*(1+(Cartera_Polizas!$P$262-1)*MAX(0,1-18/Supuestos!$C$20))*(1-Supuestos!$C$18)^18))</f>
        <v>1.7102248177731E-005</v>
      </c>
      <c r="V260" s="29" t="n">
        <f aca="false">U260*(1-MIN(1,INDEX(Tabla_Mortalidad!$B$5:$B$75,MIN(71,Cartera_Polizas!$B$262+19-49))*(1+(Cartera_Polizas!$P$262-1)*MAX(0,1-19/Supuestos!$C$20))*(1-Supuestos!$C$18)^19))</f>
        <v>8.01103458651577E-006</v>
      </c>
      <c r="W260" s="29" t="n">
        <f aca="false">V260*(1-MIN(1,INDEX(Tabla_Mortalidad!$B$5:$B$75,MIN(71,Cartera_Polizas!$B$262+20-49))*(1+(Cartera_Polizas!$P$262-1)*MAX(0,1-20/Supuestos!$C$20))*(1-Supuestos!$C$18)^20))</f>
        <v>3.48148254634248E-006</v>
      </c>
      <c r="X260" s="29" t="n">
        <f aca="false">W260*(1-MIN(1,INDEX(Tabla_Mortalidad!$B$5:$B$75,MIN(71,Cartera_Polizas!$B$262+21-49))*(1+(Cartera_Polizas!$P$262-1)*MAX(0,1-21/Supuestos!$C$20))*(1-Supuestos!$C$18)^21))</f>
        <v>1.39618702498269E-006</v>
      </c>
      <c r="Y260" s="29" t="n">
        <f aca="false">X260*(1-MIN(1,INDEX(Tabla_Mortalidad!$B$5:$B$75,MIN(71,Cartera_Polizas!$B$262+22-49))*(1+(Cartera_Polizas!$P$262-1)*MAX(0,1-22/Supuestos!$C$20))*(1-Supuestos!$C$18)^22))</f>
        <v>5.14087451836214E-007</v>
      </c>
      <c r="Z260" s="29" t="n">
        <f aca="false">Y260*(1-MIN(1,INDEX(Tabla_Mortalidad!$B$5:$B$75,MIN(71,Cartera_Polizas!$B$262+23-49))*(1+(Cartera_Polizas!$P$262-1)*MAX(0,1-23/Supuestos!$C$20))*(1-Supuestos!$C$18)^23))</f>
        <v>1.7303751060101E-007</v>
      </c>
      <c r="AA260" s="29" t="n">
        <f aca="false">Z260*(1-MIN(1,INDEX(Tabla_Mortalidad!$B$5:$B$75,MIN(71,Cartera_Polizas!$B$262+24-49))*(1+(Cartera_Polizas!$P$262-1)*MAX(0,1-24/Supuestos!$C$20))*(1-Supuestos!$C$18)^24))</f>
        <v>5.30655254388027E-008</v>
      </c>
      <c r="AB260" s="29" t="n">
        <f aca="false">AA260*(1-MIN(1,INDEX(Tabla_Mortalidad!$B$5:$B$75,MIN(71,Cartera_Polizas!$B$262+25-49))*(1+(Cartera_Polizas!$P$262-1)*MAX(0,1-25/Supuestos!$C$20))*(1-Supuestos!$C$18)^25))</f>
        <v>1.48008454365382E-008</v>
      </c>
      <c r="AC260" s="29" t="n">
        <f aca="false">AB260*(1-MIN(1,INDEX(Tabla_Mortalidad!$B$5:$B$75,MIN(71,Cartera_Polizas!$B$262+26-49))*(1+(Cartera_Polizas!$P$262-1)*MAX(0,1-26/Supuestos!$C$20))*(1-Supuestos!$C$18)^26))</f>
        <v>3.75588150488566E-009</v>
      </c>
      <c r="AD260" s="29" t="n">
        <f aca="false">AC260*(1-MIN(1,INDEX(Tabla_Mortalidad!$B$5:$B$75,MIN(71,Cartera_Polizas!$B$262+27-49))*(1+(Cartera_Polizas!$P$262-1)*MAX(0,1-27/Supuestos!$C$20))*(1-Supuestos!$C$18)^27))</f>
        <v>8.69743820713786E-010</v>
      </c>
      <c r="AE260" s="29" t="n">
        <f aca="false">AD260*(1-MIN(1,INDEX(Tabla_Mortalidad!$B$5:$B$75,MIN(71,Cartera_Polizas!$B$262+28-49))*(1+(Cartera_Polizas!$P$262-1)*MAX(0,1-28/Supuestos!$C$20))*(1-Supuestos!$C$18)^28))</f>
        <v>1.84908828557975E-010</v>
      </c>
      <c r="AF260" s="29" t="n">
        <f aca="false">AE260*(1-MIN(1,INDEX(Tabla_Mortalidad!$B$5:$B$75,MIN(71,Cartera_Polizas!$B$262+29-49))*(1+(Cartera_Polizas!$P$262-1)*MAX(0,1-29/Supuestos!$C$20))*(1-Supuestos!$C$18)^29))</f>
        <v>3.64280738750134E-011</v>
      </c>
      <c r="AG260" s="29" t="n">
        <f aca="false">AF260*(1-MIN(1,INDEX(Tabla_Mortalidad!$B$5:$B$75,MIN(71,Cartera_Polizas!$B$262+30-49))*(1+(Cartera_Polizas!$P$262-1)*MAX(0,1-30/Supuestos!$C$20))*(1-Supuestos!$C$18)^30))</f>
        <v>6.73152263206477E-012</v>
      </c>
      <c r="AH260" s="29" t="n">
        <f aca="false">AG260*(1-MIN(1,INDEX(Tabla_Mortalidad!$B$5:$B$75,MIN(71,Cartera_Polizas!$B$262+31-49))*(1+(Cartera_Polizas!$P$262-1)*MAX(0,1-31/Supuestos!$C$20))*(1-Supuestos!$C$18)^31))</f>
        <v>9.68785450220958E-013</v>
      </c>
      <c r="AI260" s="29" t="n">
        <f aca="false">AH260*(1-MIN(1,INDEX(Tabla_Mortalidad!$B$5:$B$75,MIN(71,Cartera_Polizas!$B$262+32-49))*(1+(Cartera_Polizas!$P$262-1)*MAX(0,1-32/Supuestos!$C$20))*(1-Supuestos!$C$18)^32))</f>
        <v>1.43572202168987E-013</v>
      </c>
      <c r="AJ260" s="29" t="n">
        <f aca="false">AI260*(1-MIN(1,INDEX(Tabla_Mortalidad!$B$5:$B$75,MIN(71,Cartera_Polizas!$B$262+33-49))*(1+(Cartera_Polizas!$P$262-1)*MAX(0,1-33/Supuestos!$C$20))*(1-Supuestos!$C$18)^33))</f>
        <v>2.18886087184991E-014</v>
      </c>
      <c r="AK260" s="29" t="n">
        <f aca="false">AJ260*(1-MIN(1,INDEX(Tabla_Mortalidad!$B$5:$B$75,MIN(71,Cartera_Polizas!$B$262+34-49))*(1+(Cartera_Polizas!$P$262-1)*MAX(0,1-34/Supuestos!$C$20))*(1-Supuestos!$C$18)^34))</f>
        <v>3.42983256518176E-015</v>
      </c>
      <c r="AL260" s="29" t="n">
        <f aca="false">AK260*(1-MIN(1,INDEX(Tabla_Mortalidad!$B$5:$B$75,MIN(71,Cartera_Polizas!$B$262+35-49))*(1+(Cartera_Polizas!$P$262-1)*MAX(0,1-35/Supuestos!$C$20))*(1-Supuestos!$C$18)^35))</f>
        <v>5.51899124259639E-016</v>
      </c>
      <c r="AM260" s="29" t="n">
        <f aca="false">AL260*(1-MIN(1,INDEX(Tabla_Mortalidad!$B$5:$B$75,MIN(71,Cartera_Polizas!$B$262+36-49))*(1+(Cartera_Polizas!$P$262-1)*MAX(0,1-36/Supuestos!$C$20))*(1-Supuestos!$C$18)^36))</f>
        <v>9.11223163660776E-017</v>
      </c>
      <c r="AN260" s="29" t="n">
        <f aca="false">AM260*(1-MIN(1,INDEX(Tabla_Mortalidad!$B$5:$B$75,MIN(71,Cartera_Polizas!$B$262+37-49))*(1+(Cartera_Polizas!$P$262-1)*MAX(0,1-37/Supuestos!$C$20))*(1-Supuestos!$C$18)^37))</f>
        <v>1.54253040384055E-017</v>
      </c>
      <c r="AO260" s="29" t="n">
        <f aca="false">AN260*(1-MIN(1,INDEX(Tabla_Mortalidad!$B$5:$B$75,MIN(71,Cartera_Polizas!$B$262+38-49))*(1+(Cartera_Polizas!$P$262-1)*MAX(0,1-38/Supuestos!$C$20))*(1-Supuestos!$C$18)^38))</f>
        <v>2.67528594035794E-018</v>
      </c>
      <c r="AP260" s="29" t="n">
        <f aca="false">AO260*(1-MIN(1,INDEX(Tabla_Mortalidad!$B$5:$B$75,MIN(71,Cartera_Polizas!$B$262+39-49))*(1+(Cartera_Polizas!$P$262-1)*MAX(0,1-39/Supuestos!$C$20))*(1-Supuestos!$C$18)^39))</f>
        <v>4.750444182635E-019</v>
      </c>
      <c r="AQ260" s="29" t="n">
        <f aca="false">AP260*(1-MIN(1,INDEX(Tabla_Mortalidad!$B$5:$B$75,MIN(71,Cartera_Polizas!$B$262+40-49))*(1+(Cartera_Polizas!$P$262-1)*MAX(0,1-40/Supuestos!$C$20))*(1-Supuestos!$C$18)^40))</f>
        <v>8.63060124189668E-020</v>
      </c>
      <c r="AR260" s="29" t="n">
        <f aca="false">AQ260*(1-MIN(1,INDEX(Tabla_Mortalidad!$B$5:$B$75,MIN(71,Cartera_Polizas!$B$262+41-49))*(1+(Cartera_Polizas!$P$262-1)*MAX(0,1-41/Supuestos!$C$20))*(1-Supuestos!$C$18)^41))</f>
        <v>1.60331956239318E-020</v>
      </c>
      <c r="AS260" s="29" t="n">
        <f aca="false">AR260*(1-MIN(1,INDEX(Tabla_Mortalidad!$B$5:$B$75,MIN(71,Cartera_Polizas!$B$262+42-49))*(1+(Cartera_Polizas!$P$262-1)*MAX(0,1-42/Supuestos!$C$20))*(1-Supuestos!$C$18)^42))</f>
        <v>3.0437838992447E-021</v>
      </c>
      <c r="AT260" s="29" t="n">
        <f aca="false">AS260*(1-MIN(1,INDEX(Tabla_Mortalidad!$B$5:$B$75,MIN(71,Cartera_Polizas!$B$262+43-49))*(1+(Cartera_Polizas!$P$262-1)*MAX(0,1-43/Supuestos!$C$20))*(1-Supuestos!$C$18)^43))</f>
        <v>5.90169636707903E-022</v>
      </c>
      <c r="AU260" s="29" t="n">
        <f aca="false">AT260*(1-MIN(1,INDEX(Tabla_Mortalidad!$B$5:$B$75,MIN(71,Cartera_Polizas!$B$262+44-49))*(1+(Cartera_Polizas!$P$262-1)*MAX(0,1-44/Supuestos!$C$20))*(1-Supuestos!$C$18)^44))</f>
        <v>1.168087009626E-022</v>
      </c>
    </row>
    <row r="261" customFormat="false" ht="15" hidden="false" customHeight="false" outlineLevel="0" collapsed="false">
      <c r="A261" s="14" t="n">
        <f aca="false">Cartera_Polizas!A263</f>
        <v>258</v>
      </c>
      <c r="B261" s="26" t="n">
        <f aca="false">SUM(C261:AU261)+0.5</f>
        <v>7.46492685415693</v>
      </c>
      <c r="C261" s="29" t="n">
        <f aca="false">1-MIN(1,INDEX(Tabla_Mortalidad!$B$5:$B$75,MIN(71,Cartera_Polizas!$B$263+0-49))*(1+(Cartera_Polizas!$P$263-1)*MAX(0,1-0/Supuestos!$C$20))*(1-Supuestos!$C$18)^0)</f>
        <v>0.9245720959375</v>
      </c>
      <c r="D261" s="29" t="n">
        <f aca="false">C261*(1-MIN(1,INDEX(Tabla_Mortalidad!$B$5:$B$75,MIN(71,Cartera_Polizas!$B$263+1-49))*(1+(Cartera_Polizas!$P$263-1)*MAX(0,1-1/Supuestos!$C$20))*(1-Supuestos!$C$18)^1))</f>
        <v>0.84839211238336</v>
      </c>
      <c r="E261" s="29" t="n">
        <f aca="false">D261*(1-MIN(1,INDEX(Tabla_Mortalidad!$B$5:$B$75,MIN(71,Cartera_Polizas!$B$263+2-49))*(1+(Cartera_Polizas!$P$263-1)*MAX(0,1-2/Supuestos!$C$20))*(1-Supuestos!$C$18)^2))</f>
        <v>0.77207579811798</v>
      </c>
      <c r="F261" s="29" t="n">
        <f aca="false">E261*(1-MIN(1,INDEX(Tabla_Mortalidad!$B$5:$B$75,MIN(71,Cartera_Polizas!$B$263+3-49))*(1+(Cartera_Polizas!$P$263-1)*MAX(0,1-3/Supuestos!$C$20))*(1-Supuestos!$C$18)^3))</f>
        <v>0.696302552723667</v>
      </c>
      <c r="G261" s="29" t="n">
        <f aca="false">F261*(1-MIN(1,INDEX(Tabla_Mortalidad!$B$5:$B$75,MIN(71,Cartera_Polizas!$B$263+4-49))*(1+(Cartera_Polizas!$P$263-1)*MAX(0,1-4/Supuestos!$C$20))*(1-Supuestos!$C$18)^4))</f>
        <v>0.621795659170797</v>
      </c>
      <c r="H261" s="29" t="n">
        <f aca="false">G261*(1-MIN(1,INDEX(Tabla_Mortalidad!$B$5:$B$75,MIN(71,Cartera_Polizas!$B$263+5-49))*(1+(Cartera_Polizas!$P$263-1)*MAX(0,1-5/Supuestos!$C$20))*(1-Supuestos!$C$18)^5))</f>
        <v>0.549309633977478</v>
      </c>
      <c r="I261" s="29" t="n">
        <f aca="false">H261*(1-MIN(1,INDEX(Tabla_Mortalidad!$B$5:$B$75,MIN(71,Cartera_Polizas!$B$263+6-49))*(1+(Cartera_Polizas!$P$263-1)*MAX(0,1-6/Supuestos!$C$20))*(1-Supuestos!$C$18)^6))</f>
        <v>0.479602981221894</v>
      </c>
      <c r="J261" s="29" t="n">
        <f aca="false">I261*(1-MIN(1,INDEX(Tabla_Mortalidad!$B$5:$B$75,MIN(71,Cartera_Polizas!$B$263+7-49))*(1+(Cartera_Polizas!$P$263-1)*MAX(0,1-7/Supuestos!$C$20))*(1-Supuestos!$C$18)^7))</f>
        <v>0.41341209415148</v>
      </c>
      <c r="K261" s="29" t="n">
        <f aca="false">J261*(1-MIN(1,INDEX(Tabla_Mortalidad!$B$5:$B$75,MIN(71,Cartera_Polizas!$B$263+8-49))*(1+(Cartera_Polizas!$P$263-1)*MAX(0,1-8/Supuestos!$C$20))*(1-Supuestos!$C$18)^8))</f>
        <v>0.351420605073575</v>
      </c>
      <c r="L261" s="29" t="n">
        <f aca="false">K261*(1-MIN(1,INDEX(Tabla_Mortalidad!$B$5:$B$75,MIN(71,Cartera_Polizas!$B$263+9-49))*(1+(Cartera_Polizas!$P$263-1)*MAX(0,1-9/Supuestos!$C$20))*(1-Supuestos!$C$18)^9))</f>
        <v>0.294227936685055</v>
      </c>
      <c r="M261" s="29" t="n">
        <f aca="false">L261*(1-MIN(1,INDEX(Tabla_Mortalidad!$B$5:$B$75,MIN(71,Cartera_Polizas!$B$263+10-49))*(1+(Cartera_Polizas!$P$263-1)*MAX(0,1-10/Supuestos!$C$20))*(1-Supuestos!$C$18)^10))</f>
        <v>0.242318411456123</v>
      </c>
      <c r="N261" s="29" t="n">
        <f aca="false">M261*(1-MIN(1,INDEX(Tabla_Mortalidad!$B$5:$B$75,MIN(71,Cartera_Polizas!$B$263+11-49))*(1+(Cartera_Polizas!$P$263-1)*MAX(0,1-11/Supuestos!$C$20))*(1-Supuestos!$C$18)^11))</f>
        <v>0.196033292173859</v>
      </c>
      <c r="O261" s="29" t="n">
        <f aca="false">N261*(1-MIN(1,INDEX(Tabla_Mortalidad!$B$5:$B$75,MIN(71,Cartera_Polizas!$B$263+12-49))*(1+(Cartera_Polizas!$P$263-1)*MAX(0,1-12/Supuestos!$C$20))*(1-Supuestos!$C$18)^12))</f>
        <v>0.155551148050873</v>
      </c>
      <c r="P261" s="29" t="n">
        <f aca="false">O261*(1-MIN(1,INDEX(Tabla_Mortalidad!$B$5:$B$75,MIN(71,Cartera_Polizas!$B$263+13-49))*(1+(Cartera_Polizas!$P$263-1)*MAX(0,1-13/Supuestos!$C$20))*(1-Supuestos!$C$18)^13))</f>
        <v>0.120876481369156</v>
      </c>
      <c r="Q261" s="29" t="n">
        <f aca="false">P261*(1-MIN(1,INDEX(Tabla_Mortalidad!$B$5:$B$75,MIN(71,Cartera_Polizas!$B$263+14-49))*(1+(Cartera_Polizas!$P$263-1)*MAX(0,1-14/Supuestos!$C$20))*(1-Supuestos!$C$18)^14))</f>
        <v>0.0918393673765991</v>
      </c>
      <c r="R261" s="29" t="n">
        <f aca="false">Q261*(1-MIN(1,INDEX(Tabla_Mortalidad!$B$5:$B$75,MIN(71,Cartera_Polizas!$B$263+15-49))*(1+(Cartera_Polizas!$P$263-1)*MAX(0,1-15/Supuestos!$C$20))*(1-Supuestos!$C$18)^15))</f>
        <v>0.0681086428534398</v>
      </c>
      <c r="S261" s="29" t="n">
        <f aca="false">R261*(1-MIN(1,INDEX(Tabla_Mortalidad!$B$5:$B$75,MIN(71,Cartera_Polizas!$B$263+16-49))*(1+(Cartera_Polizas!$P$263-1)*MAX(0,1-16/Supuestos!$C$20))*(1-Supuestos!$C$18)^16))</f>
        <v>0.048908307936946</v>
      </c>
      <c r="T261" s="29" t="n">
        <f aca="false">S261*(1-MIN(1,INDEX(Tabla_Mortalidad!$B$5:$B$75,MIN(71,Cartera_Polizas!$B$263+17-49))*(1+(Cartera_Polizas!$P$263-1)*MAX(0,1-17/Supuestos!$C$20))*(1-Supuestos!$C$18)^17))</f>
        <v>0.0338951376023393</v>
      </c>
      <c r="U261" s="29" t="n">
        <f aca="false">T261*(1-MIN(1,INDEX(Tabla_Mortalidad!$B$5:$B$75,MIN(71,Cartera_Polizas!$B$263+18-49))*(1+(Cartera_Polizas!$P$263-1)*MAX(0,1-18/Supuestos!$C$20))*(1-Supuestos!$C$18)^18))</f>
        <v>0.0225897933148968</v>
      </c>
      <c r="V261" s="29" t="n">
        <f aca="false">U261*(1-MIN(1,INDEX(Tabla_Mortalidad!$B$5:$B$75,MIN(71,Cartera_Polizas!$B$263+19-49))*(1+(Cartera_Polizas!$P$263-1)*MAX(0,1-19/Supuestos!$C$20))*(1-Supuestos!$C$18)^19))</f>
        <v>0.0144220717868118</v>
      </c>
      <c r="W261" s="29" t="n">
        <f aca="false">V261*(1-MIN(1,INDEX(Tabla_Mortalidad!$B$5:$B$75,MIN(71,Cartera_Polizas!$B$263+20-49))*(1+(Cartera_Polizas!$P$263-1)*MAX(0,1-20/Supuestos!$C$20))*(1-Supuestos!$C$18)^20))</f>
        <v>0.00878374928054046</v>
      </c>
      <c r="X261" s="29" t="n">
        <f aca="false">W261*(1-MIN(1,INDEX(Tabla_Mortalidad!$B$5:$B$75,MIN(71,Cartera_Polizas!$B$263+21-49))*(1+(Cartera_Polizas!$P$263-1)*MAX(0,1-21/Supuestos!$C$20))*(1-Supuestos!$C$18)^21))</f>
        <v>0.00508098659716108</v>
      </c>
      <c r="Y261" s="29" t="n">
        <f aca="false">X261*(1-MIN(1,INDEX(Tabla_Mortalidad!$B$5:$B$75,MIN(71,Cartera_Polizas!$B$263+22-49))*(1+(Cartera_Polizas!$P$263-1)*MAX(0,1-22/Supuestos!$C$20))*(1-Supuestos!$C$18)^22))</f>
        <v>0.00277847380825417</v>
      </c>
      <c r="Z261" s="29" t="n">
        <f aca="false">Y261*(1-MIN(1,INDEX(Tabla_Mortalidad!$B$5:$B$75,MIN(71,Cartera_Polizas!$B$263+23-49))*(1+(Cartera_Polizas!$P$263-1)*MAX(0,1-23/Supuestos!$C$20))*(1-Supuestos!$C$18)^23))</f>
        <v>0.00142937545895062</v>
      </c>
      <c r="AA261" s="29" t="n">
        <f aca="false">Z261*(1-MIN(1,INDEX(Tabla_Mortalidad!$B$5:$B$75,MIN(71,Cartera_Polizas!$B$263+24-49))*(1+(Cartera_Polizas!$P$263-1)*MAX(0,1-24/Supuestos!$C$20))*(1-Supuestos!$C$18)^24))</f>
        <v>0.000688354687049999</v>
      </c>
      <c r="AB261" s="29" t="n">
        <f aca="false">AA261*(1-MIN(1,INDEX(Tabla_Mortalidad!$B$5:$B$75,MIN(71,Cartera_Polizas!$B$263+25-49))*(1+(Cartera_Polizas!$P$263-1)*MAX(0,1-25/Supuestos!$C$20))*(1-Supuestos!$C$18)^25))</f>
        <v>0.000308782550426563</v>
      </c>
      <c r="AC261" s="29" t="n">
        <f aca="false">AB261*(1-MIN(1,INDEX(Tabla_Mortalidad!$B$5:$B$75,MIN(71,Cartera_Polizas!$B$263+26-49))*(1+(Cartera_Polizas!$P$263-1)*MAX(0,1-26/Supuestos!$C$20))*(1-Supuestos!$C$18)^26))</f>
        <v>0.000128409544894685</v>
      </c>
      <c r="AD261" s="29" t="n">
        <f aca="false">AC261*(1-MIN(1,INDEX(Tabla_Mortalidad!$B$5:$B$75,MIN(71,Cartera_Polizas!$B$263+27-49))*(1+(Cartera_Polizas!$P$263-1)*MAX(0,1-27/Supuestos!$C$20))*(1-Supuestos!$C$18)^27))</f>
        <v>4.92894636221137E-005</v>
      </c>
      <c r="AE261" s="29" t="n">
        <f aca="false">AD261*(1-MIN(1,INDEX(Tabla_Mortalidad!$B$5:$B$75,MIN(71,Cartera_Polizas!$B$263+28-49))*(1+(Cartera_Polizas!$P$263-1)*MAX(0,1-28/Supuestos!$C$20))*(1-Supuestos!$C$18)^28))</f>
        <v>1.7399760851854E-005</v>
      </c>
      <c r="AF261" s="29" t="n">
        <f aca="false">AE261*(1-MIN(1,INDEX(Tabla_Mortalidad!$B$5:$B$75,MIN(71,Cartera_Polizas!$B$263+29-49))*(1+(Cartera_Polizas!$P$263-1)*MAX(0,1-29/Supuestos!$C$20))*(1-Supuestos!$C$18)^29))</f>
        <v>5.63458915278297E-006</v>
      </c>
      <c r="AG261" s="29" t="n">
        <f aca="false">AF261*(1-MIN(1,INDEX(Tabla_Mortalidad!$B$5:$B$75,MIN(71,Cartera_Polizas!$B$263+30-49))*(1+(Cartera_Polizas!$P$263-1)*MAX(0,1-30/Supuestos!$C$20))*(1-Supuestos!$C$18)^30))</f>
        <v>1.67214389348369E-006</v>
      </c>
      <c r="AH261" s="29" t="n">
        <f aca="false">AG261*(1-MIN(1,INDEX(Tabla_Mortalidad!$B$5:$B$75,MIN(71,Cartera_Polizas!$B$263+31-49))*(1+(Cartera_Polizas!$P$263-1)*MAX(0,1-31/Supuestos!$C$20))*(1-Supuestos!$C$18)^31))</f>
        <v>4.55210441375727E-007</v>
      </c>
      <c r="AI261" s="29" t="n">
        <f aca="false">AH261*(1-MIN(1,INDEX(Tabla_Mortalidad!$B$5:$B$75,MIN(71,Cartera_Polizas!$B$263+32-49))*(1+(Cartera_Polizas!$P$263-1)*MAX(0,1-32/Supuestos!$C$20))*(1-Supuestos!$C$18)^32))</f>
        <v>1.14070333775685E-007</v>
      </c>
      <c r="AJ261" s="29" t="n">
        <f aca="false">AI261*(1-MIN(1,INDEX(Tabla_Mortalidad!$B$5:$B$75,MIN(71,Cartera_Polizas!$B$263+33-49))*(1+(Cartera_Polizas!$P$263-1)*MAX(0,1-33/Supuestos!$C$20))*(1-Supuestos!$C$18)^33))</f>
        <v>2.64746500210558E-008</v>
      </c>
      <c r="AK261" s="29" t="n">
        <f aca="false">AJ261*(1-MIN(1,INDEX(Tabla_Mortalidad!$B$5:$B$75,MIN(71,Cartera_Polizas!$B$263+34-49))*(1+(Cartera_Polizas!$P$263-1)*MAX(0,1-34/Supuestos!$C$20))*(1-Supuestos!$C$18)^34))</f>
        <v>5.74184084601906E-009</v>
      </c>
      <c r="AL261" s="29" t="n">
        <f aca="false">AK261*(1-MIN(1,INDEX(Tabla_Mortalidad!$B$5:$B$75,MIN(71,Cartera_Polizas!$B$263+35-49))*(1+(Cartera_Polizas!$P$263-1)*MAX(0,1-35/Supuestos!$C$20))*(1-Supuestos!$C$18)^35))</f>
        <v>1.17688730718082E-009</v>
      </c>
      <c r="AM261" s="29" t="n">
        <f aca="false">AL261*(1-MIN(1,INDEX(Tabla_Mortalidad!$B$5:$B$75,MIN(71,Cartera_Polizas!$B$263+36-49))*(1+(Cartera_Polizas!$P$263-1)*MAX(0,1-36/Supuestos!$C$20))*(1-Supuestos!$C$18)^36))</f>
        <v>1.94312135711418E-010</v>
      </c>
      <c r="AN261" s="29" t="n">
        <f aca="false">AM261*(1-MIN(1,INDEX(Tabla_Mortalidad!$B$5:$B$75,MIN(71,Cartera_Polizas!$B$263+37-49))*(1+(Cartera_Polizas!$P$263-1)*MAX(0,1-37/Supuestos!$C$20))*(1-Supuestos!$C$18)^37))</f>
        <v>3.28934106510089E-011</v>
      </c>
      <c r="AO261" s="29" t="n">
        <f aca="false">AN261*(1-MIN(1,INDEX(Tabla_Mortalidad!$B$5:$B$75,MIN(71,Cartera_Polizas!$B$263+38-49))*(1+(Cartera_Polizas!$P$263-1)*MAX(0,1-38/Supuestos!$C$20))*(1-Supuestos!$C$18)^38))</f>
        <v>5.70486512460085E-012</v>
      </c>
      <c r="AP261" s="29" t="n">
        <f aca="false">AO261*(1-MIN(1,INDEX(Tabla_Mortalidad!$B$5:$B$75,MIN(71,Cartera_Polizas!$B$263+39-49))*(1+(Cartera_Polizas!$P$263-1)*MAX(0,1-39/Supuestos!$C$20))*(1-Supuestos!$C$18)^39))</f>
        <v>1.01299987919241E-012</v>
      </c>
      <c r="AQ261" s="29" t="n">
        <f aca="false">AP261*(1-MIN(1,INDEX(Tabla_Mortalidad!$B$5:$B$75,MIN(71,Cartera_Polizas!$B$263+40-49))*(1+(Cartera_Polizas!$P$263-1)*MAX(0,1-40/Supuestos!$C$20))*(1-Supuestos!$C$18)^40))</f>
        <v>1.84041695455722E-013</v>
      </c>
      <c r="AR261" s="29" t="n">
        <f aca="false">AQ261*(1-MIN(1,INDEX(Tabla_Mortalidad!$B$5:$B$75,MIN(71,Cartera_Polizas!$B$263+41-49))*(1+(Cartera_Polizas!$P$263-1)*MAX(0,1-41/Supuestos!$C$20))*(1-Supuestos!$C$18)^41))</f>
        <v>3.41896980696702E-014</v>
      </c>
      <c r="AS261" s="29" t="n">
        <f aca="false">AR261*(1-MIN(1,INDEX(Tabla_Mortalidad!$B$5:$B$75,MIN(71,Cartera_Polizas!$B$263+42-49))*(1+(Cartera_Polizas!$P$263-1)*MAX(0,1-42/Supuestos!$C$20))*(1-Supuestos!$C$18)^42))</f>
        <v>6.49066193324344E-015</v>
      </c>
      <c r="AT261" s="29" t="n">
        <f aca="false">AS261*(1-MIN(1,INDEX(Tabla_Mortalidad!$B$5:$B$75,MIN(71,Cartera_Polizas!$B$263+43-49))*(1+(Cartera_Polizas!$P$263-1)*MAX(0,1-43/Supuestos!$C$20))*(1-Supuestos!$C$18)^43))</f>
        <v>1.25849656938084E-015</v>
      </c>
      <c r="AU261" s="29" t="n">
        <f aca="false">AT261*(1-MIN(1,INDEX(Tabla_Mortalidad!$B$5:$B$75,MIN(71,Cartera_Polizas!$B$263+44-49))*(1+(Cartera_Polizas!$P$263-1)*MAX(0,1-44/Supuestos!$C$20))*(1-Supuestos!$C$18)^44))</f>
        <v>2.49086602040868E-016</v>
      </c>
    </row>
    <row r="262" customFormat="false" ht="15" hidden="false" customHeight="false" outlineLevel="0" collapsed="false">
      <c r="A262" s="14" t="n">
        <f aca="false">Cartera_Polizas!A264</f>
        <v>259</v>
      </c>
      <c r="B262" s="26" t="n">
        <f aca="false">SUM(C262:AU262)+0.5</f>
        <v>6.00405289616954</v>
      </c>
      <c r="C262" s="29" t="n">
        <f aca="false">1-MIN(1,INDEX(Tabla_Mortalidad!$B$5:$B$75,MIN(71,Cartera_Polizas!$B$264+0-49))*(1+(Cartera_Polizas!$P$264-1)*MAX(0,1-0/Supuestos!$C$20))*(1-Supuestos!$C$18)^0)</f>
        <v>0.884789548</v>
      </c>
      <c r="D262" s="29" t="n">
        <f aca="false">C262*(1-MIN(1,INDEX(Tabla_Mortalidad!$B$5:$B$75,MIN(71,Cartera_Polizas!$B$264+1-49))*(1+(Cartera_Polizas!$P$264-1)*MAX(0,1-1/Supuestos!$C$20))*(1-Supuestos!$C$18)^1))</f>
        <v>0.775890561841486</v>
      </c>
      <c r="E262" s="29" t="n">
        <f aca="false">D262*(1-MIN(1,INDEX(Tabla_Mortalidad!$B$5:$B$75,MIN(71,Cartera_Polizas!$B$264+2-49))*(1+(Cartera_Polizas!$P$264-1)*MAX(0,1-2/Supuestos!$C$20))*(1-Supuestos!$C$18)^2))</f>
        <v>0.67404573056613</v>
      </c>
      <c r="F262" s="29" t="n">
        <f aca="false">E262*(1-MIN(1,INDEX(Tabla_Mortalidad!$B$5:$B$75,MIN(71,Cartera_Polizas!$B$264+3-49))*(1+(Cartera_Polizas!$P$264-1)*MAX(0,1-3/Supuestos!$C$20))*(1-Supuestos!$C$18)^3))</f>
        <v>0.579858463824301</v>
      </c>
      <c r="G262" s="29" t="n">
        <f aca="false">F262*(1-MIN(1,INDEX(Tabla_Mortalidad!$B$5:$B$75,MIN(71,Cartera_Polizas!$B$264+4-49))*(1+(Cartera_Polizas!$P$264-1)*MAX(0,1-4/Supuestos!$C$20))*(1-Supuestos!$C$18)^4))</f>
        <v>0.493776278487958</v>
      </c>
      <c r="H262" s="29" t="n">
        <f aca="false">G262*(1-MIN(1,INDEX(Tabla_Mortalidad!$B$5:$B$75,MIN(71,Cartera_Polizas!$B$264+5-49))*(1+(Cartera_Polizas!$P$264-1)*MAX(0,1-5/Supuestos!$C$20))*(1-Supuestos!$C$18)^5))</f>
        <v>0.416066897018246</v>
      </c>
      <c r="I262" s="29" t="n">
        <f aca="false">H262*(1-MIN(1,INDEX(Tabla_Mortalidad!$B$5:$B$75,MIN(71,Cartera_Polizas!$B$264+6-49))*(1+(Cartera_Polizas!$P$264-1)*MAX(0,1-6/Supuestos!$C$20))*(1-Supuestos!$C$18)^6))</f>
        <v>0.346816943895455</v>
      </c>
      <c r="J262" s="29" t="n">
        <f aca="false">I262*(1-MIN(1,INDEX(Tabla_Mortalidad!$B$5:$B$75,MIN(71,Cartera_Polizas!$B$264+7-49))*(1+(Cartera_Polizas!$P$264-1)*MAX(0,1-7/Supuestos!$C$20))*(1-Supuestos!$C$18)^7))</f>
        <v>0.285928000942685</v>
      </c>
      <c r="K262" s="29" t="n">
        <f aca="false">J262*(1-MIN(1,INDEX(Tabla_Mortalidad!$B$5:$B$75,MIN(71,Cartera_Polizas!$B$264+8-49))*(1+(Cartera_Polizas!$P$264-1)*MAX(0,1-8/Supuestos!$C$20))*(1-Supuestos!$C$18)^8))</f>
        <v>0.233128140822868</v>
      </c>
      <c r="L262" s="29" t="n">
        <f aca="false">K262*(1-MIN(1,INDEX(Tabla_Mortalidad!$B$5:$B$75,MIN(71,Cartera_Polizas!$B$264+9-49))*(1+(Cartera_Polizas!$P$264-1)*MAX(0,1-9/Supuestos!$C$20))*(1-Supuestos!$C$18)^9))</f>
        <v>0.187990596804723</v>
      </c>
      <c r="M262" s="29" t="n">
        <f aca="false">L262*(1-MIN(1,INDEX(Tabla_Mortalidad!$B$5:$B$75,MIN(71,Cartera_Polizas!$B$264+10-49))*(1+(Cartera_Polizas!$P$264-1)*MAX(0,1-10/Supuestos!$C$20))*(1-Supuestos!$C$18)^10))</f>
        <v>0.149960440775552</v>
      </c>
      <c r="N262" s="29" t="n">
        <f aca="false">M262*(1-MIN(1,INDEX(Tabla_Mortalidad!$B$5:$B$75,MIN(71,Cartera_Polizas!$B$264+11-49))*(1+(Cartera_Polizas!$P$264-1)*MAX(0,1-11/Supuestos!$C$20))*(1-Supuestos!$C$18)^11))</f>
        <v>0.118386472397522</v>
      </c>
      <c r="O262" s="29" t="n">
        <f aca="false">N262*(1-MIN(1,INDEX(Tabla_Mortalidad!$B$5:$B$75,MIN(71,Cartera_Polizas!$B$264+12-49))*(1+(Cartera_Polizas!$P$264-1)*MAX(0,1-12/Supuestos!$C$20))*(1-Supuestos!$C$18)^12))</f>
        <v>0.0925557473494293</v>
      </c>
      <c r="P262" s="29" t="n">
        <f aca="false">O262*(1-MIN(1,INDEX(Tabla_Mortalidad!$B$5:$B$75,MIN(71,Cartera_Polizas!$B$264+13-49))*(1+(Cartera_Polizas!$P$264-1)*MAX(0,1-13/Supuestos!$C$20))*(1-Supuestos!$C$18)^13))</f>
        <v>0.0717294236623662</v>
      </c>
      <c r="Q262" s="29" t="n">
        <f aca="false">P262*(1-MIN(1,INDEX(Tabla_Mortalidad!$B$5:$B$75,MIN(71,Cartera_Polizas!$B$264+14-49))*(1+(Cartera_Polizas!$P$264-1)*MAX(0,1-14/Supuestos!$C$20))*(1-Supuestos!$C$18)^14))</f>
        <v>0.0551753638068767</v>
      </c>
      <c r="R262" s="29" t="n">
        <f aca="false">Q262*(1-MIN(1,INDEX(Tabla_Mortalidad!$B$5:$B$75,MIN(71,Cartera_Polizas!$B$264+15-49))*(1+(Cartera_Polizas!$P$264-1)*MAX(0,1-15/Supuestos!$C$20))*(1-Supuestos!$C$18)^15))</f>
        <v>0.0421958177716203</v>
      </c>
      <c r="S262" s="29" t="n">
        <f aca="false">R262*(1-MIN(1,INDEX(Tabla_Mortalidad!$B$5:$B$75,MIN(71,Cartera_Polizas!$B$264+16-49))*(1+(Cartera_Polizas!$P$264-1)*MAX(0,1-16/Supuestos!$C$20))*(1-Supuestos!$C$18)^16))</f>
        <v>0.031347195123292</v>
      </c>
      <c r="T262" s="29" t="n">
        <f aca="false">S262*(1-MIN(1,INDEX(Tabla_Mortalidad!$B$5:$B$75,MIN(71,Cartera_Polizas!$B$264+17-49))*(1+(Cartera_Polizas!$P$264-1)*MAX(0,1-17/Supuestos!$C$20))*(1-Supuestos!$C$18)^17))</f>
        <v>0.0225543718229766</v>
      </c>
      <c r="U262" s="29" t="n">
        <f aca="false">T262*(1-MIN(1,INDEX(Tabla_Mortalidad!$B$5:$B$75,MIN(71,Cartera_Polizas!$B$264+18-49))*(1+(Cartera_Polizas!$P$264-1)*MAX(0,1-18/Supuestos!$C$20))*(1-Supuestos!$C$18)^18))</f>
        <v>0.0156655715955607</v>
      </c>
      <c r="V262" s="29" t="n">
        <f aca="false">U262*(1-MIN(1,INDEX(Tabla_Mortalidad!$B$5:$B$75,MIN(71,Cartera_Polizas!$B$264+19-49))*(1+(Cartera_Polizas!$P$264-1)*MAX(0,1-19/Supuestos!$C$20))*(1-Supuestos!$C$18)^19))</f>
        <v>0.0104666206718891</v>
      </c>
      <c r="W262" s="29" t="n">
        <f aca="false">V262*(1-MIN(1,INDEX(Tabla_Mortalidad!$B$5:$B$75,MIN(71,Cartera_Polizas!$B$264+20-49))*(1+(Cartera_Polizas!$P$264-1)*MAX(0,1-20/Supuestos!$C$20))*(1-Supuestos!$C$18)^20))</f>
        <v>0.00670115900575451</v>
      </c>
      <c r="X262" s="29" t="n">
        <f aca="false">W262*(1-MIN(1,INDEX(Tabla_Mortalidad!$B$5:$B$75,MIN(71,Cartera_Polizas!$B$264+21-49))*(1+(Cartera_Polizas!$P$264-1)*MAX(0,1-21/Supuestos!$C$20))*(1-Supuestos!$C$18)^21))</f>
        <v>0.00409443372260724</v>
      </c>
      <c r="Y262" s="29" t="n">
        <f aca="false">X262*(1-MIN(1,INDEX(Tabla_Mortalidad!$B$5:$B$75,MIN(71,Cartera_Polizas!$B$264+22-49))*(1+(Cartera_Polizas!$P$264-1)*MAX(0,1-22/Supuestos!$C$20))*(1-Supuestos!$C$18)^22))</f>
        <v>0.00237706767152116</v>
      </c>
      <c r="Z262" s="29" t="n">
        <f aca="false">Y262*(1-MIN(1,INDEX(Tabla_Mortalidad!$B$5:$B$75,MIN(71,Cartera_Polizas!$B$264+23-49))*(1+(Cartera_Polizas!$P$264-1)*MAX(0,1-23/Supuestos!$C$20))*(1-Supuestos!$C$18)^23))</f>
        <v>0.00130525563933659</v>
      </c>
      <c r="AA262" s="29" t="n">
        <f aca="false">Z262*(1-MIN(1,INDEX(Tabla_Mortalidad!$B$5:$B$75,MIN(71,Cartera_Polizas!$B$264+24-49))*(1+(Cartera_Polizas!$P$264-1)*MAX(0,1-24/Supuestos!$C$20))*(1-Supuestos!$C$18)^24))</f>
        <v>0.000674652740687411</v>
      </c>
      <c r="AB262" s="29" t="n">
        <f aca="false">AA262*(1-MIN(1,INDEX(Tabla_Mortalidad!$B$5:$B$75,MIN(71,Cartera_Polizas!$B$264+25-49))*(1+(Cartera_Polizas!$P$264-1)*MAX(0,1-25/Supuestos!$C$20))*(1-Supuestos!$C$18)^25))</f>
        <v>0.000326646180842805</v>
      </c>
      <c r="AC262" s="29" t="n">
        <f aca="false">AB262*(1-MIN(1,INDEX(Tabla_Mortalidad!$B$5:$B$75,MIN(71,Cartera_Polizas!$B$264+26-49))*(1+(Cartera_Polizas!$P$264-1)*MAX(0,1-26/Supuestos!$C$20))*(1-Supuestos!$C$18)^26))</f>
        <v>0.000147427731169467</v>
      </c>
      <c r="AD262" s="29" t="n">
        <f aca="false">AC262*(1-MIN(1,INDEX(Tabla_Mortalidad!$B$5:$B$75,MIN(71,Cartera_Polizas!$B$264+27-49))*(1+(Cartera_Polizas!$P$264-1)*MAX(0,1-27/Supuestos!$C$20))*(1-Supuestos!$C$18)^27))</f>
        <v>6.17395243119807E-005</v>
      </c>
      <c r="AE262" s="29" t="n">
        <f aca="false">AD262*(1-MIN(1,INDEX(Tabla_Mortalidad!$B$5:$B$75,MIN(71,Cartera_Polizas!$B$264+28-49))*(1+(Cartera_Polizas!$P$264-1)*MAX(0,1-28/Supuestos!$C$20))*(1-Supuestos!$C$18)^28))</f>
        <v>2.38886620230939E-005</v>
      </c>
      <c r="AF262" s="29" t="n">
        <f aca="false">AE262*(1-MIN(1,INDEX(Tabla_Mortalidad!$B$5:$B$75,MIN(71,Cartera_Polizas!$B$264+29-49))*(1+(Cartera_Polizas!$P$264-1)*MAX(0,1-29/Supuestos!$C$20))*(1-Supuestos!$C$18)^29))</f>
        <v>8.5102573066323E-006</v>
      </c>
      <c r="AG262" s="29" t="n">
        <f aca="false">AF262*(1-MIN(1,INDEX(Tabla_Mortalidad!$B$5:$B$75,MIN(71,Cartera_Polizas!$B$264+30-49))*(1+(Cartera_Polizas!$P$264-1)*MAX(0,1-30/Supuestos!$C$20))*(1-Supuestos!$C$18)^30))</f>
        <v>2.784660496886E-006</v>
      </c>
      <c r="AH262" s="29" t="n">
        <f aca="false">AG262*(1-MIN(1,INDEX(Tabla_Mortalidad!$B$5:$B$75,MIN(71,Cartera_Polizas!$B$264+31-49))*(1+(Cartera_Polizas!$P$264-1)*MAX(0,1-31/Supuestos!$C$20))*(1-Supuestos!$C$18)^31))</f>
        <v>8.36178688714039E-007</v>
      </c>
      <c r="AI262" s="29" t="n">
        <f aca="false">AH262*(1-MIN(1,INDEX(Tabla_Mortalidad!$B$5:$B$75,MIN(71,Cartera_Polizas!$B$264+32-49))*(1+(Cartera_Polizas!$P$264-1)*MAX(0,1-32/Supuestos!$C$20))*(1-Supuestos!$C$18)^32))</f>
        <v>2.3067700127533E-007</v>
      </c>
      <c r="AJ262" s="29" t="n">
        <f aca="false">AI262*(1-MIN(1,INDEX(Tabla_Mortalidad!$B$5:$B$75,MIN(71,Cartera_Polizas!$B$264+33-49))*(1+(Cartera_Polizas!$P$264-1)*MAX(0,1-33/Supuestos!$C$20))*(1-Supuestos!$C$18)^33))</f>
        <v>5.86692790576547E-008</v>
      </c>
      <c r="AK262" s="29" t="n">
        <f aca="false">AJ262*(1-MIN(1,INDEX(Tabla_Mortalidad!$B$5:$B$75,MIN(71,Cartera_Polizas!$B$264+34-49))*(1+(Cartera_Polizas!$P$264-1)*MAX(0,1-34/Supuestos!$C$20))*(1-Supuestos!$C$18)^34))</f>
        <v>1.38418505131775E-008</v>
      </c>
      <c r="AL262" s="29" t="n">
        <f aca="false">AK262*(1-MIN(1,INDEX(Tabla_Mortalidad!$B$5:$B$75,MIN(71,Cartera_Polizas!$B$264+35-49))*(1+(Cartera_Polizas!$P$264-1)*MAX(0,1-35/Supuestos!$C$20))*(1-Supuestos!$C$18)^35))</f>
        <v>3.05622944300667E-009</v>
      </c>
      <c r="AM262" s="29" t="n">
        <f aca="false">AL262*(1-MIN(1,INDEX(Tabla_Mortalidad!$B$5:$B$75,MIN(71,Cartera_Polizas!$B$264+36-49))*(1+(Cartera_Polizas!$P$264-1)*MAX(0,1-36/Supuestos!$C$20))*(1-Supuestos!$C$18)^36))</f>
        <v>6.38574886467945E-010</v>
      </c>
      <c r="AN262" s="29" t="n">
        <f aca="false">AM262*(1-MIN(1,INDEX(Tabla_Mortalidad!$B$5:$B$75,MIN(71,Cartera_Polizas!$B$264+37-49))*(1+(Cartera_Polizas!$P$264-1)*MAX(0,1-37/Supuestos!$C$20))*(1-Supuestos!$C$18)^37))</f>
        <v>1.08098785982193E-010</v>
      </c>
      <c r="AO262" s="29" t="n">
        <f aca="false">AN262*(1-MIN(1,INDEX(Tabla_Mortalidad!$B$5:$B$75,MIN(71,Cartera_Polizas!$B$264+38-49))*(1+(Cartera_Polizas!$P$264-1)*MAX(0,1-38/Supuestos!$C$20))*(1-Supuestos!$C$18)^38))</f>
        <v>1.87481012748853E-011</v>
      </c>
      <c r="AP262" s="29" t="n">
        <f aca="false">AO262*(1-MIN(1,INDEX(Tabla_Mortalidad!$B$5:$B$75,MIN(71,Cartera_Polizas!$B$264+39-49))*(1+(Cartera_Polizas!$P$264-1)*MAX(0,1-39/Supuestos!$C$20))*(1-Supuestos!$C$18)^39))</f>
        <v>3.3290575520617E-012</v>
      </c>
      <c r="AQ262" s="29" t="n">
        <f aca="false">AP262*(1-MIN(1,INDEX(Tabla_Mortalidad!$B$5:$B$75,MIN(71,Cartera_Polizas!$B$264+40-49))*(1+(Cartera_Polizas!$P$264-1)*MAX(0,1-40/Supuestos!$C$20))*(1-Supuestos!$C$18)^40))</f>
        <v>6.04822773167121E-013</v>
      </c>
      <c r="AR262" s="29" t="n">
        <f aca="false">AQ262*(1-MIN(1,INDEX(Tabla_Mortalidad!$B$5:$B$75,MIN(71,Cartera_Polizas!$B$264+41-49))*(1+(Cartera_Polizas!$P$264-1)*MAX(0,1-41/Supuestos!$C$20))*(1-Supuestos!$C$18)^41))</f>
        <v>1.1235882145641E-013</v>
      </c>
      <c r="AS262" s="29" t="n">
        <f aca="false">AR262*(1-MIN(1,INDEX(Tabla_Mortalidad!$B$5:$B$75,MIN(71,Cartera_Polizas!$B$264+42-49))*(1+(Cartera_Polizas!$P$264-1)*MAX(0,1-42/Supuestos!$C$20))*(1-Supuestos!$C$18)^42))</f>
        <v>2.1330493290848E-014</v>
      </c>
      <c r="AT262" s="29" t="n">
        <f aca="false">AS262*(1-MIN(1,INDEX(Tabla_Mortalidad!$B$5:$B$75,MIN(71,Cartera_Polizas!$B$264+43-49))*(1+(Cartera_Polizas!$P$264-1)*MAX(0,1-43/Supuestos!$C$20))*(1-Supuestos!$C$18)^43))</f>
        <v>4.13584206138416E-015</v>
      </c>
      <c r="AU262" s="29" t="n">
        <f aca="false">AT262*(1-MIN(1,INDEX(Tabla_Mortalidad!$B$5:$B$75,MIN(71,Cartera_Polizas!$B$264+44-49))*(1+(Cartera_Polizas!$P$264-1)*MAX(0,1-44/Supuestos!$C$20))*(1-Supuestos!$C$18)^44))</f>
        <v>8.18582164395339E-016</v>
      </c>
    </row>
    <row r="263" customFormat="false" ht="15" hidden="false" customHeight="false" outlineLevel="0" collapsed="false">
      <c r="A263" s="14" t="n">
        <f aca="false">Cartera_Polizas!A265</f>
        <v>260</v>
      </c>
      <c r="B263" s="26" t="n">
        <f aca="false">SUM(C263:AU263)+0.5</f>
        <v>7.97768004936947</v>
      </c>
      <c r="C263" s="29" t="n">
        <f aca="false">1-MIN(1,INDEX(Tabla_Mortalidad!$B$5:$B$75,MIN(71,Cartera_Polizas!$B$265+0-49))*(1+(Cartera_Polizas!$P$265-1)*MAX(0,1-0/Supuestos!$C$20))*(1-Supuestos!$C$18)^0)</f>
        <v>0.931496488</v>
      </c>
      <c r="D263" s="29" t="n">
        <f aca="false">C263*(1-MIN(1,INDEX(Tabla_Mortalidad!$B$5:$B$75,MIN(71,Cartera_Polizas!$B$265+1-49))*(1+(Cartera_Polizas!$P$265-1)*MAX(0,1-1/Supuestos!$C$20))*(1-Supuestos!$C$18)^1))</f>
        <v>0.861805031887864</v>
      </c>
      <c r="E263" s="29" t="n">
        <f aca="false">D263*(1-MIN(1,INDEX(Tabla_Mortalidad!$B$5:$B$75,MIN(71,Cartera_Polizas!$B$265+2-49))*(1+(Cartera_Polizas!$P$265-1)*MAX(0,1-2/Supuestos!$C$20))*(1-Supuestos!$C$18)^2))</f>
        <v>0.791425281852456</v>
      </c>
      <c r="F263" s="29" t="n">
        <f aca="false">E263*(1-MIN(1,INDEX(Tabla_Mortalidad!$B$5:$B$75,MIN(71,Cartera_Polizas!$B$265+3-49))*(1+(Cartera_Polizas!$P$265-1)*MAX(0,1-3/Supuestos!$C$20))*(1-Supuestos!$C$18)^3))</f>
        <v>0.720918215199029</v>
      </c>
      <c r="G263" s="29" t="n">
        <f aca="false">F263*(1-MIN(1,INDEX(Tabla_Mortalidad!$B$5:$B$75,MIN(71,Cartera_Polizas!$B$265+4-49))*(1+(Cartera_Polizas!$P$265-1)*MAX(0,1-4/Supuestos!$C$20))*(1-Supuestos!$C$18)^4))</f>
        <v>0.65090211280554</v>
      </c>
      <c r="H263" s="29" t="n">
        <f aca="false">G263*(1-MIN(1,INDEX(Tabla_Mortalidad!$B$5:$B$75,MIN(71,Cartera_Polizas!$B$265+5-49))*(1+(Cartera_Polizas!$P$265-1)*MAX(0,1-5/Supuestos!$C$20))*(1-Supuestos!$C$18)^5))</f>
        <v>0.582034596388203</v>
      </c>
      <c r="I263" s="29" t="n">
        <f aca="false">H263*(1-MIN(1,INDEX(Tabla_Mortalidad!$B$5:$B$75,MIN(71,Cartera_Polizas!$B$265+6-49))*(1+(Cartera_Polizas!$P$265-1)*MAX(0,1-6/Supuestos!$C$20))*(1-Supuestos!$C$18)^6))</f>
        <v>0.515001418444917</v>
      </c>
      <c r="J263" s="29" t="n">
        <f aca="false">I263*(1-MIN(1,INDEX(Tabla_Mortalidad!$B$5:$B$75,MIN(71,Cartera_Polizas!$B$265+7-49))*(1+(Cartera_Polizas!$P$265-1)*MAX(0,1-7/Supuestos!$C$20))*(1-Supuestos!$C$18)^7))</f>
        <v>0.450491960073342</v>
      </c>
      <c r="K263" s="29" t="n">
        <f aca="false">J263*(1-MIN(1,INDEX(Tabla_Mortalidad!$B$5:$B$75,MIN(71,Cartera_Polizas!$B$265+8-49))*(1+(Cartera_Polizas!$P$265-1)*MAX(0,1-8/Supuestos!$C$20))*(1-Supuestos!$C$18)^8))</f>
        <v>0.389175959407342</v>
      </c>
      <c r="L263" s="29" t="n">
        <f aca="false">K263*(1-MIN(1,INDEX(Tabla_Mortalidad!$B$5:$B$75,MIN(71,Cartera_Polizas!$B$265+9-49))*(1+(Cartera_Polizas!$P$265-1)*MAX(0,1-9/Supuestos!$C$20))*(1-Supuestos!$C$18)^9))</f>
        <v>0.331676166131344</v>
      </c>
      <c r="M263" s="29" t="n">
        <f aca="false">L263*(1-MIN(1,INDEX(Tabla_Mortalidad!$B$5:$B$75,MIN(71,Cartera_Polizas!$B$265+10-49))*(1+(Cartera_Polizas!$P$265-1)*MAX(0,1-10/Supuestos!$C$20))*(1-Supuestos!$C$18)^10))</f>
        <v>0.278540313632203</v>
      </c>
      <c r="N263" s="29" t="n">
        <f aca="false">M263*(1-MIN(1,INDEX(Tabla_Mortalidad!$B$5:$B$75,MIN(71,Cartera_Polizas!$B$265+11-49))*(1+(Cartera_Polizas!$P$265-1)*MAX(0,1-11/Supuestos!$C$20))*(1-Supuestos!$C$18)^11))</f>
        <v>0.230213552299593</v>
      </c>
      <c r="O263" s="29" t="n">
        <f aca="false">N263*(1-MIN(1,INDEX(Tabla_Mortalidad!$B$5:$B$75,MIN(71,Cartera_Polizas!$B$265+12-49))*(1+(Cartera_Polizas!$P$265-1)*MAX(0,1-12/Supuestos!$C$20))*(1-Supuestos!$C$18)^12))</f>
        <v>0.187013393196306</v>
      </c>
      <c r="P263" s="29" t="n">
        <f aca="false">O263*(1-MIN(1,INDEX(Tabla_Mortalidad!$B$5:$B$75,MIN(71,Cartera_Polizas!$B$265+13-49))*(1+(Cartera_Polizas!$P$265-1)*MAX(0,1-13/Supuestos!$C$20))*(1-Supuestos!$C$18)^13))</f>
        <v>0.149112013362915</v>
      </c>
      <c r="Q263" s="29" t="n">
        <f aca="false">P263*(1-MIN(1,INDEX(Tabla_Mortalidad!$B$5:$B$75,MIN(71,Cartera_Polizas!$B$265+14-49))*(1+(Cartera_Polizas!$P$265-1)*MAX(0,1-14/Supuestos!$C$20))*(1-Supuestos!$C$18)^14))</f>
        <v>0.116525719128447</v>
      </c>
      <c r="R263" s="29" t="n">
        <f aca="false">Q263*(1-MIN(1,INDEX(Tabla_Mortalidad!$B$5:$B$75,MIN(71,Cartera_Polizas!$B$265+15-49))*(1+(Cartera_Polizas!$P$265-1)*MAX(0,1-15/Supuestos!$C$20))*(1-Supuestos!$C$18)^15))</f>
        <v>0.0891140115951194</v>
      </c>
      <c r="S263" s="29" t="n">
        <f aca="false">R263*(1-MIN(1,INDEX(Tabla_Mortalidad!$B$5:$B$75,MIN(71,Cartera_Polizas!$B$265+16-49))*(1+(Cartera_Polizas!$P$265-1)*MAX(0,1-16/Supuestos!$C$20))*(1-Supuestos!$C$18)^16))</f>
        <v>0.0662026346973735</v>
      </c>
      <c r="T263" s="29" t="n">
        <f aca="false">S263*(1-MIN(1,INDEX(Tabla_Mortalidad!$B$5:$B$75,MIN(71,Cartera_Polizas!$B$265+17-49))*(1+(Cartera_Polizas!$P$265-1)*MAX(0,1-17/Supuestos!$C$20))*(1-Supuestos!$C$18)^17))</f>
        <v>0.0476329327951828</v>
      </c>
      <c r="U263" s="29" t="n">
        <f aca="false">T263*(1-MIN(1,INDEX(Tabla_Mortalidad!$B$5:$B$75,MIN(71,Cartera_Polizas!$B$265+18-49))*(1+(Cartera_Polizas!$P$265-1)*MAX(0,1-18/Supuestos!$C$20))*(1-Supuestos!$C$18)^18))</f>
        <v>0.0330843671846051</v>
      </c>
      <c r="V263" s="29" t="n">
        <f aca="false">U263*(1-MIN(1,INDEX(Tabla_Mortalidad!$B$5:$B$75,MIN(71,Cartera_Polizas!$B$265+19-49))*(1+(Cartera_Polizas!$P$265-1)*MAX(0,1-19/Supuestos!$C$20))*(1-Supuestos!$C$18)^19))</f>
        <v>0.0221046209120699</v>
      </c>
      <c r="W263" s="29" t="n">
        <f aca="false">V263*(1-MIN(1,INDEX(Tabla_Mortalidad!$B$5:$B$75,MIN(71,Cartera_Polizas!$B$265+20-49))*(1+(Cartera_Polizas!$P$265-1)*MAX(0,1-20/Supuestos!$C$20))*(1-Supuestos!$C$18)^20))</f>
        <v>0.0141522831616072</v>
      </c>
      <c r="X263" s="29" t="n">
        <f aca="false">W263*(1-MIN(1,INDEX(Tabla_Mortalidad!$B$5:$B$75,MIN(71,Cartera_Polizas!$B$265+21-49))*(1+(Cartera_Polizas!$P$265-1)*MAX(0,1-21/Supuestos!$C$20))*(1-Supuestos!$C$18)^21))</f>
        <v>0.00864709901362007</v>
      </c>
      <c r="Y263" s="29" t="n">
        <f aca="false">X263*(1-MIN(1,INDEX(Tabla_Mortalidad!$B$5:$B$75,MIN(71,Cartera_Polizas!$B$265+22-49))*(1+(Cartera_Polizas!$P$265-1)*MAX(0,1-22/Supuestos!$C$20))*(1-Supuestos!$C$18)^22))</f>
        <v>0.00502016662383045</v>
      </c>
      <c r="Z263" s="29" t="n">
        <f aca="false">Y263*(1-MIN(1,INDEX(Tabla_Mortalidad!$B$5:$B$75,MIN(71,Cartera_Polizas!$B$265+23-49))*(1+(Cartera_Polizas!$P$265-1)*MAX(0,1-23/Supuestos!$C$20))*(1-Supuestos!$C$18)^23))</f>
        <v>0.00275658992575959</v>
      </c>
      <c r="AA263" s="29" t="n">
        <f aca="false">Z263*(1-MIN(1,INDEX(Tabla_Mortalidad!$B$5:$B$75,MIN(71,Cartera_Polizas!$B$265+24-49))*(1+(Cartera_Polizas!$P$265-1)*MAX(0,1-24/Supuestos!$C$20))*(1-Supuestos!$C$18)^24))</f>
        <v>0.00142480974019024</v>
      </c>
      <c r="AB263" s="29" t="n">
        <f aca="false">AA263*(1-MIN(1,INDEX(Tabla_Mortalidad!$B$5:$B$75,MIN(71,Cartera_Polizas!$B$265+25-49))*(1+(Cartera_Polizas!$P$265-1)*MAX(0,1-25/Supuestos!$C$20))*(1-Supuestos!$C$18)^25))</f>
        <v>0.000689849209812091</v>
      </c>
      <c r="AC263" s="29" t="n">
        <f aca="false">AB263*(1-MIN(1,INDEX(Tabla_Mortalidad!$B$5:$B$75,MIN(71,Cartera_Polizas!$B$265+26-49))*(1+(Cartera_Polizas!$P$265-1)*MAX(0,1-26/Supuestos!$C$20))*(1-Supuestos!$C$18)^26))</f>
        <v>0.000311354945553732</v>
      </c>
      <c r="AD263" s="29" t="n">
        <f aca="false">AC263*(1-MIN(1,INDEX(Tabla_Mortalidad!$B$5:$B$75,MIN(71,Cartera_Polizas!$B$265+27-49))*(1+(Cartera_Polizas!$P$265-1)*MAX(0,1-27/Supuestos!$C$20))*(1-Supuestos!$C$18)^27))</f>
        <v>0.00013038867300056</v>
      </c>
      <c r="AE263" s="29" t="n">
        <f aca="false">AD263*(1-MIN(1,INDEX(Tabla_Mortalidad!$B$5:$B$75,MIN(71,Cartera_Polizas!$B$265+28-49))*(1+(Cartera_Polizas!$P$265-1)*MAX(0,1-28/Supuestos!$C$20))*(1-Supuestos!$C$18)^28))</f>
        <v>5.04508412667774E-005</v>
      </c>
      <c r="AF263" s="29" t="n">
        <f aca="false">AE263*(1-MIN(1,INDEX(Tabla_Mortalidad!$B$5:$B$75,MIN(71,Cartera_Polizas!$B$265+29-49))*(1+(Cartera_Polizas!$P$265-1)*MAX(0,1-29/Supuestos!$C$20))*(1-Supuestos!$C$18)^29))</f>
        <v>1.7972946333339E-005</v>
      </c>
      <c r="AG263" s="29" t="n">
        <f aca="false">AF263*(1-MIN(1,INDEX(Tabla_Mortalidad!$B$5:$B$75,MIN(71,Cartera_Polizas!$B$265+30-49))*(1+(Cartera_Polizas!$P$265-1)*MAX(0,1-30/Supuestos!$C$20))*(1-Supuestos!$C$18)^30))</f>
        <v>5.88096832608065E-006</v>
      </c>
      <c r="AH263" s="29" t="n">
        <f aca="false">AG263*(1-MIN(1,INDEX(Tabla_Mortalidad!$B$5:$B$75,MIN(71,Cartera_Polizas!$B$265+31-49))*(1+(Cartera_Polizas!$P$265-1)*MAX(0,1-31/Supuestos!$C$20))*(1-Supuestos!$C$18)^31))</f>
        <v>1.76593893179081E-006</v>
      </c>
      <c r="AI263" s="29" t="n">
        <f aca="false">AH263*(1-MIN(1,INDEX(Tabla_Mortalidad!$B$5:$B$75,MIN(71,Cartera_Polizas!$B$265+32-49))*(1+(Cartera_Polizas!$P$265-1)*MAX(0,1-32/Supuestos!$C$20))*(1-Supuestos!$C$18)^32))</f>
        <v>4.87170389199162E-007</v>
      </c>
      <c r="AJ263" s="29" t="n">
        <f aca="false">AI263*(1-MIN(1,INDEX(Tabla_Mortalidad!$B$5:$B$75,MIN(71,Cartera_Polizas!$B$265+33-49))*(1+(Cartera_Polizas!$P$265-1)*MAX(0,1-33/Supuestos!$C$20))*(1-Supuestos!$C$18)^33))</f>
        <v>1.23904573730942E-007</v>
      </c>
      <c r="AK263" s="29" t="n">
        <f aca="false">AJ263*(1-MIN(1,INDEX(Tabla_Mortalidad!$B$5:$B$75,MIN(71,Cartera_Polizas!$B$265+34-49))*(1+(Cartera_Polizas!$P$265-1)*MAX(0,1-34/Supuestos!$C$20))*(1-Supuestos!$C$18)^34))</f>
        <v>2.92328219304907E-008</v>
      </c>
      <c r="AL263" s="29" t="n">
        <f aca="false">AK263*(1-MIN(1,INDEX(Tabla_Mortalidad!$B$5:$B$75,MIN(71,Cartera_Polizas!$B$265+35-49))*(1+(Cartera_Polizas!$P$265-1)*MAX(0,1-35/Supuestos!$C$20))*(1-Supuestos!$C$18)^35))</f>
        <v>6.45449905712265E-009</v>
      </c>
      <c r="AM263" s="29" t="n">
        <f aca="false">AL263*(1-MIN(1,INDEX(Tabla_Mortalidad!$B$5:$B$75,MIN(71,Cartera_Polizas!$B$265+36-49))*(1+(Cartera_Polizas!$P$265-1)*MAX(0,1-36/Supuestos!$C$20))*(1-Supuestos!$C$18)^36))</f>
        <v>1.34861635210042E-009</v>
      </c>
      <c r="AN263" s="29" t="n">
        <f aca="false">AM263*(1-MIN(1,INDEX(Tabla_Mortalidad!$B$5:$B$75,MIN(71,Cartera_Polizas!$B$265+37-49))*(1+(Cartera_Polizas!$P$265-1)*MAX(0,1-37/Supuestos!$C$20))*(1-Supuestos!$C$18)^37))</f>
        <v>2.28295527285988E-010</v>
      </c>
      <c r="AO263" s="29" t="n">
        <f aca="false">AN263*(1-MIN(1,INDEX(Tabla_Mortalidad!$B$5:$B$75,MIN(71,Cartera_Polizas!$B$265+38-49))*(1+(Cartera_Polizas!$P$265-1)*MAX(0,1-38/Supuestos!$C$20))*(1-Supuestos!$C$18)^38))</f>
        <v>3.95944101246992E-011</v>
      </c>
      <c r="AP263" s="29" t="n">
        <f aca="false">AO263*(1-MIN(1,INDEX(Tabla_Mortalidad!$B$5:$B$75,MIN(71,Cartera_Polizas!$B$265+39-49))*(1+(Cartera_Polizas!$P$265-1)*MAX(0,1-39/Supuestos!$C$20))*(1-Supuestos!$C$18)^39))</f>
        <v>7.03068903418137E-012</v>
      </c>
      <c r="AQ263" s="29" t="n">
        <f aca="false">AP263*(1-MIN(1,INDEX(Tabla_Mortalidad!$B$5:$B$75,MIN(71,Cartera_Polizas!$B$265+40-49))*(1+(Cartera_Polizas!$P$265-1)*MAX(0,1-40/Supuestos!$C$20))*(1-Supuestos!$C$18)^40))</f>
        <v>1.27733473285728E-012</v>
      </c>
      <c r="AR263" s="29" t="n">
        <f aca="false">AQ263*(1-MIN(1,INDEX(Tabla_Mortalidad!$B$5:$B$75,MIN(71,Cartera_Polizas!$B$265+41-49))*(1+(Cartera_Polizas!$P$265-1)*MAX(0,1-41/Supuestos!$C$20))*(1-Supuestos!$C$18)^41))</f>
        <v>2.37292363244937E-013</v>
      </c>
      <c r="AS263" s="29" t="n">
        <f aca="false">AR263*(1-MIN(1,INDEX(Tabla_Mortalidad!$B$5:$B$75,MIN(71,Cartera_Polizas!$B$265+42-49))*(1+(Cartera_Polizas!$P$265-1)*MAX(0,1-42/Supuestos!$C$20))*(1-Supuestos!$C$18)^42))</f>
        <v>4.50482044627821E-014</v>
      </c>
      <c r="AT263" s="29" t="n">
        <f aca="false">AS263*(1-MIN(1,INDEX(Tabla_Mortalidad!$B$5:$B$75,MIN(71,Cartera_Polizas!$B$265+43-49))*(1+(Cartera_Polizas!$P$265-1)*MAX(0,1-43/Supuestos!$C$20))*(1-Supuestos!$C$18)^43))</f>
        <v>8.73454993593358E-015</v>
      </c>
      <c r="AU263" s="29" t="n">
        <f aca="false">AT263*(1-MIN(1,INDEX(Tabla_Mortalidad!$B$5:$B$75,MIN(71,Cartera_Polizas!$B$265+44-49))*(1+(Cartera_Polizas!$P$265-1)*MAX(0,1-44/Supuestos!$C$20))*(1-Supuestos!$C$18)^44))</f>
        <v>1.72877655516245E-015</v>
      </c>
    </row>
    <row r="264" customFormat="false" ht="15" hidden="false" customHeight="false" outlineLevel="0" collapsed="false">
      <c r="A264" s="14" t="n">
        <f aca="false">Cartera_Polizas!A266</f>
        <v>261</v>
      </c>
      <c r="B264" s="26" t="n">
        <f aca="false">SUM(C264:AU264)+0.5</f>
        <v>7.16086583312611</v>
      </c>
      <c r="C264" s="29" t="n">
        <f aca="false">1-MIN(1,INDEX(Tabla_Mortalidad!$B$5:$B$75,MIN(71,Cartera_Polizas!$B$266+0-49))*(1+(Cartera_Polizas!$P$266-1)*MAX(0,1-0/Supuestos!$C$20))*(1-Supuestos!$C$18)^0)</f>
        <v>0.91437061</v>
      </c>
      <c r="D264" s="29" t="n">
        <f aca="false">C264*(1-MIN(1,INDEX(Tabla_Mortalidad!$B$5:$B$75,MIN(71,Cartera_Polizas!$B$266+1-49))*(1+(Cartera_Polizas!$P$266-1)*MAX(0,1-1/Supuestos!$C$20))*(1-Supuestos!$C$18)^1))</f>
        <v>0.829779587731766</v>
      </c>
      <c r="E264" s="29" t="n">
        <f aca="false">D264*(1-MIN(1,INDEX(Tabla_Mortalidad!$B$5:$B$75,MIN(71,Cartera_Polizas!$B$266+2-49))*(1+(Cartera_Polizas!$P$266-1)*MAX(0,1-2/Supuestos!$C$20))*(1-Supuestos!$C$18)^2))</f>
        <v>0.746925401444165</v>
      </c>
      <c r="F264" s="29" t="n">
        <f aca="false">E264*(1-MIN(1,INDEX(Tabla_Mortalidad!$B$5:$B$75,MIN(71,Cartera_Polizas!$B$266+3-49))*(1+(Cartera_Polizas!$P$266-1)*MAX(0,1-3/Supuestos!$C$20))*(1-Supuestos!$C$18)^3))</f>
        <v>0.66651235054031</v>
      </c>
      <c r="G264" s="29" t="n">
        <f aca="false">F264*(1-MIN(1,INDEX(Tabla_Mortalidad!$B$5:$B$75,MIN(71,Cartera_Polizas!$B$266+4-49))*(1+(Cartera_Polizas!$P$266-1)*MAX(0,1-4/Supuestos!$C$20))*(1-Supuestos!$C$18)^4))</f>
        <v>0.589235008814348</v>
      </c>
      <c r="H264" s="29" t="n">
        <f aca="false">G264*(1-MIN(1,INDEX(Tabla_Mortalidad!$B$5:$B$75,MIN(71,Cartera_Polizas!$B$266+5-49))*(1+(Cartera_Polizas!$P$266-1)*MAX(0,1-5/Supuestos!$C$20))*(1-Supuestos!$C$18)^5))</f>
        <v>0.515749245225296</v>
      </c>
      <c r="I264" s="29" t="n">
        <f aca="false">H264*(1-MIN(1,INDEX(Tabla_Mortalidad!$B$5:$B$75,MIN(71,Cartera_Polizas!$B$266+6-49))*(1+(Cartera_Polizas!$P$266-1)*MAX(0,1-6/Supuestos!$C$20))*(1-Supuestos!$C$18)^6))</f>
        <v>0.446654792884901</v>
      </c>
      <c r="J264" s="29" t="n">
        <f aca="false">I264*(1-MIN(1,INDEX(Tabla_Mortalidad!$B$5:$B$75,MIN(71,Cartera_Polizas!$B$266+7-49))*(1+(Cartera_Polizas!$P$266-1)*MAX(0,1-7/Supuestos!$C$20))*(1-Supuestos!$C$18)^7))</f>
        <v>0.382467969949472</v>
      </c>
      <c r="K264" s="29" t="n">
        <f aca="false">J264*(1-MIN(1,INDEX(Tabla_Mortalidad!$B$5:$B$75,MIN(71,Cartera_Polizas!$B$266+8-49))*(1+(Cartera_Polizas!$P$266-1)*MAX(0,1-8/Supuestos!$C$20))*(1-Supuestos!$C$18)^8))</f>
        <v>0.323601740637748</v>
      </c>
      <c r="L264" s="29" t="n">
        <f aca="false">K264*(1-MIN(1,INDEX(Tabla_Mortalidad!$B$5:$B$75,MIN(71,Cartera_Polizas!$B$266+9-49))*(1+(Cartera_Polizas!$P$266-1)*MAX(0,1-9/Supuestos!$C$20))*(1-Supuestos!$C$18)^9))</f>
        <v>0.270347798378329</v>
      </c>
      <c r="M264" s="29" t="n">
        <f aca="false">L264*(1-MIN(1,INDEX(Tabla_Mortalidad!$B$5:$B$75,MIN(71,Cartera_Polizas!$B$266+10-49))*(1+(Cartera_Polizas!$P$266-1)*MAX(0,1-10/Supuestos!$C$20))*(1-Supuestos!$C$18)^10))</f>
        <v>0.222864305475588</v>
      </c>
      <c r="N264" s="29" t="n">
        <f aca="false">M264*(1-MIN(1,INDEX(Tabla_Mortalidad!$B$5:$B$75,MIN(71,Cartera_Polizas!$B$266+11-49))*(1+(Cartera_Polizas!$P$266-1)*MAX(0,1-11/Supuestos!$C$20))*(1-Supuestos!$C$18)^11))</f>
        <v>0.181169838620257</v>
      </c>
      <c r="O264" s="29" t="n">
        <f aca="false">N264*(1-MIN(1,INDEX(Tabla_Mortalidad!$B$5:$B$75,MIN(71,Cartera_Polizas!$B$266+12-49))*(1+(Cartera_Polizas!$P$266-1)*MAX(0,1-12/Supuestos!$C$20))*(1-Supuestos!$C$18)^12))</f>
        <v>0.145144297340211</v>
      </c>
      <c r="P264" s="29" t="n">
        <f aca="false">O264*(1-MIN(1,INDEX(Tabla_Mortalidad!$B$5:$B$75,MIN(71,Cartera_Polizas!$B$266+13-49))*(1+(Cartera_Polizas!$P$266-1)*MAX(0,1-13/Supuestos!$C$20))*(1-Supuestos!$C$18)^13))</f>
        <v>0.114539080165617</v>
      </c>
      <c r="Q264" s="29" t="n">
        <f aca="false">P264*(1-MIN(1,INDEX(Tabla_Mortalidad!$B$5:$B$75,MIN(71,Cartera_Polizas!$B$266+14-49))*(1+(Cartera_Polizas!$P$266-1)*MAX(0,1-14/Supuestos!$C$20))*(1-Supuestos!$C$18)^14))</f>
        <v>0.0889937709629969</v>
      </c>
      <c r="R264" s="29" t="n">
        <f aca="false">Q264*(1-MIN(1,INDEX(Tabla_Mortalidad!$B$5:$B$75,MIN(71,Cartera_Polizas!$B$266+15-49))*(1+(Cartera_Polizas!$P$266-1)*MAX(0,1-15/Supuestos!$C$20))*(1-Supuestos!$C$18)^15))</f>
        <v>0.0680587255483743</v>
      </c>
      <c r="S264" s="29" t="n">
        <f aca="false">R264*(1-MIN(1,INDEX(Tabla_Mortalidad!$B$5:$B$75,MIN(71,Cartera_Polizas!$B$266+16-49))*(1+(Cartera_Polizas!$P$266-1)*MAX(0,1-16/Supuestos!$C$20))*(1-Supuestos!$C$18)^16))</f>
        <v>0.0505607015641812</v>
      </c>
      <c r="T264" s="29" t="n">
        <f aca="false">S264*(1-MIN(1,INDEX(Tabla_Mortalidad!$B$5:$B$75,MIN(71,Cartera_Polizas!$B$266+17-49))*(1+(Cartera_Polizas!$P$266-1)*MAX(0,1-17/Supuestos!$C$20))*(1-Supuestos!$C$18)^17))</f>
        <v>0.0363785295055559</v>
      </c>
      <c r="U264" s="29" t="n">
        <f aca="false">T264*(1-MIN(1,INDEX(Tabla_Mortalidad!$B$5:$B$75,MIN(71,Cartera_Polizas!$B$266+18-49))*(1+(Cartera_Polizas!$P$266-1)*MAX(0,1-18/Supuestos!$C$20))*(1-Supuestos!$C$18)^18))</f>
        <v>0.0252674054938628</v>
      </c>
      <c r="V264" s="29" t="n">
        <f aca="false">U264*(1-MIN(1,INDEX(Tabla_Mortalidad!$B$5:$B$75,MIN(71,Cartera_Polizas!$B$266+19-49))*(1+(Cartera_Polizas!$P$266-1)*MAX(0,1-19/Supuestos!$C$20))*(1-Supuestos!$C$18)^19))</f>
        <v>0.0168818831189035</v>
      </c>
      <c r="W264" s="29" t="n">
        <f aca="false">V264*(1-MIN(1,INDEX(Tabla_Mortalidad!$B$5:$B$75,MIN(71,Cartera_Polizas!$B$266+20-49))*(1+(Cartera_Polizas!$P$266-1)*MAX(0,1-20/Supuestos!$C$20))*(1-Supuestos!$C$18)^20))</f>
        <v>0.0108084726334041</v>
      </c>
      <c r="X264" s="29" t="n">
        <f aca="false">W264*(1-MIN(1,INDEX(Tabla_Mortalidad!$B$5:$B$75,MIN(71,Cartera_Polizas!$B$266+21-49))*(1+(Cartera_Polizas!$P$266-1)*MAX(0,1-21/Supuestos!$C$20))*(1-Supuestos!$C$18)^21))</f>
        <v>0.00660401802167121</v>
      </c>
      <c r="Y264" s="29" t="n">
        <f aca="false">X264*(1-MIN(1,INDEX(Tabla_Mortalidad!$B$5:$B$75,MIN(71,Cartera_Polizas!$B$266+22-49))*(1+(Cartera_Polizas!$P$266-1)*MAX(0,1-22/Supuestos!$C$20))*(1-Supuestos!$C$18)^22))</f>
        <v>0.00383403391164468</v>
      </c>
      <c r="Z264" s="29" t="n">
        <f aca="false">Y264*(1-MIN(1,INDEX(Tabla_Mortalidad!$B$5:$B$75,MIN(71,Cartera_Polizas!$B$266+23-49))*(1+(Cartera_Polizas!$P$266-1)*MAX(0,1-23/Supuestos!$C$20))*(1-Supuestos!$C$18)^23))</f>
        <v>0.00210528057090587</v>
      </c>
      <c r="AA264" s="29" t="n">
        <f aca="false">Z264*(1-MIN(1,INDEX(Tabla_Mortalidad!$B$5:$B$75,MIN(71,Cartera_Polizas!$B$266+24-49))*(1+(Cartera_Polizas!$P$266-1)*MAX(0,1-24/Supuestos!$C$20))*(1-Supuestos!$C$18)^24))</f>
        <v>0.00108816485006684</v>
      </c>
      <c r="AB264" s="29" t="n">
        <f aca="false">AA264*(1-MIN(1,INDEX(Tabla_Mortalidad!$B$5:$B$75,MIN(71,Cartera_Polizas!$B$266+25-49))*(1+(Cartera_Polizas!$P$266-1)*MAX(0,1-25/Supuestos!$C$20))*(1-Supuestos!$C$18)^25))</f>
        <v>0.000526856071227921</v>
      </c>
      <c r="AC264" s="29" t="n">
        <f aca="false">AB264*(1-MIN(1,INDEX(Tabla_Mortalidad!$B$5:$B$75,MIN(71,Cartera_Polizas!$B$266+26-49))*(1+(Cartera_Polizas!$P$266-1)*MAX(0,1-26/Supuestos!$C$20))*(1-Supuestos!$C$18)^26))</f>
        <v>0.000237789999667471</v>
      </c>
      <c r="AD264" s="29" t="n">
        <f aca="false">AC264*(1-MIN(1,INDEX(Tabla_Mortalidad!$B$5:$B$75,MIN(71,Cartera_Polizas!$B$266+27-49))*(1+(Cartera_Polizas!$P$266-1)*MAX(0,1-27/Supuestos!$C$20))*(1-Supuestos!$C$18)^27))</f>
        <v>9.95812751723078E-005</v>
      </c>
      <c r="AE264" s="29" t="n">
        <f aca="false">AD264*(1-MIN(1,INDEX(Tabla_Mortalidad!$B$5:$B$75,MIN(71,Cartera_Polizas!$B$266+28-49))*(1+(Cartera_Polizas!$P$266-1)*MAX(0,1-28/Supuestos!$C$20))*(1-Supuestos!$C$18)^28))</f>
        <v>3.85306406702967E-005</v>
      </c>
      <c r="AF264" s="29" t="n">
        <f aca="false">AE264*(1-MIN(1,INDEX(Tabla_Mortalidad!$B$5:$B$75,MIN(71,Cartera_Polizas!$B$266+29-49))*(1+(Cartera_Polizas!$P$266-1)*MAX(0,1-29/Supuestos!$C$20))*(1-Supuestos!$C$18)^29))</f>
        <v>1.37264140610562E-005</v>
      </c>
      <c r="AG264" s="29" t="n">
        <f aca="false">AF264*(1-MIN(1,INDEX(Tabla_Mortalidad!$B$5:$B$75,MIN(71,Cartera_Polizas!$B$266+30-49))*(1+(Cartera_Polizas!$P$266-1)*MAX(0,1-30/Supuestos!$C$20))*(1-Supuestos!$C$18)^30))</f>
        <v>4.49145091887353E-006</v>
      </c>
      <c r="AH264" s="29" t="n">
        <f aca="false">AG264*(1-MIN(1,INDEX(Tabla_Mortalidad!$B$5:$B$75,MIN(71,Cartera_Polizas!$B$266+31-49))*(1+(Cartera_Polizas!$P$266-1)*MAX(0,1-31/Supuestos!$C$20))*(1-Supuestos!$C$18)^31))</f>
        <v>1.34869422824325E-006</v>
      </c>
      <c r="AI264" s="29" t="n">
        <f aca="false">AH264*(1-MIN(1,INDEX(Tabla_Mortalidad!$B$5:$B$75,MIN(71,Cartera_Polizas!$B$266+32-49))*(1+(Cartera_Polizas!$P$266-1)*MAX(0,1-32/Supuestos!$C$20))*(1-Supuestos!$C$18)^32))</f>
        <v>3.72064900011934E-007</v>
      </c>
      <c r="AJ264" s="29" t="n">
        <f aca="false">AI264*(1-MIN(1,INDEX(Tabla_Mortalidad!$B$5:$B$75,MIN(71,Cartera_Polizas!$B$266+33-49))*(1+(Cartera_Polizas!$P$266-1)*MAX(0,1-33/Supuestos!$C$20))*(1-Supuestos!$C$18)^33))</f>
        <v>9.46291972137451E-008</v>
      </c>
      <c r="AK264" s="29" t="n">
        <f aca="false">AJ264*(1-MIN(1,INDEX(Tabla_Mortalidad!$B$5:$B$75,MIN(71,Cartera_Polizas!$B$266+34-49))*(1+(Cartera_Polizas!$P$266-1)*MAX(0,1-34/Supuestos!$C$20))*(1-Supuestos!$C$18)^34))</f>
        <v>2.23258786038169E-008</v>
      </c>
      <c r="AL264" s="29" t="n">
        <f aca="false">AK264*(1-MIN(1,INDEX(Tabla_Mortalidad!$B$5:$B$75,MIN(71,Cartera_Polizas!$B$266+35-49))*(1+(Cartera_Polizas!$P$266-1)*MAX(0,1-35/Supuestos!$C$20))*(1-Supuestos!$C$18)^35))</f>
        <v>4.92947149407658E-009</v>
      </c>
      <c r="AM264" s="29" t="n">
        <f aca="false">AL264*(1-MIN(1,INDEX(Tabla_Mortalidad!$B$5:$B$75,MIN(71,Cartera_Polizas!$B$266+36-49))*(1+(Cartera_Polizas!$P$266-1)*MAX(0,1-36/Supuestos!$C$20))*(1-Supuestos!$C$18)^36))</f>
        <v>1.02997394612498E-009</v>
      </c>
      <c r="AN264" s="29" t="n">
        <f aca="false">AM264*(1-MIN(1,INDEX(Tabla_Mortalidad!$B$5:$B$75,MIN(71,Cartera_Polizas!$B$266+37-49))*(1+(Cartera_Polizas!$P$266-1)*MAX(0,1-37/Supuestos!$C$20))*(1-Supuestos!$C$18)^37))</f>
        <v>1.74355327039608E-010</v>
      </c>
      <c r="AO264" s="29" t="n">
        <f aca="false">AN264*(1-MIN(1,INDEX(Tabla_Mortalidad!$B$5:$B$75,MIN(71,Cartera_Polizas!$B$266+38-49))*(1+(Cartera_Polizas!$P$266-1)*MAX(0,1-38/Supuestos!$C$20))*(1-Supuestos!$C$18)^38))</f>
        <v>3.02392973191464E-011</v>
      </c>
      <c r="AP264" s="29" t="n">
        <f aca="false">AO264*(1-MIN(1,INDEX(Tabla_Mortalidad!$B$5:$B$75,MIN(71,Cartera_Polizas!$B$266+39-49))*(1+(Cartera_Polizas!$P$266-1)*MAX(0,1-39/Supuestos!$C$20))*(1-Supuestos!$C$18)^39))</f>
        <v>5.36952300573483E-012</v>
      </c>
      <c r="AQ264" s="29" t="n">
        <f aca="false">AP264*(1-MIN(1,INDEX(Tabla_Mortalidad!$B$5:$B$75,MIN(71,Cartera_Polizas!$B$266+40-49))*(1+(Cartera_Polizas!$P$266-1)*MAX(0,1-40/Supuestos!$C$20))*(1-Supuestos!$C$18)^40))</f>
        <v>9.75534289847871E-013</v>
      </c>
      <c r="AR264" s="29" t="n">
        <f aca="false">AQ264*(1-MIN(1,INDEX(Tabla_Mortalidad!$B$5:$B$75,MIN(71,Cartera_Polizas!$B$266+41-49))*(1+(Cartera_Polizas!$P$266-1)*MAX(0,1-41/Supuestos!$C$20))*(1-Supuestos!$C$18)^41))</f>
        <v>1.81226448408443E-013</v>
      </c>
      <c r="AS264" s="29" t="n">
        <f aca="false">AR264*(1-MIN(1,INDEX(Tabla_Mortalidad!$B$5:$B$75,MIN(71,Cartera_Polizas!$B$266+42-49))*(1+(Cartera_Polizas!$P$266-1)*MAX(0,1-42/Supuestos!$C$20))*(1-Supuestos!$C$18)^42))</f>
        <v>3.44045041750477E-014</v>
      </c>
      <c r="AT264" s="29" t="n">
        <f aca="false">AS264*(1-MIN(1,INDEX(Tabla_Mortalidad!$B$5:$B$75,MIN(71,Cartera_Polizas!$B$266+43-49))*(1+(Cartera_Polizas!$P$266-1)*MAX(0,1-43/Supuestos!$C$20))*(1-Supuestos!$C$18)^43))</f>
        <v>6.67080660198705E-015</v>
      </c>
      <c r="AU264" s="29" t="n">
        <f aca="false">AT264*(1-MIN(1,INDEX(Tabla_Mortalidad!$B$5:$B$75,MIN(71,Cartera_Polizas!$B$266+44-49))*(1+(Cartera_Polizas!$P$266-1)*MAX(0,1-44/Supuestos!$C$20))*(1-Supuestos!$C$18)^44))</f>
        <v>1.32031233917326E-015</v>
      </c>
    </row>
    <row r="265" customFormat="false" ht="15" hidden="false" customHeight="false" outlineLevel="0" collapsed="false">
      <c r="A265" s="14" t="n">
        <f aca="false">Cartera_Polizas!A267</f>
        <v>262</v>
      </c>
      <c r="B265" s="26" t="n">
        <f aca="false">SUM(C265:AU265)+0.5</f>
        <v>2.30747261241557</v>
      </c>
      <c r="C265" s="29" t="n">
        <f aca="false">1-MIN(1,INDEX(Tabla_Mortalidad!$B$5:$B$75,MIN(71,Cartera_Polizas!$B$267+0-49))*(1+(Cartera_Polizas!$P$267-1)*MAX(0,1-0/Supuestos!$C$20))*(1-Supuestos!$C$18)^0)</f>
        <v>0.66922516</v>
      </c>
      <c r="D265" s="29" t="n">
        <f aca="false">C265*(1-MIN(1,INDEX(Tabla_Mortalidad!$B$5:$B$75,MIN(71,Cartera_Polizas!$B$267+1-49))*(1+(Cartera_Polizas!$P$267-1)*MAX(0,1-1/Supuestos!$C$20))*(1-Supuestos!$C$18)^1))</f>
        <v>0.436771658068278</v>
      </c>
      <c r="E265" s="29" t="n">
        <f aca="false">D265*(1-MIN(1,INDEX(Tabla_Mortalidad!$B$5:$B$75,MIN(71,Cartera_Polizas!$B$267+2-49))*(1+(Cartera_Polizas!$P$267-1)*MAX(0,1-2/Supuestos!$C$20))*(1-Supuestos!$C$18)^2))</f>
        <v>0.277990112349015</v>
      </c>
      <c r="F265" s="29" t="n">
        <f aca="false">E265*(1-MIN(1,INDEX(Tabla_Mortalidad!$B$5:$B$75,MIN(71,Cartera_Polizas!$B$267+3-49))*(1+(Cartera_Polizas!$P$267-1)*MAX(0,1-3/Supuestos!$C$20))*(1-Supuestos!$C$18)^3))</f>
        <v>0.172612175888279</v>
      </c>
      <c r="G265" s="29" t="n">
        <f aca="false">F265*(1-MIN(1,INDEX(Tabla_Mortalidad!$B$5:$B$75,MIN(71,Cartera_Polizas!$B$267+4-49))*(1+(Cartera_Polizas!$P$267-1)*MAX(0,1-4/Supuestos!$C$20))*(1-Supuestos!$C$18)^4))</f>
        <v>0.104665606245764</v>
      </c>
      <c r="H265" s="29" t="n">
        <f aca="false">G265*(1-MIN(1,INDEX(Tabla_Mortalidad!$B$5:$B$75,MIN(71,Cartera_Polizas!$B$267+5-49))*(1+(Cartera_Polizas!$P$267-1)*MAX(0,1-5/Supuestos!$C$20))*(1-Supuestos!$C$18)^5))</f>
        <v>0.0620810994872586</v>
      </c>
      <c r="I265" s="29" t="n">
        <f aca="false">H265*(1-MIN(1,INDEX(Tabla_Mortalidad!$B$5:$B$75,MIN(71,Cartera_Polizas!$B$267+6-49))*(1+(Cartera_Polizas!$P$267-1)*MAX(0,1-6/Supuestos!$C$20))*(1-Supuestos!$C$18)^6))</f>
        <v>0.0361115968157233</v>
      </c>
      <c r="J265" s="29" t="n">
        <f aca="false">I265*(1-MIN(1,INDEX(Tabla_Mortalidad!$B$5:$B$75,MIN(71,Cartera_Polizas!$B$267+7-49))*(1+(Cartera_Polizas!$P$267-1)*MAX(0,1-7/Supuestos!$C$20))*(1-Supuestos!$C$18)^7))</f>
        <v>0.0206737614081411</v>
      </c>
      <c r="K265" s="29" t="n">
        <f aca="false">J265*(1-MIN(1,INDEX(Tabla_Mortalidad!$B$5:$B$75,MIN(71,Cartera_Polizas!$B$267+8-49))*(1+(Cartera_Polizas!$P$267-1)*MAX(0,1-8/Supuestos!$C$20))*(1-Supuestos!$C$18)^8))</f>
        <v>0.0117039819733002</v>
      </c>
      <c r="L265" s="29" t="n">
        <f aca="false">K265*(1-MIN(1,INDEX(Tabla_Mortalidad!$B$5:$B$75,MIN(71,Cartera_Polizas!$B$267+9-49))*(1+(Cartera_Polizas!$P$267-1)*MAX(0,1-9/Supuestos!$C$20))*(1-Supuestos!$C$18)^9))</f>
        <v>0.00659173610128284</v>
      </c>
      <c r="M265" s="29" t="n">
        <f aca="false">L265*(1-MIN(1,INDEX(Tabla_Mortalidad!$B$5:$B$75,MIN(71,Cartera_Polizas!$B$267+10-49))*(1+(Cartera_Polizas!$P$267-1)*MAX(0,1-10/Supuestos!$C$20))*(1-Supuestos!$C$18)^10))</f>
        <v>0.00372054333236908</v>
      </c>
      <c r="N265" s="29" t="n">
        <f aca="false">M265*(1-MIN(1,INDEX(Tabla_Mortalidad!$B$5:$B$75,MIN(71,Cartera_Polizas!$B$267+11-49))*(1+(Cartera_Polizas!$P$267-1)*MAX(0,1-11/Supuestos!$C$20))*(1-Supuestos!$C$18)^11))</f>
        <v>0.00212275371704586</v>
      </c>
      <c r="O265" s="29" t="n">
        <f aca="false">N265*(1-MIN(1,INDEX(Tabla_Mortalidad!$B$5:$B$75,MIN(71,Cartera_Polizas!$B$267+12-49))*(1+(Cartera_Polizas!$P$267-1)*MAX(0,1-12/Supuestos!$C$20))*(1-Supuestos!$C$18)^12))</f>
        <v>0.00123630106107552</v>
      </c>
      <c r="P265" s="29" t="n">
        <f aca="false">O265*(1-MIN(1,INDEX(Tabla_Mortalidad!$B$5:$B$75,MIN(71,Cartera_Polizas!$B$267+13-49))*(1+(Cartera_Polizas!$P$267-1)*MAX(0,1-13/Supuestos!$C$20))*(1-Supuestos!$C$18)^13))</f>
        <v>0.000742863734965957</v>
      </c>
      <c r="Q265" s="29" t="n">
        <f aca="false">P265*(1-MIN(1,INDEX(Tabla_Mortalidad!$B$5:$B$75,MIN(71,Cartera_Polizas!$B$267+14-49))*(1+(Cartera_Polizas!$P$267-1)*MAX(0,1-14/Supuestos!$C$20))*(1-Supuestos!$C$18)^14))</f>
        <v>0.000465694666249695</v>
      </c>
      <c r="R265" s="29" t="n">
        <f aca="false">Q265*(1-MIN(1,INDEX(Tabla_Mortalidad!$B$5:$B$75,MIN(71,Cartera_Polizas!$B$267+15-49))*(1+(Cartera_Polizas!$P$267-1)*MAX(0,1-15/Supuestos!$C$20))*(1-Supuestos!$C$18)^15))</f>
        <v>0.000308014012108751</v>
      </c>
      <c r="S265" s="29" t="n">
        <f aca="false">R265*(1-MIN(1,INDEX(Tabla_Mortalidad!$B$5:$B$75,MIN(71,Cartera_Polizas!$B$267+16-49))*(1+(Cartera_Polizas!$P$267-1)*MAX(0,1-16/Supuestos!$C$20))*(1-Supuestos!$C$18)^16))</f>
        <v>0.000194958980281515</v>
      </c>
      <c r="T265" s="29" t="n">
        <f aca="false">S265*(1-MIN(1,INDEX(Tabla_Mortalidad!$B$5:$B$75,MIN(71,Cartera_Polizas!$B$267+17-49))*(1+(Cartera_Polizas!$P$267-1)*MAX(0,1-17/Supuestos!$C$20))*(1-Supuestos!$C$18)^17))</f>
        <v>0.000117584764039769</v>
      </c>
      <c r="U265" s="29" t="n">
        <f aca="false">T265*(1-MIN(1,INDEX(Tabla_Mortalidad!$B$5:$B$75,MIN(71,Cartera_Polizas!$B$267+18-49))*(1+(Cartera_Polizas!$P$267-1)*MAX(0,1-18/Supuestos!$C$20))*(1-Supuestos!$C$18)^18))</f>
        <v>6.72662558415107E-005</v>
      </c>
      <c r="V265" s="29" t="n">
        <f aca="false">U265*(1-MIN(1,INDEX(Tabla_Mortalidad!$B$5:$B$75,MIN(71,Cartera_Polizas!$B$267+19-49))*(1+(Cartera_Polizas!$P$267-1)*MAX(0,1-19/Supuestos!$C$20))*(1-Supuestos!$C$18)^19))</f>
        <v>3.63218595472891E-005</v>
      </c>
      <c r="W265" s="29" t="n">
        <f aca="false">V265*(1-MIN(1,INDEX(Tabla_Mortalidad!$B$5:$B$75,MIN(71,Cartera_Polizas!$B$267+20-49))*(1+(Cartera_Polizas!$P$267-1)*MAX(0,1-20/Supuestos!$C$20))*(1-Supuestos!$C$18)^20))</f>
        <v>1.8418433932323E-005</v>
      </c>
      <c r="X265" s="29" t="n">
        <f aca="false">W265*(1-MIN(1,INDEX(Tabla_Mortalidad!$B$5:$B$75,MIN(71,Cartera_Polizas!$B$267+21-49))*(1+(Cartera_Polizas!$P$267-1)*MAX(0,1-21/Supuestos!$C$20))*(1-Supuestos!$C$18)^21))</f>
        <v>8.72522622356862E-006</v>
      </c>
      <c r="Y265" s="29" t="n">
        <f aca="false">X265*(1-MIN(1,INDEX(Tabla_Mortalidad!$B$5:$B$75,MIN(71,Cartera_Polizas!$B$267+22-49))*(1+(Cartera_Polizas!$P$267-1)*MAX(0,1-22/Supuestos!$C$20))*(1-Supuestos!$C$18)^22))</f>
        <v>3.84107047675229E-006</v>
      </c>
      <c r="Z265" s="29" t="n">
        <f aca="false">Y265*(1-MIN(1,INDEX(Tabla_Mortalidad!$B$5:$B$75,MIN(71,Cartera_Polizas!$B$267+23-49))*(1+(Cartera_Polizas!$P$267-1)*MAX(0,1-23/Supuestos!$C$20))*(1-Supuestos!$C$18)^23))</f>
        <v>1.56334266097384E-006</v>
      </c>
      <c r="AA265" s="29" t="n">
        <f aca="false">Z265*(1-MIN(1,INDEX(Tabla_Mortalidad!$B$5:$B$75,MIN(71,Cartera_Polizas!$B$267+24-49))*(1+(Cartera_Polizas!$P$267-1)*MAX(0,1-24/Supuestos!$C$20))*(1-Supuestos!$C$18)^24))</f>
        <v>5.85487899286948E-007</v>
      </c>
      <c r="AB265" s="29" t="n">
        <f aca="false">AA265*(1-MIN(1,INDEX(Tabla_Mortalidad!$B$5:$B$75,MIN(71,Cartera_Polizas!$B$267+25-49))*(1+(Cartera_Polizas!$P$267-1)*MAX(0,1-25/Supuestos!$C$20))*(1-Supuestos!$C$18)^25))</f>
        <v>2.0094476597662E-007</v>
      </c>
      <c r="AC265" s="29" t="n">
        <f aca="false">AB265*(1-MIN(1,INDEX(Tabla_Mortalidad!$B$5:$B$75,MIN(71,Cartera_Polizas!$B$267+26-49))*(1+(Cartera_Polizas!$P$267-1)*MAX(0,1-26/Supuestos!$C$20))*(1-Supuestos!$C$18)^26))</f>
        <v>6.30135875401489E-008</v>
      </c>
      <c r="AD265" s="29" t="n">
        <f aca="false">AC265*(1-MIN(1,INDEX(Tabla_Mortalidad!$B$5:$B$75,MIN(71,Cartera_Polizas!$B$267+27-49))*(1+(Cartera_Polizas!$P$267-1)*MAX(0,1-27/Supuestos!$C$20))*(1-Supuestos!$C$18)^27))</f>
        <v>1.80287678192866E-008</v>
      </c>
      <c r="AE265" s="29" t="n">
        <f aca="false">AD265*(1-MIN(1,INDEX(Tabla_Mortalidad!$B$5:$B$75,MIN(71,Cartera_Polizas!$B$267+28-49))*(1+(Cartera_Polizas!$P$267-1)*MAX(0,1-28/Supuestos!$C$20))*(1-Supuestos!$C$18)^28))</f>
        <v>4.70920452705862E-009</v>
      </c>
      <c r="AF265" s="29" t="n">
        <f aca="false">AE265*(1-MIN(1,INDEX(Tabla_Mortalidad!$B$5:$B$75,MIN(71,Cartera_Polizas!$B$267+29-49))*(1+(Cartera_Polizas!$P$267-1)*MAX(0,1-29/Supuestos!$C$20))*(1-Supuestos!$C$18)^29))</f>
        <v>1.12659994026606E-009</v>
      </c>
      <c r="AG265" s="29" t="n">
        <f aca="false">AF265*(1-MIN(1,INDEX(Tabla_Mortalidad!$B$5:$B$75,MIN(71,Cartera_Polizas!$B$267+30-49))*(1+(Cartera_Polizas!$P$267-1)*MAX(0,1-30/Supuestos!$C$20))*(1-Supuestos!$C$18)^30))</f>
        <v>2.48365475326769E-010</v>
      </c>
      <c r="AH265" s="29" t="n">
        <f aca="false">AG265*(1-MIN(1,INDEX(Tabla_Mortalidad!$B$5:$B$75,MIN(71,Cartera_Polizas!$B$267+31-49))*(1+(Cartera_Polizas!$P$267-1)*MAX(0,1-31/Supuestos!$C$20))*(1-Supuestos!$C$18)^31))</f>
        <v>5.09187633248192E-011</v>
      </c>
      <c r="AI265" s="29" t="n">
        <f aca="false">AH265*(1-MIN(1,INDEX(Tabla_Mortalidad!$B$5:$B$75,MIN(71,Cartera_Polizas!$B$267+32-49))*(1+(Cartera_Polizas!$P$267-1)*MAX(0,1-32/Supuestos!$C$20))*(1-Supuestos!$C$18)^32))</f>
        <v>9.82330613463055E-012</v>
      </c>
      <c r="AJ265" s="29" t="n">
        <f aca="false">AI265*(1-MIN(1,INDEX(Tabla_Mortalidad!$B$5:$B$75,MIN(71,Cartera_Polizas!$B$267+33-49))*(1+(Cartera_Polizas!$P$267-1)*MAX(0,1-33/Supuestos!$C$20))*(1-Supuestos!$C$18)^33))</f>
        <v>1.49763325389326E-012</v>
      </c>
      <c r="AK265" s="29" t="n">
        <f aca="false">AJ265*(1-MIN(1,INDEX(Tabla_Mortalidad!$B$5:$B$75,MIN(71,Cartera_Polizas!$B$267+34-49))*(1+(Cartera_Polizas!$P$267-1)*MAX(0,1-34/Supuestos!$C$20))*(1-Supuestos!$C$18)^34))</f>
        <v>2.34671438964552E-013</v>
      </c>
      <c r="AL265" s="29" t="n">
        <f aca="false">AK265*(1-MIN(1,INDEX(Tabla_Mortalidad!$B$5:$B$75,MIN(71,Cartera_Polizas!$B$267+35-49))*(1+(Cartera_Polizas!$P$267-1)*MAX(0,1-35/Supuestos!$C$20))*(1-Supuestos!$C$18)^35))</f>
        <v>3.77613073501218E-014</v>
      </c>
      <c r="AM265" s="29" t="n">
        <f aca="false">AL265*(1-MIN(1,INDEX(Tabla_Mortalidad!$B$5:$B$75,MIN(71,Cartera_Polizas!$B$267+36-49))*(1+(Cartera_Polizas!$P$267-1)*MAX(0,1-36/Supuestos!$C$20))*(1-Supuestos!$C$18)^36))</f>
        <v>6.23464985448271E-015</v>
      </c>
      <c r="AN265" s="29" t="n">
        <f aca="false">AM265*(1-MIN(1,INDEX(Tabla_Mortalidad!$B$5:$B$75,MIN(71,Cartera_Polizas!$B$267+37-49))*(1+(Cartera_Polizas!$P$267-1)*MAX(0,1-37/Supuestos!$C$20))*(1-Supuestos!$C$18)^37))</f>
        <v>1.05540962317107E-015</v>
      </c>
      <c r="AO265" s="29" t="n">
        <f aca="false">AN265*(1-MIN(1,INDEX(Tabla_Mortalidad!$B$5:$B$75,MIN(71,Cartera_Polizas!$B$267+38-49))*(1+(Cartera_Polizas!$P$267-1)*MAX(0,1-38/Supuestos!$C$20))*(1-Supuestos!$C$18)^38))</f>
        <v>1.83044854037113E-016</v>
      </c>
      <c r="AP265" s="29" t="n">
        <f aca="false">AO265*(1-MIN(1,INDEX(Tabla_Mortalidad!$B$5:$B$75,MIN(71,Cartera_Polizas!$B$267+39-49))*(1+(Cartera_Polizas!$P$267-1)*MAX(0,1-39/Supuestos!$C$20))*(1-Supuestos!$C$18)^39))</f>
        <v>3.25028569434165E-017</v>
      </c>
      <c r="AQ265" s="29" t="n">
        <f aca="false">AP265*(1-MIN(1,INDEX(Tabla_Mortalidad!$B$5:$B$75,MIN(71,Cartera_Polizas!$B$267+40-49))*(1+(Cartera_Polizas!$P$267-1)*MAX(0,1-40/Supuestos!$C$20))*(1-Supuestos!$C$18)^40))</f>
        <v>5.90511511589724E-018</v>
      </c>
      <c r="AR265" s="29" t="n">
        <f aca="false">AQ265*(1-MIN(1,INDEX(Tabla_Mortalidad!$B$5:$B$75,MIN(71,Cartera_Polizas!$B$267+41-49))*(1+(Cartera_Polizas!$P$267-1)*MAX(0,1-41/Supuestos!$C$20))*(1-Supuestos!$C$18)^41))</f>
        <v>1.09700197218486E-018</v>
      </c>
      <c r="AS265" s="29" t="n">
        <f aca="false">AR265*(1-MIN(1,INDEX(Tabla_Mortalidad!$B$5:$B$75,MIN(71,Cartera_Polizas!$B$267+42-49))*(1+(Cartera_Polizas!$P$267-1)*MAX(0,1-42/Supuestos!$C$20))*(1-Supuestos!$C$18)^42))</f>
        <v>2.08257730941171E-019</v>
      </c>
      <c r="AT265" s="29" t="n">
        <f aca="false">AS265*(1-MIN(1,INDEX(Tabla_Mortalidad!$B$5:$B$75,MIN(71,Cartera_Polizas!$B$267+43-49))*(1+(Cartera_Polizas!$P$267-1)*MAX(0,1-43/Supuestos!$C$20))*(1-Supuestos!$C$18)^43))</f>
        <v>4.0379801418117E-020</v>
      </c>
      <c r="AU265" s="29" t="n">
        <f aca="false">AT265*(1-MIN(1,INDEX(Tabla_Mortalidad!$B$5:$B$75,MIN(71,Cartera_Polizas!$B$267+44-49))*(1+(Cartera_Polizas!$P$267-1)*MAX(0,1-44/Supuestos!$C$20))*(1-Supuestos!$C$18)^44))</f>
        <v>7.99212947499109E-021</v>
      </c>
    </row>
    <row r="266" customFormat="false" ht="15" hidden="false" customHeight="false" outlineLevel="0" collapsed="false">
      <c r="A266" s="14" t="n">
        <f aca="false">Cartera_Polizas!A268</f>
        <v>263</v>
      </c>
      <c r="B266" s="26" t="n">
        <f aca="false">SUM(C266:AU266)+0.5</f>
        <v>4.2631572786521</v>
      </c>
      <c r="C266" s="29" t="n">
        <f aca="false">1-MIN(1,INDEX(Tabla_Mortalidad!$B$5:$B$75,MIN(71,Cartera_Polizas!$B$268+0-49))*(1+(Cartera_Polizas!$P$268-1)*MAX(0,1-0/Supuestos!$C$20))*(1-Supuestos!$C$18)^0)</f>
        <v>0.82636885</v>
      </c>
      <c r="D266" s="29" t="n">
        <f aca="false">C266*(1-MIN(1,INDEX(Tabla_Mortalidad!$B$5:$B$75,MIN(71,Cartera_Polizas!$B$268+1-49))*(1+(Cartera_Polizas!$P$268-1)*MAX(0,1-1/Supuestos!$C$20))*(1-Supuestos!$C$18)^1))</f>
        <v>0.673714692266084</v>
      </c>
      <c r="E266" s="29" t="n">
        <f aca="false">D266*(1-MIN(1,INDEX(Tabla_Mortalidad!$B$5:$B$75,MIN(71,Cartera_Polizas!$B$268+2-49))*(1+(Cartera_Polizas!$P$268-1)*MAX(0,1-2/Supuestos!$C$20))*(1-Supuestos!$C$18)^2))</f>
        <v>0.541575129376633</v>
      </c>
      <c r="F266" s="29" t="n">
        <f aca="false">E266*(1-MIN(1,INDEX(Tabla_Mortalidad!$B$5:$B$75,MIN(71,Cartera_Polizas!$B$268+3-49))*(1+(Cartera_Polizas!$P$268-1)*MAX(0,1-3/Supuestos!$C$20))*(1-Supuestos!$C$18)^3))</f>
        <v>0.429048015100741</v>
      </c>
      <c r="G266" s="29" t="n">
        <f aca="false">F266*(1-MIN(1,INDEX(Tabla_Mortalidad!$B$5:$B$75,MIN(71,Cartera_Polizas!$B$268+4-49))*(1+(Cartera_Polizas!$P$268-1)*MAX(0,1-4/Supuestos!$C$20))*(1-Supuestos!$C$18)^4))</f>
        <v>0.3348414864011</v>
      </c>
      <c r="H266" s="29" t="n">
        <f aca="false">G266*(1-MIN(1,INDEX(Tabla_Mortalidad!$B$5:$B$75,MIN(71,Cartera_Polizas!$B$268+5-49))*(1+(Cartera_Polizas!$P$268-1)*MAX(0,1-5/Supuestos!$C$20))*(1-Supuestos!$C$18)^5))</f>
        <v>0.257355543091584</v>
      </c>
      <c r="I266" s="29" t="n">
        <f aca="false">H266*(1-MIN(1,INDEX(Tabla_Mortalidad!$B$5:$B$75,MIN(71,Cartera_Polizas!$B$268+6-49))*(1+(Cartera_Polizas!$P$268-1)*MAX(0,1-6/Supuestos!$C$20))*(1-Supuestos!$C$18)^6))</f>
        <v>0.194774601901383</v>
      </c>
      <c r="J266" s="29" t="n">
        <f aca="false">I266*(1-MIN(1,INDEX(Tabla_Mortalidad!$B$5:$B$75,MIN(71,Cartera_Polizas!$B$268+7-49))*(1+(Cartera_Polizas!$P$268-1)*MAX(0,1-7/Supuestos!$C$20))*(1-Supuestos!$C$18)^7))</f>
        <v>0.145166987589314</v>
      </c>
      <c r="K266" s="29" t="n">
        <f aca="false">J266*(1-MIN(1,INDEX(Tabla_Mortalidad!$B$5:$B$75,MIN(71,Cartera_Polizas!$B$268+8-49))*(1+(Cartera_Polizas!$P$268-1)*MAX(0,1-8/Supuestos!$C$20))*(1-Supuestos!$C$18)^8))</f>
        <v>0.106581779750179</v>
      </c>
      <c r="L266" s="29" t="n">
        <f aca="false">K266*(1-MIN(1,INDEX(Tabla_Mortalidad!$B$5:$B$75,MIN(71,Cartera_Polizas!$B$268+9-49))*(1+(Cartera_Polizas!$P$268-1)*MAX(0,1-9/Supuestos!$C$20))*(1-Supuestos!$C$18)^9))</f>
        <v>0.0771353199854758</v>
      </c>
      <c r="M266" s="29" t="n">
        <f aca="false">L266*(1-MIN(1,INDEX(Tabla_Mortalidad!$B$5:$B$75,MIN(71,Cartera_Polizas!$B$268+10-49))*(1+(Cartera_Polizas!$P$268-1)*MAX(0,1-10/Supuestos!$C$20))*(1-Supuestos!$C$18)^10))</f>
        <v>0.0550828197015007</v>
      </c>
      <c r="N266" s="29" t="n">
        <f aca="false">M266*(1-MIN(1,INDEX(Tabla_Mortalidad!$B$5:$B$75,MIN(71,Cartera_Polizas!$B$268+11-49))*(1+(Cartera_Polizas!$P$268-1)*MAX(0,1-11/Supuestos!$C$20))*(1-Supuestos!$C$18)^11))</f>
        <v>0.0388686009465915</v>
      </c>
      <c r="O266" s="29" t="n">
        <f aca="false">N266*(1-MIN(1,INDEX(Tabla_Mortalidad!$B$5:$B$75,MIN(71,Cartera_Polizas!$B$268+12-49))*(1+(Cartera_Polizas!$P$268-1)*MAX(0,1-12/Supuestos!$C$20))*(1-Supuestos!$C$18)^12))</f>
        <v>0.0271546522107108</v>
      </c>
      <c r="P266" s="29" t="n">
        <f aca="false">O266*(1-MIN(1,INDEX(Tabla_Mortalidad!$B$5:$B$75,MIN(71,Cartera_Polizas!$B$268+13-49))*(1+(Cartera_Polizas!$P$268-1)*MAX(0,1-13/Supuestos!$C$20))*(1-Supuestos!$C$18)^13))</f>
        <v>0.0188294490055057</v>
      </c>
      <c r="Q266" s="29" t="n">
        <f aca="false">P266*(1-MIN(1,INDEX(Tabla_Mortalidad!$B$5:$B$75,MIN(71,Cartera_Polizas!$B$268+14-49))*(1+(Cartera_Polizas!$P$268-1)*MAX(0,1-14/Supuestos!$C$20))*(1-Supuestos!$C$18)^14))</f>
        <v>0.0129995540452349</v>
      </c>
      <c r="R266" s="29" t="n">
        <f aca="false">Q266*(1-MIN(1,INDEX(Tabla_Mortalidad!$B$5:$B$75,MIN(71,Cartera_Polizas!$B$268+15-49))*(1+(Cartera_Polizas!$P$268-1)*MAX(0,1-15/Supuestos!$C$20))*(1-Supuestos!$C$18)^15))</f>
        <v>0.00896893208760144</v>
      </c>
      <c r="S266" s="29" t="n">
        <f aca="false">R266*(1-MIN(1,INDEX(Tabla_Mortalidad!$B$5:$B$75,MIN(71,Cartera_Polizas!$B$268+16-49))*(1+(Cartera_Polizas!$P$268-1)*MAX(0,1-16/Supuestos!$C$20))*(1-Supuestos!$C$18)^16))</f>
        <v>0.00594730430204373</v>
      </c>
      <c r="T266" s="29" t="n">
        <f aca="false">S266*(1-MIN(1,INDEX(Tabla_Mortalidad!$B$5:$B$75,MIN(71,Cartera_Polizas!$B$268+17-49))*(1+(Cartera_Polizas!$P$268-1)*MAX(0,1-17/Supuestos!$C$20))*(1-Supuestos!$C$18)^17))</f>
        <v>0.00377529008363917</v>
      </c>
      <c r="U266" s="29" t="n">
        <f aca="false">T266*(1-MIN(1,INDEX(Tabla_Mortalidad!$B$5:$B$75,MIN(71,Cartera_Polizas!$B$268+18-49))*(1+(Cartera_Polizas!$P$268-1)*MAX(0,1-18/Supuestos!$C$20))*(1-Supuestos!$C$18)^18))</f>
        <v>0.00228446590959706</v>
      </c>
      <c r="V266" s="29" t="n">
        <f aca="false">U266*(1-MIN(1,INDEX(Tabla_Mortalidad!$B$5:$B$75,MIN(71,Cartera_Polizas!$B$268+19-49))*(1+(Cartera_Polizas!$P$268-1)*MAX(0,1-19/Supuestos!$C$20))*(1-Supuestos!$C$18)^19))</f>
        <v>0.00131175347570542</v>
      </c>
      <c r="W266" s="29" t="n">
        <f aca="false">V266*(1-MIN(1,INDEX(Tabla_Mortalidad!$B$5:$B$75,MIN(71,Cartera_Polizas!$B$268+20-49))*(1+(Cartera_Polizas!$P$268-1)*MAX(0,1-20/Supuestos!$C$20))*(1-Supuestos!$C$18)^20))</f>
        <v>0.000711326682355278</v>
      </c>
      <c r="X266" s="29" t="n">
        <f aca="false">W266*(1-MIN(1,INDEX(Tabla_Mortalidad!$B$5:$B$75,MIN(71,Cartera_Polizas!$B$268+21-49))*(1+(Cartera_Polizas!$P$268-1)*MAX(0,1-21/Supuestos!$C$20))*(1-Supuestos!$C$18)^21))</f>
        <v>0.000362459400181489</v>
      </c>
      <c r="Y266" s="29" t="n">
        <f aca="false">X266*(1-MIN(1,INDEX(Tabla_Mortalidad!$B$5:$B$75,MIN(71,Cartera_Polizas!$B$268+22-49))*(1+(Cartera_Polizas!$P$268-1)*MAX(0,1-22/Supuestos!$C$20))*(1-Supuestos!$C$18)^22))</f>
        <v>0.000172658937583253</v>
      </c>
      <c r="Z266" s="29" t="n">
        <f aca="false">Y266*(1-MIN(1,INDEX(Tabla_Mortalidad!$B$5:$B$75,MIN(71,Cartera_Polizas!$B$268+23-49))*(1+(Cartera_Polizas!$P$268-1)*MAX(0,1-23/Supuestos!$C$20))*(1-Supuestos!$C$18)^23))</f>
        <v>7.64921844211689E-005</v>
      </c>
      <c r="AA266" s="29" t="n">
        <f aca="false">Z266*(1-MIN(1,INDEX(Tabla_Mortalidad!$B$5:$B$75,MIN(71,Cartera_Polizas!$B$268+24-49))*(1+(Cartera_Polizas!$P$268-1)*MAX(0,1-24/Supuestos!$C$20))*(1-Supuestos!$C$18)^24))</f>
        <v>3.13596529265634E-005</v>
      </c>
      <c r="AB266" s="29" t="n">
        <f aca="false">AA266*(1-MIN(1,INDEX(Tabla_Mortalidad!$B$5:$B$75,MIN(71,Cartera_Polizas!$B$268+25-49))*(1+(Cartera_Polizas!$P$268-1)*MAX(0,1-25/Supuestos!$C$20))*(1-Supuestos!$C$18)^25))</f>
        <v>1.18425881326004E-005</v>
      </c>
      <c r="AC266" s="29" t="n">
        <f aca="false">AB266*(1-MIN(1,INDEX(Tabla_Mortalidad!$B$5:$B$75,MIN(71,Cartera_Polizas!$B$268+26-49))*(1+(Cartera_Polizas!$P$268-1)*MAX(0,1-26/Supuestos!$C$20))*(1-Supuestos!$C$18)^26))</f>
        <v>4.10337435414784E-006</v>
      </c>
      <c r="AD266" s="29" t="n">
        <f aca="false">AC266*(1-MIN(1,INDEX(Tabla_Mortalidad!$B$5:$B$75,MIN(71,Cartera_Polizas!$B$268+27-49))*(1+(Cartera_Polizas!$P$268-1)*MAX(0,1-27/Supuestos!$C$20))*(1-Supuestos!$C$18)^27))</f>
        <v>1.30084630025486E-006</v>
      </c>
      <c r="AE266" s="29" t="n">
        <f aca="false">AD266*(1-MIN(1,INDEX(Tabla_Mortalidad!$B$5:$B$75,MIN(71,Cartera_Polizas!$B$268+28-49))*(1+(Cartera_Polizas!$P$268-1)*MAX(0,1-28/Supuestos!$C$20))*(1-Supuestos!$C$18)^28))</f>
        <v>3.76827419677562E-007</v>
      </c>
      <c r="AF266" s="29" t="n">
        <f aca="false">AE266*(1-MIN(1,INDEX(Tabla_Mortalidad!$B$5:$B$75,MIN(71,Cartera_Polizas!$B$268+29-49))*(1+(Cartera_Polizas!$P$268-1)*MAX(0,1-29/Supuestos!$C$20))*(1-Supuestos!$C$18)^29))</f>
        <v>9.98212019832767E-008</v>
      </c>
      <c r="AG266" s="29" t="n">
        <f aca="false">AF266*(1-MIN(1,INDEX(Tabla_Mortalidad!$B$5:$B$75,MIN(71,Cartera_Polizas!$B$268+30-49))*(1+(Cartera_Polizas!$P$268-1)*MAX(0,1-30/Supuestos!$C$20))*(1-Supuestos!$C$18)^30))</f>
        <v>2.42602883386394E-008</v>
      </c>
      <c r="AH266" s="29" t="n">
        <f aca="false">AG266*(1-MIN(1,INDEX(Tabla_Mortalidad!$B$5:$B$75,MIN(71,Cartera_Polizas!$B$268+31-49))*(1+(Cartera_Polizas!$P$268-1)*MAX(0,1-31/Supuestos!$C$20))*(1-Supuestos!$C$18)^31))</f>
        <v>5.44288077104308E-009</v>
      </c>
      <c r="AI266" s="29" t="n">
        <f aca="false">AH266*(1-MIN(1,INDEX(Tabla_Mortalidad!$B$5:$B$75,MIN(71,Cartera_Polizas!$B$268+32-49))*(1+(Cartera_Polizas!$P$268-1)*MAX(0,1-32/Supuestos!$C$20))*(1-Supuestos!$C$18)^32))</f>
        <v>1.1375097604631E-009</v>
      </c>
      <c r="AJ266" s="29" t="n">
        <f aca="false">AI266*(1-MIN(1,INDEX(Tabla_Mortalidad!$B$5:$B$75,MIN(71,Cartera_Polizas!$B$268+33-49))*(1+(Cartera_Polizas!$P$268-1)*MAX(0,1-33/Supuestos!$C$20))*(1-Supuestos!$C$18)^33))</f>
        <v>2.24039986079581E-010</v>
      </c>
      <c r="AK266" s="29" t="n">
        <f aca="false">AJ266*(1-MIN(1,INDEX(Tabla_Mortalidad!$B$5:$B$75,MIN(71,Cartera_Polizas!$B$268+34-49))*(1+(Cartera_Polizas!$P$268-1)*MAX(0,1-34/Supuestos!$C$20))*(1-Supuestos!$C$18)^34))</f>
        <v>3.51059151379131E-011</v>
      </c>
      <c r="AL266" s="29" t="n">
        <f aca="false">AK266*(1-MIN(1,INDEX(Tabla_Mortalidad!$B$5:$B$75,MIN(71,Cartera_Polizas!$B$268+35-49))*(1+(Cartera_Polizas!$P$268-1)*MAX(0,1-35/Supuestos!$C$20))*(1-Supuestos!$C$18)^35))</f>
        <v>5.64894158905412E-012</v>
      </c>
      <c r="AM266" s="29" t="n">
        <f aca="false">AL266*(1-MIN(1,INDEX(Tabla_Mortalidad!$B$5:$B$75,MIN(71,Cartera_Polizas!$B$268+36-49))*(1+(Cartera_Polizas!$P$268-1)*MAX(0,1-36/Supuestos!$C$20))*(1-Supuestos!$C$18)^36))</f>
        <v>9.32678853770247E-013</v>
      </c>
      <c r="AN266" s="29" t="n">
        <f aca="false">AM266*(1-MIN(1,INDEX(Tabla_Mortalidad!$B$5:$B$75,MIN(71,Cartera_Polizas!$B$268+37-49))*(1+(Cartera_Polizas!$P$268-1)*MAX(0,1-37/Supuestos!$C$20))*(1-Supuestos!$C$18)^37))</f>
        <v>1.57885087466383E-013</v>
      </c>
      <c r="AO266" s="29" t="n">
        <f aca="false">AN266*(1-MIN(1,INDEX(Tabla_Mortalidad!$B$5:$B$75,MIN(71,Cartera_Polizas!$B$268+38-49))*(1+(Cartera_Polizas!$P$268-1)*MAX(0,1-38/Supuestos!$C$20))*(1-Supuestos!$C$18)^38))</f>
        <v>2.73827830971338E-014</v>
      </c>
      <c r="AP266" s="29" t="n">
        <f aca="false">AO266*(1-MIN(1,INDEX(Tabla_Mortalidad!$B$5:$B$75,MIN(71,Cartera_Polizas!$B$268+39-49))*(1+(Cartera_Polizas!$P$268-1)*MAX(0,1-39/Supuestos!$C$20))*(1-Supuestos!$C$18)^39))</f>
        <v>4.86229829513965E-015</v>
      </c>
      <c r="AQ266" s="29" t="n">
        <f aca="false">AP266*(1-MIN(1,INDEX(Tabla_Mortalidad!$B$5:$B$75,MIN(71,Cartera_Polizas!$B$268+40-49))*(1+(Cartera_Polizas!$P$268-1)*MAX(0,1-40/Supuestos!$C$20))*(1-Supuestos!$C$18)^40))</f>
        <v>8.83381765812629E-016</v>
      </c>
      <c r="AR266" s="29" t="n">
        <f aca="false">AQ266*(1-MIN(1,INDEX(Tabla_Mortalidad!$B$5:$B$75,MIN(71,Cartera_Polizas!$B$268+41-49))*(1+(Cartera_Polizas!$P$268-1)*MAX(0,1-41/Supuestos!$C$20))*(1-Supuestos!$C$18)^41))</f>
        <v>1.6410713767116E-016</v>
      </c>
      <c r="AS266" s="29" t="n">
        <f aca="false">AR266*(1-MIN(1,INDEX(Tabla_Mortalidad!$B$5:$B$75,MIN(71,Cartera_Polizas!$B$268+42-49))*(1+(Cartera_Polizas!$P$268-1)*MAX(0,1-42/Supuestos!$C$20))*(1-Supuestos!$C$18)^42))</f>
        <v>3.11545293346902E-017</v>
      </c>
      <c r="AT266" s="29" t="n">
        <f aca="false">AS266*(1-MIN(1,INDEX(Tabla_Mortalidad!$B$5:$B$75,MIN(71,Cartera_Polizas!$B$268+43-49))*(1+(Cartera_Polizas!$P$268-1)*MAX(0,1-43/Supuestos!$C$20))*(1-Supuestos!$C$18)^43))</f>
        <v>6.04065790078669E-018</v>
      </c>
      <c r="AU266" s="29" t="n">
        <f aca="false">AT266*(1-MIN(1,INDEX(Tabla_Mortalidad!$B$5:$B$75,MIN(71,Cartera_Polizas!$B$268+44-49))*(1+(Cartera_Polizas!$P$268-1)*MAX(0,1-44/Supuestos!$C$20))*(1-Supuestos!$C$18)^44))</f>
        <v>1.19559082416771E-018</v>
      </c>
    </row>
    <row r="267" customFormat="false" ht="15" hidden="false" customHeight="false" outlineLevel="0" collapsed="false">
      <c r="A267" s="14" t="n">
        <f aca="false">Cartera_Polizas!A269</f>
        <v>264</v>
      </c>
      <c r="B267" s="26" t="n">
        <f aca="false">SUM(C267:AU267)+0.5</f>
        <v>7.46492685415693</v>
      </c>
      <c r="C267" s="29" t="n">
        <f aca="false">1-MIN(1,INDEX(Tabla_Mortalidad!$B$5:$B$75,MIN(71,Cartera_Polizas!$B$269+0-49))*(1+(Cartera_Polizas!$P$269-1)*MAX(0,1-0/Supuestos!$C$20))*(1-Supuestos!$C$18)^0)</f>
        <v>0.9245720959375</v>
      </c>
      <c r="D267" s="29" t="n">
        <f aca="false">C267*(1-MIN(1,INDEX(Tabla_Mortalidad!$B$5:$B$75,MIN(71,Cartera_Polizas!$B$269+1-49))*(1+(Cartera_Polizas!$P$269-1)*MAX(0,1-1/Supuestos!$C$20))*(1-Supuestos!$C$18)^1))</f>
        <v>0.84839211238336</v>
      </c>
      <c r="E267" s="29" t="n">
        <f aca="false">D267*(1-MIN(1,INDEX(Tabla_Mortalidad!$B$5:$B$75,MIN(71,Cartera_Polizas!$B$269+2-49))*(1+(Cartera_Polizas!$P$269-1)*MAX(0,1-2/Supuestos!$C$20))*(1-Supuestos!$C$18)^2))</f>
        <v>0.77207579811798</v>
      </c>
      <c r="F267" s="29" t="n">
        <f aca="false">E267*(1-MIN(1,INDEX(Tabla_Mortalidad!$B$5:$B$75,MIN(71,Cartera_Polizas!$B$269+3-49))*(1+(Cartera_Polizas!$P$269-1)*MAX(0,1-3/Supuestos!$C$20))*(1-Supuestos!$C$18)^3))</f>
        <v>0.696302552723667</v>
      </c>
      <c r="G267" s="29" t="n">
        <f aca="false">F267*(1-MIN(1,INDEX(Tabla_Mortalidad!$B$5:$B$75,MIN(71,Cartera_Polizas!$B$269+4-49))*(1+(Cartera_Polizas!$P$269-1)*MAX(0,1-4/Supuestos!$C$20))*(1-Supuestos!$C$18)^4))</f>
        <v>0.621795659170797</v>
      </c>
      <c r="H267" s="29" t="n">
        <f aca="false">G267*(1-MIN(1,INDEX(Tabla_Mortalidad!$B$5:$B$75,MIN(71,Cartera_Polizas!$B$269+5-49))*(1+(Cartera_Polizas!$P$269-1)*MAX(0,1-5/Supuestos!$C$20))*(1-Supuestos!$C$18)^5))</f>
        <v>0.549309633977478</v>
      </c>
      <c r="I267" s="29" t="n">
        <f aca="false">H267*(1-MIN(1,INDEX(Tabla_Mortalidad!$B$5:$B$75,MIN(71,Cartera_Polizas!$B$269+6-49))*(1+(Cartera_Polizas!$P$269-1)*MAX(0,1-6/Supuestos!$C$20))*(1-Supuestos!$C$18)^6))</f>
        <v>0.479602981221894</v>
      </c>
      <c r="J267" s="29" t="n">
        <f aca="false">I267*(1-MIN(1,INDEX(Tabla_Mortalidad!$B$5:$B$75,MIN(71,Cartera_Polizas!$B$269+7-49))*(1+(Cartera_Polizas!$P$269-1)*MAX(0,1-7/Supuestos!$C$20))*(1-Supuestos!$C$18)^7))</f>
        <v>0.41341209415148</v>
      </c>
      <c r="K267" s="29" t="n">
        <f aca="false">J267*(1-MIN(1,INDEX(Tabla_Mortalidad!$B$5:$B$75,MIN(71,Cartera_Polizas!$B$269+8-49))*(1+(Cartera_Polizas!$P$269-1)*MAX(0,1-8/Supuestos!$C$20))*(1-Supuestos!$C$18)^8))</f>
        <v>0.351420605073575</v>
      </c>
      <c r="L267" s="29" t="n">
        <f aca="false">K267*(1-MIN(1,INDEX(Tabla_Mortalidad!$B$5:$B$75,MIN(71,Cartera_Polizas!$B$269+9-49))*(1+(Cartera_Polizas!$P$269-1)*MAX(0,1-9/Supuestos!$C$20))*(1-Supuestos!$C$18)^9))</f>
        <v>0.294227936685055</v>
      </c>
      <c r="M267" s="29" t="n">
        <f aca="false">L267*(1-MIN(1,INDEX(Tabla_Mortalidad!$B$5:$B$75,MIN(71,Cartera_Polizas!$B$269+10-49))*(1+(Cartera_Polizas!$P$269-1)*MAX(0,1-10/Supuestos!$C$20))*(1-Supuestos!$C$18)^10))</f>
        <v>0.242318411456123</v>
      </c>
      <c r="N267" s="29" t="n">
        <f aca="false">M267*(1-MIN(1,INDEX(Tabla_Mortalidad!$B$5:$B$75,MIN(71,Cartera_Polizas!$B$269+11-49))*(1+(Cartera_Polizas!$P$269-1)*MAX(0,1-11/Supuestos!$C$20))*(1-Supuestos!$C$18)^11))</f>
        <v>0.196033292173859</v>
      </c>
      <c r="O267" s="29" t="n">
        <f aca="false">N267*(1-MIN(1,INDEX(Tabla_Mortalidad!$B$5:$B$75,MIN(71,Cartera_Polizas!$B$269+12-49))*(1+(Cartera_Polizas!$P$269-1)*MAX(0,1-12/Supuestos!$C$20))*(1-Supuestos!$C$18)^12))</f>
        <v>0.155551148050873</v>
      </c>
      <c r="P267" s="29" t="n">
        <f aca="false">O267*(1-MIN(1,INDEX(Tabla_Mortalidad!$B$5:$B$75,MIN(71,Cartera_Polizas!$B$269+13-49))*(1+(Cartera_Polizas!$P$269-1)*MAX(0,1-13/Supuestos!$C$20))*(1-Supuestos!$C$18)^13))</f>
        <v>0.120876481369156</v>
      </c>
      <c r="Q267" s="29" t="n">
        <f aca="false">P267*(1-MIN(1,INDEX(Tabla_Mortalidad!$B$5:$B$75,MIN(71,Cartera_Polizas!$B$269+14-49))*(1+(Cartera_Polizas!$P$269-1)*MAX(0,1-14/Supuestos!$C$20))*(1-Supuestos!$C$18)^14))</f>
        <v>0.0918393673765991</v>
      </c>
      <c r="R267" s="29" t="n">
        <f aca="false">Q267*(1-MIN(1,INDEX(Tabla_Mortalidad!$B$5:$B$75,MIN(71,Cartera_Polizas!$B$269+15-49))*(1+(Cartera_Polizas!$P$269-1)*MAX(0,1-15/Supuestos!$C$20))*(1-Supuestos!$C$18)^15))</f>
        <v>0.0681086428534398</v>
      </c>
      <c r="S267" s="29" t="n">
        <f aca="false">R267*(1-MIN(1,INDEX(Tabla_Mortalidad!$B$5:$B$75,MIN(71,Cartera_Polizas!$B$269+16-49))*(1+(Cartera_Polizas!$P$269-1)*MAX(0,1-16/Supuestos!$C$20))*(1-Supuestos!$C$18)^16))</f>
        <v>0.048908307936946</v>
      </c>
      <c r="T267" s="29" t="n">
        <f aca="false">S267*(1-MIN(1,INDEX(Tabla_Mortalidad!$B$5:$B$75,MIN(71,Cartera_Polizas!$B$269+17-49))*(1+(Cartera_Polizas!$P$269-1)*MAX(0,1-17/Supuestos!$C$20))*(1-Supuestos!$C$18)^17))</f>
        <v>0.0338951376023393</v>
      </c>
      <c r="U267" s="29" t="n">
        <f aca="false">T267*(1-MIN(1,INDEX(Tabla_Mortalidad!$B$5:$B$75,MIN(71,Cartera_Polizas!$B$269+18-49))*(1+(Cartera_Polizas!$P$269-1)*MAX(0,1-18/Supuestos!$C$20))*(1-Supuestos!$C$18)^18))</f>
        <v>0.0225897933148968</v>
      </c>
      <c r="V267" s="29" t="n">
        <f aca="false">U267*(1-MIN(1,INDEX(Tabla_Mortalidad!$B$5:$B$75,MIN(71,Cartera_Polizas!$B$269+19-49))*(1+(Cartera_Polizas!$P$269-1)*MAX(0,1-19/Supuestos!$C$20))*(1-Supuestos!$C$18)^19))</f>
        <v>0.0144220717868118</v>
      </c>
      <c r="W267" s="29" t="n">
        <f aca="false">V267*(1-MIN(1,INDEX(Tabla_Mortalidad!$B$5:$B$75,MIN(71,Cartera_Polizas!$B$269+20-49))*(1+(Cartera_Polizas!$P$269-1)*MAX(0,1-20/Supuestos!$C$20))*(1-Supuestos!$C$18)^20))</f>
        <v>0.00878374928054046</v>
      </c>
      <c r="X267" s="29" t="n">
        <f aca="false">W267*(1-MIN(1,INDEX(Tabla_Mortalidad!$B$5:$B$75,MIN(71,Cartera_Polizas!$B$269+21-49))*(1+(Cartera_Polizas!$P$269-1)*MAX(0,1-21/Supuestos!$C$20))*(1-Supuestos!$C$18)^21))</f>
        <v>0.00508098659716108</v>
      </c>
      <c r="Y267" s="29" t="n">
        <f aca="false">X267*(1-MIN(1,INDEX(Tabla_Mortalidad!$B$5:$B$75,MIN(71,Cartera_Polizas!$B$269+22-49))*(1+(Cartera_Polizas!$P$269-1)*MAX(0,1-22/Supuestos!$C$20))*(1-Supuestos!$C$18)^22))</f>
        <v>0.00277847380825417</v>
      </c>
      <c r="Z267" s="29" t="n">
        <f aca="false">Y267*(1-MIN(1,INDEX(Tabla_Mortalidad!$B$5:$B$75,MIN(71,Cartera_Polizas!$B$269+23-49))*(1+(Cartera_Polizas!$P$269-1)*MAX(0,1-23/Supuestos!$C$20))*(1-Supuestos!$C$18)^23))</f>
        <v>0.00142937545895062</v>
      </c>
      <c r="AA267" s="29" t="n">
        <f aca="false">Z267*(1-MIN(1,INDEX(Tabla_Mortalidad!$B$5:$B$75,MIN(71,Cartera_Polizas!$B$269+24-49))*(1+(Cartera_Polizas!$P$269-1)*MAX(0,1-24/Supuestos!$C$20))*(1-Supuestos!$C$18)^24))</f>
        <v>0.000688354687049999</v>
      </c>
      <c r="AB267" s="29" t="n">
        <f aca="false">AA267*(1-MIN(1,INDEX(Tabla_Mortalidad!$B$5:$B$75,MIN(71,Cartera_Polizas!$B$269+25-49))*(1+(Cartera_Polizas!$P$269-1)*MAX(0,1-25/Supuestos!$C$20))*(1-Supuestos!$C$18)^25))</f>
        <v>0.000308782550426563</v>
      </c>
      <c r="AC267" s="29" t="n">
        <f aca="false">AB267*(1-MIN(1,INDEX(Tabla_Mortalidad!$B$5:$B$75,MIN(71,Cartera_Polizas!$B$269+26-49))*(1+(Cartera_Polizas!$P$269-1)*MAX(0,1-26/Supuestos!$C$20))*(1-Supuestos!$C$18)^26))</f>
        <v>0.000128409544894685</v>
      </c>
      <c r="AD267" s="29" t="n">
        <f aca="false">AC267*(1-MIN(1,INDEX(Tabla_Mortalidad!$B$5:$B$75,MIN(71,Cartera_Polizas!$B$269+27-49))*(1+(Cartera_Polizas!$P$269-1)*MAX(0,1-27/Supuestos!$C$20))*(1-Supuestos!$C$18)^27))</f>
        <v>4.92894636221137E-005</v>
      </c>
      <c r="AE267" s="29" t="n">
        <f aca="false">AD267*(1-MIN(1,INDEX(Tabla_Mortalidad!$B$5:$B$75,MIN(71,Cartera_Polizas!$B$269+28-49))*(1+(Cartera_Polizas!$P$269-1)*MAX(0,1-28/Supuestos!$C$20))*(1-Supuestos!$C$18)^28))</f>
        <v>1.7399760851854E-005</v>
      </c>
      <c r="AF267" s="29" t="n">
        <f aca="false">AE267*(1-MIN(1,INDEX(Tabla_Mortalidad!$B$5:$B$75,MIN(71,Cartera_Polizas!$B$269+29-49))*(1+(Cartera_Polizas!$P$269-1)*MAX(0,1-29/Supuestos!$C$20))*(1-Supuestos!$C$18)^29))</f>
        <v>5.63458915278297E-006</v>
      </c>
      <c r="AG267" s="29" t="n">
        <f aca="false">AF267*(1-MIN(1,INDEX(Tabla_Mortalidad!$B$5:$B$75,MIN(71,Cartera_Polizas!$B$269+30-49))*(1+(Cartera_Polizas!$P$269-1)*MAX(0,1-30/Supuestos!$C$20))*(1-Supuestos!$C$18)^30))</f>
        <v>1.67214389348369E-006</v>
      </c>
      <c r="AH267" s="29" t="n">
        <f aca="false">AG267*(1-MIN(1,INDEX(Tabla_Mortalidad!$B$5:$B$75,MIN(71,Cartera_Polizas!$B$269+31-49))*(1+(Cartera_Polizas!$P$269-1)*MAX(0,1-31/Supuestos!$C$20))*(1-Supuestos!$C$18)^31))</f>
        <v>4.55210441375727E-007</v>
      </c>
      <c r="AI267" s="29" t="n">
        <f aca="false">AH267*(1-MIN(1,INDEX(Tabla_Mortalidad!$B$5:$B$75,MIN(71,Cartera_Polizas!$B$269+32-49))*(1+(Cartera_Polizas!$P$269-1)*MAX(0,1-32/Supuestos!$C$20))*(1-Supuestos!$C$18)^32))</f>
        <v>1.14070333775685E-007</v>
      </c>
      <c r="AJ267" s="29" t="n">
        <f aca="false">AI267*(1-MIN(1,INDEX(Tabla_Mortalidad!$B$5:$B$75,MIN(71,Cartera_Polizas!$B$269+33-49))*(1+(Cartera_Polizas!$P$269-1)*MAX(0,1-33/Supuestos!$C$20))*(1-Supuestos!$C$18)^33))</f>
        <v>2.64746500210558E-008</v>
      </c>
      <c r="AK267" s="29" t="n">
        <f aca="false">AJ267*(1-MIN(1,INDEX(Tabla_Mortalidad!$B$5:$B$75,MIN(71,Cartera_Polizas!$B$269+34-49))*(1+(Cartera_Polizas!$P$269-1)*MAX(0,1-34/Supuestos!$C$20))*(1-Supuestos!$C$18)^34))</f>
        <v>5.74184084601906E-009</v>
      </c>
      <c r="AL267" s="29" t="n">
        <f aca="false">AK267*(1-MIN(1,INDEX(Tabla_Mortalidad!$B$5:$B$75,MIN(71,Cartera_Polizas!$B$269+35-49))*(1+(Cartera_Polizas!$P$269-1)*MAX(0,1-35/Supuestos!$C$20))*(1-Supuestos!$C$18)^35))</f>
        <v>1.17688730718082E-009</v>
      </c>
      <c r="AM267" s="29" t="n">
        <f aca="false">AL267*(1-MIN(1,INDEX(Tabla_Mortalidad!$B$5:$B$75,MIN(71,Cartera_Polizas!$B$269+36-49))*(1+(Cartera_Polizas!$P$269-1)*MAX(0,1-36/Supuestos!$C$20))*(1-Supuestos!$C$18)^36))</f>
        <v>1.94312135711418E-010</v>
      </c>
      <c r="AN267" s="29" t="n">
        <f aca="false">AM267*(1-MIN(1,INDEX(Tabla_Mortalidad!$B$5:$B$75,MIN(71,Cartera_Polizas!$B$269+37-49))*(1+(Cartera_Polizas!$P$269-1)*MAX(0,1-37/Supuestos!$C$20))*(1-Supuestos!$C$18)^37))</f>
        <v>3.28934106510089E-011</v>
      </c>
      <c r="AO267" s="29" t="n">
        <f aca="false">AN267*(1-MIN(1,INDEX(Tabla_Mortalidad!$B$5:$B$75,MIN(71,Cartera_Polizas!$B$269+38-49))*(1+(Cartera_Polizas!$P$269-1)*MAX(0,1-38/Supuestos!$C$20))*(1-Supuestos!$C$18)^38))</f>
        <v>5.70486512460085E-012</v>
      </c>
      <c r="AP267" s="29" t="n">
        <f aca="false">AO267*(1-MIN(1,INDEX(Tabla_Mortalidad!$B$5:$B$75,MIN(71,Cartera_Polizas!$B$269+39-49))*(1+(Cartera_Polizas!$P$269-1)*MAX(0,1-39/Supuestos!$C$20))*(1-Supuestos!$C$18)^39))</f>
        <v>1.01299987919241E-012</v>
      </c>
      <c r="AQ267" s="29" t="n">
        <f aca="false">AP267*(1-MIN(1,INDEX(Tabla_Mortalidad!$B$5:$B$75,MIN(71,Cartera_Polizas!$B$269+40-49))*(1+(Cartera_Polizas!$P$269-1)*MAX(0,1-40/Supuestos!$C$20))*(1-Supuestos!$C$18)^40))</f>
        <v>1.84041695455722E-013</v>
      </c>
      <c r="AR267" s="29" t="n">
        <f aca="false">AQ267*(1-MIN(1,INDEX(Tabla_Mortalidad!$B$5:$B$75,MIN(71,Cartera_Polizas!$B$269+41-49))*(1+(Cartera_Polizas!$P$269-1)*MAX(0,1-41/Supuestos!$C$20))*(1-Supuestos!$C$18)^41))</f>
        <v>3.41896980696702E-014</v>
      </c>
      <c r="AS267" s="29" t="n">
        <f aca="false">AR267*(1-MIN(1,INDEX(Tabla_Mortalidad!$B$5:$B$75,MIN(71,Cartera_Polizas!$B$269+42-49))*(1+(Cartera_Polizas!$P$269-1)*MAX(0,1-42/Supuestos!$C$20))*(1-Supuestos!$C$18)^42))</f>
        <v>6.49066193324344E-015</v>
      </c>
      <c r="AT267" s="29" t="n">
        <f aca="false">AS267*(1-MIN(1,INDEX(Tabla_Mortalidad!$B$5:$B$75,MIN(71,Cartera_Polizas!$B$269+43-49))*(1+(Cartera_Polizas!$P$269-1)*MAX(0,1-43/Supuestos!$C$20))*(1-Supuestos!$C$18)^43))</f>
        <v>1.25849656938084E-015</v>
      </c>
      <c r="AU267" s="29" t="n">
        <f aca="false">AT267*(1-MIN(1,INDEX(Tabla_Mortalidad!$B$5:$B$75,MIN(71,Cartera_Polizas!$B$269+44-49))*(1+(Cartera_Polizas!$P$269-1)*MAX(0,1-44/Supuestos!$C$20))*(1-Supuestos!$C$18)^44))</f>
        <v>2.49086602040868E-016</v>
      </c>
    </row>
    <row r="268" customFormat="false" ht="15" hidden="false" customHeight="false" outlineLevel="0" collapsed="false">
      <c r="A268" s="14" t="n">
        <f aca="false">Cartera_Polizas!A270</f>
        <v>265</v>
      </c>
      <c r="B268" s="26" t="n">
        <f aca="false">SUM(C268:AU268)+0.5</f>
        <v>10.8022441394457</v>
      </c>
      <c r="C268" s="29" t="n">
        <f aca="false">1-MIN(1,INDEX(Tabla_Mortalidad!$B$5:$B$75,MIN(71,Cartera_Polizas!$B$270+0-49))*(1+(Cartera_Polizas!$P$270-1)*MAX(0,1-0/Supuestos!$C$20))*(1-Supuestos!$C$18)^0)</f>
        <v>0.95652459425</v>
      </c>
      <c r="D268" s="29" t="n">
        <f aca="false">C268*(1-MIN(1,INDEX(Tabla_Mortalidad!$B$5:$B$75,MIN(71,Cartera_Polizas!$B$270+1-49))*(1+(Cartera_Polizas!$P$270-1)*MAX(0,1-1/Supuestos!$C$20))*(1-Supuestos!$C$18)^1))</f>
        <v>0.91124083361885</v>
      </c>
      <c r="E268" s="29" t="n">
        <f aca="false">D268*(1-MIN(1,INDEX(Tabla_Mortalidad!$B$5:$B$75,MIN(71,Cartera_Polizas!$B$270+2-49))*(1+(Cartera_Polizas!$P$270-1)*MAX(0,1-2/Supuestos!$C$20))*(1-Supuestos!$C$18)^2))</f>
        <v>0.864290112261513</v>
      </c>
      <c r="F268" s="29" t="n">
        <f aca="false">E268*(1-MIN(1,INDEX(Tabla_Mortalidad!$B$5:$B$75,MIN(71,Cartera_Polizas!$B$270+3-49))*(1+(Cartera_Polizas!$P$270-1)*MAX(0,1-3/Supuestos!$C$20))*(1-Supuestos!$C$18)^3))</f>
        <v>0.815853709063502</v>
      </c>
      <c r="G268" s="29" t="n">
        <f aca="false">F268*(1-MIN(1,INDEX(Tabla_Mortalidad!$B$5:$B$75,MIN(71,Cartera_Polizas!$B$270+4-49))*(1+(Cartera_Polizas!$P$270-1)*MAX(0,1-4/Supuestos!$C$20))*(1-Supuestos!$C$18)^4))</f>
        <v>0.766152665602331</v>
      </c>
      <c r="H268" s="29" t="n">
        <f aca="false">G268*(1-MIN(1,INDEX(Tabla_Mortalidad!$B$5:$B$75,MIN(71,Cartera_Polizas!$B$270+5-49))*(1+(Cartera_Polizas!$P$270-1)*MAX(0,1-5/Supuestos!$C$20))*(1-Supuestos!$C$18)^5))</f>
        <v>0.715450572053384</v>
      </c>
      <c r="I268" s="29" t="n">
        <f aca="false">H268*(1-MIN(1,INDEX(Tabla_Mortalidad!$B$5:$B$75,MIN(71,Cartera_Polizas!$B$270+6-49))*(1+(Cartera_Polizas!$P$270-1)*MAX(0,1-6/Supuestos!$C$20))*(1-Supuestos!$C$18)^6))</f>
        <v>0.664054525862065</v>
      </c>
      <c r="J268" s="29" t="n">
        <f aca="false">I268*(1-MIN(1,INDEX(Tabla_Mortalidad!$B$5:$B$75,MIN(71,Cartera_Polizas!$B$270+7-49))*(1+(Cartera_Polizas!$P$270-1)*MAX(0,1-7/Supuestos!$C$20))*(1-Supuestos!$C$18)^7))</f>
        <v>0.612310779622199</v>
      </c>
      <c r="K268" s="29" t="n">
        <f aca="false">J268*(1-MIN(1,INDEX(Tabla_Mortalidad!$B$5:$B$75,MIN(71,Cartera_Polizas!$B$270+8-49))*(1+(Cartera_Polizas!$P$270-1)*MAX(0,1-8/Supuestos!$C$20))*(1-Supuestos!$C$18)^8))</f>
        <v>0.560600292583741</v>
      </c>
      <c r="L268" s="29" t="n">
        <f aca="false">K268*(1-MIN(1,INDEX(Tabla_Mortalidad!$B$5:$B$75,MIN(71,Cartera_Polizas!$B$270+9-49))*(1+(Cartera_Polizas!$P$270-1)*MAX(0,1-9/Supuestos!$C$20))*(1-Supuestos!$C$18)^9))</f>
        <v>0.50933569062943</v>
      </c>
      <c r="M268" s="29" t="n">
        <f aca="false">L268*(1-MIN(1,INDEX(Tabla_Mortalidad!$B$5:$B$75,MIN(71,Cartera_Polizas!$B$270+10-49))*(1+(Cartera_Polizas!$P$270-1)*MAX(0,1-10/Supuestos!$C$20))*(1-Supuestos!$C$18)^10))</f>
        <v>0.458948769778884</v>
      </c>
      <c r="N268" s="29" t="n">
        <f aca="false">M268*(1-MIN(1,INDEX(Tabla_Mortalidad!$B$5:$B$75,MIN(71,Cartera_Polizas!$B$270+11-49))*(1+(Cartera_Polizas!$P$270-1)*MAX(0,1-11/Supuestos!$C$20))*(1-Supuestos!$C$18)^11))</f>
        <v>0.409883836579704</v>
      </c>
      <c r="O268" s="29" t="n">
        <f aca="false">N268*(1-MIN(1,INDEX(Tabla_Mortalidad!$B$5:$B$75,MIN(71,Cartera_Polizas!$B$270+12-49))*(1+(Cartera_Polizas!$P$270-1)*MAX(0,1-12/Supuestos!$C$20))*(1-Supuestos!$C$18)^12))</f>
        <v>0.362582347326954</v>
      </c>
      <c r="P268" s="29" t="n">
        <f aca="false">O268*(1-MIN(1,INDEX(Tabla_Mortalidad!$B$5:$B$75,MIN(71,Cartera_Polizas!$B$270+13-49))*(1+(Cartera_Polizas!$P$270-1)*MAX(0,1-13/Supuestos!$C$20))*(1-Supuestos!$C$18)^13))</f>
        <v>0.317469449499684</v>
      </c>
      <c r="Q268" s="29" t="n">
        <f aca="false">P268*(1-MIN(1,INDEX(Tabla_Mortalidad!$B$5:$B$75,MIN(71,Cartera_Polizas!$B$270+14-49))*(1+(Cartera_Polizas!$P$270-1)*MAX(0,1-14/Supuestos!$C$20))*(1-Supuestos!$C$18)^14))</f>
        <v>0.274938455516855</v>
      </c>
      <c r="R268" s="29" t="n">
        <f aca="false">Q268*(1-MIN(1,INDEX(Tabla_Mortalidad!$B$5:$B$75,MIN(71,Cartera_Polizas!$B$270+15-49))*(1+(Cartera_Polizas!$P$270-1)*MAX(0,1-15/Supuestos!$C$20))*(1-Supuestos!$C$18)^15))</f>
        <v>0.235335464573168</v>
      </c>
      <c r="S268" s="29" t="n">
        <f aca="false">R268*(1-MIN(1,INDEX(Tabla_Mortalidad!$B$5:$B$75,MIN(71,Cartera_Polizas!$B$270+16-49))*(1+(Cartera_Polizas!$P$270-1)*MAX(0,1-16/Supuestos!$C$20))*(1-Supuestos!$C$18)^16))</f>
        <v>0.198041409037817</v>
      </c>
      <c r="T268" s="29" t="n">
        <f aca="false">S268*(1-MIN(1,INDEX(Tabla_Mortalidad!$B$5:$B$75,MIN(71,Cartera_Polizas!$B$270+17-49))*(1+(Cartera_Polizas!$P$270-1)*MAX(0,1-17/Supuestos!$C$20))*(1-Supuestos!$C$18)^17))</f>
        <v>0.163550407355259</v>
      </c>
      <c r="U268" s="29" t="n">
        <f aca="false">T268*(1-MIN(1,INDEX(Tabla_Mortalidad!$B$5:$B$75,MIN(71,Cartera_Polizas!$B$270+18-49))*(1+(Cartera_Polizas!$P$270-1)*MAX(0,1-18/Supuestos!$C$20))*(1-Supuestos!$C$18)^18))</f>
        <v>0.132283508298246</v>
      </c>
      <c r="V268" s="29" t="n">
        <f aca="false">U268*(1-MIN(1,INDEX(Tabla_Mortalidad!$B$5:$B$75,MIN(71,Cartera_Polizas!$B$270+19-49))*(1+(Cartera_Polizas!$P$270-1)*MAX(0,1-19/Supuestos!$C$20))*(1-Supuestos!$C$18)^19))</f>
        <v>0.104559822676197</v>
      </c>
      <c r="W268" s="29" t="n">
        <f aca="false">V268*(1-MIN(1,INDEX(Tabla_Mortalidad!$B$5:$B$75,MIN(71,Cartera_Polizas!$B$270+20-49))*(1+(Cartera_Polizas!$P$270-1)*MAX(0,1-20/Supuestos!$C$20))*(1-Supuestos!$C$18)^20))</f>
        <v>0.080571795097965</v>
      </c>
      <c r="X268" s="29" t="n">
        <f aca="false">W268*(1-MIN(1,INDEX(Tabla_Mortalidad!$B$5:$B$75,MIN(71,Cartera_Polizas!$B$270+21-49))*(1+(Cartera_Polizas!$P$270-1)*MAX(0,1-21/Supuestos!$C$20))*(1-Supuestos!$C$18)^21))</f>
        <v>0.0603693638033518</v>
      </c>
      <c r="Y268" s="29" t="n">
        <f aca="false">X268*(1-MIN(1,INDEX(Tabla_Mortalidad!$B$5:$B$75,MIN(71,Cartera_Polizas!$B$270+22-49))*(1+(Cartera_Polizas!$P$270-1)*MAX(0,1-22/Supuestos!$C$20))*(1-Supuestos!$C$18)^22))</f>
        <v>0.0438550070851434</v>
      </c>
      <c r="Z268" s="29" t="n">
        <f aca="false">Y268*(1-MIN(1,INDEX(Tabla_Mortalidad!$B$5:$B$75,MIN(71,Cartera_Polizas!$B$270+23-49))*(1+(Cartera_Polizas!$P$270-1)*MAX(0,1-23/Supuestos!$C$20))*(1-Supuestos!$C$18)^23))</f>
        <v>0.0307918712138468</v>
      </c>
      <c r="AA268" s="29" t="n">
        <f aca="false">Z268*(1-MIN(1,INDEX(Tabla_Mortalidad!$B$5:$B$75,MIN(71,Cartera_Polizas!$B$270+24-49))*(1+(Cartera_Polizas!$P$270-1)*MAX(0,1-24/Supuestos!$C$20))*(1-Supuestos!$C$18)^24))</f>
        <v>0.0208258695008528</v>
      </c>
      <c r="AB268" s="29" t="n">
        <f aca="false">AA268*(1-MIN(1,INDEX(Tabla_Mortalidad!$B$5:$B$75,MIN(71,Cartera_Polizas!$B$270+25-49))*(1+(Cartera_Polizas!$P$270-1)*MAX(0,1-25/Supuestos!$C$20))*(1-Supuestos!$C$18)^25))</f>
        <v>0.0135190178140026</v>
      </c>
      <c r="AC268" s="29" t="n">
        <f aca="false">AB268*(1-MIN(1,INDEX(Tabla_Mortalidad!$B$5:$B$75,MIN(71,Cartera_Polizas!$B$270+26-49))*(1+(Cartera_Polizas!$P$270-1)*MAX(0,1-26/Supuestos!$C$20))*(1-Supuestos!$C$18)^26))</f>
        <v>0.00839033447399639</v>
      </c>
      <c r="AD268" s="29" t="n">
        <f aca="false">AC268*(1-MIN(1,INDEX(Tabla_Mortalidad!$B$5:$B$75,MIN(71,Cartera_Polizas!$B$270+27-49))*(1+(Cartera_Polizas!$P$270-1)*MAX(0,1-27/Supuestos!$C$20))*(1-Supuestos!$C$18)^27))</f>
        <v>0.00495820466126542</v>
      </c>
      <c r="AE268" s="29" t="n">
        <f aca="false">AD268*(1-MIN(1,INDEX(Tabla_Mortalidad!$B$5:$B$75,MIN(71,Cartera_Polizas!$B$270+28-49))*(1+(Cartera_Polizas!$P$270-1)*MAX(0,1-28/Supuestos!$C$20))*(1-Supuestos!$C$18)^28))</f>
        <v>0.0027779012435985</v>
      </c>
      <c r="AF268" s="29" t="n">
        <f aca="false">AE268*(1-MIN(1,INDEX(Tabla_Mortalidad!$B$5:$B$75,MIN(71,Cartera_Polizas!$B$270+29-49))*(1+(Cartera_Polizas!$P$270-1)*MAX(0,1-29/Supuestos!$C$20))*(1-Supuestos!$C$18)^29))</f>
        <v>0.00146904306716078</v>
      </c>
      <c r="AG268" s="29" t="n">
        <f aca="false">AF268*(1-MIN(1,INDEX(Tabla_Mortalidad!$B$5:$B$75,MIN(71,Cartera_Polizas!$B$270+30-49))*(1+(Cartera_Polizas!$P$270-1)*MAX(0,1-30/Supuestos!$C$20))*(1-Supuestos!$C$18)^30))</f>
        <v>0.000730021567503373</v>
      </c>
      <c r="AH268" s="29" t="n">
        <f aca="false">AG268*(1-MIN(1,INDEX(Tabla_Mortalidad!$B$5:$B$75,MIN(71,Cartera_Polizas!$B$270+31-49))*(1+(Cartera_Polizas!$P$270-1)*MAX(0,1-31/Supuestos!$C$20))*(1-Supuestos!$C$18)^31))</f>
        <v>0.000339399993150038</v>
      </c>
      <c r="AI268" s="29" t="n">
        <f aca="false">AH268*(1-MIN(1,INDEX(Tabla_Mortalidad!$B$5:$B$75,MIN(71,Cartera_Polizas!$B$270+32-49))*(1+(Cartera_Polizas!$P$270-1)*MAX(0,1-32/Supuestos!$C$20))*(1-Supuestos!$C$18)^32))</f>
        <v>0.000147015924313411</v>
      </c>
      <c r="AJ268" s="29" t="n">
        <f aca="false">AI268*(1-MIN(1,INDEX(Tabla_Mortalidad!$B$5:$B$75,MIN(71,Cartera_Polizas!$B$270+33-49))*(1+(Cartera_Polizas!$P$270-1)*MAX(0,1-33/Supuestos!$C$20))*(1-Supuestos!$C$18)^33))</f>
        <v>5.91152349300639E-005</v>
      </c>
      <c r="AK268" s="29" t="n">
        <f aca="false">AJ268*(1-MIN(1,INDEX(Tabla_Mortalidad!$B$5:$B$75,MIN(71,Cartera_Polizas!$B$270+34-49))*(1+(Cartera_Polizas!$P$270-1)*MAX(0,1-34/Supuestos!$C$20))*(1-Supuestos!$C$18)^34))</f>
        <v>2.20015323048585E-005</v>
      </c>
      <c r="AL268" s="29" t="n">
        <f aca="false">AK268*(1-MIN(1,INDEX(Tabla_Mortalidad!$B$5:$B$75,MIN(71,Cartera_Polizas!$B$270+35-49))*(1+(Cartera_Polizas!$P$270-1)*MAX(0,1-35/Supuestos!$C$20))*(1-Supuestos!$C$18)^35))</f>
        <v>7.56554793064788E-006</v>
      </c>
      <c r="AM268" s="29" t="n">
        <f aca="false">AL268*(1-MIN(1,INDEX(Tabla_Mortalidad!$B$5:$B$75,MIN(71,Cartera_Polizas!$B$270+36-49))*(1+(Cartera_Polizas!$P$270-1)*MAX(0,1-36/Supuestos!$C$20))*(1-Supuestos!$C$18)^36))</f>
        <v>2.40281223360795E-006</v>
      </c>
      <c r="AN268" s="29" t="n">
        <f aca="false">AM268*(1-MIN(1,INDEX(Tabla_Mortalidad!$B$5:$B$75,MIN(71,Cartera_Polizas!$B$270+37-49))*(1+(Cartera_Polizas!$P$270-1)*MAX(0,1-37/Supuestos!$C$20))*(1-Supuestos!$C$18)^37))</f>
        <v>7.05930786769259E-007</v>
      </c>
      <c r="AO268" s="29" t="n">
        <f aca="false">AN268*(1-MIN(1,INDEX(Tabla_Mortalidad!$B$5:$B$75,MIN(71,Cartera_Polizas!$B$270+38-49))*(1+(Cartera_Polizas!$P$270-1)*MAX(0,1-38/Supuestos!$C$20))*(1-Supuestos!$C$18)^38))</f>
        <v>1.92571794161705E-007</v>
      </c>
      <c r="AP268" s="29" t="n">
        <f aca="false">AO268*(1-MIN(1,INDEX(Tabla_Mortalidad!$B$5:$B$75,MIN(71,Cartera_Polizas!$B$270+39-49))*(1+(Cartera_Polizas!$P$270-1)*MAX(0,1-39/Supuestos!$C$20))*(1-Supuestos!$C$18)^39))</f>
        <v>4.90753445710602E-008</v>
      </c>
      <c r="AQ268" s="29" t="n">
        <f aca="false">AP268*(1-MIN(1,INDEX(Tabla_Mortalidad!$B$5:$B$75,MIN(71,Cartera_Polizas!$B$270+40-49))*(1+(Cartera_Polizas!$P$270-1)*MAX(0,1-40/Supuestos!$C$20))*(1-Supuestos!$C$18)^40))</f>
        <v>1.1782134735117E-008</v>
      </c>
      <c r="AR268" s="29" t="n">
        <f aca="false">AQ268*(1-MIN(1,INDEX(Tabla_Mortalidad!$B$5:$B$75,MIN(71,Cartera_Polizas!$B$270+41-49))*(1+(Cartera_Polizas!$P$270-1)*MAX(0,1-41/Supuestos!$C$20))*(1-Supuestos!$C$18)^41))</f>
        <v>2.69247385775144E-009</v>
      </c>
      <c r="AS268" s="29" t="n">
        <f aca="false">AR268*(1-MIN(1,INDEX(Tabla_Mortalidad!$B$5:$B$75,MIN(71,Cartera_Polizas!$B$270+42-49))*(1+(Cartera_Polizas!$P$270-1)*MAX(0,1-42/Supuestos!$C$20))*(1-Supuestos!$C$18)^42))</f>
        <v>5.11146297318823E-010</v>
      </c>
      <c r="AT268" s="29" t="n">
        <f aca="false">AS268*(1-MIN(1,INDEX(Tabla_Mortalidad!$B$5:$B$75,MIN(71,Cartera_Polizas!$B$270+43-49))*(1+(Cartera_Polizas!$P$270-1)*MAX(0,1-43/Supuestos!$C$20))*(1-Supuestos!$C$18)^43))</f>
        <v>9.91078981224967E-011</v>
      </c>
      <c r="AU268" s="29" t="n">
        <f aca="false">AT268*(1-MIN(1,INDEX(Tabla_Mortalidad!$B$5:$B$75,MIN(71,Cartera_Polizas!$B$270+44-49))*(1+(Cartera_Polizas!$P$270-1)*MAX(0,1-44/Supuestos!$C$20))*(1-Supuestos!$C$18)^44))</f>
        <v>1.96158258825374E-011</v>
      </c>
    </row>
    <row r="269" customFormat="false" ht="15" hidden="false" customHeight="false" outlineLevel="0" collapsed="false">
      <c r="A269" s="14" t="n">
        <f aca="false">Cartera_Polizas!A271</f>
        <v>266</v>
      </c>
      <c r="B269" s="26" t="n">
        <f aca="false">SUM(C269:AU269)+0.5</f>
        <v>5.21906051005044</v>
      </c>
      <c r="C269" s="29" t="n">
        <f aca="false">1-MIN(1,INDEX(Tabla_Mortalidad!$B$5:$B$75,MIN(71,Cartera_Polizas!$B$271+0-49))*(1+(Cartera_Polizas!$P$271-1)*MAX(0,1-0/Supuestos!$C$20))*(1-Supuestos!$C$18)^0)</f>
        <v>0.8677096</v>
      </c>
      <c r="D269" s="29" t="n">
        <f aca="false">C269*(1-MIN(1,INDEX(Tabla_Mortalidad!$B$5:$B$75,MIN(71,Cartera_Polizas!$B$271+1-49))*(1+(Cartera_Polizas!$P$271-1)*MAX(0,1-1/Supuestos!$C$20))*(1-Supuestos!$C$18)^1))</f>
        <v>0.744438427450113</v>
      </c>
      <c r="E269" s="29" t="n">
        <f aca="false">D269*(1-MIN(1,INDEX(Tabla_Mortalidad!$B$5:$B$75,MIN(71,Cartera_Polizas!$B$271+2-49))*(1+(Cartera_Polizas!$P$271-1)*MAX(0,1-2/Supuestos!$C$20))*(1-Supuestos!$C$18)^2))</f>
        <v>0.631021189221221</v>
      </c>
      <c r="F269" s="29" t="n">
        <f aca="false">E269*(1-MIN(1,INDEX(Tabla_Mortalidad!$B$5:$B$75,MIN(71,Cartera_Polizas!$B$271+3-49))*(1+(Cartera_Polizas!$P$271-1)*MAX(0,1-3/Supuestos!$C$20))*(1-Supuestos!$C$18)^3))</f>
        <v>0.528077790064662</v>
      </c>
      <c r="G269" s="29" t="n">
        <f aca="false">F269*(1-MIN(1,INDEX(Tabla_Mortalidad!$B$5:$B$75,MIN(71,Cartera_Polizas!$B$271+4-49))*(1+(Cartera_Polizas!$P$271-1)*MAX(0,1-4/Supuestos!$C$20))*(1-Supuestos!$C$18)^4))</f>
        <v>0.435979658326519</v>
      </c>
      <c r="H269" s="29" t="n">
        <f aca="false">G269*(1-MIN(1,INDEX(Tabla_Mortalidad!$B$5:$B$75,MIN(71,Cartera_Polizas!$B$271+5-49))*(1+(Cartera_Polizas!$P$271-1)*MAX(0,1-5/Supuestos!$C$20))*(1-Supuestos!$C$18)^5))</f>
        <v>0.354836481021253</v>
      </c>
      <c r="I269" s="29" t="n">
        <f aca="false">H269*(1-MIN(1,INDEX(Tabla_Mortalidad!$B$5:$B$75,MIN(71,Cartera_Polizas!$B$271+6-49))*(1+(Cartera_Polizas!$P$271-1)*MAX(0,1-6/Supuestos!$C$20))*(1-Supuestos!$C$18)^6))</f>
        <v>0.284494151340971</v>
      </c>
      <c r="J269" s="29" t="n">
        <f aca="false">I269*(1-MIN(1,INDEX(Tabla_Mortalidad!$B$5:$B$75,MIN(71,Cartera_Polizas!$B$271+7-49))*(1+(Cartera_Polizas!$P$271-1)*MAX(0,1-7/Supuestos!$C$20))*(1-Supuestos!$C$18)^7))</f>
        <v>0.22454810544339</v>
      </c>
      <c r="K269" s="29" t="n">
        <f aca="false">J269*(1-MIN(1,INDEX(Tabla_Mortalidad!$B$5:$B$75,MIN(71,Cartera_Polizas!$B$271+8-49))*(1+(Cartera_Polizas!$P$271-1)*MAX(0,1-8/Supuestos!$C$20))*(1-Supuestos!$C$18)^8))</f>
        <v>0.174370558306779</v>
      </c>
      <c r="L269" s="29" t="n">
        <f aca="false">K269*(1-MIN(1,INDEX(Tabla_Mortalidad!$B$5:$B$75,MIN(71,Cartera_Polizas!$B$271+9-49))*(1+(Cartera_Polizas!$P$271-1)*MAX(0,1-9/Supuestos!$C$20))*(1-Supuestos!$C$18)^9))</f>
        <v>0.133149806997627</v>
      </c>
      <c r="M269" s="29" t="n">
        <f aca="false">L269*(1-MIN(1,INDEX(Tabla_Mortalidad!$B$5:$B$75,MIN(71,Cartera_Polizas!$B$271+10-49))*(1+(Cartera_Polizas!$P$271-1)*MAX(0,1-10/Supuestos!$C$20))*(1-Supuestos!$C$18)^10))</f>
        <v>0.0999408170366591</v>
      </c>
      <c r="N269" s="29" t="n">
        <f aca="false">M269*(1-MIN(1,INDEX(Tabla_Mortalidad!$B$5:$B$75,MIN(71,Cartera_Polizas!$B$271+11-49))*(1+(Cartera_Polizas!$P$271-1)*MAX(0,1-11/Supuestos!$C$20))*(1-Supuestos!$C$18)^11))</f>
        <v>0.0737198451520433</v>
      </c>
      <c r="O269" s="29" t="n">
        <f aca="false">N269*(1-MIN(1,INDEX(Tabla_Mortalidad!$B$5:$B$75,MIN(71,Cartera_Polizas!$B$271+12-49))*(1+(Cartera_Polizas!$P$271-1)*MAX(0,1-12/Supuestos!$C$20))*(1-Supuestos!$C$18)^12))</f>
        <v>0.0534391914762562</v>
      </c>
      <c r="P269" s="29" t="n">
        <f aca="false">O269*(1-MIN(1,INDEX(Tabla_Mortalidad!$B$5:$B$75,MIN(71,Cartera_Polizas!$B$271+13-49))*(1+(Cartera_Polizas!$P$271-1)*MAX(0,1-13/Supuestos!$C$20))*(1-Supuestos!$C$18)^13))</f>
        <v>0.0380783638544645</v>
      </c>
      <c r="Q269" s="29" t="n">
        <f aca="false">P269*(1-MIN(1,INDEX(Tabla_Mortalidad!$B$5:$B$75,MIN(71,Cartera_Polizas!$B$271+14-49))*(1+(Cartera_Polizas!$P$271-1)*MAX(0,1-14/Supuestos!$C$20))*(1-Supuestos!$C$18)^14))</f>
        <v>0.0266862674948547</v>
      </c>
      <c r="R269" s="29" t="n">
        <f aca="false">Q269*(1-MIN(1,INDEX(Tabla_Mortalidad!$B$5:$B$75,MIN(71,Cartera_Polizas!$B$271+15-49))*(1+(Cartera_Polizas!$P$271-1)*MAX(0,1-15/Supuestos!$C$20))*(1-Supuestos!$C$18)^15))</f>
        <v>0.0184119639796914</v>
      </c>
      <c r="S269" s="29" t="n">
        <f aca="false">R269*(1-MIN(1,INDEX(Tabla_Mortalidad!$B$5:$B$75,MIN(71,Cartera_Polizas!$B$271+16-49))*(1+(Cartera_Polizas!$P$271-1)*MAX(0,1-16/Supuestos!$C$20))*(1-Supuestos!$C$18)^16))</f>
        <v>0.0122089844717262</v>
      </c>
      <c r="T269" s="29" t="n">
        <f aca="false">S269*(1-MIN(1,INDEX(Tabla_Mortalidad!$B$5:$B$75,MIN(71,Cartera_Polizas!$B$271+17-49))*(1+(Cartera_Polizas!$P$271-1)*MAX(0,1-17/Supuestos!$C$20))*(1-Supuestos!$C$18)^17))</f>
        <v>0.0077501428658314</v>
      </c>
      <c r="U269" s="29" t="n">
        <f aca="false">T269*(1-MIN(1,INDEX(Tabla_Mortalidad!$B$5:$B$75,MIN(71,Cartera_Polizas!$B$271+18-49))*(1+(Cartera_Polizas!$P$271-1)*MAX(0,1-18/Supuestos!$C$20))*(1-Supuestos!$C$18)^18))</f>
        <v>0.00468968921043336</v>
      </c>
      <c r="V269" s="29" t="n">
        <f aca="false">U269*(1-MIN(1,INDEX(Tabla_Mortalidad!$B$5:$B$75,MIN(71,Cartera_Polizas!$B$271+19-49))*(1+(Cartera_Polizas!$P$271-1)*MAX(0,1-19/Supuestos!$C$20))*(1-Supuestos!$C$18)^19))</f>
        <v>0.00269284654059435</v>
      </c>
      <c r="W269" s="29" t="n">
        <f aca="false">V269*(1-MIN(1,INDEX(Tabla_Mortalidad!$B$5:$B$75,MIN(71,Cartera_Polizas!$B$271+20-49))*(1+(Cartera_Polizas!$P$271-1)*MAX(0,1-20/Supuestos!$C$20))*(1-Supuestos!$C$18)^20))</f>
        <v>0.00146025425606955</v>
      </c>
      <c r="X269" s="29" t="n">
        <f aca="false">W269*(1-MIN(1,INDEX(Tabla_Mortalidad!$B$5:$B$75,MIN(71,Cartera_Polizas!$B$271+21-49))*(1+(Cartera_Polizas!$P$271-1)*MAX(0,1-21/Supuestos!$C$20))*(1-Supuestos!$C$18)^21))</f>
        <v>0.00074407848727806</v>
      </c>
      <c r="Y269" s="29" t="n">
        <f aca="false">X269*(1-MIN(1,INDEX(Tabla_Mortalidad!$B$5:$B$75,MIN(71,Cartera_Polizas!$B$271+22-49))*(1+(Cartera_Polizas!$P$271-1)*MAX(0,1-22/Supuestos!$C$20))*(1-Supuestos!$C$18)^22))</f>
        <v>0.000354444666154764</v>
      </c>
      <c r="Z269" s="29" t="n">
        <f aca="false">Y269*(1-MIN(1,INDEX(Tabla_Mortalidad!$B$5:$B$75,MIN(71,Cartera_Polizas!$B$271+23-49))*(1+(Cartera_Polizas!$P$271-1)*MAX(0,1-23/Supuestos!$C$20))*(1-Supuestos!$C$18)^23))</f>
        <v>0.00015702776323141</v>
      </c>
      <c r="AA269" s="29" t="n">
        <f aca="false">Z269*(1-MIN(1,INDEX(Tabla_Mortalidad!$B$5:$B$75,MIN(71,Cartera_Polizas!$B$271+24-49))*(1+(Cartera_Polizas!$P$271-1)*MAX(0,1-24/Supuestos!$C$20))*(1-Supuestos!$C$18)^24))</f>
        <v>6.43769842897676E-005</v>
      </c>
      <c r="AB269" s="29" t="n">
        <f aca="false">AA269*(1-MIN(1,INDEX(Tabla_Mortalidad!$B$5:$B$75,MIN(71,Cartera_Polizas!$B$271+25-49))*(1+(Cartera_Polizas!$P$271-1)*MAX(0,1-25/Supuestos!$C$20))*(1-Supuestos!$C$18)^25))</f>
        <v>2.43111781864403E-005</v>
      </c>
      <c r="AC269" s="29" t="n">
        <f aca="false">AB269*(1-MIN(1,INDEX(Tabla_Mortalidad!$B$5:$B$75,MIN(71,Cartera_Polizas!$B$271+26-49))*(1+(Cartera_Polizas!$P$271-1)*MAX(0,1-26/Supuestos!$C$20))*(1-Supuestos!$C$18)^26))</f>
        <v>8.42365401653569E-006</v>
      </c>
      <c r="AD269" s="29" t="n">
        <f aca="false">AC269*(1-MIN(1,INDEX(Tabla_Mortalidad!$B$5:$B$75,MIN(71,Cartera_Polizas!$B$271+27-49))*(1+(Cartera_Polizas!$P$271-1)*MAX(0,1-27/Supuestos!$C$20))*(1-Supuestos!$C$18)^27))</f>
        <v>2.67045563390063E-006</v>
      </c>
      <c r="AE269" s="29" t="n">
        <f aca="false">AD269*(1-MIN(1,INDEX(Tabla_Mortalidad!$B$5:$B$75,MIN(71,Cartera_Polizas!$B$271+28-49))*(1+(Cartera_Polizas!$P$271-1)*MAX(0,1-28/Supuestos!$C$20))*(1-Supuestos!$C$18)^28))</f>
        <v>7.73574023071771E-007</v>
      </c>
      <c r="AF269" s="29" t="n">
        <f aca="false">AE269*(1-MIN(1,INDEX(Tabla_Mortalidad!$B$5:$B$75,MIN(71,Cartera_Polizas!$B$271+29-49))*(1+(Cartera_Polizas!$P$271-1)*MAX(0,1-29/Supuestos!$C$20))*(1-Supuestos!$C$18)^29))</f>
        <v>2.04918975567481E-007</v>
      </c>
      <c r="AG269" s="29" t="n">
        <f aca="false">AF269*(1-MIN(1,INDEX(Tabla_Mortalidad!$B$5:$B$75,MIN(71,Cartera_Polizas!$B$271+30-49))*(1+(Cartera_Polizas!$P$271-1)*MAX(0,1-30/Supuestos!$C$20))*(1-Supuestos!$C$18)^30))</f>
        <v>4.98029810756893E-008</v>
      </c>
      <c r="AH269" s="29" t="n">
        <f aca="false">AG269*(1-MIN(1,INDEX(Tabla_Mortalidad!$B$5:$B$75,MIN(71,Cartera_Polizas!$B$271+31-49))*(1+(Cartera_Polizas!$P$271-1)*MAX(0,1-31/Supuestos!$C$20))*(1-Supuestos!$C$18)^31))</f>
        <v>1.11734734663378E-008</v>
      </c>
      <c r="AI269" s="29" t="n">
        <f aca="false">AH269*(1-MIN(1,INDEX(Tabla_Mortalidad!$B$5:$B$75,MIN(71,Cartera_Polizas!$B$271+32-49))*(1+(Cartera_Polizas!$P$271-1)*MAX(0,1-32/Supuestos!$C$20))*(1-Supuestos!$C$18)^32))</f>
        <v>2.33514854741141E-009</v>
      </c>
      <c r="AJ269" s="29" t="n">
        <f aca="false">AI269*(1-MIN(1,INDEX(Tabla_Mortalidad!$B$5:$B$75,MIN(71,Cartera_Polizas!$B$271+33-49))*(1+(Cartera_Polizas!$P$271-1)*MAX(0,1-33/Supuestos!$C$20))*(1-Supuestos!$C$18)^33))</f>
        <v>4.59922777139789E-010</v>
      </c>
      <c r="AK269" s="29" t="n">
        <f aca="false">AJ269*(1-MIN(1,INDEX(Tabla_Mortalidad!$B$5:$B$75,MIN(71,Cartera_Polizas!$B$271+34-49))*(1+(Cartera_Polizas!$P$271-1)*MAX(0,1-34/Supuestos!$C$20))*(1-Supuestos!$C$18)^34))</f>
        <v>7.20675369910421E-011</v>
      </c>
      <c r="AL269" s="29" t="n">
        <f aca="false">AK269*(1-MIN(1,INDEX(Tabla_Mortalidad!$B$5:$B$75,MIN(71,Cartera_Polizas!$B$271+35-49))*(1+(Cartera_Polizas!$P$271-1)*MAX(0,1-35/Supuestos!$C$20))*(1-Supuestos!$C$18)^35))</f>
        <v>1.15964875243983E-011</v>
      </c>
      <c r="AM269" s="29" t="n">
        <f aca="false">AL269*(1-MIN(1,INDEX(Tabla_Mortalidad!$B$5:$B$75,MIN(71,Cartera_Polizas!$B$271+36-49))*(1+(Cartera_Polizas!$P$271-1)*MAX(0,1-36/Supuestos!$C$20))*(1-Supuestos!$C$18)^36))</f>
        <v>1.9146593253813E-012</v>
      </c>
      <c r="AN269" s="29" t="n">
        <f aca="false">AM269*(1-MIN(1,INDEX(Tabla_Mortalidad!$B$5:$B$75,MIN(71,Cartera_Polizas!$B$271+37-49))*(1+(Cartera_Polizas!$P$271-1)*MAX(0,1-37/Supuestos!$C$20))*(1-Supuestos!$C$18)^37))</f>
        <v>3.2411601681989E-013</v>
      </c>
      <c r="AO269" s="29" t="n">
        <f aca="false">AN269*(1-MIN(1,INDEX(Tabla_Mortalidad!$B$5:$B$75,MIN(71,Cartera_Polizas!$B$271+38-49))*(1+(Cartera_Polizas!$P$271-1)*MAX(0,1-38/Supuestos!$C$20))*(1-Supuestos!$C$18)^38))</f>
        <v>5.62130263808208E-014</v>
      </c>
      <c r="AP269" s="29" t="n">
        <f aca="false">AO269*(1-MIN(1,INDEX(Tabla_Mortalidad!$B$5:$B$75,MIN(71,Cartera_Polizas!$B$271+39-49))*(1+(Cartera_Polizas!$P$271-1)*MAX(0,1-39/Supuestos!$C$20))*(1-Supuestos!$C$18)^39))</f>
        <v>9.98161879187201E-015</v>
      </c>
      <c r="AQ269" s="29" t="n">
        <f aca="false">AP269*(1-MIN(1,INDEX(Tabla_Mortalidad!$B$5:$B$75,MIN(71,Cartera_Polizas!$B$271+40-49))*(1+(Cartera_Polizas!$P$271-1)*MAX(0,1-40/Supuestos!$C$20))*(1-Supuestos!$C$18)^40))</f>
        <v>1.81345929410511E-015</v>
      </c>
      <c r="AR269" s="29" t="n">
        <f aca="false">AQ269*(1-MIN(1,INDEX(Tabla_Mortalidad!$B$5:$B$75,MIN(71,Cartera_Polizas!$B$271+41-49))*(1+(Cartera_Polizas!$P$271-1)*MAX(0,1-41/Supuestos!$C$20))*(1-Supuestos!$C$18)^41))</f>
        <v>3.36889016228431E-016</v>
      </c>
      <c r="AS269" s="29" t="n">
        <f aca="false">AR269*(1-MIN(1,INDEX(Tabla_Mortalidad!$B$5:$B$75,MIN(71,Cartera_Polizas!$B$271+42-49))*(1+(Cartera_Polizas!$P$271-1)*MAX(0,1-42/Supuestos!$C$20))*(1-Supuestos!$C$18)^42))</f>
        <v>6.39558942259711E-017</v>
      </c>
      <c r="AT269" s="29" t="n">
        <f aca="false">AS269*(1-MIN(1,INDEX(Tabla_Mortalidad!$B$5:$B$75,MIN(71,Cartera_Polizas!$B$271+43-49))*(1+(Cartera_Polizas!$P$271-1)*MAX(0,1-43/Supuestos!$C$20))*(1-Supuestos!$C$18)^43))</f>
        <v>1.24006263618244E-017</v>
      </c>
      <c r="AU269" s="29" t="n">
        <f aca="false">AT269*(1-MIN(1,INDEX(Tabla_Mortalidad!$B$5:$B$75,MIN(71,Cartera_Polizas!$B$271+44-49))*(1+(Cartera_Polizas!$P$271-1)*MAX(0,1-44/Supuestos!$C$20))*(1-Supuestos!$C$18)^44))</f>
        <v>2.45438085315155E-018</v>
      </c>
    </row>
    <row r="270" customFormat="false" ht="15" hidden="false" customHeight="false" outlineLevel="0" collapsed="false">
      <c r="A270" s="14" t="n">
        <f aca="false">Cartera_Polizas!A272</f>
        <v>267</v>
      </c>
      <c r="B270" s="26" t="n">
        <f aca="false">SUM(C270:AU270)+0.5</f>
        <v>6.40575426590413</v>
      </c>
      <c r="C270" s="29" t="n">
        <f aca="false">1-MIN(1,INDEX(Tabla_Mortalidad!$B$5:$B$75,MIN(71,Cartera_Polizas!$B$272+0-49))*(1+(Cartera_Polizas!$P$272-1)*MAX(0,1-0/Supuestos!$C$20))*(1-Supuestos!$C$18)^0)</f>
        <v>0.8871913</v>
      </c>
      <c r="D270" s="29" t="n">
        <f aca="false">C270*(1-MIN(1,INDEX(Tabla_Mortalidad!$B$5:$B$75,MIN(71,Cartera_Polizas!$B$272+1-49))*(1+(Cartera_Polizas!$P$272-1)*MAX(0,1-1/Supuestos!$C$20))*(1-Supuestos!$C$18)^1))</f>
        <v>0.781089233577328</v>
      </c>
      <c r="E270" s="29" t="n">
        <f aca="false">D270*(1-MIN(1,INDEX(Tabla_Mortalidad!$B$5:$B$75,MIN(71,Cartera_Polizas!$B$272+2-49))*(1+(Cartera_Polizas!$P$272-1)*MAX(0,1-2/Supuestos!$C$20))*(1-Supuestos!$C$18)^2))</f>
        <v>0.682285740798138</v>
      </c>
      <c r="F270" s="29" t="n">
        <f aca="false">E270*(1-MIN(1,INDEX(Tabla_Mortalidad!$B$5:$B$75,MIN(71,Cartera_Polizas!$B$272+3-49))*(1+(Cartera_Polizas!$P$272-1)*MAX(0,1-3/Supuestos!$C$20))*(1-Supuestos!$C$18)^3))</f>
        <v>0.591231009148858</v>
      </c>
      <c r="G270" s="29" t="n">
        <f aca="false">F270*(1-MIN(1,INDEX(Tabla_Mortalidad!$B$5:$B$75,MIN(71,Cartera_Polizas!$B$272+4-49))*(1+(Cartera_Polizas!$P$272-1)*MAX(0,1-4/Supuestos!$C$20))*(1-Supuestos!$C$18)^4))</f>
        <v>0.508221123157475</v>
      </c>
      <c r="H270" s="29" t="n">
        <f aca="false">G270*(1-MIN(1,INDEX(Tabla_Mortalidad!$B$5:$B$75,MIN(71,Cartera_Polizas!$B$272+5-49))*(1+(Cartera_Polizas!$P$272-1)*MAX(0,1-5/Supuestos!$C$20))*(1-Supuestos!$C$18)^5))</f>
        <v>0.433385754157798</v>
      </c>
      <c r="I270" s="29" t="n">
        <f aca="false">H270*(1-MIN(1,INDEX(Tabla_Mortalidad!$B$5:$B$75,MIN(71,Cartera_Polizas!$B$272+6-49))*(1+(Cartera_Polizas!$P$272-1)*MAX(0,1-6/Supuestos!$C$20))*(1-Supuestos!$C$18)^6))</f>
        <v>0.366687996552675</v>
      </c>
      <c r="J270" s="29" t="n">
        <f aca="false">I270*(1-MIN(1,INDEX(Tabla_Mortalidad!$B$5:$B$75,MIN(71,Cartera_Polizas!$B$272+7-49))*(1+(Cartera_Polizas!$P$272-1)*MAX(0,1-7/Supuestos!$C$20))*(1-Supuestos!$C$18)^7))</f>
        <v>0.307936281883629</v>
      </c>
      <c r="K270" s="29" t="n">
        <f aca="false">J270*(1-MIN(1,INDEX(Tabla_Mortalidad!$B$5:$B$75,MIN(71,Cartera_Polizas!$B$272+8-49))*(1+(Cartera_Polizas!$P$272-1)*MAX(0,1-8/Supuestos!$C$20))*(1-Supuestos!$C$18)^8))</f>
        <v>0.256793886309381</v>
      </c>
      <c r="L270" s="29" t="n">
        <f aca="false">K270*(1-MIN(1,INDEX(Tabla_Mortalidad!$B$5:$B$75,MIN(71,Cartera_Polizas!$B$272+9-49))*(1+(Cartera_Polizas!$P$272-1)*MAX(0,1-9/Supuestos!$C$20))*(1-Supuestos!$C$18)^9))</f>
        <v>0.212805206316472</v>
      </c>
      <c r="M270" s="29" t="n">
        <f aca="false">L270*(1-MIN(1,INDEX(Tabla_Mortalidad!$B$5:$B$75,MIN(71,Cartera_Polizas!$B$272+10-49))*(1+(Cartera_Polizas!$P$272-1)*MAX(0,1-10/Supuestos!$C$20))*(1-Supuestos!$C$18)^10))</f>
        <v>0.175418900347395</v>
      </c>
      <c r="N270" s="29" t="n">
        <f aca="false">M270*(1-MIN(1,INDEX(Tabla_Mortalidad!$B$5:$B$75,MIN(71,Cartera_Polizas!$B$272+11-49))*(1+(Cartera_Polizas!$P$272-1)*MAX(0,1-11/Supuestos!$C$20))*(1-Supuestos!$C$18)^11))</f>
        <v>0.144018135219868</v>
      </c>
      <c r="O270" s="29" t="n">
        <f aca="false">N270*(1-MIN(1,INDEX(Tabla_Mortalidad!$B$5:$B$75,MIN(71,Cartera_Polizas!$B$272+12-49))*(1+(Cartera_Polizas!$P$272-1)*MAX(0,1-12/Supuestos!$C$20))*(1-Supuestos!$C$18)^12))</f>
        <v>0.117950397421328</v>
      </c>
      <c r="P270" s="29" t="n">
        <f aca="false">O270*(1-MIN(1,INDEX(Tabla_Mortalidad!$B$5:$B$75,MIN(71,Cartera_Polizas!$B$272+13-49))*(1+(Cartera_Polizas!$P$272-1)*MAX(0,1-13/Supuestos!$C$20))*(1-Supuestos!$C$18)^13))</f>
        <v>0.0965561954061538</v>
      </c>
      <c r="Q270" s="29" t="n">
        <f aca="false">P270*(1-MIN(1,INDEX(Tabla_Mortalidad!$B$5:$B$75,MIN(71,Cartera_Polizas!$B$272+14-49))*(1+(Cartera_Polizas!$P$272-1)*MAX(0,1-14/Supuestos!$C$20))*(1-Supuestos!$C$18)^14))</f>
        <v>0.0791943908330864</v>
      </c>
      <c r="R270" s="29" t="n">
        <f aca="false">Q270*(1-MIN(1,INDEX(Tabla_Mortalidad!$B$5:$B$75,MIN(71,Cartera_Polizas!$B$272+15-49))*(1+(Cartera_Polizas!$P$272-1)*MAX(0,1-15/Supuestos!$C$20))*(1-Supuestos!$C$18)^15))</f>
        <v>0.0652628850135361</v>
      </c>
      <c r="S270" s="29" t="n">
        <f aca="false">R270*(1-MIN(1,INDEX(Tabla_Mortalidad!$B$5:$B$75,MIN(71,Cartera_Polizas!$B$272+16-49))*(1+(Cartera_Polizas!$P$272-1)*MAX(0,1-16/Supuestos!$C$20))*(1-Supuestos!$C$18)^16))</f>
        <v>0.0526604841947381</v>
      </c>
      <c r="T270" s="29" t="n">
        <f aca="false">S270*(1-MIN(1,INDEX(Tabla_Mortalidad!$B$5:$B$75,MIN(71,Cartera_Polizas!$B$272+17-49))*(1+(Cartera_Polizas!$P$272-1)*MAX(0,1-17/Supuestos!$C$20))*(1-Supuestos!$C$18)^17))</f>
        <v>0.041512818209462</v>
      </c>
      <c r="U270" s="29" t="n">
        <f aca="false">T270*(1-MIN(1,INDEX(Tabla_Mortalidad!$B$5:$B$75,MIN(71,Cartera_Polizas!$B$272+18-49))*(1+(Cartera_Polizas!$P$272-1)*MAX(0,1-18/Supuestos!$C$20))*(1-Supuestos!$C$18)^18))</f>
        <v>0.0318930245312791</v>
      </c>
      <c r="V270" s="29" t="n">
        <f aca="false">U270*(1-MIN(1,INDEX(Tabla_Mortalidad!$B$5:$B$75,MIN(71,Cartera_Polizas!$B$272+19-49))*(1+(Cartera_Polizas!$P$272-1)*MAX(0,1-19/Supuestos!$C$20))*(1-Supuestos!$C$18)^19))</f>
        <v>0.0238156514210026</v>
      </c>
      <c r="W270" s="29" t="n">
        <f aca="false">V270*(1-MIN(1,INDEX(Tabla_Mortalidad!$B$5:$B$75,MIN(71,Cartera_Polizas!$B$272+20-49))*(1+(Cartera_Polizas!$P$272-1)*MAX(0,1-20/Supuestos!$C$20))*(1-Supuestos!$C$18)^20))</f>
        <v>0.017235113958885</v>
      </c>
      <c r="X270" s="29" t="n">
        <f aca="false">W270*(1-MIN(1,INDEX(Tabla_Mortalidad!$B$5:$B$75,MIN(71,Cartera_Polizas!$B$272+21-49))*(1+(Cartera_Polizas!$P$272-1)*MAX(0,1-21/Supuestos!$C$20))*(1-Supuestos!$C$18)^21))</f>
        <v>0.0120495468823025</v>
      </c>
      <c r="Y270" s="29" t="n">
        <f aca="false">X270*(1-MIN(1,INDEX(Tabla_Mortalidad!$B$5:$B$75,MIN(71,Cartera_Polizas!$B$272+22-49))*(1+(Cartera_Polizas!$P$272-1)*MAX(0,1-22/Supuestos!$C$20))*(1-Supuestos!$C$18)^22))</f>
        <v>0.00811033419425442</v>
      </c>
      <c r="Z270" s="29" t="n">
        <f aca="false">Y270*(1-MIN(1,INDEX(Tabla_Mortalidad!$B$5:$B$75,MIN(71,Cartera_Polizas!$B$272+23-49))*(1+(Cartera_Polizas!$P$272-1)*MAX(0,1-23/Supuestos!$C$20))*(1-Supuestos!$C$18)^23))</f>
        <v>0.00523611597401963</v>
      </c>
      <c r="AA270" s="29" t="n">
        <f aca="false">Z270*(1-MIN(1,INDEX(Tabla_Mortalidad!$B$5:$B$75,MIN(71,Cartera_Polizas!$B$272+24-49))*(1+(Cartera_Polizas!$P$272-1)*MAX(0,1-24/Supuestos!$C$20))*(1-Supuestos!$C$18)^24))</f>
        <v>0.00322968676937751</v>
      </c>
      <c r="AB270" s="29" t="n">
        <f aca="false">AA270*(1-MIN(1,INDEX(Tabla_Mortalidad!$B$5:$B$75,MIN(71,Cartera_Polizas!$B$272+25-49))*(1+(Cartera_Polizas!$P$272-1)*MAX(0,1-25/Supuestos!$C$20))*(1-Supuestos!$C$18)^25))</f>
        <v>0.0018952479273799</v>
      </c>
      <c r="AC270" s="29" t="n">
        <f aca="false">AB270*(1-MIN(1,INDEX(Tabla_Mortalidad!$B$5:$B$75,MIN(71,Cartera_Polizas!$B$272+26-49))*(1+(Cartera_Polizas!$P$272-1)*MAX(0,1-26/Supuestos!$C$20))*(1-Supuestos!$C$18)^26))</f>
        <v>0.00105344127171734</v>
      </c>
      <c r="AD270" s="29" t="n">
        <f aca="false">AC270*(1-MIN(1,INDEX(Tabla_Mortalidad!$B$5:$B$75,MIN(71,Cartera_Polizas!$B$272+27-49))*(1+(Cartera_Polizas!$P$272-1)*MAX(0,1-27/Supuestos!$C$20))*(1-Supuestos!$C$18)^27))</f>
        <v>0.000552092499351355</v>
      </c>
      <c r="AE270" s="29" t="n">
        <f aca="false">AD270*(1-MIN(1,INDEX(Tabla_Mortalidad!$B$5:$B$75,MIN(71,Cartera_Polizas!$B$272+28-49))*(1+(Cartera_Polizas!$P$272-1)*MAX(0,1-28/Supuestos!$C$20))*(1-Supuestos!$C$18)^28))</f>
        <v>0.000271556738212102</v>
      </c>
      <c r="AF270" s="29" t="n">
        <f aca="false">AE270*(1-MIN(1,INDEX(Tabla_Mortalidad!$B$5:$B$75,MIN(71,Cartera_Polizas!$B$272+29-49))*(1+(Cartera_Polizas!$P$272-1)*MAX(0,1-29/Supuestos!$C$20))*(1-Supuestos!$C$18)^29))</f>
        <v>0.000124787528030195</v>
      </c>
      <c r="AG270" s="29" t="n">
        <f aca="false">AF270*(1-MIN(1,INDEX(Tabla_Mortalidad!$B$5:$B$75,MIN(71,Cartera_Polizas!$B$272+30-49))*(1+(Cartera_Polizas!$P$272-1)*MAX(0,1-30/Supuestos!$C$20))*(1-Supuestos!$C$18)^30))</f>
        <v>5.33408079072841E-005</v>
      </c>
      <c r="AH270" s="29" t="n">
        <f aca="false">AG270*(1-MIN(1,INDEX(Tabla_Mortalidad!$B$5:$B$75,MIN(71,Cartera_Polizas!$B$272+31-49))*(1+(Cartera_Polizas!$P$272-1)*MAX(0,1-31/Supuestos!$C$20))*(1-Supuestos!$C$18)^31))</f>
        <v>2.11270544759652E-005</v>
      </c>
      <c r="AI270" s="29" t="n">
        <f aca="false">AH270*(1-MIN(1,INDEX(Tabla_Mortalidad!$B$5:$B$75,MIN(71,Cartera_Polizas!$B$272+32-49))*(1+(Cartera_Polizas!$P$272-1)*MAX(0,1-32/Supuestos!$C$20))*(1-Supuestos!$C$18)^32))</f>
        <v>7.72943451329151E-006</v>
      </c>
      <c r="AJ270" s="29" t="n">
        <f aca="false">AI270*(1-MIN(1,INDEX(Tabla_Mortalidad!$B$5:$B$75,MIN(71,Cartera_Polizas!$B$272+33-49))*(1+(Cartera_Polizas!$P$272-1)*MAX(0,1-33/Supuestos!$C$20))*(1-Supuestos!$C$18)^33))</f>
        <v>2.60678037067478E-006</v>
      </c>
      <c r="AK270" s="29" t="n">
        <f aca="false">AJ270*(1-MIN(1,INDEX(Tabla_Mortalidad!$B$5:$B$75,MIN(71,Cartera_Polizas!$B$272+34-49))*(1+(Cartera_Polizas!$P$272-1)*MAX(0,1-34/Supuestos!$C$20))*(1-Supuestos!$C$18)^34))</f>
        <v>8.09988451622482E-007</v>
      </c>
      <c r="AL270" s="29" t="n">
        <f aca="false">AK270*(1-MIN(1,INDEX(Tabla_Mortalidad!$B$5:$B$75,MIN(71,Cartera_Polizas!$B$272+35-49))*(1+(Cartera_Polizas!$P$272-1)*MAX(0,1-35/Supuestos!$C$20))*(1-Supuestos!$C$18)^35))</f>
        <v>2.32206019987882E-007</v>
      </c>
      <c r="AM270" s="29" t="n">
        <f aca="false">AL270*(1-MIN(1,INDEX(Tabla_Mortalidad!$B$5:$B$75,MIN(71,Cartera_Polizas!$B$272+36-49))*(1+(Cartera_Polizas!$P$272-1)*MAX(0,1-36/Supuestos!$C$20))*(1-Supuestos!$C$18)^36))</f>
        <v>6.16424157422803E-008</v>
      </c>
      <c r="AN270" s="29" t="n">
        <f aca="false">AM270*(1-MIN(1,INDEX(Tabla_Mortalidad!$B$5:$B$75,MIN(71,Cartera_Polizas!$B$272+37-49))*(1+(Cartera_Polizas!$P$272-1)*MAX(0,1-37/Supuestos!$C$20))*(1-Supuestos!$C$18)^37))</f>
        <v>1.52462631761088E-008</v>
      </c>
      <c r="AO270" s="29" t="n">
        <f aca="false">AN270*(1-MIN(1,INDEX(Tabla_Mortalidad!$B$5:$B$75,MIN(71,Cartera_Polizas!$B$272+38-49))*(1+(Cartera_Polizas!$P$272-1)*MAX(0,1-38/Supuestos!$C$20))*(1-Supuestos!$C$18)^38))</f>
        <v>3.54362822745491E-009</v>
      </c>
      <c r="AP270" s="29" t="n">
        <f aca="false">AO270*(1-MIN(1,INDEX(Tabla_Mortalidad!$B$5:$B$75,MIN(71,Cartera_Polizas!$B$272+39-49))*(1+(Cartera_Polizas!$P$272-1)*MAX(0,1-39/Supuestos!$C$20))*(1-Supuestos!$C$18)^39))</f>
        <v>7.82251332013948E-010</v>
      </c>
      <c r="AQ270" s="29" t="n">
        <f aca="false">AP270*(1-MIN(1,INDEX(Tabla_Mortalidad!$B$5:$B$75,MIN(71,Cartera_Polizas!$B$272+40-49))*(1+(Cartera_Polizas!$P$272-1)*MAX(0,1-40/Supuestos!$C$20))*(1-Supuestos!$C$18)^40))</f>
        <v>1.42119327330146E-010</v>
      </c>
      <c r="AR270" s="29" t="n">
        <f aca="false">AQ270*(1-MIN(1,INDEX(Tabla_Mortalidad!$B$5:$B$75,MIN(71,Cartera_Polizas!$B$272+41-49))*(1+(Cartera_Polizas!$P$272-1)*MAX(0,1-41/Supuestos!$C$20))*(1-Supuestos!$C$18)^41))</f>
        <v>2.64017177153822E-011</v>
      </c>
      <c r="AS270" s="29" t="n">
        <f aca="false">AR270*(1-MIN(1,INDEX(Tabla_Mortalidad!$B$5:$B$75,MIN(71,Cartera_Polizas!$B$272+42-49))*(1+(Cartera_Polizas!$P$272-1)*MAX(0,1-42/Supuestos!$C$20))*(1-Supuestos!$C$18)^42))</f>
        <v>5.01217132126383E-012</v>
      </c>
      <c r="AT270" s="29" t="n">
        <f aca="false">AS270*(1-MIN(1,INDEX(Tabla_Mortalidad!$B$5:$B$75,MIN(71,Cartera_Polizas!$B$272+43-49))*(1+(Cartera_Polizas!$P$272-1)*MAX(0,1-43/Supuestos!$C$20))*(1-Supuestos!$C$18)^43))</f>
        <v>9.71826984340796E-013</v>
      </c>
      <c r="AU270" s="29" t="n">
        <f aca="false">AT270*(1-MIN(1,INDEX(Tabla_Mortalidad!$B$5:$B$75,MIN(71,Cartera_Polizas!$B$272+44-49))*(1+(Cartera_Polizas!$P$272-1)*MAX(0,1-44/Supuestos!$C$20))*(1-Supuestos!$C$18)^44))</f>
        <v>1.92347827710143E-013</v>
      </c>
    </row>
    <row r="271" customFormat="false" ht="15" hidden="false" customHeight="false" outlineLevel="0" collapsed="false">
      <c r="A271" s="14" t="n">
        <f aca="false">Cartera_Polizas!A273</f>
        <v>268</v>
      </c>
      <c r="B271" s="26" t="n">
        <f aca="false">SUM(C271:AU271)+0.5</f>
        <v>5.54899815902513</v>
      </c>
      <c r="C271" s="29" t="n">
        <f aca="false">1-MIN(1,INDEX(Tabla_Mortalidad!$B$5:$B$75,MIN(71,Cartera_Polizas!$B$273+0-49))*(1+(Cartera_Polizas!$P$273-1)*MAX(0,1-0/Supuestos!$C$20))*(1-Supuestos!$C$18)^0)</f>
        <v>0.88588306</v>
      </c>
      <c r="D271" s="29" t="n">
        <f aca="false">C271*(1-MIN(1,INDEX(Tabla_Mortalidad!$B$5:$B$75,MIN(71,Cartera_Polizas!$B$273+1-49))*(1+(Cartera_Polizas!$P$273-1)*MAX(0,1-1/Supuestos!$C$20))*(1-Supuestos!$C$18)^1))</f>
        <v>0.775613442927064</v>
      </c>
      <c r="E271" s="29" t="n">
        <f aca="false">D271*(1-MIN(1,INDEX(Tabla_Mortalidad!$B$5:$B$75,MIN(71,Cartera_Polizas!$B$273+2-49))*(1+(Cartera_Polizas!$P$273-1)*MAX(0,1-2/Supuestos!$C$20))*(1-Supuestos!$C$18)^2))</f>
        <v>0.670390508484777</v>
      </c>
      <c r="F271" s="29" t="n">
        <f aca="false">E271*(1-MIN(1,INDEX(Tabla_Mortalidad!$B$5:$B$75,MIN(71,Cartera_Polizas!$B$273+3-49))*(1+(Cartera_Polizas!$P$273-1)*MAX(0,1-3/Supuestos!$C$20))*(1-Supuestos!$C$18)^3))</f>
        <v>0.57135247685041</v>
      </c>
      <c r="G271" s="29" t="n">
        <f aca="false">F271*(1-MIN(1,INDEX(Tabla_Mortalidad!$B$5:$B$75,MIN(71,Cartera_Polizas!$B$273+4-49))*(1+(Cartera_Polizas!$P$273-1)*MAX(0,1-4/Supuestos!$C$20))*(1-Supuestos!$C$18)^4))</f>
        <v>0.479524351356819</v>
      </c>
      <c r="H271" s="29" t="n">
        <f aca="false">G271*(1-MIN(1,INDEX(Tabla_Mortalidad!$B$5:$B$75,MIN(71,Cartera_Polizas!$B$273+5-49))*(1+(Cartera_Polizas!$P$273-1)*MAX(0,1-5/Supuestos!$C$20))*(1-Supuestos!$C$18)^5))</f>
        <v>0.395766177322278</v>
      </c>
      <c r="I271" s="29" t="n">
        <f aca="false">H271*(1-MIN(1,INDEX(Tabla_Mortalidad!$B$5:$B$75,MIN(71,Cartera_Polizas!$B$273+6-49))*(1+(Cartera_Polizas!$P$273-1)*MAX(0,1-6/Supuestos!$C$20))*(1-Supuestos!$C$18)^6))</f>
        <v>0.320724529074777</v>
      </c>
      <c r="J271" s="29" t="n">
        <f aca="false">I271*(1-MIN(1,INDEX(Tabla_Mortalidad!$B$5:$B$75,MIN(71,Cartera_Polizas!$B$273+7-49))*(1+(Cartera_Polizas!$P$273-1)*MAX(0,1-7/Supuestos!$C$20))*(1-Supuestos!$C$18)^7))</f>
        <v>0.25479165667412</v>
      </c>
      <c r="K271" s="29" t="n">
        <f aca="false">J271*(1-MIN(1,INDEX(Tabla_Mortalidad!$B$5:$B$75,MIN(71,Cartera_Polizas!$B$273+8-49))*(1+(Cartera_Polizas!$P$273-1)*MAX(0,1-8/Supuestos!$C$20))*(1-Supuestos!$C$18)^8))</f>
        <v>0.198080833667576</v>
      </c>
      <c r="L271" s="29" t="n">
        <f aca="false">K271*(1-MIN(1,INDEX(Tabla_Mortalidad!$B$5:$B$75,MIN(71,Cartera_Polizas!$B$273+9-49))*(1+(Cartera_Polizas!$P$273-1)*MAX(0,1-9/Supuestos!$C$20))*(1-Supuestos!$C$18)^9))</f>
        <v>0.15041803417861</v>
      </c>
      <c r="M271" s="29" t="n">
        <f aca="false">L271*(1-MIN(1,INDEX(Tabla_Mortalidad!$B$5:$B$75,MIN(71,Cartera_Polizas!$B$273+10-49))*(1+(Cartera_Polizas!$P$273-1)*MAX(0,1-10/Supuestos!$C$20))*(1-Supuestos!$C$18)^10))</f>
        <v>0.111353732055058</v>
      </c>
      <c r="N271" s="29" t="n">
        <f aca="false">M271*(1-MIN(1,INDEX(Tabla_Mortalidad!$B$5:$B$75,MIN(71,Cartera_Polizas!$B$273+11-49))*(1+(Cartera_Polizas!$P$273-1)*MAX(0,1-11/Supuestos!$C$20))*(1-Supuestos!$C$18)^11))</f>
        <v>0.0801973964772136</v>
      </c>
      <c r="O271" s="29" t="n">
        <f aca="false">N271*(1-MIN(1,INDEX(Tabla_Mortalidad!$B$5:$B$75,MIN(71,Cartera_Polizas!$B$273+12-49))*(1+(Cartera_Polizas!$P$273-1)*MAX(0,1-12/Supuestos!$C$20))*(1-Supuestos!$C$18)^12))</f>
        <v>0.056070236218862</v>
      </c>
      <c r="P271" s="29" t="n">
        <f aca="false">O271*(1-MIN(1,INDEX(Tabla_Mortalidad!$B$5:$B$75,MIN(71,Cartera_Polizas!$B$273+13-49))*(1+(Cartera_Polizas!$P$273-1)*MAX(0,1-13/Supuestos!$C$20))*(1-Supuestos!$C$18)^13))</f>
        <v>0.0379715076304966</v>
      </c>
      <c r="Q271" s="29" t="n">
        <f aca="false">P271*(1-MIN(1,INDEX(Tabla_Mortalidad!$B$5:$B$75,MIN(71,Cartera_Polizas!$B$273+14-49))*(1+(Cartera_Polizas!$P$273-1)*MAX(0,1-14/Supuestos!$C$20))*(1-Supuestos!$C$18)^14))</f>
        <v>0.0248519088596956</v>
      </c>
      <c r="R271" s="29" t="n">
        <f aca="false">Q271*(1-MIN(1,INDEX(Tabla_Mortalidad!$B$5:$B$75,MIN(71,Cartera_Polizas!$B$273+15-49))*(1+(Cartera_Polizas!$P$273-1)*MAX(0,1-15/Supuestos!$C$20))*(1-Supuestos!$C$18)^15))</f>
        <v>0.0156842996061216</v>
      </c>
      <c r="S271" s="29" t="n">
        <f aca="false">R271*(1-MIN(1,INDEX(Tabla_Mortalidad!$B$5:$B$75,MIN(71,Cartera_Polizas!$B$273+16-49))*(1+(Cartera_Polizas!$P$273-1)*MAX(0,1-16/Supuestos!$C$20))*(1-Supuestos!$C$18)^16))</f>
        <v>0.00942832370300124</v>
      </c>
      <c r="T271" s="29" t="n">
        <f aca="false">S271*(1-MIN(1,INDEX(Tabla_Mortalidad!$B$5:$B$75,MIN(71,Cartera_Polizas!$B$273+17-49))*(1+(Cartera_Polizas!$P$273-1)*MAX(0,1-17/Supuestos!$C$20))*(1-Supuestos!$C$18)^17))</f>
        <v>0.00537334937501981</v>
      </c>
      <c r="U271" s="29" t="n">
        <f aca="false">T271*(1-MIN(1,INDEX(Tabla_Mortalidad!$B$5:$B$75,MIN(71,Cartera_Polizas!$B$273+18-49))*(1+(Cartera_Polizas!$P$273-1)*MAX(0,1-18/Supuestos!$C$20))*(1-Supuestos!$C$18)^18))</f>
        <v>0.00288903382296595</v>
      </c>
      <c r="V271" s="29" t="n">
        <f aca="false">U271*(1-MIN(1,INDEX(Tabla_Mortalidad!$B$5:$B$75,MIN(71,Cartera_Polizas!$B$273+19-49))*(1+(Cartera_Polizas!$P$273-1)*MAX(0,1-19/Supuestos!$C$20))*(1-Supuestos!$C$18)^19))</f>
        <v>0.00145784278827653</v>
      </c>
      <c r="W271" s="29" t="n">
        <f aca="false">V271*(1-MIN(1,INDEX(Tabla_Mortalidad!$B$5:$B$75,MIN(71,Cartera_Polizas!$B$273+20-49))*(1+(Cartera_Polizas!$P$273-1)*MAX(0,1-20/Supuestos!$C$20))*(1-Supuestos!$C$18)^20))</f>
        <v>0.000686757476407834</v>
      </c>
      <c r="X271" s="29" t="n">
        <f aca="false">W271*(1-MIN(1,INDEX(Tabla_Mortalidad!$B$5:$B$75,MIN(71,Cartera_Polizas!$B$273+21-49))*(1+(Cartera_Polizas!$P$273-1)*MAX(0,1-21/Supuestos!$C$20))*(1-Supuestos!$C$18)^21))</f>
        <v>0.000300396616733691</v>
      </c>
      <c r="Y271" s="29" t="n">
        <f aca="false">X271*(1-MIN(1,INDEX(Tabla_Mortalidad!$B$5:$B$75,MIN(71,Cartera_Polizas!$B$273+22-49))*(1+(Cartera_Polizas!$P$273-1)*MAX(0,1-22/Supuestos!$C$20))*(1-Supuestos!$C$18)^22))</f>
        <v>0.000121368391656513</v>
      </c>
      <c r="Z271" s="29" t="n">
        <f aca="false">Y271*(1-MIN(1,INDEX(Tabla_Mortalidad!$B$5:$B$75,MIN(71,Cartera_Polizas!$B$273+23-49))*(1+(Cartera_Polizas!$P$273-1)*MAX(0,1-23/Supuestos!$C$20))*(1-Supuestos!$C$18)^23))</f>
        <v>4.50722296558408E-005</v>
      </c>
      <c r="AA271" s="29" t="n">
        <f aca="false">Z271*(1-MIN(1,INDEX(Tabla_Mortalidad!$B$5:$B$75,MIN(71,Cartera_Polizas!$B$273+24-49))*(1+(Cartera_Polizas!$P$273-1)*MAX(0,1-24/Supuestos!$C$20))*(1-Supuestos!$C$18)^24))</f>
        <v>1.53204397328304E-005</v>
      </c>
      <c r="AB271" s="29" t="n">
        <f aca="false">AA271*(1-MIN(1,INDEX(Tabla_Mortalidad!$B$5:$B$75,MIN(71,Cartera_Polizas!$B$273+25-49))*(1+(Cartera_Polizas!$P$273-1)*MAX(0,1-25/Supuestos!$C$20))*(1-Supuestos!$C$18)^25))</f>
        <v>4.75143972750195E-006</v>
      </c>
      <c r="AC271" s="29" t="n">
        <f aca="false">AB271*(1-MIN(1,INDEX(Tabla_Mortalidad!$B$5:$B$75,MIN(71,Cartera_Polizas!$B$273+26-49))*(1+(Cartera_Polizas!$P$273-1)*MAX(0,1-26/Supuestos!$C$20))*(1-Supuestos!$C$18)^26))</f>
        <v>1.34238540035844E-006</v>
      </c>
      <c r="AD271" s="29" t="n">
        <f aca="false">AC271*(1-MIN(1,INDEX(Tabla_Mortalidad!$B$5:$B$75,MIN(71,Cartera_Polizas!$B$273+27-49))*(1+(Cartera_Polizas!$P$273-1)*MAX(0,1-27/Supuestos!$C$20))*(1-Supuestos!$C$18)^27))</f>
        <v>3.45654139232607E-007</v>
      </c>
      <c r="AE271" s="29" t="n">
        <f aca="false">AD271*(1-MIN(1,INDEX(Tabla_Mortalidad!$B$5:$B$75,MIN(71,Cartera_Polizas!$B$273+28-49))*(1+(Cartera_Polizas!$P$273-1)*MAX(0,1-28/Supuestos!$C$20))*(1-Supuestos!$C$18)^28))</f>
        <v>8.13706658447025E-008</v>
      </c>
      <c r="AF271" s="29" t="n">
        <f aca="false">AE271*(1-MIN(1,INDEX(Tabla_Mortalidad!$B$5:$B$75,MIN(71,Cartera_Polizas!$B$273+29-49))*(1+(Cartera_Polizas!$P$273-1)*MAX(0,1-29/Supuestos!$C$20))*(1-Supuestos!$C$18)^29))</f>
        <v>1.76198801668713E-008</v>
      </c>
      <c r="AG271" s="29" t="n">
        <f aca="false">AF271*(1-MIN(1,INDEX(Tabla_Mortalidad!$B$5:$B$75,MIN(71,Cartera_Polizas!$B$273+30-49))*(1+(Cartera_Polizas!$P$273-1)*MAX(0,1-30/Supuestos!$C$20))*(1-Supuestos!$C$18)^30))</f>
        <v>3.54195831003995E-009</v>
      </c>
      <c r="AH271" s="29" t="n">
        <f aca="false">AG271*(1-MIN(1,INDEX(Tabla_Mortalidad!$B$5:$B$75,MIN(71,Cartera_Polizas!$B$273+31-49))*(1+(Cartera_Polizas!$P$273-1)*MAX(0,1-31/Supuestos!$C$20))*(1-Supuestos!$C$18)^31))</f>
        <v>6.68953630152023E-010</v>
      </c>
      <c r="AI271" s="29" t="n">
        <f aca="false">AH271*(1-MIN(1,INDEX(Tabla_Mortalidad!$B$5:$B$75,MIN(71,Cartera_Polizas!$B$273+32-49))*(1+(Cartera_Polizas!$P$273-1)*MAX(0,1-32/Supuestos!$C$20))*(1-Supuestos!$C$18)^32))</f>
        <v>9.91376840021272E-011</v>
      </c>
      <c r="AJ271" s="29" t="n">
        <f aca="false">AI271*(1-MIN(1,INDEX(Tabla_Mortalidad!$B$5:$B$75,MIN(71,Cartera_Polizas!$B$273+33-49))*(1+(Cartera_Polizas!$P$273-1)*MAX(0,1-33/Supuestos!$C$20))*(1-Supuestos!$C$18)^33))</f>
        <v>1.51142487305911E-011</v>
      </c>
      <c r="AK271" s="29" t="n">
        <f aca="false">AJ271*(1-MIN(1,INDEX(Tabla_Mortalidad!$B$5:$B$75,MIN(71,Cartera_Polizas!$B$273+34-49))*(1+(Cartera_Polizas!$P$273-1)*MAX(0,1-34/Supuestos!$C$20))*(1-Supuestos!$C$18)^34))</f>
        <v>2.36832514853383E-012</v>
      </c>
      <c r="AL271" s="29" t="n">
        <f aca="false">AK271*(1-MIN(1,INDEX(Tabla_Mortalidad!$B$5:$B$75,MIN(71,Cartera_Polizas!$B$273+35-49))*(1+(Cartera_Polizas!$P$273-1)*MAX(0,1-35/Supuestos!$C$20))*(1-Supuestos!$C$18)^35))</f>
        <v>3.81090490744884E-013</v>
      </c>
      <c r="AM271" s="29" t="n">
        <f aca="false">AL271*(1-MIN(1,INDEX(Tabla_Mortalidad!$B$5:$B$75,MIN(71,Cartera_Polizas!$B$273+36-49))*(1+(Cartera_Polizas!$P$273-1)*MAX(0,1-36/Supuestos!$C$20))*(1-Supuestos!$C$18)^36))</f>
        <v>6.292064389184E-014</v>
      </c>
      <c r="AN271" s="29" t="n">
        <f aca="false">AM271*(1-MIN(1,INDEX(Tabla_Mortalidad!$B$5:$B$75,MIN(71,Cartera_Polizas!$B$273+37-49))*(1+(Cartera_Polizas!$P$273-1)*MAX(0,1-37/Supuestos!$C$20))*(1-Supuestos!$C$18)^37))</f>
        <v>1.0651288301591E-014</v>
      </c>
      <c r="AO271" s="29" t="n">
        <f aca="false">AN271*(1-MIN(1,INDEX(Tabla_Mortalidad!$B$5:$B$75,MIN(71,Cartera_Polizas!$B$273+38-49))*(1+(Cartera_Polizas!$P$273-1)*MAX(0,1-38/Supuestos!$C$20))*(1-Supuestos!$C$18)^38))</f>
        <v>1.84730503651654E-015</v>
      </c>
      <c r="AP271" s="29" t="n">
        <f aca="false">AO271*(1-MIN(1,INDEX(Tabla_Mortalidad!$B$5:$B$75,MIN(71,Cartera_Polizas!$B$273+39-49))*(1+(Cartera_Polizas!$P$273-1)*MAX(0,1-39/Supuestos!$C$20))*(1-Supuestos!$C$18)^39))</f>
        <v>3.2802173898085E-016</v>
      </c>
      <c r="AQ271" s="29" t="n">
        <f aca="false">AP271*(1-MIN(1,INDEX(Tabla_Mortalidad!$B$5:$B$75,MIN(71,Cartera_Polizas!$B$273+40-49))*(1+(Cartera_Polizas!$P$273-1)*MAX(0,1-40/Supuestos!$C$20))*(1-Supuestos!$C$18)^40))</f>
        <v>5.95949498399728E-017</v>
      </c>
      <c r="AR271" s="29" t="n">
        <f aca="false">AQ271*(1-MIN(1,INDEX(Tabla_Mortalidad!$B$5:$B$75,MIN(71,Cartera_Polizas!$B$273+41-49))*(1+(Cartera_Polizas!$P$273-1)*MAX(0,1-41/Supuestos!$C$20))*(1-Supuestos!$C$18)^41))</f>
        <v>1.1071042007413E-017</v>
      </c>
      <c r="AS271" s="29" t="n">
        <f aca="false">AR271*(1-MIN(1,INDEX(Tabla_Mortalidad!$B$5:$B$75,MIN(71,Cartera_Polizas!$B$273+42-49))*(1+(Cartera_Polizas!$P$273-1)*MAX(0,1-42/Supuestos!$C$20))*(1-Supuestos!$C$18)^42))</f>
        <v>2.10175564500233E-018</v>
      </c>
      <c r="AT271" s="29" t="n">
        <f aca="false">AS271*(1-MIN(1,INDEX(Tabla_Mortalidad!$B$5:$B$75,MIN(71,Cartera_Polizas!$B$273+43-49))*(1+(Cartera_Polizas!$P$273-1)*MAX(0,1-43/Supuestos!$C$20))*(1-Supuestos!$C$18)^43))</f>
        <v>4.07516567049194E-019</v>
      </c>
      <c r="AU271" s="29" t="n">
        <f aca="false">AT271*(1-MIN(1,INDEX(Tabla_Mortalidad!$B$5:$B$75,MIN(71,Cartera_Polizas!$B$273+44-49))*(1+(Cartera_Polizas!$P$273-1)*MAX(0,1-44/Supuestos!$C$20))*(1-Supuestos!$C$18)^44))</f>
        <v>8.06572853921906E-020</v>
      </c>
    </row>
    <row r="272" customFormat="false" ht="15" hidden="false" customHeight="false" outlineLevel="0" collapsed="false">
      <c r="A272" s="14" t="n">
        <f aca="false">Cartera_Polizas!A274</f>
        <v>269</v>
      </c>
      <c r="B272" s="26" t="n">
        <f aca="false">SUM(C272:AU272)+0.5</f>
        <v>12.7792466590661</v>
      </c>
      <c r="C272" s="29" t="n">
        <f aca="false">1-MIN(1,INDEX(Tabla_Mortalidad!$B$5:$B$75,MIN(71,Cartera_Polizas!$B$274+0-49))*(1+(Cartera_Polizas!$P$274-1)*MAX(0,1-0/Supuestos!$C$20))*(1-Supuestos!$C$18)^0)</f>
        <v>0.9741731575</v>
      </c>
      <c r="D272" s="29" t="n">
        <f aca="false">C272*(1-MIN(1,INDEX(Tabla_Mortalidad!$B$5:$B$75,MIN(71,Cartera_Polizas!$B$274+1-49))*(1+(Cartera_Polizas!$P$274-1)*MAX(0,1-1/Supuestos!$C$20))*(1-Supuestos!$C$18)^1))</f>
        <v>0.946074131879032</v>
      </c>
      <c r="E272" s="29" t="n">
        <f aca="false">D272*(1-MIN(1,INDEX(Tabla_Mortalidad!$B$5:$B$75,MIN(71,Cartera_Polizas!$B$274+2-49))*(1+(Cartera_Polizas!$P$274-1)*MAX(0,1-2/Supuestos!$C$20))*(1-Supuestos!$C$18)^2))</f>
        <v>0.915604896631325</v>
      </c>
      <c r="F272" s="29" t="n">
        <f aca="false">E272*(1-MIN(1,INDEX(Tabla_Mortalidad!$B$5:$B$75,MIN(71,Cartera_Polizas!$B$274+3-49))*(1+(Cartera_Polizas!$P$274-1)*MAX(0,1-3/Supuestos!$C$20))*(1-Supuestos!$C$18)^3))</f>
        <v>0.882688976159119</v>
      </c>
      <c r="G272" s="29" t="n">
        <f aca="false">F272*(1-MIN(1,INDEX(Tabla_Mortalidad!$B$5:$B$75,MIN(71,Cartera_Polizas!$B$274+4-49))*(1+(Cartera_Polizas!$P$274-1)*MAX(0,1-4/Supuestos!$C$20))*(1-Supuestos!$C$18)^4))</f>
        <v>0.847278369113297</v>
      </c>
      <c r="H272" s="29" t="n">
        <f aca="false">G272*(1-MIN(1,INDEX(Tabla_Mortalidad!$B$5:$B$75,MIN(71,Cartera_Polizas!$B$274+5-49))*(1+(Cartera_Polizas!$P$274-1)*MAX(0,1-5/Supuestos!$C$20))*(1-Supuestos!$C$18)^5))</f>
        <v>0.809360070801827</v>
      </c>
      <c r="I272" s="29" t="n">
        <f aca="false">H272*(1-MIN(1,INDEX(Tabla_Mortalidad!$B$5:$B$75,MIN(71,Cartera_Polizas!$B$274+6-49))*(1+(Cartera_Polizas!$P$274-1)*MAX(0,1-6/Supuestos!$C$20))*(1-Supuestos!$C$18)^6))</f>
        <v>0.768966161635791</v>
      </c>
      <c r="J272" s="29" t="n">
        <f aca="false">I272*(1-MIN(1,INDEX(Tabla_Mortalidad!$B$5:$B$75,MIN(71,Cartera_Polizas!$B$274+7-49))*(1+(Cartera_Polizas!$P$274-1)*MAX(0,1-7/Supuestos!$C$20))*(1-Supuestos!$C$18)^7))</f>
        <v>0.726184340968082</v>
      </c>
      <c r="K272" s="29" t="n">
        <f aca="false">J272*(1-MIN(1,INDEX(Tabla_Mortalidad!$B$5:$B$75,MIN(71,Cartera_Polizas!$B$274+8-49))*(1+(Cartera_Polizas!$P$274-1)*MAX(0,1-8/Supuestos!$C$20))*(1-Supuestos!$C$18)^8))</f>
        <v>0.681165666903944</v>
      </c>
      <c r="L272" s="29" t="n">
        <f aca="false">K272*(1-MIN(1,INDEX(Tabla_Mortalidad!$B$5:$B$75,MIN(71,Cartera_Polizas!$B$274+9-49))*(1+(Cartera_Polizas!$P$274-1)*MAX(0,1-9/Supuestos!$C$20))*(1-Supuestos!$C$18)^9))</f>
        <v>0.634133008583593</v>
      </c>
      <c r="M272" s="29" t="n">
        <f aca="false">L272*(1-MIN(1,INDEX(Tabla_Mortalidad!$B$5:$B$75,MIN(71,Cartera_Polizas!$B$274+10-49))*(1+(Cartera_Polizas!$P$274-1)*MAX(0,1-10/Supuestos!$C$20))*(1-Supuestos!$C$18)^10))</f>
        <v>0.585391448751469</v>
      </c>
      <c r="N272" s="29" t="n">
        <f aca="false">M272*(1-MIN(1,INDEX(Tabla_Mortalidad!$B$5:$B$75,MIN(71,Cartera_Polizas!$B$274+11-49))*(1+(Cartera_Polizas!$P$274-1)*MAX(0,1-11/Supuestos!$C$20))*(1-Supuestos!$C$18)^11))</f>
        <v>0.535329906431308</v>
      </c>
      <c r="O272" s="29" t="n">
        <f aca="false">N272*(1-MIN(1,INDEX(Tabla_Mortalidad!$B$5:$B$75,MIN(71,Cartera_Polizas!$B$274+12-49))*(1+(Cartera_Polizas!$P$274-1)*MAX(0,1-12/Supuestos!$C$20))*(1-Supuestos!$C$18)^12))</f>
        <v>0.484426675584305</v>
      </c>
      <c r="P272" s="29" t="n">
        <f aca="false">O272*(1-MIN(1,INDEX(Tabla_Mortalidad!$B$5:$B$75,MIN(71,Cartera_Polizas!$B$274+13-49))*(1+(Cartera_Polizas!$P$274-1)*MAX(0,1-13/Supuestos!$C$20))*(1-Supuestos!$C$18)^13))</f>
        <v>0.433243848766635</v>
      </c>
      <c r="Q272" s="29" t="n">
        <f aca="false">P272*(1-MIN(1,INDEX(Tabla_Mortalidad!$B$5:$B$75,MIN(71,Cartera_Polizas!$B$274+14-49))*(1+(Cartera_Polizas!$P$274-1)*MAX(0,1-14/Supuestos!$C$20))*(1-Supuestos!$C$18)^14))</f>
        <v>0.382418940211231</v>
      </c>
      <c r="R272" s="29" t="n">
        <f aca="false">Q272*(1-MIN(1,INDEX(Tabla_Mortalidad!$B$5:$B$75,MIN(71,Cartera_Polizas!$B$274+15-49))*(1+(Cartera_Polizas!$P$274-1)*MAX(0,1-15/Supuestos!$C$20))*(1-Supuestos!$C$18)^15))</f>
        <v>0.332648185145236</v>
      </c>
      <c r="S272" s="29" t="n">
        <f aca="false">R272*(1-MIN(1,INDEX(Tabla_Mortalidad!$B$5:$B$75,MIN(71,Cartera_Polizas!$B$274+16-49))*(1+(Cartera_Polizas!$P$274-1)*MAX(0,1-16/Supuestos!$C$20))*(1-Supuestos!$C$18)^16))</f>
        <v>0.284972083510853</v>
      </c>
      <c r="T272" s="29" t="n">
        <f aca="false">S272*(1-MIN(1,INDEX(Tabla_Mortalidad!$B$5:$B$75,MIN(71,Cartera_Polizas!$B$274+17-49))*(1+(Cartera_Polizas!$P$274-1)*MAX(0,1-17/Supuestos!$C$20))*(1-Supuestos!$C$18)^17))</f>
        <v>0.240037819548064</v>
      </c>
      <c r="U272" s="29" t="n">
        <f aca="false">T272*(1-MIN(1,INDEX(Tabla_Mortalidad!$B$5:$B$75,MIN(71,Cartera_Polizas!$B$274+18-49))*(1+(Cartera_Polizas!$P$274-1)*MAX(0,1-18/Supuestos!$C$20))*(1-Supuestos!$C$18)^18))</f>
        <v>0.198441725308262</v>
      </c>
      <c r="V272" s="29" t="n">
        <f aca="false">U272*(1-MIN(1,INDEX(Tabla_Mortalidad!$B$5:$B$75,MIN(71,Cartera_Polizas!$B$274+19-49))*(1+(Cartera_Polizas!$P$274-1)*MAX(0,1-19/Supuestos!$C$20))*(1-Supuestos!$C$18)^19))</f>
        <v>0.160694132949576</v>
      </c>
      <c r="W272" s="29" t="n">
        <f aca="false">V272*(1-MIN(1,INDEX(Tabla_Mortalidad!$B$5:$B$75,MIN(71,Cartera_Polizas!$B$274+20-49))*(1+(Cartera_Polizas!$P$274-1)*MAX(0,1-20/Supuestos!$C$20))*(1-Supuestos!$C$18)^20))</f>
        <v>0.127184600944334</v>
      </c>
      <c r="X272" s="29" t="n">
        <f aca="false">W272*(1-MIN(1,INDEX(Tabla_Mortalidad!$B$5:$B$75,MIN(71,Cartera_Polizas!$B$274+21-49))*(1+(Cartera_Polizas!$P$274-1)*MAX(0,1-21/Supuestos!$C$20))*(1-Supuestos!$C$18)^21))</f>
        <v>0.0981519084750182</v>
      </c>
      <c r="Y272" s="29" t="n">
        <f aca="false">X272*(1-MIN(1,INDEX(Tabla_Mortalidad!$B$5:$B$75,MIN(71,Cartera_Polizas!$B$274+22-49))*(1+(Cartera_Polizas!$P$274-1)*MAX(0,1-22/Supuestos!$C$20))*(1-Supuestos!$C$18)^22))</f>
        <v>0.0736645224230405</v>
      </c>
      <c r="Z272" s="29" t="n">
        <f aca="false">Y272*(1-MIN(1,INDEX(Tabla_Mortalidad!$B$5:$B$75,MIN(71,Cartera_Polizas!$B$274+23-49))*(1+(Cartera_Polizas!$P$274-1)*MAX(0,1-23/Supuestos!$C$20))*(1-Supuestos!$C$18)^23))</f>
        <v>0.053613961782554</v>
      </c>
      <c r="AA272" s="29" t="n">
        <f aca="false">Z272*(1-MIN(1,INDEX(Tabla_Mortalidad!$B$5:$B$75,MIN(71,Cartera_Polizas!$B$274+24-49))*(1+(Cartera_Polizas!$P$274-1)*MAX(0,1-24/Supuestos!$C$20))*(1-Supuestos!$C$18)^24))</f>
        <v>0.0377237663101365</v>
      </c>
      <c r="AB272" s="29" t="n">
        <f aca="false">AA272*(1-MIN(1,INDEX(Tabla_Mortalidad!$B$5:$B$75,MIN(71,Cartera_Polizas!$B$274+25-49))*(1+(Cartera_Polizas!$P$274-1)*MAX(0,1-25/Supuestos!$C$20))*(1-Supuestos!$C$18)^25))</f>
        <v>0.0255752566768261</v>
      </c>
      <c r="AC272" s="29" t="n">
        <f aca="false">AB272*(1-MIN(1,INDEX(Tabla_Mortalidad!$B$5:$B$75,MIN(71,Cartera_Polizas!$B$274+26-49))*(1+(Cartera_Polizas!$P$274-1)*MAX(0,1-26/Supuestos!$C$20))*(1-Supuestos!$C$18)^26))</f>
        <v>0.0166469267290117</v>
      </c>
      <c r="AD272" s="29" t="n">
        <f aca="false">AC272*(1-MIN(1,INDEX(Tabla_Mortalidad!$B$5:$B$75,MIN(71,Cartera_Polizas!$B$274+27-49))*(1+(Cartera_Polizas!$P$274-1)*MAX(0,1-27/Supuestos!$C$20))*(1-Supuestos!$C$18)^27))</f>
        <v>0.0103631912633693</v>
      </c>
      <c r="AE272" s="29" t="n">
        <f aca="false">AD272*(1-MIN(1,INDEX(Tabla_Mortalidad!$B$5:$B$75,MIN(71,Cartera_Polizas!$B$274+28-49))*(1+(Cartera_Polizas!$P$274-1)*MAX(0,1-28/Supuestos!$C$20))*(1-Supuestos!$C$18)^28))</f>
        <v>0.00614524515987668</v>
      </c>
      <c r="AF272" s="29" t="n">
        <f aca="false">AE272*(1-MIN(1,INDEX(Tabla_Mortalidad!$B$5:$B$75,MIN(71,Cartera_Polizas!$B$274+29-49))*(1+(Cartera_Polizas!$P$274-1)*MAX(0,1-29/Supuestos!$C$20))*(1-Supuestos!$C$18)^29))</f>
        <v>0.00345646818511675</v>
      </c>
      <c r="AG272" s="29" t="n">
        <f aca="false">AF272*(1-MIN(1,INDEX(Tabla_Mortalidad!$B$5:$B$75,MIN(71,Cartera_Polizas!$B$274+30-49))*(1+(Cartera_Polizas!$P$274-1)*MAX(0,1-30/Supuestos!$C$20))*(1-Supuestos!$C$18)^30))</f>
        <v>0.00183603386520287</v>
      </c>
      <c r="AH272" s="29" t="n">
        <f aca="false">AG272*(1-MIN(1,INDEX(Tabla_Mortalidad!$B$5:$B$75,MIN(71,Cartera_Polizas!$B$274+31-49))*(1+(Cartera_Polizas!$P$274-1)*MAX(0,1-31/Supuestos!$C$20))*(1-Supuestos!$C$18)^31))</f>
        <v>0.000917011007288364</v>
      </c>
      <c r="AI272" s="29" t="n">
        <f aca="false">AH272*(1-MIN(1,INDEX(Tabla_Mortalidad!$B$5:$B$75,MIN(71,Cartera_Polizas!$B$274+32-49))*(1+(Cartera_Polizas!$P$274-1)*MAX(0,1-32/Supuestos!$C$20))*(1-Supuestos!$C$18)^32))</f>
        <v>0.000428788086466453</v>
      </c>
      <c r="AJ272" s="29" t="n">
        <f aca="false">AI272*(1-MIN(1,INDEX(Tabla_Mortalidad!$B$5:$B$75,MIN(71,Cartera_Polizas!$B$274+33-49))*(1+(Cartera_Polizas!$P$274-1)*MAX(0,1-33/Supuestos!$C$20))*(1-Supuestos!$C$18)^33))</f>
        <v>0.000186950907869082</v>
      </c>
      <c r="AK272" s="29" t="n">
        <f aca="false">AJ272*(1-MIN(1,INDEX(Tabla_Mortalidad!$B$5:$B$75,MIN(71,Cartera_Polizas!$B$274+34-49))*(1+(Cartera_Polizas!$P$274-1)*MAX(0,1-34/Supuestos!$C$20))*(1-Supuestos!$C$18)^34))</f>
        <v>7.57320165109933E-005</v>
      </c>
      <c r="AL272" s="29" t="n">
        <f aca="false">AK272*(1-MIN(1,INDEX(Tabla_Mortalidad!$B$5:$B$75,MIN(71,Cartera_Polizas!$B$274+35-49))*(1+(Cartera_Polizas!$P$274-1)*MAX(0,1-35/Supuestos!$C$20))*(1-Supuestos!$C$18)^35))</f>
        <v>2.84237030854486E-005</v>
      </c>
      <c r="AM272" s="29" t="n">
        <f aca="false">AL272*(1-MIN(1,INDEX(Tabla_Mortalidad!$B$5:$B$75,MIN(71,Cartera_Polizas!$B$274+36-49))*(1+(Cartera_Polizas!$P$274-1)*MAX(0,1-36/Supuestos!$C$20))*(1-Supuestos!$C$18)^36))</f>
        <v>9.86715405633451E-006</v>
      </c>
      <c r="AN272" s="29" t="n">
        <f aca="false">AM272*(1-MIN(1,INDEX(Tabla_Mortalidad!$B$5:$B$75,MIN(71,Cartera_Polizas!$B$274+37-49))*(1+(Cartera_Polizas!$P$274-1)*MAX(0,1-37/Supuestos!$C$20))*(1-Supuestos!$C$18)^37))</f>
        <v>3.16746734532642E-006</v>
      </c>
      <c r="AO272" s="29" t="n">
        <f aca="false">AN272*(1-MIN(1,INDEX(Tabla_Mortalidad!$B$5:$B$75,MIN(71,Cartera_Polizas!$B$274+38-49))*(1+(Cartera_Polizas!$P$274-1)*MAX(0,1-38/Supuestos!$C$20))*(1-Supuestos!$C$18)^38))</f>
        <v>9.41765971706049E-007</v>
      </c>
      <c r="AP272" s="29" t="n">
        <f aca="false">AO272*(1-MIN(1,INDEX(Tabla_Mortalidad!$B$5:$B$75,MIN(71,Cartera_Polizas!$B$274+39-49))*(1+(Cartera_Polizas!$P$274-1)*MAX(0,1-39/Supuestos!$C$20))*(1-Supuestos!$C$18)^39))</f>
        <v>2.60329888494408E-007</v>
      </c>
      <c r="AQ272" s="29" t="n">
        <f aca="false">AP272*(1-MIN(1,INDEX(Tabla_Mortalidad!$B$5:$B$75,MIN(71,Cartera_Polizas!$B$274+40-49))*(1+(Cartera_Polizas!$P$274-1)*MAX(0,1-40/Supuestos!$C$20))*(1-Supuestos!$C$18)^40))</f>
        <v>6.73128747127437E-008</v>
      </c>
      <c r="AR272" s="29" t="n">
        <f aca="false">AQ272*(1-MIN(1,INDEX(Tabla_Mortalidad!$B$5:$B$75,MIN(71,Cartera_Polizas!$B$274+41-49))*(1+(Cartera_Polizas!$P$274-1)*MAX(0,1-41/Supuestos!$C$20))*(1-Supuestos!$C$18)^41))</f>
        <v>1.6416408934504E-008</v>
      </c>
      <c r="AS272" s="29" t="n">
        <f aca="false">AR272*(1-MIN(1,INDEX(Tabla_Mortalidad!$B$5:$B$75,MIN(71,Cartera_Polizas!$B$274+42-49))*(1+(Cartera_Polizas!$P$274-1)*MAX(0,1-42/Supuestos!$C$20))*(1-Supuestos!$C$18)^42))</f>
        <v>3.81483074629401E-009</v>
      </c>
      <c r="AT272" s="29" t="n">
        <f aca="false">AS272*(1-MIN(1,INDEX(Tabla_Mortalidad!$B$5:$B$75,MIN(71,Cartera_Polizas!$B$274+43-49))*(1+(Cartera_Polizas!$P$274-1)*MAX(0,1-43/Supuestos!$C$20))*(1-Supuestos!$C$18)^43))</f>
        <v>7.39670538437748E-010</v>
      </c>
      <c r="AU272" s="29" t="n">
        <f aca="false">AT272*(1-MIN(1,INDEX(Tabla_Mortalidad!$B$5:$B$75,MIN(71,Cartera_Polizas!$B$274+44-49))*(1+(Cartera_Polizas!$P$274-1)*MAX(0,1-44/Supuestos!$C$20))*(1-Supuestos!$C$18)^44))</f>
        <v>1.46398508769747E-010</v>
      </c>
    </row>
    <row r="273" customFormat="false" ht="15" hidden="false" customHeight="false" outlineLevel="0" collapsed="false">
      <c r="A273" s="14" t="n">
        <f aca="false">Cartera_Polizas!A275</f>
        <v>270</v>
      </c>
      <c r="B273" s="26" t="n">
        <f aca="false">SUM(C273:AU273)+0.5</f>
        <v>8.26504945432081</v>
      </c>
      <c r="C273" s="29" t="n">
        <f aca="false">1-MIN(1,INDEX(Tabla_Mortalidad!$B$5:$B$75,MIN(71,Cartera_Polizas!$B$275+0-49))*(1+(Cartera_Polizas!$P$275-1)*MAX(0,1-0/Supuestos!$C$20))*(1-Supuestos!$C$18)^0)</f>
        <v>0.9333261785</v>
      </c>
      <c r="D273" s="29" t="n">
        <f aca="false">C273*(1-MIN(1,INDEX(Tabla_Mortalidad!$B$5:$B$75,MIN(71,Cartera_Polizas!$B$275+1-49))*(1+(Cartera_Polizas!$P$275-1)*MAX(0,1-1/Supuestos!$C$20))*(1-Supuestos!$C$18)^1))</f>
        <v>0.865620834446959</v>
      </c>
      <c r="E273" s="29" t="n">
        <f aca="false">D273*(1-MIN(1,INDEX(Tabla_Mortalidad!$B$5:$B$75,MIN(71,Cartera_Polizas!$B$275+2-49))*(1+(Cartera_Polizas!$P$275-1)*MAX(0,1-2/Supuestos!$C$20))*(1-Supuestos!$C$18)^2))</f>
        <v>0.797346214229729</v>
      </c>
      <c r="F273" s="29" t="n">
        <f aca="false">E273*(1-MIN(1,INDEX(Tabla_Mortalidad!$B$5:$B$75,MIN(71,Cartera_Polizas!$B$275+3-49))*(1+(Cartera_Polizas!$P$275-1)*MAX(0,1-3/Supuestos!$C$20))*(1-Supuestos!$C$18)^3))</f>
        <v>0.729016048810371</v>
      </c>
      <c r="G273" s="29" t="n">
        <f aca="false">F273*(1-MIN(1,INDEX(Tabla_Mortalidad!$B$5:$B$75,MIN(71,Cartera_Polizas!$B$275+4-49))*(1+(Cartera_Polizas!$P$275-1)*MAX(0,1-4/Supuestos!$C$20))*(1-Supuestos!$C$18)^4))</f>
        <v>0.661187263898588</v>
      </c>
      <c r="H273" s="29" t="n">
        <f aca="false">G273*(1-MIN(1,INDEX(Tabla_Mortalidad!$B$5:$B$75,MIN(71,Cartera_Polizas!$B$275+5-49))*(1+(Cartera_Polizas!$P$275-1)*MAX(0,1-5/Supuestos!$C$20))*(1-Supuestos!$C$18)^5))</f>
        <v>0.594453061895563</v>
      </c>
      <c r="I273" s="29" t="n">
        <f aca="false">H273*(1-MIN(1,INDEX(Tabla_Mortalidad!$B$5:$B$75,MIN(71,Cartera_Polizas!$B$275+6-49))*(1+(Cartera_Polizas!$P$275-1)*MAX(0,1-6/Supuestos!$C$20))*(1-Supuestos!$C$18)^6))</f>
        <v>0.529423162825634</v>
      </c>
      <c r="J273" s="29" t="n">
        <f aca="false">I273*(1-MIN(1,INDEX(Tabla_Mortalidad!$B$5:$B$75,MIN(71,Cartera_Polizas!$B$275+7-49))*(1+(Cartera_Polizas!$P$275-1)*MAX(0,1-7/Supuestos!$C$20))*(1-Supuestos!$C$18)^7))</f>
        <v>0.466711478809437</v>
      </c>
      <c r="K273" s="29" t="n">
        <f aca="false">J273*(1-MIN(1,INDEX(Tabla_Mortalidad!$B$5:$B$75,MIN(71,Cartera_Polizas!$B$275+8-49))*(1+(Cartera_Polizas!$P$275-1)*MAX(0,1-8/Supuestos!$C$20))*(1-Supuestos!$C$18)^8))</f>
        <v>0.406912381286203</v>
      </c>
      <c r="L273" s="29" t="n">
        <f aca="false">K273*(1-MIN(1,INDEX(Tabla_Mortalidad!$B$5:$B$75,MIN(71,Cartera_Polizas!$B$275+9-49))*(1+(Cartera_Polizas!$P$275-1)*MAX(0,1-9/Supuestos!$C$20))*(1-Supuestos!$C$18)^9))</f>
        <v>0.350579752550617</v>
      </c>
      <c r="M273" s="29" t="n">
        <f aca="false">L273*(1-MIN(1,INDEX(Tabla_Mortalidad!$B$5:$B$75,MIN(71,Cartera_Polizas!$B$275+10-49))*(1+(Cartera_Polizas!$P$275-1)*MAX(0,1-10/Supuestos!$C$20))*(1-Supuestos!$C$18)^10))</f>
        <v>0.298203989861976</v>
      </c>
      <c r="N273" s="29" t="n">
        <f aca="false">M273*(1-MIN(1,INDEX(Tabla_Mortalidad!$B$5:$B$75,MIN(71,Cartera_Polizas!$B$275+11-49))*(1+(Cartera_Polizas!$P$275-1)*MAX(0,1-11/Supuestos!$C$20))*(1-Supuestos!$C$18)^11))</f>
        <v>0.250190237493419</v>
      </c>
      <c r="O273" s="29" t="n">
        <f aca="false">N273*(1-MIN(1,INDEX(Tabla_Mortalidad!$B$5:$B$75,MIN(71,Cartera_Polizas!$B$275+12-49))*(1+(Cartera_Polizas!$P$275-1)*MAX(0,1-12/Supuestos!$C$20))*(1-Supuestos!$C$18)^12))</f>
        <v>0.206838800194081</v>
      </c>
      <c r="P273" s="29" t="n">
        <f aca="false">O273*(1-MIN(1,INDEX(Tabla_Mortalidad!$B$5:$B$75,MIN(71,Cartera_Polizas!$B$275+13-49))*(1+(Cartera_Polizas!$P$275-1)*MAX(0,1-13/Supuestos!$C$20))*(1-Supuestos!$C$18)^13))</f>
        <v>0.168329300121412</v>
      </c>
      <c r="Q273" s="29" t="n">
        <f aca="false">P273*(1-MIN(1,INDEX(Tabla_Mortalidad!$B$5:$B$75,MIN(71,Cartera_Polizas!$B$275+14-49))*(1+(Cartera_Polizas!$P$275-1)*MAX(0,1-14/Supuestos!$C$20))*(1-Supuestos!$C$18)^14))</f>
        <v>0.134712364756981</v>
      </c>
      <c r="R273" s="29" t="n">
        <f aca="false">Q273*(1-MIN(1,INDEX(Tabla_Mortalidad!$B$5:$B$75,MIN(71,Cartera_Polizas!$B$275+15-49))*(1+(Cartera_Polizas!$P$275-1)*MAX(0,1-15/Supuestos!$C$20))*(1-Supuestos!$C$18)^15))</f>
        <v>0.105907860976289</v>
      </c>
      <c r="S273" s="29" t="n">
        <f aca="false">R273*(1-MIN(1,INDEX(Tabla_Mortalidad!$B$5:$B$75,MIN(71,Cartera_Polizas!$B$275+16-49))*(1+(Cartera_Polizas!$P$275-1)*MAX(0,1-16/Supuestos!$C$20))*(1-Supuestos!$C$18)^16))</f>
        <v>0.0811184861016707</v>
      </c>
      <c r="T273" s="29" t="n">
        <f aca="false">S273*(1-MIN(1,INDEX(Tabla_Mortalidad!$B$5:$B$75,MIN(71,Cartera_Polizas!$B$275+17-49))*(1+(Cartera_Polizas!$P$275-1)*MAX(0,1-17/Supuestos!$C$20))*(1-Supuestos!$C$18)^17))</f>
        <v>0.0603670521317856</v>
      </c>
      <c r="U273" s="29" t="n">
        <f aca="false">T273*(1-MIN(1,INDEX(Tabla_Mortalidad!$B$5:$B$75,MIN(71,Cartera_Polizas!$B$275+18-49))*(1+(Cartera_Polizas!$P$275-1)*MAX(0,1-18/Supuestos!$C$20))*(1-Supuestos!$C$18)^18))</f>
        <v>0.0435188832169689</v>
      </c>
      <c r="V273" s="29" t="n">
        <f aca="false">U273*(1-MIN(1,INDEX(Tabla_Mortalidad!$B$5:$B$75,MIN(71,Cartera_Polizas!$B$275+19-49))*(1+(Cartera_Polizas!$P$275-1)*MAX(0,1-19/Supuestos!$C$20))*(1-Supuestos!$C$18)^19))</f>
        <v>0.0302933351733274</v>
      </c>
      <c r="W273" s="29" t="n">
        <f aca="false">V273*(1-MIN(1,INDEX(Tabla_Mortalidad!$B$5:$B$75,MIN(71,Cartera_Polizas!$B$275+20-49))*(1+(Cartera_Polizas!$P$275-1)*MAX(0,1-20/Supuestos!$C$20))*(1-Supuestos!$C$18)^20))</f>
        <v>0.0202901192606398</v>
      </c>
      <c r="X273" s="29" t="n">
        <f aca="false">W273*(1-MIN(1,INDEX(Tabla_Mortalidad!$B$5:$B$75,MIN(71,Cartera_Polizas!$B$275+21-49))*(1+(Cartera_Polizas!$P$275-1)*MAX(0,1-21/Supuestos!$C$20))*(1-Supuestos!$C$18)^21))</f>
        <v>0.0130270626993159</v>
      </c>
      <c r="Y273" s="29" t="n">
        <f aca="false">X273*(1-MIN(1,INDEX(Tabla_Mortalidad!$B$5:$B$75,MIN(71,Cartera_Polizas!$B$275+22-49))*(1+(Cartera_Polizas!$P$275-1)*MAX(0,1-22/Supuestos!$C$20))*(1-Supuestos!$C$18)^22))</f>
        <v>0.00798492240598466</v>
      </c>
      <c r="Z273" s="29" t="n">
        <f aca="false">Y273*(1-MIN(1,INDEX(Tabla_Mortalidad!$B$5:$B$75,MIN(71,Cartera_Polizas!$B$275+23-49))*(1+(Cartera_Polizas!$P$275-1)*MAX(0,1-23/Supuestos!$C$20))*(1-Supuestos!$C$18)^23))</f>
        <v>0.00465247879798233</v>
      </c>
      <c r="AA273" s="29" t="n">
        <f aca="false">Z273*(1-MIN(1,INDEX(Tabla_Mortalidad!$B$5:$B$75,MIN(71,Cartera_Polizas!$B$275+24-49))*(1+(Cartera_Polizas!$P$275-1)*MAX(0,1-24/Supuestos!$C$20))*(1-Supuestos!$C$18)^24))</f>
        <v>0.00256518027433107</v>
      </c>
      <c r="AB273" s="29" t="n">
        <f aca="false">AA273*(1-MIN(1,INDEX(Tabla_Mortalidad!$B$5:$B$75,MIN(71,Cartera_Polizas!$B$275+25-49))*(1+(Cartera_Polizas!$P$275-1)*MAX(0,1-25/Supuestos!$C$20))*(1-Supuestos!$C$18)^25))</f>
        <v>0.00133207158859793</v>
      </c>
      <c r="AC273" s="29" t="n">
        <f aca="false">AB273*(1-MIN(1,INDEX(Tabla_Mortalidad!$B$5:$B$75,MIN(71,Cartera_Polizas!$B$275+26-49))*(1+(Cartera_Polizas!$P$275-1)*MAX(0,1-26/Supuestos!$C$20))*(1-Supuestos!$C$18)^26))</f>
        <v>0.000648383855721225</v>
      </c>
      <c r="AD273" s="29" t="n">
        <f aca="false">AC273*(1-MIN(1,INDEX(Tabla_Mortalidad!$B$5:$B$75,MIN(71,Cartera_Polizas!$B$275+27-49))*(1+(Cartera_Polizas!$P$275-1)*MAX(0,1-27/Supuestos!$C$20))*(1-Supuestos!$C$18)^27))</f>
        <v>0.000294418787554263</v>
      </c>
      <c r="AE273" s="29" t="n">
        <f aca="false">AD273*(1-MIN(1,INDEX(Tabla_Mortalidad!$B$5:$B$75,MIN(71,Cartera_Polizas!$B$275+28-49))*(1+(Cartera_Polizas!$P$275-1)*MAX(0,1-28/Supuestos!$C$20))*(1-Supuestos!$C$18)^28))</f>
        <v>0.00012415179177467</v>
      </c>
      <c r="AF273" s="29" t="n">
        <f aca="false">AE273*(1-MIN(1,INDEX(Tabla_Mortalidad!$B$5:$B$75,MIN(71,Cartera_Polizas!$B$275+29-49))*(1+(Cartera_Polizas!$P$275-1)*MAX(0,1-29/Supuestos!$C$20))*(1-Supuestos!$C$18)^29))</f>
        <v>4.84181970698054E-005</v>
      </c>
      <c r="AG273" s="29" t="n">
        <f aca="false">AF273*(1-MIN(1,INDEX(Tabla_Mortalidad!$B$5:$B$75,MIN(71,Cartera_Polizas!$B$275+30-49))*(1+(Cartera_Polizas!$P$275-1)*MAX(0,1-30/Supuestos!$C$20))*(1-Supuestos!$C$18)^30))</f>
        <v>1.74046703886654E-005</v>
      </c>
      <c r="AH273" s="29" t="n">
        <f aca="false">AG273*(1-MIN(1,INDEX(Tabla_Mortalidad!$B$5:$B$75,MIN(71,Cartera_Polizas!$B$275+31-49))*(1+(Cartera_Polizas!$P$275-1)*MAX(0,1-31/Supuestos!$C$20))*(1-Supuestos!$C$18)^31))</f>
        <v>5.7535697164807E-006</v>
      </c>
      <c r="AI273" s="29" t="n">
        <f aca="false">AH273*(1-MIN(1,INDEX(Tabla_Mortalidad!$B$5:$B$75,MIN(71,Cartera_Polizas!$B$275+32-49))*(1+(Cartera_Polizas!$P$275-1)*MAX(0,1-32/Supuestos!$C$20))*(1-Supuestos!$C$18)^32))</f>
        <v>1.74781306949892E-006</v>
      </c>
      <c r="AJ273" s="29" t="n">
        <f aca="false">AI273*(1-MIN(1,INDEX(Tabla_Mortalidad!$B$5:$B$75,MIN(71,Cartera_Polizas!$B$275+33-49))*(1+(Cartera_Polizas!$P$275-1)*MAX(0,1-33/Supuestos!$C$20))*(1-Supuestos!$C$18)^33))</f>
        <v>4.88498214543802E-007</v>
      </c>
      <c r="AK273" s="29" t="n">
        <f aca="false">AJ273*(1-MIN(1,INDEX(Tabla_Mortalidad!$B$5:$B$75,MIN(71,Cartera_Polizas!$B$275+34-49))*(1+(Cartera_Polizas!$P$275-1)*MAX(0,1-34/Supuestos!$C$20))*(1-Supuestos!$C$18)^34))</f>
        <v>1.26063566083394E-007</v>
      </c>
      <c r="AL273" s="29" t="n">
        <f aca="false">AK273*(1-MIN(1,INDEX(Tabla_Mortalidad!$B$5:$B$75,MIN(71,Cartera_Polizas!$B$275+35-49))*(1+(Cartera_Polizas!$P$275-1)*MAX(0,1-35/Supuestos!$C$20))*(1-Supuestos!$C$18)^35))</f>
        <v>3.02238001364428E-008</v>
      </c>
      <c r="AM273" s="29" t="n">
        <f aca="false">AL273*(1-MIN(1,INDEX(Tabla_Mortalidad!$B$5:$B$75,MIN(71,Cartera_Polizas!$B$275+36-49))*(1+(Cartera_Polizas!$P$275-1)*MAX(0,1-36/Supuestos!$C$20))*(1-Supuestos!$C$18)^36))</f>
        <v>6.79105586676562E-009</v>
      </c>
      <c r="AN273" s="29" t="n">
        <f aca="false">AM273*(1-MIN(1,INDEX(Tabla_Mortalidad!$B$5:$B$75,MIN(71,Cartera_Polizas!$B$275+37-49))*(1+(Cartera_Polizas!$P$275-1)*MAX(0,1-37/Supuestos!$C$20))*(1-Supuestos!$C$18)^37))</f>
        <v>1.44579781960685E-009</v>
      </c>
      <c r="AO273" s="29" t="n">
        <f aca="false">AN273*(1-MIN(1,INDEX(Tabla_Mortalidad!$B$5:$B$75,MIN(71,Cartera_Polizas!$B$275+38-49))*(1+(Cartera_Polizas!$P$275-1)*MAX(0,1-38/Supuestos!$C$20))*(1-Supuestos!$C$18)^38))</f>
        <v>2.50751788733896E-010</v>
      </c>
      <c r="AP273" s="29" t="n">
        <f aca="false">AO273*(1-MIN(1,INDEX(Tabla_Mortalidad!$B$5:$B$75,MIN(71,Cartera_Polizas!$B$275+39-49))*(1+(Cartera_Polizas!$P$275-1)*MAX(0,1-39/Supuestos!$C$20))*(1-Supuestos!$C$18)^39))</f>
        <v>4.4525422800857E-011</v>
      </c>
      <c r="AQ273" s="29" t="n">
        <f aca="false">AP273*(1-MIN(1,INDEX(Tabla_Mortalidad!$B$5:$B$75,MIN(71,Cartera_Polizas!$B$275+40-49))*(1+(Cartera_Polizas!$P$275-1)*MAX(0,1-40/Supuestos!$C$20))*(1-Supuestos!$C$18)^40))</f>
        <v>8.08937342587396E-012</v>
      </c>
      <c r="AR273" s="29" t="n">
        <f aca="false">AQ273*(1-MIN(1,INDEX(Tabla_Mortalidad!$B$5:$B$75,MIN(71,Cartera_Polizas!$B$275+41-49))*(1+(Cartera_Polizas!$P$275-1)*MAX(0,1-41/Supuestos!$C$20))*(1-Supuestos!$C$18)^41))</f>
        <v>1.50277487021947E-012</v>
      </c>
      <c r="AS273" s="29" t="n">
        <f aca="false">AR273*(1-MIN(1,INDEX(Tabla_Mortalidad!$B$5:$B$75,MIN(71,Cartera_Polizas!$B$275+42-49))*(1+(Cartera_Polizas!$P$275-1)*MAX(0,1-42/Supuestos!$C$20))*(1-Supuestos!$C$18)^42))</f>
        <v>2.85290721915476E-013</v>
      </c>
      <c r="AT273" s="29" t="n">
        <f aca="false">AS273*(1-MIN(1,INDEX(Tabla_Mortalidad!$B$5:$B$75,MIN(71,Cartera_Polizas!$B$275+43-49))*(1+(Cartera_Polizas!$P$275-1)*MAX(0,1-43/Supuestos!$C$20))*(1-Supuestos!$C$18)^43))</f>
        <v>5.53159906492613E-014</v>
      </c>
      <c r="AU273" s="29" t="n">
        <f aca="false">AT273*(1-MIN(1,INDEX(Tabla_Mortalidad!$B$5:$B$75,MIN(71,Cartera_Polizas!$B$275+44-49))*(1+(Cartera_Polizas!$P$275-1)*MAX(0,1-44/Supuestos!$C$20))*(1-Supuestos!$C$18)^44))</f>
        <v>1.09483589264989E-014</v>
      </c>
    </row>
    <row r="274" customFormat="false" ht="15" hidden="false" customHeight="false" outlineLevel="0" collapsed="false">
      <c r="A274" s="14" t="n">
        <f aca="false">Cartera_Polizas!A276</f>
        <v>271</v>
      </c>
      <c r="B274" s="26" t="n">
        <f aca="false">SUM(C274:AU274)+0.5</f>
        <v>6.91439887581658</v>
      </c>
      <c r="C274" s="29" t="n">
        <f aca="false">1-MIN(1,INDEX(Tabla_Mortalidad!$B$5:$B$75,MIN(71,Cartera_Polizas!$B$276+0-49))*(1+(Cartera_Polizas!$P$276-1)*MAX(0,1-0/Supuestos!$C$20))*(1-Supuestos!$C$18)^0)</f>
        <v>0.908661984</v>
      </c>
      <c r="D274" s="29" t="n">
        <f aca="false">C274*(1-MIN(1,INDEX(Tabla_Mortalidad!$B$5:$B$75,MIN(71,Cartera_Polizas!$B$276+1-49))*(1+(Cartera_Polizas!$P$276-1)*MAX(0,1-1/Supuestos!$C$20))*(1-Supuestos!$C$18)^1))</f>
        <v>0.819239134179461</v>
      </c>
      <c r="E274" s="29" t="n">
        <f aca="false">D274*(1-MIN(1,INDEX(Tabla_Mortalidad!$B$5:$B$75,MIN(71,Cartera_Polizas!$B$276+2-49))*(1+(Cartera_Polizas!$P$276-1)*MAX(0,1-2/Supuestos!$C$20))*(1-Supuestos!$C$18)^2))</f>
        <v>0.732471377995078</v>
      </c>
      <c r="F274" s="29" t="n">
        <f aca="false">E274*(1-MIN(1,INDEX(Tabla_Mortalidad!$B$5:$B$75,MIN(71,Cartera_Polizas!$B$276+3-49))*(1+(Cartera_Polizas!$P$276-1)*MAX(0,1-3/Supuestos!$C$20))*(1-Supuestos!$C$18)^3))</f>
        <v>0.649080425719172</v>
      </c>
      <c r="G274" s="29" t="n">
        <f aca="false">F274*(1-MIN(1,INDEX(Tabla_Mortalidad!$B$5:$B$75,MIN(71,Cartera_Polizas!$B$276+4-49))*(1+(Cartera_Polizas!$P$276-1)*MAX(0,1-4/Supuestos!$C$20))*(1-Supuestos!$C$18)^4))</f>
        <v>0.569751834129728</v>
      </c>
      <c r="H274" s="29" t="n">
        <f aca="false">G274*(1-MIN(1,INDEX(Tabla_Mortalidad!$B$5:$B$75,MIN(71,Cartera_Polizas!$B$276+5-49))*(1+(Cartera_Polizas!$P$276-1)*MAX(0,1-5/Supuestos!$C$20))*(1-Supuestos!$C$18)^5))</f>
        <v>0.495104431015938</v>
      </c>
      <c r="I274" s="29" t="n">
        <f aca="false">H274*(1-MIN(1,INDEX(Tabla_Mortalidad!$B$5:$B$75,MIN(71,Cartera_Polizas!$B$276+6-49))*(1+(Cartera_Polizas!$P$276-1)*MAX(0,1-6/Supuestos!$C$20))*(1-Supuestos!$C$18)^6))</f>
        <v>0.425673314587492</v>
      </c>
      <c r="J274" s="29" t="n">
        <f aca="false">I274*(1-MIN(1,INDEX(Tabla_Mortalidad!$B$5:$B$75,MIN(71,Cartera_Polizas!$B$276+7-49))*(1+(Cartera_Polizas!$P$276-1)*MAX(0,1-7/Supuestos!$C$20))*(1-Supuestos!$C$18)^7))</f>
        <v>0.361884478343028</v>
      </c>
      <c r="K274" s="29" t="n">
        <f aca="false">J274*(1-MIN(1,INDEX(Tabla_Mortalidad!$B$5:$B$75,MIN(71,Cartera_Polizas!$B$276+8-49))*(1+(Cartera_Polizas!$P$276-1)*MAX(0,1-8/Supuestos!$C$20))*(1-Supuestos!$C$18)^8))</f>
        <v>0.304038797031327</v>
      </c>
      <c r="L274" s="29" t="n">
        <f aca="false">K274*(1-MIN(1,INDEX(Tabla_Mortalidad!$B$5:$B$75,MIN(71,Cartera_Polizas!$B$276+9-49))*(1+(Cartera_Polizas!$P$276-1)*MAX(0,1-9/Supuestos!$C$20))*(1-Supuestos!$C$18)^9))</f>
        <v>0.252299737902811</v>
      </c>
      <c r="M274" s="29" t="n">
        <f aca="false">L274*(1-MIN(1,INDEX(Tabla_Mortalidad!$B$5:$B$75,MIN(71,Cartera_Polizas!$B$276+10-49))*(1+(Cartera_Polizas!$P$276-1)*MAX(0,1-10/Supuestos!$C$20))*(1-Supuestos!$C$18)^10))</f>
        <v>0.206688137461384</v>
      </c>
      <c r="N274" s="29" t="n">
        <f aca="false">M274*(1-MIN(1,INDEX(Tabla_Mortalidad!$B$5:$B$75,MIN(71,Cartera_Polizas!$B$276+11-49))*(1+(Cartera_Polizas!$P$276-1)*MAX(0,1-11/Supuestos!$C$20))*(1-Supuestos!$C$18)^11))</f>
        <v>0.167084064466907</v>
      </c>
      <c r="O274" s="29" t="n">
        <f aca="false">N274*(1-MIN(1,INDEX(Tabla_Mortalidad!$B$5:$B$75,MIN(71,Cartera_Polizas!$B$276+12-49))*(1+(Cartera_Polizas!$P$276-1)*MAX(0,1-12/Supuestos!$C$20))*(1-Supuestos!$C$18)^12))</f>
        <v>0.133235859274983</v>
      </c>
      <c r="P274" s="29" t="n">
        <f aca="false">O274*(1-MIN(1,INDEX(Tabla_Mortalidad!$B$5:$B$75,MIN(71,Cartera_Polizas!$B$276+13-49))*(1+(Cartera_Polizas!$P$276-1)*MAX(0,1-13/Supuestos!$C$20))*(1-Supuestos!$C$18)^13))</f>
        <v>0.104777752835812</v>
      </c>
      <c r="Q274" s="29" t="n">
        <f aca="false">P274*(1-MIN(1,INDEX(Tabla_Mortalidad!$B$5:$B$75,MIN(71,Cartera_Polizas!$B$276+14-49))*(1+(Cartera_Polizas!$P$276-1)*MAX(0,1-14/Supuestos!$C$20))*(1-Supuestos!$C$18)^14))</f>
        <v>0.0812526190876112</v>
      </c>
      <c r="R274" s="29" t="n">
        <f aca="false">Q274*(1-MIN(1,INDEX(Tabla_Mortalidad!$B$5:$B$75,MIN(71,Cartera_Polizas!$B$276+15-49))*(1+(Cartera_Polizas!$P$276-1)*MAX(0,1-15/Supuestos!$C$20))*(1-Supuestos!$C$18)^15))</f>
        <v>0.0621386153517379</v>
      </c>
      <c r="S274" s="29" t="n">
        <f aca="false">R274*(1-MIN(1,INDEX(Tabla_Mortalidad!$B$5:$B$75,MIN(71,Cartera_Polizas!$B$276+16-49))*(1+(Cartera_Polizas!$P$276-1)*MAX(0,1-16/Supuestos!$C$20))*(1-Supuestos!$C$18)^16))</f>
        <v>0.0461626626284324</v>
      </c>
      <c r="T274" s="29" t="n">
        <f aca="false">S274*(1-MIN(1,INDEX(Tabla_Mortalidad!$B$5:$B$75,MIN(71,Cartera_Polizas!$B$276+17-49))*(1+(Cartera_Polizas!$P$276-1)*MAX(0,1-17/Supuestos!$C$20))*(1-Supuestos!$C$18)^17))</f>
        <v>0.0332141313813006</v>
      </c>
      <c r="U274" s="29" t="n">
        <f aca="false">T274*(1-MIN(1,INDEX(Tabla_Mortalidad!$B$5:$B$75,MIN(71,Cartera_Polizas!$B$276+18-49))*(1+(Cartera_Polizas!$P$276-1)*MAX(0,1-18/Supuestos!$C$20))*(1-Supuestos!$C$18)^18))</f>
        <v>0.0230695120760608</v>
      </c>
      <c r="V274" s="29" t="n">
        <f aca="false">U274*(1-MIN(1,INDEX(Tabla_Mortalidad!$B$5:$B$75,MIN(71,Cartera_Polizas!$B$276+19-49))*(1+(Cartera_Polizas!$P$276-1)*MAX(0,1-19/Supuestos!$C$20))*(1-Supuestos!$C$18)^19))</f>
        <v>0.0154134070699418</v>
      </c>
      <c r="W274" s="29" t="n">
        <f aca="false">V274*(1-MIN(1,INDEX(Tabla_Mortalidad!$B$5:$B$75,MIN(71,Cartera_Polizas!$B$276+20-49))*(1+(Cartera_Polizas!$P$276-1)*MAX(0,1-20/Supuestos!$C$20))*(1-Supuestos!$C$18)^20))</f>
        <v>0.00986829415472246</v>
      </c>
      <c r="X274" s="29" t="n">
        <f aca="false">W274*(1-MIN(1,INDEX(Tabla_Mortalidad!$B$5:$B$75,MIN(71,Cartera_Polizas!$B$276+21-49))*(1+(Cartera_Polizas!$P$276-1)*MAX(0,1-21/Supuestos!$C$20))*(1-Supuestos!$C$18)^21))</f>
        <v>0.00602956538369054</v>
      </c>
      <c r="Y274" s="29" t="n">
        <f aca="false">X274*(1-MIN(1,INDEX(Tabla_Mortalidad!$B$5:$B$75,MIN(71,Cartera_Polizas!$B$276+22-49))*(1+(Cartera_Polizas!$P$276-1)*MAX(0,1-22/Supuestos!$C$20))*(1-Supuestos!$C$18)^22))</f>
        <v>0.00350052923503354</v>
      </c>
      <c r="Z274" s="29" t="n">
        <f aca="false">Y274*(1-MIN(1,INDEX(Tabla_Mortalidad!$B$5:$B$75,MIN(71,Cartera_Polizas!$B$276+23-49))*(1+(Cartera_Polizas!$P$276-1)*MAX(0,1-23/Supuestos!$C$20))*(1-Supuestos!$C$18)^23))</f>
        <v>0.001922152061311</v>
      </c>
      <c r="AA274" s="29" t="n">
        <f aca="false">Z274*(1-MIN(1,INDEX(Tabla_Mortalidad!$B$5:$B$75,MIN(71,Cartera_Polizas!$B$276+24-49))*(1+(Cartera_Polizas!$P$276-1)*MAX(0,1-24/Supuestos!$C$20))*(1-Supuestos!$C$18)^24))</f>
        <v>0.00099351047955673</v>
      </c>
      <c r="AB274" s="29" t="n">
        <f aca="false">AA274*(1-MIN(1,INDEX(Tabla_Mortalidad!$B$5:$B$75,MIN(71,Cartera_Polizas!$B$276+25-49))*(1+(Cartera_Polizas!$P$276-1)*MAX(0,1-25/Supuestos!$C$20))*(1-Supuestos!$C$18)^25))</f>
        <v>0.00048102732591562</v>
      </c>
      <c r="AC274" s="29" t="n">
        <f aca="false">AB274*(1-MIN(1,INDEX(Tabla_Mortalidad!$B$5:$B$75,MIN(71,Cartera_Polizas!$B$276+26-49))*(1+(Cartera_Polizas!$P$276-1)*MAX(0,1-26/Supuestos!$C$20))*(1-Supuestos!$C$18)^26))</f>
        <v>0.000217105759838605</v>
      </c>
      <c r="AD274" s="29" t="n">
        <f aca="false">AC274*(1-MIN(1,INDEX(Tabla_Mortalidad!$B$5:$B$75,MIN(71,Cartera_Polizas!$B$276+27-49))*(1+(Cartera_Polizas!$P$276-1)*MAX(0,1-27/Supuestos!$C$20))*(1-Supuestos!$C$18)^27))</f>
        <v>9.09191658278916E-005</v>
      </c>
      <c r="AE274" s="29" t="n">
        <f aca="false">AD274*(1-MIN(1,INDEX(Tabla_Mortalidad!$B$5:$B$75,MIN(71,Cartera_Polizas!$B$276+28-49))*(1+(Cartera_Polizas!$P$276-1)*MAX(0,1-28/Supuestos!$C$20))*(1-Supuestos!$C$18)^28))</f>
        <v>3.51790404621349E-005</v>
      </c>
      <c r="AF274" s="29" t="n">
        <f aca="false">AE274*(1-MIN(1,INDEX(Tabla_Mortalidad!$B$5:$B$75,MIN(71,Cartera_Polizas!$B$276+29-49))*(1+(Cartera_Polizas!$P$276-1)*MAX(0,1-29/Supuestos!$C$20))*(1-Supuestos!$C$18)^29))</f>
        <v>1.25324175060024E-005</v>
      </c>
      <c r="AG274" s="29" t="n">
        <f aca="false">AF274*(1-MIN(1,INDEX(Tabla_Mortalidad!$B$5:$B$75,MIN(71,Cartera_Polizas!$B$276+30-49))*(1+(Cartera_Polizas!$P$276-1)*MAX(0,1-30/Supuestos!$C$20))*(1-Supuestos!$C$18)^30))</f>
        <v>4.10076061181487E-006</v>
      </c>
      <c r="AH274" s="29" t="n">
        <f aca="false">AG274*(1-MIN(1,INDEX(Tabla_Mortalidad!$B$5:$B$75,MIN(71,Cartera_Polizas!$B$276+31-49))*(1+(Cartera_Polizas!$P$276-1)*MAX(0,1-31/Supuestos!$C$20))*(1-Supuestos!$C$18)^31))</f>
        <v>1.23137762572926E-006</v>
      </c>
      <c r="AI274" s="29" t="n">
        <f aca="false">AH274*(1-MIN(1,INDEX(Tabla_Mortalidad!$B$5:$B$75,MIN(71,Cartera_Polizas!$B$276+32-49))*(1+(Cartera_Polizas!$P$276-1)*MAX(0,1-32/Supuestos!$C$20))*(1-Supuestos!$C$18)^32))</f>
        <v>3.39700714661364E-007</v>
      </c>
      <c r="AJ274" s="29" t="n">
        <f aca="false">AI274*(1-MIN(1,INDEX(Tabla_Mortalidad!$B$5:$B$75,MIN(71,Cartera_Polizas!$B$276+33-49))*(1+(Cartera_Polizas!$P$276-1)*MAX(0,1-33/Supuestos!$C$20))*(1-Supuestos!$C$18)^33))</f>
        <v>8.63978459680269E-008</v>
      </c>
      <c r="AK274" s="29" t="n">
        <f aca="false">AJ274*(1-MIN(1,INDEX(Tabla_Mortalidad!$B$5:$B$75,MIN(71,Cartera_Polizas!$B$276+34-49))*(1+(Cartera_Polizas!$P$276-1)*MAX(0,1-34/Supuestos!$C$20))*(1-Supuestos!$C$18)^34))</f>
        <v>2.03838548514418E-008</v>
      </c>
      <c r="AL274" s="29" t="n">
        <f aca="false">AK274*(1-MIN(1,INDEX(Tabla_Mortalidad!$B$5:$B$75,MIN(71,Cartera_Polizas!$B$276+35-49))*(1+(Cartera_Polizas!$P$276-1)*MAX(0,1-35/Supuestos!$C$20))*(1-Supuestos!$C$18)^35))</f>
        <v>4.50067982598446E-009</v>
      </c>
      <c r="AM274" s="29" t="n">
        <f aca="false">AL274*(1-MIN(1,INDEX(Tabla_Mortalidad!$B$5:$B$75,MIN(71,Cartera_Polizas!$B$276+36-49))*(1+(Cartera_Polizas!$P$276-1)*MAX(0,1-36/Supuestos!$C$20))*(1-Supuestos!$C$18)^36))</f>
        <v>9.40381330165833E-010</v>
      </c>
      <c r="AN274" s="29" t="n">
        <f aca="false">AM274*(1-MIN(1,INDEX(Tabla_Mortalidad!$B$5:$B$75,MIN(71,Cartera_Polizas!$B$276+37-49))*(1+(Cartera_Polizas!$P$276-1)*MAX(0,1-37/Supuestos!$C$20))*(1-Supuestos!$C$18)^37))</f>
        <v>1.59188972672431E-010</v>
      </c>
      <c r="AO274" s="29" t="n">
        <f aca="false">AN274*(1-MIN(1,INDEX(Tabla_Mortalidad!$B$5:$B$75,MIN(71,Cartera_Polizas!$B$276+38-49))*(1+(Cartera_Polizas!$P$276-1)*MAX(0,1-38/Supuestos!$C$20))*(1-Supuestos!$C$18)^38))</f>
        <v>2.76089222870581E-011</v>
      </c>
      <c r="AP274" s="29" t="n">
        <f aca="false">AO274*(1-MIN(1,INDEX(Tabla_Mortalidad!$B$5:$B$75,MIN(71,Cartera_Polizas!$B$276+39-49))*(1+(Cartera_Polizas!$P$276-1)*MAX(0,1-39/Supuestos!$C$20))*(1-Supuestos!$C$18)^39))</f>
        <v>4.90245331494654E-012</v>
      </c>
      <c r="AQ274" s="29" t="n">
        <f aca="false">AP274*(1-MIN(1,INDEX(Tabla_Mortalidad!$B$5:$B$75,MIN(71,Cartera_Polizas!$B$276+40-49))*(1+(Cartera_Polizas!$P$276-1)*MAX(0,1-40/Supuestos!$C$20))*(1-Supuestos!$C$18)^40))</f>
        <v>8.90677124951477E-013</v>
      </c>
      <c r="AR274" s="29" t="n">
        <f aca="false">AQ274*(1-MIN(1,INDEX(Tabla_Mortalidad!$B$5:$B$75,MIN(71,Cartera_Polizas!$B$276+41-49))*(1+(Cartera_Polizas!$P$276-1)*MAX(0,1-41/Supuestos!$C$20))*(1-Supuestos!$C$18)^41))</f>
        <v>1.65462407332469E-013</v>
      </c>
      <c r="AS274" s="29" t="n">
        <f aca="false">AR274*(1-MIN(1,INDEX(Tabla_Mortalidad!$B$5:$B$75,MIN(71,Cartera_Polizas!$B$276+42-49))*(1+(Cartera_Polizas!$P$276-1)*MAX(0,1-42/Supuestos!$C$20))*(1-Supuestos!$C$18)^42))</f>
        <v>3.14118172809602E-014</v>
      </c>
      <c r="AT274" s="29" t="n">
        <f aca="false">AS274*(1-MIN(1,INDEX(Tabla_Mortalidad!$B$5:$B$75,MIN(71,Cartera_Polizas!$B$276+43-49))*(1+(Cartera_Polizas!$P$276-1)*MAX(0,1-43/Supuestos!$C$20))*(1-Supuestos!$C$18)^43))</f>
        <v>6.09054433780253E-015</v>
      </c>
      <c r="AU274" s="29" t="n">
        <f aca="false">AT274*(1-MIN(1,INDEX(Tabla_Mortalidad!$B$5:$B$75,MIN(71,Cartera_Polizas!$B$276+44-49))*(1+(Cartera_Polizas!$P$276-1)*MAX(0,1-44/Supuestos!$C$20))*(1-Supuestos!$C$18)^44))</f>
        <v>1.20546454443563E-015</v>
      </c>
    </row>
    <row r="275" customFormat="false" ht="15" hidden="false" customHeight="false" outlineLevel="0" collapsed="false">
      <c r="A275" s="14" t="n">
        <f aca="false">Cartera_Polizas!A277</f>
        <v>272</v>
      </c>
      <c r="B275" s="26" t="n">
        <f aca="false">SUM(C275:AU275)+0.5</f>
        <v>11.2242016042441</v>
      </c>
      <c r="C275" s="29" t="n">
        <f aca="false">1-MIN(1,INDEX(Tabla_Mortalidad!$B$5:$B$75,MIN(71,Cartera_Polizas!$B$277+0-49))*(1+(Cartera_Polizas!$P$277-1)*MAX(0,1-0/Supuestos!$C$20))*(1-Supuestos!$C$18)^0)</f>
        <v>0.9543883625</v>
      </c>
      <c r="D275" s="29" t="n">
        <f aca="false">C275*(1-MIN(1,INDEX(Tabla_Mortalidad!$B$5:$B$75,MIN(71,Cartera_Polizas!$B$277+1-49))*(1+(Cartera_Polizas!$P$277-1)*MAX(0,1-1/Supuestos!$C$20))*(1-Supuestos!$C$18)^1))</f>
        <v>0.907518435596675</v>
      </c>
      <c r="E275" s="29" t="n">
        <f aca="false">D275*(1-MIN(1,INDEX(Tabla_Mortalidad!$B$5:$B$75,MIN(71,Cartera_Polizas!$B$277+2-49))*(1+(Cartera_Polizas!$P$277-1)*MAX(0,1-2/Supuestos!$C$20))*(1-Supuestos!$C$18)^2))</f>
        <v>0.859582959728096</v>
      </c>
      <c r="F275" s="29" t="n">
        <f aca="false">E275*(1-MIN(1,INDEX(Tabla_Mortalidad!$B$5:$B$75,MIN(71,Cartera_Polizas!$B$277+3-49))*(1+(Cartera_Polizas!$P$277-1)*MAX(0,1-3/Supuestos!$C$20))*(1-Supuestos!$C$18)^3))</f>
        <v>0.810804788857458</v>
      </c>
      <c r="G275" s="29" t="n">
        <f aca="false">F275*(1-MIN(1,INDEX(Tabla_Mortalidad!$B$5:$B$75,MIN(71,Cartera_Polizas!$B$277+4-49))*(1+(Cartera_Polizas!$P$277-1)*MAX(0,1-4/Supuestos!$C$20))*(1-Supuestos!$C$18)^4))</f>
        <v>0.761436368087481</v>
      </c>
      <c r="H275" s="29" t="n">
        <f aca="false">G275*(1-MIN(1,INDEX(Tabla_Mortalidad!$B$5:$B$75,MIN(71,Cartera_Polizas!$B$277+5-49))*(1+(Cartera_Polizas!$P$277-1)*MAX(0,1-5/Supuestos!$C$20))*(1-Supuestos!$C$18)^5))</f>
        <v>0.711756909589631</v>
      </c>
      <c r="I275" s="29" t="n">
        <f aca="false">H275*(1-MIN(1,INDEX(Tabla_Mortalidad!$B$5:$B$75,MIN(71,Cartera_Polizas!$B$277+6-49))*(1+(Cartera_Polizas!$P$277-1)*MAX(0,1-6/Supuestos!$C$20))*(1-Supuestos!$C$18)^6))</f>
        <v>0.662066768891564</v>
      </c>
      <c r="J275" s="29" t="n">
        <f aca="false">I275*(1-MIN(1,INDEX(Tabla_Mortalidad!$B$5:$B$75,MIN(71,Cartera_Polizas!$B$277+7-49))*(1+(Cartera_Polizas!$P$277-1)*MAX(0,1-7/Supuestos!$C$20))*(1-Supuestos!$C$18)^7))</f>
        <v>0.612684730219453</v>
      </c>
      <c r="K275" s="29" t="n">
        <f aca="false">J275*(1-MIN(1,INDEX(Tabla_Mortalidad!$B$5:$B$75,MIN(71,Cartera_Polizas!$B$277+8-49))*(1+(Cartera_Polizas!$P$277-1)*MAX(0,1-8/Supuestos!$C$20))*(1-Supuestos!$C$18)^8))</f>
        <v>0.563943347758519</v>
      </c>
      <c r="L275" s="29" t="n">
        <f aca="false">K275*(1-MIN(1,INDEX(Tabla_Mortalidad!$B$5:$B$75,MIN(71,Cartera_Polizas!$B$277+9-49))*(1+(Cartera_Polizas!$P$277-1)*MAX(0,1-9/Supuestos!$C$20))*(1-Supuestos!$C$18)^9))</f>
        <v>0.51617957653411</v>
      </c>
      <c r="M275" s="29" t="n">
        <f aca="false">L275*(1-MIN(1,INDEX(Tabla_Mortalidad!$B$5:$B$75,MIN(71,Cartera_Polizas!$B$277+10-49))*(1+(Cartera_Polizas!$P$277-1)*MAX(0,1-10/Supuestos!$C$20))*(1-Supuestos!$C$18)^10))</f>
        <v>0.469726388924366</v>
      </c>
      <c r="N275" s="29" t="n">
        <f aca="false">M275*(1-MIN(1,INDEX(Tabla_Mortalidad!$B$5:$B$75,MIN(71,Cartera_Polizas!$B$277+11-49))*(1+(Cartera_Polizas!$P$277-1)*MAX(0,1-11/Supuestos!$C$20))*(1-Supuestos!$C$18)^11))</f>
        <v>0.424906849785881</v>
      </c>
      <c r="O275" s="29" t="n">
        <f aca="false">N275*(1-MIN(1,INDEX(Tabla_Mortalidad!$B$5:$B$75,MIN(71,Cartera_Polizas!$B$277+12-49))*(1+(Cartera_Polizas!$P$277-1)*MAX(0,1-12/Supuestos!$C$20))*(1-Supuestos!$C$18)^12))</f>
        <v>0.382021349493056</v>
      </c>
      <c r="P275" s="29" t="n">
        <f aca="false">O275*(1-MIN(1,INDEX(Tabla_Mortalidad!$B$5:$B$75,MIN(71,Cartera_Polizas!$B$277+13-49))*(1+(Cartera_Polizas!$P$277-1)*MAX(0,1-13/Supuestos!$C$20))*(1-Supuestos!$C$18)^13))</f>
        <v>0.341342148405894</v>
      </c>
      <c r="Q275" s="29" t="n">
        <f aca="false">P275*(1-MIN(1,INDEX(Tabla_Mortalidad!$B$5:$B$75,MIN(71,Cartera_Polizas!$B$277+14-49))*(1+(Cartera_Polizas!$P$277-1)*MAX(0,1-14/Supuestos!$C$20))*(1-Supuestos!$C$18)^14))</f>
        <v>0.303102713432695</v>
      </c>
      <c r="R275" s="29" t="n">
        <f aca="false">Q275*(1-MIN(1,INDEX(Tabla_Mortalidad!$B$5:$B$75,MIN(71,Cartera_Polizas!$B$277+15-49))*(1+(Cartera_Polizas!$P$277-1)*MAX(0,1-15/Supuestos!$C$20))*(1-Supuestos!$C$18)^15))</f>
        <v>0.267491298125477</v>
      </c>
      <c r="S275" s="29" t="n">
        <f aca="false">R275*(1-MIN(1,INDEX(Tabla_Mortalidad!$B$5:$B$75,MIN(71,Cartera_Polizas!$B$277+16-49))*(1+(Cartera_Polizas!$P$277-1)*MAX(0,1-16/Supuestos!$C$20))*(1-Supuestos!$C$18)^16))</f>
        <v>0.232852120331185</v>
      </c>
      <c r="T275" s="29" t="n">
        <f aca="false">S275*(1-MIN(1,INDEX(Tabla_Mortalidad!$B$5:$B$75,MIN(71,Cartera_Polizas!$B$277+17-49))*(1+(Cartera_Polizas!$P$277-1)*MAX(0,1-17/Supuestos!$C$20))*(1-Supuestos!$C$18)^17))</f>
        <v>0.199645945034918</v>
      </c>
      <c r="U275" s="29" t="n">
        <f aca="false">T275*(1-MIN(1,INDEX(Tabla_Mortalidad!$B$5:$B$75,MIN(71,Cartera_Polizas!$B$277+18-49))*(1+(Cartera_Polizas!$P$277-1)*MAX(0,1-18/Supuestos!$C$20))*(1-Supuestos!$C$18)^18))</f>
        <v>0.168323266808463</v>
      </c>
      <c r="V275" s="29" t="n">
        <f aca="false">U275*(1-MIN(1,INDEX(Tabla_Mortalidad!$B$5:$B$75,MIN(71,Cartera_Polizas!$B$277+19-49))*(1+(Cartera_Polizas!$P$277-1)*MAX(0,1-19/Supuestos!$C$20))*(1-Supuestos!$C$18)^19))</f>
        <v>0.139300413119456</v>
      </c>
      <c r="W275" s="29" t="n">
        <f aca="false">V275*(1-MIN(1,INDEX(Tabla_Mortalidad!$B$5:$B$75,MIN(71,Cartera_Polizas!$B$277+20-49))*(1+(Cartera_Polizas!$P$277-1)*MAX(0,1-20/Supuestos!$C$20))*(1-Supuestos!$C$18)^20))</f>
        <v>0.112935172010747</v>
      </c>
      <c r="X275" s="29" t="n">
        <f aca="false">W275*(1-MIN(1,INDEX(Tabla_Mortalidad!$B$5:$B$75,MIN(71,Cartera_Polizas!$B$277+21-49))*(1+(Cartera_Polizas!$P$277-1)*MAX(0,1-21/Supuestos!$C$20))*(1-Supuestos!$C$18)^21))</f>
        <v>0.0895025633143975</v>
      </c>
      <c r="Y275" s="29" t="n">
        <f aca="false">X275*(1-MIN(1,INDEX(Tabla_Mortalidad!$B$5:$B$75,MIN(71,Cartera_Polizas!$B$277+22-49))*(1+(Cartera_Polizas!$P$277-1)*MAX(0,1-22/Supuestos!$C$20))*(1-Supuestos!$C$18)^22))</f>
        <v>0.0691737823554952</v>
      </c>
      <c r="Z275" s="29" t="n">
        <f aca="false">Y275*(1-MIN(1,INDEX(Tabla_Mortalidad!$B$5:$B$75,MIN(71,Cartera_Polizas!$B$277+23-49))*(1+(Cartera_Polizas!$P$277-1)*MAX(0,1-23/Supuestos!$C$20))*(1-Supuestos!$C$18)^23))</f>
        <v>0.0520022804067848</v>
      </c>
      <c r="AA275" s="29" t="n">
        <f aca="false">Z275*(1-MIN(1,INDEX(Tabla_Mortalidad!$B$5:$B$75,MIN(71,Cartera_Polizas!$B$277+24-49))*(1+(Cartera_Polizas!$P$277-1)*MAX(0,1-24/Supuestos!$C$20))*(1-Supuestos!$C$18)^24))</f>
        <v>0.0379186826553707</v>
      </c>
      <c r="AB275" s="29" t="n">
        <f aca="false">AA275*(1-MIN(1,INDEX(Tabla_Mortalidad!$B$5:$B$75,MIN(71,Cartera_Polizas!$B$277+25-49))*(1+(Cartera_Polizas!$P$277-1)*MAX(0,1-25/Supuestos!$C$20))*(1-Supuestos!$C$18)^25))</f>
        <v>0.0267364722176365</v>
      </c>
      <c r="AC275" s="29" t="n">
        <f aca="false">AB275*(1-MIN(1,INDEX(Tabla_Mortalidad!$B$5:$B$75,MIN(71,Cartera_Polizas!$B$277+26-49))*(1+(Cartera_Polizas!$P$277-1)*MAX(0,1-26/Supuestos!$C$20))*(1-Supuestos!$C$18)^26))</f>
        <v>0.0181693464914238</v>
      </c>
      <c r="AD275" s="29" t="n">
        <f aca="false">AC275*(1-MIN(1,INDEX(Tabla_Mortalidad!$B$5:$B$75,MIN(71,Cartera_Polizas!$B$277+27-49))*(1+(Cartera_Polizas!$P$277-1)*MAX(0,1-27/Supuestos!$C$20))*(1-Supuestos!$C$18)^27))</f>
        <v>0.0118581366823041</v>
      </c>
      <c r="AE275" s="29" t="n">
        <f aca="false">AD275*(1-MIN(1,INDEX(Tabla_Mortalidad!$B$5:$B$75,MIN(71,Cartera_Polizas!$B$277+28-49))*(1+(Cartera_Polizas!$P$277-1)*MAX(0,1-28/Supuestos!$C$20))*(1-Supuestos!$C$18)^28))</f>
        <v>0.00740441208413642</v>
      </c>
      <c r="AF275" s="29" t="n">
        <f aca="false">AE275*(1-MIN(1,INDEX(Tabla_Mortalidad!$B$5:$B$75,MIN(71,Cartera_Polizas!$B$277+29-49))*(1+(Cartera_Polizas!$P$277-1)*MAX(0,1-29/Supuestos!$C$20))*(1-Supuestos!$C$18)^29))</f>
        <v>0.00440579387342333</v>
      </c>
      <c r="AG275" s="29" t="n">
        <f aca="false">AF275*(1-MIN(1,INDEX(Tabla_Mortalidad!$B$5:$B$75,MIN(71,Cartera_Polizas!$B$277+30-49))*(1+(Cartera_Polizas!$P$277-1)*MAX(0,1-30/Supuestos!$C$20))*(1-Supuestos!$C$18)^30))</f>
        <v>0.00248773107362714</v>
      </c>
      <c r="AH275" s="29" t="n">
        <f aca="false">AG275*(1-MIN(1,INDEX(Tabla_Mortalidad!$B$5:$B$75,MIN(71,Cartera_Polizas!$B$277+31-49))*(1+(Cartera_Polizas!$P$277-1)*MAX(0,1-31/Supuestos!$C$20))*(1-Supuestos!$C$18)^31))</f>
        <v>0.00132728388547111</v>
      </c>
      <c r="AI275" s="29" t="n">
        <f aca="false">AH275*(1-MIN(1,INDEX(Tabla_Mortalidad!$B$5:$B$75,MIN(71,Cartera_Polizas!$B$277+32-49))*(1+(Cartera_Polizas!$P$277-1)*MAX(0,1-32/Supuestos!$C$20))*(1-Supuestos!$C$18)^32))</f>
        <v>0.000666236596778003</v>
      </c>
      <c r="AJ275" s="29" t="n">
        <f aca="false">AI275*(1-MIN(1,INDEX(Tabla_Mortalidad!$B$5:$B$75,MIN(71,Cartera_Polizas!$B$277+33-49))*(1+(Cartera_Polizas!$P$277-1)*MAX(0,1-33/Supuestos!$C$20))*(1-Supuestos!$C$18)^33))</f>
        <v>0.00031330122874109</v>
      </c>
      <c r="AK275" s="29" t="n">
        <f aca="false">AJ275*(1-MIN(1,INDEX(Tabla_Mortalidad!$B$5:$B$75,MIN(71,Cartera_Polizas!$B$277+34-49))*(1+(Cartera_Polizas!$P$277-1)*MAX(0,1-34/Supuestos!$C$20))*(1-Supuestos!$C$18)^34))</f>
        <v>0.000137482337864131</v>
      </c>
      <c r="AL275" s="29" t="n">
        <f aca="false">AK275*(1-MIN(1,INDEX(Tabla_Mortalidad!$B$5:$B$75,MIN(71,Cartera_Polizas!$B$277+35-49))*(1+(Cartera_Polizas!$P$277-1)*MAX(0,1-35/Supuestos!$C$20))*(1-Supuestos!$C$18)^35))</f>
        <v>5.61017219260248E-005</v>
      </c>
      <c r="AM275" s="29" t="n">
        <f aca="false">AL275*(1-MIN(1,INDEX(Tabla_Mortalidad!$B$5:$B$75,MIN(71,Cartera_Polizas!$B$277+36-49))*(1+(Cartera_Polizas!$P$277-1)*MAX(0,1-36/Supuestos!$C$20))*(1-Supuestos!$C$18)^36))</f>
        <v>2.12312988602023E-005</v>
      </c>
      <c r="AN275" s="29" t="n">
        <f aca="false">AM275*(1-MIN(1,INDEX(Tabla_Mortalidad!$B$5:$B$75,MIN(71,Cartera_Polizas!$B$277+37-49))*(1+(Cartera_Polizas!$P$277-1)*MAX(0,1-37/Supuestos!$C$20))*(1-Supuestos!$C$18)^37))</f>
        <v>7.43964972562665E-006</v>
      </c>
      <c r="AO275" s="29" t="n">
        <f aca="false">AN275*(1-MIN(1,INDEX(Tabla_Mortalidad!$B$5:$B$75,MIN(71,Cartera_Polizas!$B$277+38-49))*(1+(Cartera_Polizas!$P$277-1)*MAX(0,1-38/Supuestos!$C$20))*(1-Supuestos!$C$18)^38))</f>
        <v>2.41346836611998E-006</v>
      </c>
      <c r="AP275" s="29" t="n">
        <f aca="false">AO275*(1-MIN(1,INDEX(Tabla_Mortalidad!$B$5:$B$75,MIN(71,Cartera_Polizas!$B$277+39-49))*(1+(Cartera_Polizas!$P$277-1)*MAX(0,1-39/Supuestos!$C$20))*(1-Supuestos!$C$18)^39))</f>
        <v>7.26062948583327E-007</v>
      </c>
      <c r="AQ275" s="29" t="n">
        <f aca="false">AP275*(1-MIN(1,INDEX(Tabla_Mortalidad!$B$5:$B$75,MIN(71,Cartera_Polizas!$B$277+40-49))*(1+(Cartera_Polizas!$P$277-1)*MAX(0,1-40/Supuestos!$C$20))*(1-Supuestos!$C$18)^40))</f>
        <v>2.03330466014784E-007</v>
      </c>
      <c r="AR275" s="29" t="n">
        <f aca="false">AQ275*(1-MIN(1,INDEX(Tabla_Mortalidad!$B$5:$B$75,MIN(71,Cartera_Polizas!$B$277+41-49))*(1+(Cartera_Polizas!$P$277-1)*MAX(0,1-41/Supuestos!$C$20))*(1-Supuestos!$C$18)^41))</f>
        <v>5.33284497651533E-008</v>
      </c>
      <c r="AS275" s="29" t="n">
        <f aca="false">AR275*(1-MIN(1,INDEX(Tabla_Mortalidad!$B$5:$B$75,MIN(71,Cartera_Polizas!$B$277+42-49))*(1+(Cartera_Polizas!$P$277-1)*MAX(0,1-42/Supuestos!$C$20))*(1-Supuestos!$C$18)^42))</f>
        <v>1.32074702064684E-008</v>
      </c>
      <c r="AT275" s="29" t="n">
        <f aca="false">AS275*(1-MIN(1,INDEX(Tabla_Mortalidad!$B$5:$B$75,MIN(71,Cartera_Polizas!$B$277+43-49))*(1+(Cartera_Polizas!$P$277-1)*MAX(0,1-43/Supuestos!$C$20))*(1-Supuestos!$C$18)^43))</f>
        <v>3.11983202118751E-009</v>
      </c>
      <c r="AU275" s="29" t="n">
        <f aca="false">AT275*(1-MIN(1,INDEX(Tabla_Mortalidad!$B$5:$B$75,MIN(71,Cartera_Polizas!$B$277+44-49))*(1+(Cartera_Polizas!$P$277-1)*MAX(0,1-44/Supuestos!$C$20))*(1-Supuestos!$C$18)^44))</f>
        <v>6.17489452099351E-010</v>
      </c>
    </row>
    <row r="276" customFormat="false" ht="15" hidden="false" customHeight="false" outlineLevel="0" collapsed="false">
      <c r="A276" s="14" t="n">
        <f aca="false">Cartera_Polizas!A278</f>
        <v>273</v>
      </c>
      <c r="B276" s="26" t="n">
        <f aca="false">SUM(C276:AU276)+0.5</f>
        <v>2.04450905854247</v>
      </c>
      <c r="C276" s="29" t="n">
        <f aca="false">1-MIN(1,INDEX(Tabla_Mortalidad!$B$5:$B$75,MIN(71,Cartera_Polizas!$B$278+0-49))*(1+(Cartera_Polizas!$P$278-1)*MAX(0,1-0/Supuestos!$C$20))*(1-Supuestos!$C$18)^0)</f>
        <v>0.635194</v>
      </c>
      <c r="D276" s="29" t="n">
        <f aca="false">C276*(1-MIN(1,INDEX(Tabla_Mortalidad!$B$5:$B$75,MIN(71,Cartera_Polizas!$B$278+1-49))*(1+(Cartera_Polizas!$P$278-1)*MAX(0,1-1/Supuestos!$C$20))*(1-Supuestos!$C$18)^1))</f>
        <v>0.39048153167082</v>
      </c>
      <c r="E276" s="29" t="n">
        <f aca="false">D276*(1-MIN(1,INDEX(Tabla_Mortalidad!$B$5:$B$75,MIN(71,Cartera_Polizas!$B$278+2-49))*(1+(Cartera_Polizas!$P$278-1)*MAX(0,1-2/Supuestos!$C$20))*(1-Supuestos!$C$18)^2))</f>
        <v>0.232057387700769</v>
      </c>
      <c r="F276" s="29" t="n">
        <f aca="false">E276*(1-MIN(1,INDEX(Tabla_Mortalidad!$B$5:$B$75,MIN(71,Cartera_Polizas!$B$278+3-49))*(1+(Cartera_Polizas!$P$278-1)*MAX(0,1-3/Supuestos!$C$20))*(1-Supuestos!$C$18)^3))</f>
        <v>0.133211884821204</v>
      </c>
      <c r="G276" s="29" t="n">
        <f aca="false">F276*(1-MIN(1,INDEX(Tabla_Mortalidad!$B$5:$B$75,MIN(71,Cartera_Polizas!$B$278+4-49))*(1+(Cartera_Polizas!$P$278-1)*MAX(0,1-4/Supuestos!$C$20))*(1-Supuestos!$C$18)^4))</f>
        <v>0.0738402011126787</v>
      </c>
      <c r="H276" s="29" t="n">
        <f aca="false">G276*(1-MIN(1,INDEX(Tabla_Mortalidad!$B$5:$B$75,MIN(71,Cartera_Polizas!$B$278+5-49))*(1+(Cartera_Polizas!$P$278-1)*MAX(0,1-5/Supuestos!$C$20))*(1-Supuestos!$C$18)^5))</f>
        <v>0.0395329883173714</v>
      </c>
      <c r="I276" s="29" t="n">
        <f aca="false">H276*(1-MIN(1,INDEX(Tabla_Mortalidad!$B$5:$B$75,MIN(71,Cartera_Polizas!$B$278+6-49))*(1+(Cartera_Polizas!$P$278-1)*MAX(0,1-6/Supuestos!$C$20))*(1-Supuestos!$C$18)^6))</f>
        <v>0.0204642356192623</v>
      </c>
      <c r="J276" s="29" t="n">
        <f aca="false">I276*(1-MIN(1,INDEX(Tabla_Mortalidad!$B$5:$B$75,MIN(71,Cartera_Polizas!$B$278+7-49))*(1+(Cartera_Polizas!$P$278-1)*MAX(0,1-7/Supuestos!$C$20))*(1-Supuestos!$C$18)^7))</f>
        <v>0.0102631467090093</v>
      </c>
      <c r="K276" s="29" t="n">
        <f aca="false">J276*(1-MIN(1,INDEX(Tabla_Mortalidad!$B$5:$B$75,MIN(71,Cartera_Polizas!$B$278+8-49))*(1+(Cartera_Polizas!$P$278-1)*MAX(0,1-8/Supuestos!$C$20))*(1-Supuestos!$C$18)^8))</f>
        <v>0.00500282262933256</v>
      </c>
      <c r="L276" s="29" t="n">
        <f aca="false">K276*(1-MIN(1,INDEX(Tabla_Mortalidad!$B$5:$B$75,MIN(71,Cartera_Polizas!$B$278+9-49))*(1+(Cartera_Polizas!$P$278-1)*MAX(0,1-9/Supuestos!$C$20))*(1-Supuestos!$C$18)^9))</f>
        <v>0.00238123679458578</v>
      </c>
      <c r="M276" s="29" t="n">
        <f aca="false">L276*(1-MIN(1,INDEX(Tabla_Mortalidad!$B$5:$B$75,MIN(71,Cartera_Polizas!$B$278+10-49))*(1+(Cartera_Polizas!$P$278-1)*MAX(0,1-10/Supuestos!$C$20))*(1-Supuestos!$C$18)^10))</f>
        <v>0.00111358228148757</v>
      </c>
      <c r="N276" s="29" t="n">
        <f aca="false">M276*(1-MIN(1,INDEX(Tabla_Mortalidad!$B$5:$B$75,MIN(71,Cartera_Polizas!$B$278+11-49))*(1+(Cartera_Polizas!$P$278-1)*MAX(0,1-11/Supuestos!$C$20))*(1-Supuestos!$C$18)^11))</f>
        <v>0.000515654344391104</v>
      </c>
      <c r="O276" s="29" t="n">
        <f aca="false">N276*(1-MIN(1,INDEX(Tabla_Mortalidad!$B$5:$B$75,MIN(71,Cartera_Polizas!$B$278+12-49))*(1+(Cartera_Polizas!$P$278-1)*MAX(0,1-12/Supuestos!$C$20))*(1-Supuestos!$C$18)^12))</f>
        <v>0.000238660430558878</v>
      </c>
      <c r="P276" s="29" t="n">
        <f aca="false">O276*(1-MIN(1,INDEX(Tabla_Mortalidad!$B$5:$B$75,MIN(71,Cartera_Polizas!$B$278+13-49))*(1+(Cartera_Polizas!$P$278-1)*MAX(0,1-13/Supuestos!$C$20))*(1-Supuestos!$C$18)^13))</f>
        <v>0.000111596627426444</v>
      </c>
      <c r="Q276" s="29" t="n">
        <f aca="false">P276*(1-MIN(1,INDEX(Tabla_Mortalidad!$B$5:$B$75,MIN(71,Cartera_Polizas!$B$278+14-49))*(1+(Cartera_Polizas!$P$278-1)*MAX(0,1-14/Supuestos!$C$20))*(1-Supuestos!$C$18)^14))</f>
        <v>5.33410844180038E-005</v>
      </c>
      <c r="R276" s="29" t="n">
        <f aca="false">Q276*(1-MIN(1,INDEX(Tabla_Mortalidad!$B$5:$B$75,MIN(71,Cartera_Polizas!$B$278+15-49))*(1+(Cartera_Polizas!$P$278-1)*MAX(0,1-15/Supuestos!$C$20))*(1-Supuestos!$C$18)^15))</f>
        <v>2.63814189846752E-005</v>
      </c>
      <c r="S276" s="29" t="n">
        <f aca="false">R276*(1-MIN(1,INDEX(Tabla_Mortalidad!$B$5:$B$75,MIN(71,Cartera_Polizas!$B$278+16-49))*(1+(Cartera_Polizas!$P$278-1)*MAX(0,1-16/Supuestos!$C$20))*(1-Supuestos!$C$18)^16))</f>
        <v>1.21451047322051E-005</v>
      </c>
      <c r="T276" s="29" t="n">
        <f aca="false">S276*(1-MIN(1,INDEX(Tabla_Mortalidad!$B$5:$B$75,MIN(71,Cartera_Polizas!$B$278+17-49))*(1+(Cartera_Polizas!$P$278-1)*MAX(0,1-17/Supuestos!$C$20))*(1-Supuestos!$C$18)^17))</f>
        <v>5.17404716899611E-006</v>
      </c>
      <c r="U276" s="29" t="n">
        <f aca="false">T276*(1-MIN(1,INDEX(Tabla_Mortalidad!$B$5:$B$75,MIN(71,Cartera_Polizas!$B$278+18-49))*(1+(Cartera_Polizas!$P$278-1)*MAX(0,1-18/Supuestos!$C$20))*(1-Supuestos!$C$18)^18))</f>
        <v>2.02800507196063E-006</v>
      </c>
      <c r="V276" s="29" t="n">
        <f aca="false">U276*(1-MIN(1,INDEX(Tabla_Mortalidad!$B$5:$B$75,MIN(71,Cartera_Polizas!$B$278+19-49))*(1+(Cartera_Polizas!$P$278-1)*MAX(0,1-19/Supuestos!$C$20))*(1-Supuestos!$C$18)^19))</f>
        <v>7.27315049546902E-007</v>
      </c>
      <c r="W276" s="29" t="n">
        <f aca="false">V276*(1-MIN(1,INDEX(Tabla_Mortalidad!$B$5:$B$75,MIN(71,Cartera_Polizas!$B$278+20-49))*(1+(Cartera_Polizas!$P$278-1)*MAX(0,1-20/Supuestos!$C$20))*(1-Supuestos!$C$18)^20))</f>
        <v>2.37497538245673E-007</v>
      </c>
      <c r="X276" s="29" t="n">
        <f aca="false">W276*(1-MIN(1,INDEX(Tabla_Mortalidad!$B$5:$B$75,MIN(71,Cartera_Polizas!$B$278+21-49))*(1+(Cartera_Polizas!$P$278-1)*MAX(0,1-21/Supuestos!$C$20))*(1-Supuestos!$C$18)^21))</f>
        <v>7.03386566597529E-008</v>
      </c>
      <c r="Y276" s="29" t="n">
        <f aca="false">X276*(1-MIN(1,INDEX(Tabla_Mortalidad!$B$5:$B$75,MIN(71,Cartera_Polizas!$B$278+22-49))*(1+(Cartera_Polizas!$P$278-1)*MAX(0,1-22/Supuestos!$C$20))*(1-Supuestos!$C$18)^22))</f>
        <v>1.88501323907293E-008</v>
      </c>
      <c r="Z276" s="29" t="n">
        <f aca="false">Y276*(1-MIN(1,INDEX(Tabla_Mortalidad!$B$5:$B$75,MIN(71,Cartera_Polizas!$B$278+23-49))*(1+(Cartera_Polizas!$P$278-1)*MAX(0,1-23/Supuestos!$C$20))*(1-Supuestos!$C$18)^23))</f>
        <v>4.57030555087705E-009</v>
      </c>
      <c r="AA276" s="29" t="n">
        <f aca="false">Z276*(1-MIN(1,INDEX(Tabla_Mortalidad!$B$5:$B$75,MIN(71,Cartera_Polizas!$B$278+24-49))*(1+(Cartera_Polizas!$P$278-1)*MAX(0,1-24/Supuestos!$C$20))*(1-Supuestos!$C$18)^24))</f>
        <v>1.00512805002014E-009</v>
      </c>
      <c r="AB276" s="29" t="n">
        <f aca="false">AA276*(1-MIN(1,INDEX(Tabla_Mortalidad!$B$5:$B$75,MIN(71,Cartera_Polizas!$B$278+25-49))*(1+(Cartera_Polizas!$P$278-1)*MAX(0,1-25/Supuestos!$C$20))*(1-Supuestos!$C$18)^25))</f>
        <v>2.01700459649036E-010</v>
      </c>
      <c r="AC276" s="29" t="n">
        <f aca="false">AB276*(1-MIN(1,INDEX(Tabla_Mortalidad!$B$5:$B$75,MIN(71,Cartera_Polizas!$B$278+26-49))*(1+(Cartera_Polizas!$P$278-1)*MAX(0,1-26/Supuestos!$C$20))*(1-Supuestos!$C$18)^26))</f>
        <v>3.72821554137749E-011</v>
      </c>
      <c r="AD276" s="29" t="n">
        <f aca="false">AC276*(1-MIN(1,INDEX(Tabla_Mortalidad!$B$5:$B$75,MIN(71,Cartera_Polizas!$B$278+27-49))*(1+(Cartera_Polizas!$P$278-1)*MAX(0,1-27/Supuestos!$C$20))*(1-Supuestos!$C$18)^27))</f>
        <v>6.42885855165773E-012</v>
      </c>
      <c r="AE276" s="29" t="n">
        <f aca="false">AD276*(1-MIN(1,INDEX(Tabla_Mortalidad!$B$5:$B$75,MIN(71,Cartera_Polizas!$B$278+28-49))*(1+(Cartera_Polizas!$P$278-1)*MAX(0,1-28/Supuestos!$C$20))*(1-Supuestos!$C$18)^28))</f>
        <v>8.41839769402818E-013</v>
      </c>
      <c r="AF276" s="29" t="n">
        <f aca="false">AE276*(1-MIN(1,INDEX(Tabla_Mortalidad!$B$5:$B$75,MIN(71,Cartera_Polizas!$B$278+29-49))*(1+(Cartera_Polizas!$P$278-1)*MAX(0,1-29/Supuestos!$C$20))*(1-Supuestos!$C$18)^29))</f>
        <v>1.13894412901011E-013</v>
      </c>
      <c r="AG276" s="29" t="n">
        <f aca="false">AF276*(1-MIN(1,INDEX(Tabla_Mortalidad!$B$5:$B$75,MIN(71,Cartera_Polizas!$B$278+30-49))*(1+(Cartera_Polizas!$P$278-1)*MAX(0,1-30/Supuestos!$C$20))*(1-Supuestos!$C$18)^30))</f>
        <v>1.5901460493576E-014</v>
      </c>
      <c r="AH276" s="29" t="n">
        <f aca="false">AG276*(1-MIN(1,INDEX(Tabla_Mortalidad!$B$5:$B$75,MIN(71,Cartera_Polizas!$B$278+31-49))*(1+(Cartera_Polizas!$P$278-1)*MAX(0,1-31/Supuestos!$C$20))*(1-Supuestos!$C$18)^31))</f>
        <v>2.28850208273229E-015</v>
      </c>
      <c r="AI276" s="29" t="n">
        <f aca="false">AH276*(1-MIN(1,INDEX(Tabla_Mortalidad!$B$5:$B$75,MIN(71,Cartera_Polizas!$B$278+32-49))*(1+(Cartera_Polizas!$P$278-1)*MAX(0,1-32/Supuestos!$C$20))*(1-Supuestos!$C$18)^32))</f>
        <v>3.39151752961658E-016</v>
      </c>
      <c r="AJ276" s="29" t="n">
        <f aca="false">AI276*(1-MIN(1,INDEX(Tabla_Mortalidad!$B$5:$B$75,MIN(71,Cartera_Polizas!$B$278+33-49))*(1+(Cartera_Polizas!$P$278-1)*MAX(0,1-33/Supuestos!$C$20))*(1-Supuestos!$C$18)^33))</f>
        <v>5.17061095714976E-017</v>
      </c>
      <c r="AK276" s="29" t="n">
        <f aca="false">AJ276*(1-MIN(1,INDEX(Tabla_Mortalidad!$B$5:$B$75,MIN(71,Cartera_Polizas!$B$278+34-49))*(1+(Cartera_Polizas!$P$278-1)*MAX(0,1-34/Supuestos!$C$20))*(1-Supuestos!$C$18)^34))</f>
        <v>8.10208180464651E-018</v>
      </c>
      <c r="AL276" s="29" t="n">
        <f aca="false">AK276*(1-MIN(1,INDEX(Tabla_Mortalidad!$B$5:$B$75,MIN(71,Cartera_Polizas!$B$278+35-49))*(1+(Cartera_Polizas!$P$278-1)*MAX(0,1-35/Supuestos!$C$20))*(1-Supuestos!$C$18)^35))</f>
        <v>1.30371724207691E-018</v>
      </c>
      <c r="AM276" s="29" t="n">
        <f aca="false">AL276*(1-MIN(1,INDEX(Tabla_Mortalidad!$B$5:$B$75,MIN(71,Cartera_Polizas!$B$278+36-49))*(1+(Cartera_Polizas!$P$278-1)*MAX(0,1-36/Supuestos!$C$20))*(1-Supuestos!$C$18)^36))</f>
        <v>2.15252624551285E-019</v>
      </c>
      <c r="AN276" s="29" t="n">
        <f aca="false">AM276*(1-MIN(1,INDEX(Tabla_Mortalidad!$B$5:$B$75,MIN(71,Cartera_Polizas!$B$278+37-49))*(1+(Cartera_Polizas!$P$278-1)*MAX(0,1-37/Supuestos!$C$20))*(1-Supuestos!$C$18)^37))</f>
        <v>3.64382437934204E-020</v>
      </c>
      <c r="AO276" s="29" t="n">
        <f aca="false">AN276*(1-MIN(1,INDEX(Tabla_Mortalidad!$B$5:$B$75,MIN(71,Cartera_Polizas!$B$278+38-49))*(1+(Cartera_Polizas!$P$278-1)*MAX(0,1-38/Supuestos!$C$20))*(1-Supuestos!$C$18)^38))</f>
        <v>6.31966287790262E-021</v>
      </c>
      <c r="AP276" s="29" t="n">
        <f aca="false">AO276*(1-MIN(1,INDEX(Tabla_Mortalidad!$B$5:$B$75,MIN(71,Cartera_Polizas!$B$278+39-49))*(1+(Cartera_Polizas!$P$278-1)*MAX(0,1-39/Supuestos!$C$20))*(1-Supuestos!$C$18)^39))</f>
        <v>1.12216811301039E-021</v>
      </c>
      <c r="AQ276" s="29" t="n">
        <f aca="false">AP276*(1-MIN(1,INDEX(Tabla_Mortalidad!$B$5:$B$75,MIN(71,Cartera_Polizas!$B$278+40-49))*(1+(Cartera_Polizas!$P$278-1)*MAX(0,1-40/Supuestos!$C$20))*(1-Supuestos!$C$18)^40))</f>
        <v>2.03875366963941E-022</v>
      </c>
      <c r="AR276" s="29" t="n">
        <f aca="false">AQ276*(1-MIN(1,INDEX(Tabla_Mortalidad!$B$5:$B$75,MIN(71,Cartera_Polizas!$B$278+41-49))*(1+(Cartera_Polizas!$P$278-1)*MAX(0,1-41/Supuestos!$C$20))*(1-Supuestos!$C$18)^41))</f>
        <v>3.7874228571304E-023</v>
      </c>
      <c r="AS276" s="29" t="n">
        <f aca="false">AR276*(1-MIN(1,INDEX(Tabla_Mortalidad!$B$5:$B$75,MIN(71,Cartera_Polizas!$B$278+42-49))*(1+(Cartera_Polizas!$P$278-1)*MAX(0,1-42/Supuestos!$C$20))*(1-Supuestos!$C$18)^42))</f>
        <v>7.19014286519249E-024</v>
      </c>
      <c r="AT276" s="29" t="n">
        <f aca="false">AS276*(1-MIN(1,INDEX(Tabla_Mortalidad!$B$5:$B$75,MIN(71,Cartera_Polizas!$B$278+43-49))*(1+(Cartera_Polizas!$P$278-1)*MAX(0,1-43/Supuestos!$C$20))*(1-Supuestos!$C$18)^43))</f>
        <v>1.39412131185842E-024</v>
      </c>
      <c r="AU276" s="29" t="n">
        <f aca="false">AT276*(1-MIN(1,INDEX(Tabla_Mortalidad!$B$5:$B$75,MIN(71,Cartera_Polizas!$B$278+44-49))*(1+(Cartera_Polizas!$P$278-1)*MAX(0,1-44/Supuestos!$C$20))*(1-Supuestos!$C$18)^44))</f>
        <v>2.75929985708595E-025</v>
      </c>
    </row>
    <row r="277" customFormat="false" ht="15" hidden="false" customHeight="false" outlineLevel="0" collapsed="false">
      <c r="A277" s="14" t="n">
        <f aca="false">Cartera_Polizas!A279</f>
        <v>274</v>
      </c>
      <c r="B277" s="26" t="n">
        <f aca="false">SUM(C277:AU277)+0.5</f>
        <v>3.49319250589212</v>
      </c>
      <c r="C277" s="29" t="n">
        <f aca="false">1-MIN(1,INDEX(Tabla_Mortalidad!$B$5:$B$75,MIN(71,Cartera_Polizas!$B$279+0-49))*(1+(Cartera_Polizas!$P$279-1)*MAX(0,1-0/Supuestos!$C$20))*(1-Supuestos!$C$18)^0)</f>
        <v>0.78919768</v>
      </c>
      <c r="D277" s="29" t="n">
        <f aca="false">C277*(1-MIN(1,INDEX(Tabla_Mortalidad!$B$5:$B$75,MIN(71,Cartera_Polizas!$B$279+1-49))*(1+(Cartera_Polizas!$P$279-1)*MAX(0,1-1/Supuestos!$C$20))*(1-Supuestos!$C$18)^1))</f>
        <v>0.611291312219654</v>
      </c>
      <c r="E277" s="29" t="n">
        <f aca="false">D277*(1-MIN(1,INDEX(Tabla_Mortalidad!$B$5:$B$75,MIN(71,Cartera_Polizas!$B$279+2-49))*(1+(Cartera_Polizas!$P$279-1)*MAX(0,1-2/Supuestos!$C$20))*(1-Supuestos!$C$18)^2))</f>
        <v>0.464190702858683</v>
      </c>
      <c r="F277" s="29" t="n">
        <f aca="false">E277*(1-MIN(1,INDEX(Tabla_Mortalidad!$B$5:$B$75,MIN(71,Cartera_Polizas!$B$279+3-49))*(1+(Cartera_Polizas!$P$279-1)*MAX(0,1-3/Supuestos!$C$20))*(1-Supuestos!$C$18)^3))</f>
        <v>0.345180010710221</v>
      </c>
      <c r="G277" s="29" t="n">
        <f aca="false">F277*(1-MIN(1,INDEX(Tabla_Mortalidad!$B$5:$B$75,MIN(71,Cartera_Polizas!$B$279+4-49))*(1+(Cartera_Polizas!$P$279-1)*MAX(0,1-4/Supuestos!$C$20))*(1-Supuestos!$C$18)^4))</f>
        <v>0.251089343738622</v>
      </c>
      <c r="H277" s="29" t="n">
        <f aca="false">G277*(1-MIN(1,INDEX(Tabla_Mortalidad!$B$5:$B$75,MIN(71,Cartera_Polizas!$B$279+5-49))*(1+(Cartera_Polizas!$P$279-1)*MAX(0,1-5/Supuestos!$C$20))*(1-Supuestos!$C$18)^5))</f>
        <v>0.178486655700939</v>
      </c>
      <c r="I277" s="29" t="n">
        <f aca="false">H277*(1-MIN(1,INDEX(Tabla_Mortalidad!$B$5:$B$75,MIN(71,Cartera_Polizas!$B$279+6-49))*(1+(Cartera_Polizas!$P$279-1)*MAX(0,1-6/Supuestos!$C$20))*(1-Supuestos!$C$18)^6))</f>
        <v>0.12387627337693</v>
      </c>
      <c r="J277" s="29" t="n">
        <f aca="false">I277*(1-MIN(1,INDEX(Tabla_Mortalidad!$B$5:$B$75,MIN(71,Cartera_Polizas!$B$279+7-49))*(1+(Cartera_Polizas!$P$279-1)*MAX(0,1-7/Supuestos!$C$20))*(1-Supuestos!$C$18)^7))</f>
        <v>0.0838795830122472</v>
      </c>
      <c r="K277" s="29" t="n">
        <f aca="false">J277*(1-MIN(1,INDEX(Tabla_Mortalidad!$B$5:$B$75,MIN(71,Cartera_Polizas!$B$279+8-49))*(1+(Cartera_Polizas!$P$279-1)*MAX(0,1-8/Supuestos!$C$20))*(1-Supuestos!$C$18)^8))</f>
        <v>0.0553841274097186</v>
      </c>
      <c r="L277" s="29" t="n">
        <f aca="false">K277*(1-MIN(1,INDEX(Tabla_Mortalidad!$B$5:$B$75,MIN(71,Cartera_Polizas!$B$279+9-49))*(1+(Cartera_Polizas!$P$279-1)*MAX(0,1-9/Supuestos!$C$20))*(1-Supuestos!$C$18)^9))</f>
        <v>0.0356514933939528</v>
      </c>
      <c r="M277" s="29" t="n">
        <f aca="false">L277*(1-MIN(1,INDEX(Tabla_Mortalidad!$B$5:$B$75,MIN(71,Cartera_Polizas!$B$279+10-49))*(1+(Cartera_Polizas!$P$279-1)*MAX(0,1-10/Supuestos!$C$20))*(1-Supuestos!$C$18)^10))</f>
        <v>0.0223769097217157</v>
      </c>
      <c r="N277" s="29" t="n">
        <f aca="false">M277*(1-MIN(1,INDEX(Tabla_Mortalidad!$B$5:$B$75,MIN(71,Cartera_Polizas!$B$279+11-49))*(1+(Cartera_Polizas!$P$279-1)*MAX(0,1-11/Supuestos!$C$20))*(1-Supuestos!$C$18)^11))</f>
        <v>0.0137031847505916</v>
      </c>
      <c r="O277" s="29" t="n">
        <f aca="false">N277*(1-MIN(1,INDEX(Tabla_Mortalidad!$B$5:$B$75,MIN(71,Cartera_Polizas!$B$279+12-49))*(1+(Cartera_Polizas!$P$279-1)*MAX(0,1-12/Supuestos!$C$20))*(1-Supuestos!$C$18)^12))</f>
        <v>0.00819708682417411</v>
      </c>
      <c r="P277" s="29" t="n">
        <f aca="false">O277*(1-MIN(1,INDEX(Tabla_Mortalidad!$B$5:$B$75,MIN(71,Cartera_Polizas!$B$279+13-49))*(1+(Cartera_Polizas!$P$279-1)*MAX(0,1-13/Supuestos!$C$20))*(1-Supuestos!$C$18)^13))</f>
        <v>0.00479868448979285</v>
      </c>
      <c r="Q277" s="29" t="n">
        <f aca="false">P277*(1-MIN(1,INDEX(Tabla_Mortalidad!$B$5:$B$75,MIN(71,Cartera_Polizas!$B$279+14-49))*(1+(Cartera_Polizas!$P$279-1)*MAX(0,1-14/Supuestos!$C$20))*(1-Supuestos!$C$18)^14))</f>
        <v>0.00275644364988131</v>
      </c>
      <c r="R277" s="29" t="n">
        <f aca="false">Q277*(1-MIN(1,INDEX(Tabla_Mortalidad!$B$5:$B$75,MIN(71,Cartera_Polizas!$B$279+15-49))*(1+(Cartera_Polizas!$P$279-1)*MAX(0,1-15/Supuestos!$C$20))*(1-Supuestos!$C$18)^15))</f>
        <v>0.0015589958747819</v>
      </c>
      <c r="S277" s="29" t="n">
        <f aca="false">R277*(1-MIN(1,INDEX(Tabla_Mortalidad!$B$5:$B$75,MIN(71,Cartera_Polizas!$B$279+16-49))*(1+(Cartera_Polizas!$P$279-1)*MAX(0,1-16/Supuestos!$C$20))*(1-Supuestos!$C$18)^16))</f>
        <v>0.000830947086629244</v>
      </c>
      <c r="T277" s="29" t="n">
        <f aca="false">S277*(1-MIN(1,INDEX(Tabla_Mortalidad!$B$5:$B$75,MIN(71,Cartera_Polizas!$B$279+17-49))*(1+(Cartera_Polizas!$P$279-1)*MAX(0,1-17/Supuestos!$C$20))*(1-Supuestos!$C$18)^17))</f>
        <v>0.000415158859089184</v>
      </c>
      <c r="U277" s="29" t="n">
        <f aca="false">T277*(1-MIN(1,INDEX(Tabla_Mortalidad!$B$5:$B$75,MIN(71,Cartera_Polizas!$B$279+18-49))*(1+(Cartera_Polizas!$P$279-1)*MAX(0,1-18/Supuestos!$C$20))*(1-Supuestos!$C$18)^18))</f>
        <v>0.000193359704746414</v>
      </c>
      <c r="V277" s="29" t="n">
        <f aca="false">U277*(1-MIN(1,INDEX(Tabla_Mortalidad!$B$5:$B$75,MIN(71,Cartera_Polizas!$B$279+19-49))*(1+(Cartera_Polizas!$P$279-1)*MAX(0,1-19/Supuestos!$C$20))*(1-Supuestos!$C$18)^19))</f>
        <v>8.34820097132373E-005</v>
      </c>
      <c r="W277" s="29" t="n">
        <f aca="false">V277*(1-MIN(1,INDEX(Tabla_Mortalidad!$B$5:$B$75,MIN(71,Cartera_Polizas!$B$279+20-49))*(1+(Cartera_Polizas!$P$279-1)*MAX(0,1-20/Supuestos!$C$20))*(1-Supuestos!$C$18)^20))</f>
        <v>3.32277126051744E-005</v>
      </c>
      <c r="X277" s="29" t="n">
        <f aca="false">W277*(1-MIN(1,INDEX(Tabla_Mortalidad!$B$5:$B$75,MIN(71,Cartera_Polizas!$B$279+21-49))*(1+(Cartera_Polizas!$P$279-1)*MAX(0,1-21/Supuestos!$C$20))*(1-Supuestos!$C$18)^21))</f>
        <v>1.21292223814101E-005</v>
      </c>
      <c r="Y277" s="29" t="n">
        <f aca="false">X277*(1-MIN(1,INDEX(Tabla_Mortalidad!$B$5:$B$75,MIN(71,Cartera_Polizas!$B$279+22-49))*(1+(Cartera_Polizas!$P$279-1)*MAX(0,1-22/Supuestos!$C$20))*(1-Supuestos!$C$18)^22))</f>
        <v>4.04215887712141E-006</v>
      </c>
      <c r="Z277" s="29" t="n">
        <f aca="false">Y277*(1-MIN(1,INDEX(Tabla_Mortalidad!$B$5:$B$75,MIN(71,Cartera_Polizas!$B$279+23-49))*(1+(Cartera_Polizas!$P$279-1)*MAX(0,1-23/Supuestos!$C$20))*(1-Supuestos!$C$18)^23))</f>
        <v>1.22552832788916E-006</v>
      </c>
      <c r="AA277" s="29" t="n">
        <f aca="false">Z277*(1-MIN(1,INDEX(Tabla_Mortalidad!$B$5:$B$75,MIN(71,Cartera_Polizas!$B$279+24-49))*(1+(Cartera_Polizas!$P$279-1)*MAX(0,1-24/Supuestos!$C$20))*(1-Supuestos!$C$18)^24))</f>
        <v>3.37379206408429E-007</v>
      </c>
      <c r="AB277" s="29" t="n">
        <f aca="false">AA277*(1-MIN(1,INDEX(Tabla_Mortalidad!$B$5:$B$75,MIN(71,Cartera_Polizas!$B$279+25-49))*(1+(Cartera_Polizas!$P$279-1)*MAX(0,1-25/Supuestos!$C$20))*(1-Supuestos!$C$18)^25))</f>
        <v>8.43486268634127E-008</v>
      </c>
      <c r="AC277" s="29" t="n">
        <f aca="false">AB277*(1-MIN(1,INDEX(Tabla_Mortalidad!$B$5:$B$75,MIN(71,Cartera_Polizas!$B$279+26-49))*(1+(Cartera_Polizas!$P$279-1)*MAX(0,1-26/Supuestos!$C$20))*(1-Supuestos!$C$18)^26))</f>
        <v>1.92067751675381E-008</v>
      </c>
      <c r="AD277" s="29" t="n">
        <f aca="false">AC277*(1-MIN(1,INDEX(Tabla_Mortalidad!$B$5:$B$75,MIN(71,Cartera_Polizas!$B$279+27-49))*(1+(Cartera_Polizas!$P$279-1)*MAX(0,1-27/Supuestos!$C$20))*(1-Supuestos!$C$18)^27))</f>
        <v>4.00739202251558E-009</v>
      </c>
      <c r="AE277" s="29" t="n">
        <f aca="false">AD277*(1-MIN(1,INDEX(Tabla_Mortalidad!$B$5:$B$75,MIN(71,Cartera_Polizas!$B$279+28-49))*(1+(Cartera_Polizas!$P$279-1)*MAX(0,1-28/Supuestos!$C$20))*(1-Supuestos!$C$18)^28))</f>
        <v>7.73308232669433E-010</v>
      </c>
      <c r="AF277" s="29" t="n">
        <f aca="false">AE277*(1-MIN(1,INDEX(Tabla_Mortalidad!$B$5:$B$75,MIN(71,Cartera_Polizas!$B$279+29-49))*(1+(Cartera_Polizas!$P$279-1)*MAX(0,1-29/Supuestos!$C$20))*(1-Supuestos!$C$18)^29))</f>
        <v>1.39731294873376E-010</v>
      </c>
      <c r="AG277" s="29" t="n">
        <f aca="false">AF277*(1-MIN(1,INDEX(Tabla_Mortalidad!$B$5:$B$75,MIN(71,Cartera_Polizas!$B$279+30-49))*(1+(Cartera_Polizas!$P$279-1)*MAX(0,1-30/Supuestos!$C$20))*(1-Supuestos!$C$18)^30))</f>
        <v>1.95086976485522E-011</v>
      </c>
      <c r="AH277" s="29" t="n">
        <f aca="false">AG277*(1-MIN(1,INDEX(Tabla_Mortalidad!$B$5:$B$75,MIN(71,Cartera_Polizas!$B$279+31-49))*(1+(Cartera_Polizas!$P$279-1)*MAX(0,1-31/Supuestos!$C$20))*(1-Supuestos!$C$18)^31))</f>
        <v>2.80764746220278E-012</v>
      </c>
      <c r="AI277" s="29" t="n">
        <f aca="false">AH277*(1-MIN(1,INDEX(Tabla_Mortalidad!$B$5:$B$75,MIN(71,Cartera_Polizas!$B$279+32-49))*(1+(Cartera_Polizas!$P$279-1)*MAX(0,1-32/Supuestos!$C$20))*(1-Supuestos!$C$18)^32))</f>
        <v>4.16088132796257E-013</v>
      </c>
      <c r="AJ277" s="29" t="n">
        <f aca="false">AI277*(1-MIN(1,INDEX(Tabla_Mortalidad!$B$5:$B$75,MIN(71,Cartera_Polizas!$B$279+33-49))*(1+(Cartera_Polizas!$P$279-1)*MAX(0,1-33/Supuestos!$C$20))*(1-Supuestos!$C$18)^33))</f>
        <v>6.34356107491366E-014</v>
      </c>
      <c r="AK277" s="29" t="n">
        <f aca="false">AJ277*(1-MIN(1,INDEX(Tabla_Mortalidad!$B$5:$B$75,MIN(71,Cartera_Polizas!$B$279+34-49))*(1+(Cartera_Polizas!$P$279-1)*MAX(0,1-34/Supuestos!$C$20))*(1-Supuestos!$C$18)^34))</f>
        <v>9.94003439586824E-015</v>
      </c>
      <c r="AL277" s="29" t="n">
        <f aca="false">AK277*(1-MIN(1,INDEX(Tabla_Mortalidad!$B$5:$B$75,MIN(71,Cartera_Polizas!$B$279+35-49))*(1+(Cartera_Polizas!$P$279-1)*MAX(0,1-35/Supuestos!$C$20))*(1-Supuestos!$C$18)^35))</f>
        <v>1.5994647476034E-015</v>
      </c>
      <c r="AM277" s="29" t="n">
        <f aca="false">AL277*(1-MIN(1,INDEX(Tabla_Mortalidad!$B$5:$B$75,MIN(71,Cartera_Polizas!$B$279+36-49))*(1+(Cartera_Polizas!$P$279-1)*MAX(0,1-36/Supuestos!$C$20))*(1-Supuestos!$C$18)^36))</f>
        <v>2.6408255846215E-016</v>
      </c>
      <c r="AN277" s="29" t="n">
        <f aca="false">AM277*(1-MIN(1,INDEX(Tabla_Mortalidad!$B$5:$B$75,MIN(71,Cartera_Polizas!$B$279+37-49))*(1+(Cartera_Polizas!$P$279-1)*MAX(0,1-37/Supuestos!$C$20))*(1-Supuestos!$C$18)^37))</f>
        <v>4.47042384123933E-017</v>
      </c>
      <c r="AO277" s="29" t="n">
        <f aca="false">AN277*(1-MIN(1,INDEX(Tabla_Mortalidad!$B$5:$B$75,MIN(71,Cartera_Polizas!$B$279+38-49))*(1+(Cartera_Polizas!$P$279-1)*MAX(0,1-38/Supuestos!$C$20))*(1-Supuestos!$C$18)^38))</f>
        <v>7.75327476212571E-018</v>
      </c>
      <c r="AP277" s="29" t="n">
        <f aca="false">AO277*(1-MIN(1,INDEX(Tabla_Mortalidad!$B$5:$B$75,MIN(71,Cartera_Polizas!$B$279+39-49))*(1+(Cartera_Polizas!$P$279-1)*MAX(0,1-39/Supuestos!$C$20))*(1-Supuestos!$C$18)^39))</f>
        <v>1.37673130316616E-018</v>
      </c>
      <c r="AQ277" s="29" t="n">
        <f aca="false">AP277*(1-MIN(1,INDEX(Tabla_Mortalidad!$B$5:$B$75,MIN(71,Cartera_Polizas!$B$279+40-49))*(1+(Cartera_Polizas!$P$279-1)*MAX(0,1-40/Supuestos!$C$20))*(1-Supuestos!$C$18)^40))</f>
        <v>2.50124376543523E-019</v>
      </c>
      <c r="AR277" s="29" t="n">
        <f aca="false">AQ277*(1-MIN(1,INDEX(Tabla_Mortalidad!$B$5:$B$75,MIN(71,Cartera_Polizas!$B$279+41-49))*(1+(Cartera_Polizas!$P$279-1)*MAX(0,1-41/Supuestos!$C$20))*(1-Supuestos!$C$18)^41))</f>
        <v>4.64659755101254E-020</v>
      </c>
      <c r="AS277" s="29" t="n">
        <f aca="false">AR277*(1-MIN(1,INDEX(Tabla_Mortalidad!$B$5:$B$75,MIN(71,Cartera_Polizas!$B$279+42-49))*(1+(Cartera_Polizas!$P$279-1)*MAX(0,1-42/Supuestos!$C$20))*(1-Supuestos!$C$18)^42))</f>
        <v>8.82122263320423E-021</v>
      </c>
      <c r="AT277" s="29" t="n">
        <f aca="false">AS277*(1-MIN(1,INDEX(Tabla_Mortalidad!$B$5:$B$75,MIN(71,Cartera_Polizas!$B$279+43-49))*(1+(Cartera_Polizas!$P$279-1)*MAX(0,1-43/Supuestos!$C$20))*(1-Supuestos!$C$18)^43))</f>
        <v>1.7103769285492E-021</v>
      </c>
      <c r="AU277" s="29" t="n">
        <f aca="false">AT277*(1-MIN(1,INDEX(Tabla_Mortalidad!$B$5:$B$75,MIN(71,Cartera_Polizas!$B$279+44-49))*(1+(Cartera_Polizas!$P$279-1)*MAX(0,1-44/Supuestos!$C$20))*(1-Supuestos!$C$18)^44))</f>
        <v>3.38524544052605E-022</v>
      </c>
    </row>
    <row r="278" customFormat="false" ht="15" hidden="false" customHeight="false" outlineLevel="0" collapsed="false">
      <c r="A278" s="14" t="n">
        <f aca="false">Cartera_Polizas!A280</f>
        <v>275</v>
      </c>
      <c r="B278" s="26" t="n">
        <f aca="false">SUM(C278:AU278)+0.5</f>
        <v>7.15904155560467</v>
      </c>
      <c r="C278" s="29" t="n">
        <f aca="false">1-MIN(1,INDEX(Tabla_Mortalidad!$B$5:$B$75,MIN(71,Cartera_Polizas!$B$280+0-49))*(1+(Cartera_Polizas!$P$280-1)*MAX(0,1-0/Supuestos!$C$20))*(1-Supuestos!$C$18)^0)</f>
        <v>0.90787071</v>
      </c>
      <c r="D278" s="29" t="n">
        <f aca="false">C278*(1-MIN(1,INDEX(Tabla_Mortalidad!$B$5:$B$75,MIN(71,Cartera_Polizas!$B$280+1-49))*(1+(Cartera_Polizas!$P$280-1)*MAX(0,1-1/Supuestos!$C$20))*(1-Supuestos!$C$18)^1))</f>
        <v>0.818433044319765</v>
      </c>
      <c r="E278" s="29" t="n">
        <f aca="false">D278*(1-MIN(1,INDEX(Tabla_Mortalidad!$B$5:$B$75,MIN(71,Cartera_Polizas!$B$280+2-49))*(1+(Cartera_Polizas!$P$280-1)*MAX(0,1-2/Supuestos!$C$20))*(1-Supuestos!$C$18)^2))</f>
        <v>0.732355515976103</v>
      </c>
      <c r="F278" s="29" t="n">
        <f aca="false">E278*(1-MIN(1,INDEX(Tabla_Mortalidad!$B$5:$B$75,MIN(71,Cartera_Polizas!$B$280+3-49))*(1+(Cartera_Polizas!$P$280-1)*MAX(0,1-3/Supuestos!$C$20))*(1-Supuestos!$C$18)^3))</f>
        <v>0.650267610436683</v>
      </c>
      <c r="G278" s="29" t="n">
        <f aca="false">F278*(1-MIN(1,INDEX(Tabla_Mortalidad!$B$5:$B$75,MIN(71,Cartera_Polizas!$B$280+4-49))*(1+(Cartera_Polizas!$P$280-1)*MAX(0,1-4/Supuestos!$C$20))*(1-Supuestos!$C$18)^4))</f>
        <v>0.572735552417977</v>
      </c>
      <c r="H278" s="29" t="n">
        <f aca="false">G278*(1-MIN(1,INDEX(Tabla_Mortalidad!$B$5:$B$75,MIN(71,Cartera_Polizas!$B$280+5-49))*(1+(Cartera_Polizas!$P$280-1)*MAX(0,1-5/Supuestos!$C$20))*(1-Supuestos!$C$18)^5))</f>
        <v>0.500242946257768</v>
      </c>
      <c r="I278" s="29" t="n">
        <f aca="false">H278*(1-MIN(1,INDEX(Tabla_Mortalidad!$B$5:$B$75,MIN(71,Cartera_Polizas!$B$280+6-49))*(1+(Cartera_Polizas!$P$280-1)*MAX(0,1-6/Supuestos!$C$20))*(1-Supuestos!$C$18)^6))</f>
        <v>0.433178515087024</v>
      </c>
      <c r="J278" s="29" t="n">
        <f aca="false">I278*(1-MIN(1,INDEX(Tabla_Mortalidad!$B$5:$B$75,MIN(71,Cartera_Polizas!$B$280+7-49))*(1+(Cartera_Polizas!$P$280-1)*MAX(0,1-7/Supuestos!$C$20))*(1-Supuestos!$C$18)^7))</f>
        <v>0.371816882581834</v>
      </c>
      <c r="K278" s="29" t="n">
        <f aca="false">J278*(1-MIN(1,INDEX(Tabla_Mortalidad!$B$5:$B$75,MIN(71,Cartera_Polizas!$B$280+8-49))*(1+(Cartera_Polizas!$P$280-1)*MAX(0,1-8/Supuestos!$C$20))*(1-Supuestos!$C$18)^8))</f>
        <v>0.316315178042703</v>
      </c>
      <c r="L278" s="29" t="n">
        <f aca="false">K278*(1-MIN(1,INDEX(Tabla_Mortalidad!$B$5:$B$75,MIN(71,Cartera_Polizas!$B$280+9-49))*(1+(Cartera_Polizas!$P$280-1)*MAX(0,1-9/Supuestos!$C$20))*(1-Supuestos!$C$18)^9))</f>
        <v>0.266706093382899</v>
      </c>
      <c r="M278" s="29" t="n">
        <f aca="false">L278*(1-MIN(1,INDEX(Tabla_Mortalidad!$B$5:$B$75,MIN(71,Cartera_Polizas!$B$280+10-49))*(1+(Cartera_Polizas!$P$280-1)*MAX(0,1-10/Supuestos!$C$20))*(1-Supuestos!$C$18)^10))</f>
        <v>0.222901566145514</v>
      </c>
      <c r="N278" s="29" t="n">
        <f aca="false">M278*(1-MIN(1,INDEX(Tabla_Mortalidad!$B$5:$B$75,MIN(71,Cartera_Polizas!$B$280+11-49))*(1+(Cartera_Polizas!$P$280-1)*MAX(0,1-11/Supuestos!$C$20))*(1-Supuestos!$C$18)^11))</f>
        <v>0.184701006393358</v>
      </c>
      <c r="O278" s="29" t="n">
        <f aca="false">N278*(1-MIN(1,INDEX(Tabla_Mortalidad!$B$5:$B$75,MIN(71,Cartera_Polizas!$B$280+12-49))*(1+(Cartera_Polizas!$P$280-1)*MAX(0,1-12/Supuestos!$C$20))*(1-Supuestos!$C$18)^12))</f>
        <v>0.15180525539192</v>
      </c>
      <c r="P278" s="29" t="n">
        <f aca="false">O278*(1-MIN(1,INDEX(Tabla_Mortalidad!$B$5:$B$75,MIN(71,Cartera_Polizas!$B$280+13-49))*(1+(Cartera_Polizas!$P$280-1)*MAX(0,1-13/Supuestos!$C$20))*(1-Supuestos!$C$18)^13))</f>
        <v>0.123834660786677</v>
      </c>
      <c r="Q278" s="29" t="n">
        <f aca="false">P278*(1-MIN(1,INDEX(Tabla_Mortalidad!$B$5:$B$75,MIN(71,Cartera_Polizas!$B$280+14-49))*(1+(Cartera_Polizas!$P$280-1)*MAX(0,1-14/Supuestos!$C$20))*(1-Supuestos!$C$18)^14))</f>
        <v>0.100349823188597</v>
      </c>
      <c r="R278" s="29" t="n">
        <f aca="false">Q278*(1-MIN(1,INDEX(Tabla_Mortalidad!$B$5:$B$75,MIN(71,Cartera_Polizas!$B$280+15-49))*(1+(Cartera_Polizas!$P$280-1)*MAX(0,1-15/Supuestos!$C$20))*(1-Supuestos!$C$18)^15))</f>
        <v>0.0808746848735047</v>
      </c>
      <c r="S278" s="29" t="n">
        <f aca="false">R278*(1-MIN(1,INDEX(Tabla_Mortalidad!$B$5:$B$75,MIN(71,Cartera_Polizas!$B$280+16-49))*(1+(Cartera_Polizas!$P$280-1)*MAX(0,1-16/Supuestos!$C$20))*(1-Supuestos!$C$18)^16))</f>
        <v>0.0636683401214724</v>
      </c>
      <c r="T278" s="29" t="n">
        <f aca="false">S278*(1-MIN(1,INDEX(Tabla_Mortalidad!$B$5:$B$75,MIN(71,Cartera_Polizas!$B$280+17-49))*(1+(Cartera_Polizas!$P$280-1)*MAX(0,1-17/Supuestos!$C$20))*(1-Supuestos!$C$18)^17))</f>
        <v>0.0488402919984641</v>
      </c>
      <c r="U278" s="29" t="n">
        <f aca="false">T278*(1-MIN(1,INDEX(Tabla_Mortalidad!$B$5:$B$75,MIN(71,Cartera_Polizas!$B$280+18-49))*(1+(Cartera_Polizas!$P$280-1)*MAX(0,1-18/Supuestos!$C$20))*(1-Supuestos!$C$18)^18))</f>
        <v>0.0364086181289627</v>
      </c>
      <c r="V278" s="29" t="n">
        <f aca="false">U278*(1-MIN(1,INDEX(Tabla_Mortalidad!$B$5:$B$75,MIN(71,Cartera_Polizas!$B$280+19-49))*(1+(Cartera_Polizas!$P$280-1)*MAX(0,1-19/Supuestos!$C$20))*(1-Supuestos!$C$18)^19))</f>
        <v>0.0262979462658009</v>
      </c>
      <c r="W278" s="29" t="n">
        <f aca="false">V278*(1-MIN(1,INDEX(Tabla_Mortalidad!$B$5:$B$75,MIN(71,Cartera_Polizas!$B$280+20-49))*(1+(Cartera_Polizas!$P$280-1)*MAX(0,1-20/Supuestos!$C$20))*(1-Supuestos!$C$18)^20))</f>
        <v>0.0183458642626126</v>
      </c>
      <c r="X278" s="29" t="n">
        <f aca="false">W278*(1-MIN(1,INDEX(Tabla_Mortalidad!$B$5:$B$75,MIN(71,Cartera_Polizas!$B$280+21-49))*(1+(Cartera_Polizas!$P$280-1)*MAX(0,1-21/Supuestos!$C$20))*(1-Supuestos!$C$18)^21))</f>
        <v>0.0123181340020657</v>
      </c>
      <c r="Y278" s="29" t="n">
        <f aca="false">X278*(1-MIN(1,INDEX(Tabla_Mortalidad!$B$5:$B$75,MIN(71,Cartera_Polizas!$B$280+22-49))*(1+(Cartera_Polizas!$P$280-1)*MAX(0,1-22/Supuestos!$C$20))*(1-Supuestos!$C$18)^22))</f>
        <v>0.00793077844621528</v>
      </c>
      <c r="Z278" s="29" t="n">
        <f aca="false">Y278*(1-MIN(1,INDEX(Tabla_Mortalidad!$B$5:$B$75,MIN(71,Cartera_Polizas!$B$280+23-49))*(1+(Cartera_Polizas!$P$280-1)*MAX(0,1-23/Supuestos!$C$20))*(1-Supuestos!$C$18)^23))</f>
        <v>0.00487650919214709</v>
      </c>
      <c r="AA278" s="29" t="n">
        <f aca="false">Z278*(1-MIN(1,INDEX(Tabla_Mortalidad!$B$5:$B$75,MIN(71,Cartera_Polizas!$B$280+24-49))*(1+(Cartera_Polizas!$P$280-1)*MAX(0,1-24/Supuestos!$C$20))*(1-Supuestos!$C$18)^24))</f>
        <v>0.00285151287969919</v>
      </c>
      <c r="AB278" s="29" t="n">
        <f aca="false">AA278*(1-MIN(1,INDEX(Tabla_Mortalidad!$B$5:$B$75,MIN(71,Cartera_Polizas!$B$280+25-49))*(1+(Cartera_Polizas!$P$280-1)*MAX(0,1-25/Supuestos!$C$20))*(1-Supuestos!$C$18)^25))</f>
        <v>0.00157860029094819</v>
      </c>
      <c r="AC278" s="29" t="n">
        <f aca="false">AB278*(1-MIN(1,INDEX(Tabla_Mortalidad!$B$5:$B$75,MIN(71,Cartera_Polizas!$B$280+26-49))*(1+(Cartera_Polizas!$P$280-1)*MAX(0,1-26/Supuestos!$C$20))*(1-Supuestos!$C$18)^26))</f>
        <v>0.000823545053388402</v>
      </c>
      <c r="AD278" s="29" t="n">
        <f aca="false">AC278*(1-MIN(1,INDEX(Tabla_Mortalidad!$B$5:$B$75,MIN(71,Cartera_Polizas!$B$280+27-49))*(1+(Cartera_Polizas!$P$280-1)*MAX(0,1-27/Supuestos!$C$20))*(1-Supuestos!$C$18)^27))</f>
        <v>0.000402972753058622</v>
      </c>
      <c r="AE278" s="29" t="n">
        <f aca="false">AD278*(1-MIN(1,INDEX(Tabla_Mortalidad!$B$5:$B$75,MIN(71,Cartera_Polizas!$B$280+28-49))*(1+(Cartera_Polizas!$P$280-1)*MAX(0,1-28/Supuestos!$C$20))*(1-Supuestos!$C$18)^28))</f>
        <v>0.00018408222183476</v>
      </c>
      <c r="AF278" s="29" t="n">
        <f aca="false">AE278*(1-MIN(1,INDEX(Tabla_Mortalidad!$B$5:$B$75,MIN(71,Cartera_Polizas!$B$280+29-49))*(1+(Cartera_Polizas!$P$280-1)*MAX(0,1-29/Supuestos!$C$20))*(1-Supuestos!$C$18)^29))</f>
        <v>7.8156878167457E-005</v>
      </c>
      <c r="AG278" s="29" t="n">
        <f aca="false">AF278*(1-MIN(1,INDEX(Tabla_Mortalidad!$B$5:$B$75,MIN(71,Cartera_Polizas!$B$280+30-49))*(1+(Cartera_Polizas!$P$280-1)*MAX(0,1-30/Supuestos!$C$20))*(1-Supuestos!$C$18)^30))</f>
        <v>3.07189335057465E-005</v>
      </c>
      <c r="AH278" s="29" t="n">
        <f aca="false">AG278*(1-MIN(1,INDEX(Tabla_Mortalidad!$B$5:$B$75,MIN(71,Cartera_Polizas!$B$280+31-49))*(1+(Cartera_Polizas!$P$280-1)*MAX(0,1-31/Supuestos!$C$20))*(1-Supuestos!$C$18)^31))</f>
        <v>1.11407788253793E-005</v>
      </c>
      <c r="AI278" s="29" t="n">
        <f aca="false">AH278*(1-MIN(1,INDEX(Tabla_Mortalidad!$B$5:$B$75,MIN(71,Cartera_Polizas!$B$280+32-49))*(1+(Cartera_Polizas!$P$280-1)*MAX(0,1-32/Supuestos!$C$20))*(1-Supuestos!$C$18)^32))</f>
        <v>3.72016578884387E-006</v>
      </c>
      <c r="AJ278" s="29" t="n">
        <f aca="false">AI278*(1-MIN(1,INDEX(Tabla_Mortalidad!$B$5:$B$75,MIN(71,Cartera_Polizas!$B$280+33-49))*(1+(Cartera_Polizas!$P$280-1)*MAX(0,1-33/Supuestos!$C$20))*(1-Supuestos!$C$18)^33))</f>
        <v>1.14305815427739E-006</v>
      </c>
      <c r="AK278" s="29" t="n">
        <f aca="false">AJ278*(1-MIN(1,INDEX(Tabla_Mortalidad!$B$5:$B$75,MIN(71,Cartera_Polizas!$B$280+34-49))*(1+(Cartera_Polizas!$P$280-1)*MAX(0,1-34/Supuestos!$C$20))*(1-Supuestos!$C$18)^34))</f>
        <v>3.23592509933103E-007</v>
      </c>
      <c r="AL278" s="29" t="n">
        <f aca="false">AK278*(1-MIN(1,INDEX(Tabla_Mortalidad!$B$5:$B$75,MIN(71,Cartera_Polizas!$B$280+35-49))*(1+(Cartera_Polizas!$P$280-1)*MAX(0,1-35/Supuestos!$C$20))*(1-Supuestos!$C$18)^35))</f>
        <v>8.47078458343944E-008</v>
      </c>
      <c r="AM278" s="29" t="n">
        <f aca="false">AL278*(1-MIN(1,INDEX(Tabla_Mortalidad!$B$5:$B$75,MIN(71,Cartera_Polizas!$B$280+36-49))*(1+(Cartera_Polizas!$P$280-1)*MAX(0,1-36/Supuestos!$C$20))*(1-Supuestos!$C$18)^36))</f>
        <v>2.06307419652087E-008</v>
      </c>
      <c r="AN278" s="29" t="n">
        <f aca="false">AM278*(1-MIN(1,INDEX(Tabla_Mortalidad!$B$5:$B$75,MIN(71,Cartera_Polizas!$B$280+37-49))*(1+(Cartera_Polizas!$P$280-1)*MAX(0,1-37/Supuestos!$C$20))*(1-Supuestos!$C$18)^37))</f>
        <v>4.71554520338204E-009</v>
      </c>
      <c r="AO278" s="29" t="n">
        <f aca="false">AN278*(1-MIN(1,INDEX(Tabla_Mortalidad!$B$5:$B$75,MIN(71,Cartera_Polizas!$B$280+38-49))*(1+(Cartera_Polizas!$P$280-1)*MAX(0,1-38/Supuestos!$C$20))*(1-Supuestos!$C$18)^38))</f>
        <v>1.02248518334454E-009</v>
      </c>
      <c r="AP278" s="29" t="n">
        <f aca="false">AO278*(1-MIN(1,INDEX(Tabla_Mortalidad!$B$5:$B$75,MIN(71,Cartera_Polizas!$B$280+39-49))*(1+(Cartera_Polizas!$P$280-1)*MAX(0,1-39/Supuestos!$C$20))*(1-Supuestos!$C$18)^39))</f>
        <v>1.81560360250676E-010</v>
      </c>
      <c r="AQ278" s="29" t="n">
        <f aca="false">AP278*(1-MIN(1,INDEX(Tabla_Mortalidad!$B$5:$B$75,MIN(71,Cartera_Polizas!$B$280+40-49))*(1+(Cartera_Polizas!$P$280-1)*MAX(0,1-40/Supuestos!$C$20))*(1-Supuestos!$C$18)^40))</f>
        <v>3.29858642774225E-011</v>
      </c>
      <c r="AR278" s="29" t="n">
        <f aca="false">AQ278*(1-MIN(1,INDEX(Tabla_Mortalidad!$B$5:$B$75,MIN(71,Cartera_Polizas!$B$280+41-49))*(1+(Cartera_Polizas!$P$280-1)*MAX(0,1-41/Supuestos!$C$20))*(1-Supuestos!$C$18)^41))</f>
        <v>6.1278328121223E-012</v>
      </c>
      <c r="AS278" s="29" t="n">
        <f aca="false">AR278*(1-MIN(1,INDEX(Tabla_Mortalidad!$B$5:$B$75,MIN(71,Cartera_Polizas!$B$280+42-49))*(1+(Cartera_Polizas!$P$280-1)*MAX(0,1-42/Supuestos!$C$20))*(1-Supuestos!$C$18)^42))</f>
        <v>1.16332384936168E-012</v>
      </c>
      <c r="AT278" s="29" t="n">
        <f aca="false">AS278*(1-MIN(1,INDEX(Tabla_Mortalidad!$B$5:$B$75,MIN(71,Cartera_Polizas!$B$280+43-49))*(1+(Cartera_Polizas!$P$280-1)*MAX(0,1-43/Supuestos!$C$20))*(1-Supuestos!$C$18)^43))</f>
        <v>2.25560827009364E-013</v>
      </c>
      <c r="AU278" s="29" t="n">
        <f aca="false">AT278*(1-MIN(1,INDEX(Tabla_Mortalidad!$B$5:$B$75,MIN(71,Cartera_Polizas!$B$280+44-49))*(1+(Cartera_Polizas!$P$280-1)*MAX(0,1-44/Supuestos!$C$20))*(1-Supuestos!$C$18)^44))</f>
        <v>4.46438880488425E-014</v>
      </c>
    </row>
    <row r="279" customFormat="false" ht="15" hidden="false" customHeight="false" outlineLevel="0" collapsed="false">
      <c r="A279" s="14" t="n">
        <f aca="false">Cartera_Polizas!A281</f>
        <v>276</v>
      </c>
      <c r="B279" s="26" t="n">
        <f aca="false">SUM(C279:AU279)+0.5</f>
        <v>6.62943411924699</v>
      </c>
      <c r="C279" s="29" t="n">
        <f aca="false">1-MIN(1,INDEX(Tabla_Mortalidad!$B$5:$B$75,MIN(71,Cartera_Polizas!$B$281+0-49))*(1+(Cartera_Polizas!$P$281-1)*MAX(0,1-0/Supuestos!$C$20))*(1-Supuestos!$C$18)^0)</f>
        <v>0.9154268875</v>
      </c>
      <c r="D279" s="29" t="n">
        <f aca="false">C279*(1-MIN(1,INDEX(Tabla_Mortalidad!$B$5:$B$75,MIN(71,Cartera_Polizas!$B$281+1-49))*(1+(Cartera_Polizas!$P$281-1)*MAX(0,1-1/Supuestos!$C$20))*(1-Supuestos!$C$18)^1))</f>
        <v>0.829934156229155</v>
      </c>
      <c r="E279" s="29" t="n">
        <f aca="false">D279*(1-MIN(1,INDEX(Tabla_Mortalidad!$B$5:$B$75,MIN(71,Cartera_Polizas!$B$281+2-49))*(1+(Cartera_Polizas!$P$281-1)*MAX(0,1-2/Supuestos!$C$20))*(1-Supuestos!$C$18)^2))</f>
        <v>0.744394277583763</v>
      </c>
      <c r="F279" s="29" t="n">
        <f aca="false">E279*(1-MIN(1,INDEX(Tabla_Mortalidad!$B$5:$B$75,MIN(71,Cartera_Polizas!$B$281+3-49))*(1+(Cartera_Polizas!$P$281-1)*MAX(0,1-3/Supuestos!$C$20))*(1-Supuestos!$C$18)^3))</f>
        <v>0.659774348379613</v>
      </c>
      <c r="G279" s="29" t="n">
        <f aca="false">F279*(1-MIN(1,INDEX(Tabla_Mortalidad!$B$5:$B$75,MIN(71,Cartera_Polizas!$B$281+4-49))*(1+(Cartera_Polizas!$P$281-1)*MAX(0,1-4/Supuestos!$C$20))*(1-Supuestos!$C$18)^4))</f>
        <v>0.577112741140945</v>
      </c>
      <c r="H279" s="29" t="n">
        <f aca="false">G279*(1-MIN(1,INDEX(Tabla_Mortalidad!$B$5:$B$75,MIN(71,Cartera_Polizas!$B$281+5-49))*(1+(Cartera_Polizas!$P$281-1)*MAX(0,1-5/Supuestos!$C$20))*(1-Supuestos!$C$18)^5))</f>
        <v>0.497484189740934</v>
      </c>
      <c r="I279" s="29" t="n">
        <f aca="false">H279*(1-MIN(1,INDEX(Tabla_Mortalidad!$B$5:$B$75,MIN(71,Cartera_Polizas!$B$281+6-49))*(1+(Cartera_Polizas!$P$281-1)*MAX(0,1-6/Supuestos!$C$20))*(1-Supuestos!$C$18)^6))</f>
        <v>0.421955994176891</v>
      </c>
      <c r="J279" s="29" t="n">
        <f aca="false">I279*(1-MIN(1,INDEX(Tabla_Mortalidad!$B$5:$B$75,MIN(71,Cartera_Polizas!$B$281+7-49))*(1+(Cartera_Polizas!$P$281-1)*MAX(0,1-7/Supuestos!$C$20))*(1-Supuestos!$C$18)^7))</f>
        <v>0.351535777657576</v>
      </c>
      <c r="K279" s="29" t="n">
        <f aca="false">J279*(1-MIN(1,INDEX(Tabla_Mortalidad!$B$5:$B$75,MIN(71,Cartera_Polizas!$B$281+8-49))*(1+(Cartera_Polizas!$P$281-1)*MAX(0,1-8/Supuestos!$C$20))*(1-Supuestos!$C$18)^8))</f>
        <v>0.287113269519457</v>
      </c>
      <c r="L279" s="29" t="n">
        <f aca="false">K279*(1-MIN(1,INDEX(Tabla_Mortalidad!$B$5:$B$75,MIN(71,Cartera_Polizas!$B$281+9-49))*(1+(Cartera_Polizas!$P$281-1)*MAX(0,1-9/Supuestos!$C$20))*(1-Supuestos!$C$18)^9))</f>
        <v>0.229404105756192</v>
      </c>
      <c r="M279" s="29" t="n">
        <f aca="false">L279*(1-MIN(1,INDEX(Tabla_Mortalidad!$B$5:$B$75,MIN(71,Cartera_Polizas!$B$281+10-49))*(1+(Cartera_Polizas!$P$281-1)*MAX(0,1-10/Supuestos!$C$20))*(1-Supuestos!$C$18)^10))</f>
        <v>0.178897925817856</v>
      </c>
      <c r="N279" s="29" t="n">
        <f aca="false">M279*(1-MIN(1,INDEX(Tabla_Mortalidad!$B$5:$B$75,MIN(71,Cartera_Polizas!$B$281+11-49))*(1+(Cartera_Polizas!$P$281-1)*MAX(0,1-11/Supuestos!$C$20))*(1-Supuestos!$C$18)^11))</f>
        <v>0.135818240639287</v>
      </c>
      <c r="O279" s="29" t="n">
        <f aca="false">N279*(1-MIN(1,INDEX(Tabla_Mortalidad!$B$5:$B$75,MIN(71,Cartera_Polizas!$B$281+12-49))*(1+(Cartera_Polizas!$P$281-1)*MAX(0,1-12/Supuestos!$C$20))*(1-Supuestos!$C$18)^12))</f>
        <v>0.100102854174176</v>
      </c>
      <c r="P279" s="29" t="n">
        <f aca="false">O279*(1-MIN(1,INDEX(Tabla_Mortalidad!$B$5:$B$75,MIN(71,Cartera_Polizas!$B$281+13-49))*(1+(Cartera_Polizas!$P$281-1)*MAX(0,1-13/Supuestos!$C$20))*(1-Supuestos!$C$18)^13))</f>
        <v>0.0714078020763017</v>
      </c>
      <c r="Q279" s="29" t="n">
        <f aca="false">P279*(1-MIN(1,INDEX(Tabla_Mortalidad!$B$5:$B$75,MIN(71,Cartera_Polizas!$B$281+14-49))*(1+(Cartera_Polizas!$P$281-1)*MAX(0,1-14/Supuestos!$C$20))*(1-Supuestos!$C$18)^14))</f>
        <v>0.0491374050806082</v>
      </c>
      <c r="R279" s="29" t="n">
        <f aca="false">Q279*(1-MIN(1,INDEX(Tabla_Mortalidad!$B$5:$B$75,MIN(71,Cartera_Polizas!$B$281+15-49))*(1+(Cartera_Polizas!$P$281-1)*MAX(0,1-15/Supuestos!$C$20))*(1-Supuestos!$C$18)^15))</f>
        <v>0.0324998553352038</v>
      </c>
      <c r="S279" s="29" t="n">
        <f aca="false">R279*(1-MIN(1,INDEX(Tabla_Mortalidad!$B$5:$B$75,MIN(71,Cartera_Polizas!$B$281+16-49))*(1+(Cartera_Polizas!$P$281-1)*MAX(0,1-16/Supuestos!$C$20))*(1-Supuestos!$C$18)^16))</f>
        <v>0.0205709428998671</v>
      </c>
      <c r="T279" s="29" t="n">
        <f aca="false">S279*(1-MIN(1,INDEX(Tabla_Mortalidad!$B$5:$B$75,MIN(71,Cartera_Polizas!$B$281+17-49))*(1+(Cartera_Polizas!$P$281-1)*MAX(0,1-17/Supuestos!$C$20))*(1-Supuestos!$C$18)^17))</f>
        <v>0.0124068635538805</v>
      </c>
      <c r="U279" s="29" t="n">
        <f aca="false">T279*(1-MIN(1,INDEX(Tabla_Mortalidad!$B$5:$B$75,MIN(71,Cartera_Polizas!$B$281+18-49))*(1+(Cartera_Polizas!$P$281-1)*MAX(0,1-18/Supuestos!$C$20))*(1-Supuestos!$C$18)^18))</f>
        <v>0.00709754588378282</v>
      </c>
      <c r="V279" s="29" t="n">
        <f aca="false">U279*(1-MIN(1,INDEX(Tabla_Mortalidad!$B$5:$B$75,MIN(71,Cartera_Polizas!$B$281+19-49))*(1+(Cartera_Polizas!$P$281-1)*MAX(0,1-19/Supuestos!$C$20))*(1-Supuestos!$C$18)^19))</f>
        <v>0.00383247233692634</v>
      </c>
      <c r="W279" s="29" t="n">
        <f aca="false">V279*(1-MIN(1,INDEX(Tabla_Mortalidad!$B$5:$B$75,MIN(71,Cartera_Polizas!$B$281+20-49))*(1+(Cartera_Polizas!$P$281-1)*MAX(0,1-20/Supuestos!$C$20))*(1-Supuestos!$C$18)^20))</f>
        <v>0.00194340651648717</v>
      </c>
      <c r="X279" s="29" t="n">
        <f aca="false">W279*(1-MIN(1,INDEX(Tabla_Mortalidad!$B$5:$B$75,MIN(71,Cartera_Polizas!$B$281+21-49))*(1+(Cartera_Polizas!$P$281-1)*MAX(0,1-21/Supuestos!$C$20))*(1-Supuestos!$C$18)^21))</f>
        <v>0.000920635357110916</v>
      </c>
      <c r="Y279" s="29" t="n">
        <f aca="false">X279*(1-MIN(1,INDEX(Tabla_Mortalidad!$B$5:$B$75,MIN(71,Cartera_Polizas!$B$281+22-49))*(1+(Cartera_Polizas!$P$281-1)*MAX(0,1-22/Supuestos!$C$20))*(1-Supuestos!$C$18)^22))</f>
        <v>0.000405287519136292</v>
      </c>
      <c r="Z279" s="29" t="n">
        <f aca="false">Y279*(1-MIN(1,INDEX(Tabla_Mortalidad!$B$5:$B$75,MIN(71,Cartera_Polizas!$B$281+23-49))*(1+(Cartera_Polizas!$P$281-1)*MAX(0,1-23/Supuestos!$C$20))*(1-Supuestos!$C$18)^23))</f>
        <v>0.000164954866738541</v>
      </c>
      <c r="AA279" s="29" t="n">
        <f aca="false">Z279*(1-MIN(1,INDEX(Tabla_Mortalidad!$B$5:$B$75,MIN(71,Cartera_Polizas!$B$281+24-49))*(1+(Cartera_Polizas!$P$281-1)*MAX(0,1-24/Supuestos!$C$20))*(1-Supuestos!$C$18)^24))</f>
        <v>6.17772934973484E-005</v>
      </c>
      <c r="AB279" s="29" t="n">
        <f aca="false">AA279*(1-MIN(1,INDEX(Tabla_Mortalidad!$B$5:$B$75,MIN(71,Cartera_Polizas!$B$281+25-49))*(1+(Cartera_Polizas!$P$281-1)*MAX(0,1-25/Supuestos!$C$20))*(1-Supuestos!$C$18)^25))</f>
        <v>2.12025283521865E-005</v>
      </c>
      <c r="AC279" s="29" t="n">
        <f aca="false">AB279*(1-MIN(1,INDEX(Tabla_Mortalidad!$B$5:$B$75,MIN(71,Cartera_Polizas!$B$281+26-49))*(1+(Cartera_Polizas!$P$281-1)*MAX(0,1-26/Supuestos!$C$20))*(1-Supuestos!$C$18)^26))</f>
        <v>6.64882894510646E-006</v>
      </c>
      <c r="AD279" s="29" t="n">
        <f aca="false">AC279*(1-MIN(1,INDEX(Tabla_Mortalidad!$B$5:$B$75,MIN(71,Cartera_Polizas!$B$281+27-49))*(1+(Cartera_Polizas!$P$281-1)*MAX(0,1-27/Supuestos!$C$20))*(1-Supuestos!$C$18)^27))</f>
        <v>1.9022912041804E-006</v>
      </c>
      <c r="AE279" s="29" t="n">
        <f aca="false">AD279*(1-MIN(1,INDEX(Tabla_Mortalidad!$B$5:$B$75,MIN(71,Cartera_Polizas!$B$281+28-49))*(1+(Cartera_Polizas!$P$281-1)*MAX(0,1-28/Supuestos!$C$20))*(1-Supuestos!$C$18)^28))</f>
        <v>4.96887998131899E-007</v>
      </c>
      <c r="AF279" s="29" t="n">
        <f aca="false">AE279*(1-MIN(1,INDEX(Tabla_Mortalidad!$B$5:$B$75,MIN(71,Cartera_Polizas!$B$281+29-49))*(1+(Cartera_Polizas!$P$281-1)*MAX(0,1-29/Supuestos!$C$20))*(1-Supuestos!$C$18)^29))</f>
        <v>1.1887230333654E-007</v>
      </c>
      <c r="AG279" s="29" t="n">
        <f aca="false">AF279*(1-MIN(1,INDEX(Tabla_Mortalidad!$B$5:$B$75,MIN(71,Cartera_Polizas!$B$281+30-49))*(1+(Cartera_Polizas!$P$281-1)*MAX(0,1-30/Supuestos!$C$20))*(1-Supuestos!$C$18)^30))</f>
        <v>2.62060870644065E-008</v>
      </c>
      <c r="AH279" s="29" t="n">
        <f aca="false">AG279*(1-MIN(1,INDEX(Tabla_Mortalidad!$B$5:$B$75,MIN(71,Cartera_Polizas!$B$281+31-49))*(1+(Cartera_Polizas!$P$281-1)*MAX(0,1-31/Supuestos!$C$20))*(1-Supuestos!$C$18)^31))</f>
        <v>5.37265311592325E-009</v>
      </c>
      <c r="AI279" s="29" t="n">
        <f aca="false">AH279*(1-MIN(1,INDEX(Tabla_Mortalidad!$B$5:$B$75,MIN(71,Cartera_Polizas!$B$281+32-49))*(1+(Cartera_Polizas!$P$281-1)*MAX(0,1-32/Supuestos!$C$20))*(1-Supuestos!$C$18)^32))</f>
        <v>1.03649839208027E-009</v>
      </c>
      <c r="AJ279" s="29" t="n">
        <f aca="false">AI279*(1-MIN(1,INDEX(Tabla_Mortalidad!$B$5:$B$75,MIN(71,Cartera_Polizas!$B$281+33-49))*(1+(Cartera_Polizas!$P$281-1)*MAX(0,1-33/Supuestos!$C$20))*(1-Supuestos!$C$18)^33))</f>
        <v>1.5802159052276E-010</v>
      </c>
      <c r="AK279" s="29" t="n">
        <f aca="false">AJ279*(1-MIN(1,INDEX(Tabla_Mortalidad!$B$5:$B$75,MIN(71,Cartera_Polizas!$B$281+34-49))*(1+(Cartera_Polizas!$P$281-1)*MAX(0,1-34/Supuestos!$C$20))*(1-Supuestos!$C$18)^34))</f>
        <v>2.47611716279947E-011</v>
      </c>
      <c r="AL279" s="29" t="n">
        <f aca="false">AK279*(1-MIN(1,INDEX(Tabla_Mortalidad!$B$5:$B$75,MIN(71,Cartera_Polizas!$B$281+35-49))*(1+(Cartera_Polizas!$P$281-1)*MAX(0,1-35/Supuestos!$C$20))*(1-Supuestos!$C$18)^35))</f>
        <v>3.98435453551322E-012</v>
      </c>
      <c r="AM279" s="29" t="n">
        <f aca="false">AL279*(1-MIN(1,INDEX(Tabla_Mortalidad!$B$5:$B$75,MIN(71,Cartera_Polizas!$B$281+36-49))*(1+(Cartera_Polizas!$P$281-1)*MAX(0,1-36/Supuestos!$C$20))*(1-Supuestos!$C$18)^36))</f>
        <v>6.57844157637854E-013</v>
      </c>
      <c r="AN279" s="29" t="n">
        <f aca="false">AM279*(1-MIN(1,INDEX(Tabla_Mortalidad!$B$5:$B$75,MIN(71,Cartera_Polizas!$B$281+37-49))*(1+(Cartera_Polizas!$P$281-1)*MAX(0,1-37/Supuestos!$C$20))*(1-Supuestos!$C$18)^37))</f>
        <v>1.11360713227328E-013</v>
      </c>
      <c r="AO279" s="29" t="n">
        <f aca="false">AN279*(1-MIN(1,INDEX(Tabla_Mortalidad!$B$5:$B$75,MIN(71,Cartera_Polizas!$B$281+38-49))*(1+(Cartera_Polizas!$P$281-1)*MAX(0,1-38/Supuestos!$C$20))*(1-Supuestos!$C$18)^38))</f>
        <v>1.93138332744397E-014</v>
      </c>
      <c r="AP279" s="29" t="n">
        <f aca="false">AO279*(1-MIN(1,INDEX(Tabla_Mortalidad!$B$5:$B$75,MIN(71,Cartera_Polizas!$B$281+39-49))*(1+(Cartera_Polizas!$P$281-1)*MAX(0,1-39/Supuestos!$C$20))*(1-Supuestos!$C$18)^39))</f>
        <v>3.42951329197613E-015</v>
      </c>
      <c r="AQ279" s="29" t="n">
        <f aca="false">AP279*(1-MIN(1,INDEX(Tabla_Mortalidad!$B$5:$B$75,MIN(71,Cartera_Polizas!$B$281+40-49))*(1+(Cartera_Polizas!$P$281-1)*MAX(0,1-40/Supuestos!$C$20))*(1-Supuestos!$C$18)^40))</f>
        <v>6.23073559837353E-016</v>
      </c>
      <c r="AR279" s="29" t="n">
        <f aca="false">AQ279*(1-MIN(1,INDEX(Tabla_Mortalidad!$B$5:$B$75,MIN(71,Cartera_Polizas!$B$281+41-49))*(1+(Cartera_Polizas!$P$281-1)*MAX(0,1-41/Supuestos!$C$20))*(1-Supuestos!$C$18)^41))</f>
        <v>1.15749297099682E-016</v>
      </c>
      <c r="AS279" s="29" t="n">
        <f aca="false">AR279*(1-MIN(1,INDEX(Tabla_Mortalidad!$B$5:$B$75,MIN(71,Cartera_Polizas!$B$281+42-49))*(1+(Cartera_Polizas!$P$281-1)*MAX(0,1-42/Supuestos!$C$20))*(1-Supuestos!$C$18)^42))</f>
        <v>2.19741500774196E-017</v>
      </c>
      <c r="AT279" s="29" t="n">
        <f aca="false">AS279*(1-MIN(1,INDEX(Tabla_Mortalidad!$B$5:$B$75,MIN(71,Cartera_Polizas!$B$281+43-49))*(1+(Cartera_Polizas!$P$281-1)*MAX(0,1-43/Supuestos!$C$20))*(1-Supuestos!$C$18)^43))</f>
        <v>4.26064287000589E-018</v>
      </c>
      <c r="AU279" s="29" t="n">
        <f aca="false">AT279*(1-MIN(1,INDEX(Tabla_Mortalidad!$B$5:$B$75,MIN(71,Cartera_Polizas!$B$281+44-49))*(1+(Cartera_Polizas!$P$281-1)*MAX(0,1-44/Supuestos!$C$20))*(1-Supuestos!$C$18)^44))</f>
        <v>8.43283232406063E-019</v>
      </c>
    </row>
    <row r="280" customFormat="false" ht="15" hidden="false" customHeight="false" outlineLevel="0" collapsed="false">
      <c r="A280" s="14" t="n">
        <f aca="false">Cartera_Polizas!A282</f>
        <v>277</v>
      </c>
      <c r="B280" s="26" t="n">
        <f aca="false">SUM(C280:AU280)+0.5</f>
        <v>3.88670725142025</v>
      </c>
      <c r="C280" s="29" t="n">
        <f aca="false">1-MIN(1,INDEX(Tabla_Mortalidad!$B$5:$B$75,MIN(71,Cartera_Polizas!$B$282+0-49))*(1+(Cartera_Polizas!$P$282-1)*MAX(0,1-0/Supuestos!$C$20))*(1-Supuestos!$C$18)^0)</f>
        <v>0.8039426</v>
      </c>
      <c r="D280" s="29" t="n">
        <f aca="false">C280*(1-MIN(1,INDEX(Tabla_Mortalidad!$B$5:$B$75,MIN(71,Cartera_Polizas!$B$282+1-49))*(1+(Cartera_Polizas!$P$282-1)*MAX(0,1-1/Supuestos!$C$20))*(1-Supuestos!$C$18)^1))</f>
        <v>0.637192594790909</v>
      </c>
      <c r="E280" s="29" t="n">
        <f aca="false">D280*(1-MIN(1,INDEX(Tabla_Mortalidad!$B$5:$B$75,MIN(71,Cartera_Polizas!$B$282+2-49))*(1+(Cartera_Polizas!$P$282-1)*MAX(0,1-2/Supuestos!$C$20))*(1-Supuestos!$C$18)^2))</f>
        <v>0.497731390464446</v>
      </c>
      <c r="F280" s="29" t="n">
        <f aca="false">E280*(1-MIN(1,INDEX(Tabla_Mortalidad!$B$5:$B$75,MIN(71,Cartera_Polizas!$B$282+3-49))*(1+(Cartera_Polizas!$P$282-1)*MAX(0,1-3/Supuestos!$C$20))*(1-Supuestos!$C$18)^3))</f>
        <v>0.383098347616981</v>
      </c>
      <c r="G280" s="29" t="n">
        <f aca="false">F280*(1-MIN(1,INDEX(Tabla_Mortalidad!$B$5:$B$75,MIN(71,Cartera_Polizas!$B$282+4-49))*(1+(Cartera_Polizas!$P$282-1)*MAX(0,1-4/Supuestos!$C$20))*(1-Supuestos!$C$18)^4))</f>
        <v>0.290542243430849</v>
      </c>
      <c r="H280" s="29" t="n">
        <f aca="false">G280*(1-MIN(1,INDEX(Tabla_Mortalidad!$B$5:$B$75,MIN(71,Cartera_Polizas!$B$282+5-49))*(1+(Cartera_Polizas!$P$282-1)*MAX(0,1-5/Supuestos!$C$20))*(1-Supuestos!$C$18)^5))</f>
        <v>0.217159936085297</v>
      </c>
      <c r="I280" s="29" t="n">
        <f aca="false">H280*(1-MIN(1,INDEX(Tabla_Mortalidad!$B$5:$B$75,MIN(71,Cartera_Polizas!$B$282+6-49))*(1+(Cartera_Polizas!$P$282-1)*MAX(0,1-6/Supuestos!$C$20))*(1-Supuestos!$C$18)^6))</f>
        <v>0.16004033552437</v>
      </c>
      <c r="J280" s="29" t="n">
        <f aca="false">I280*(1-MIN(1,INDEX(Tabla_Mortalidad!$B$5:$B$75,MIN(71,Cartera_Polizas!$B$282+7-49))*(1+(Cartera_Polizas!$P$282-1)*MAX(0,1-7/Supuestos!$C$20))*(1-Supuestos!$C$18)^7))</f>
        <v>0.116389221992469</v>
      </c>
      <c r="K280" s="29" t="n">
        <f aca="false">J280*(1-MIN(1,INDEX(Tabla_Mortalidad!$B$5:$B$75,MIN(71,Cartera_Polizas!$B$282+8-49))*(1+(Cartera_Polizas!$P$282-1)*MAX(0,1-8/Supuestos!$C$20))*(1-Supuestos!$C$18)^8))</f>
        <v>0.0836296005792413</v>
      </c>
      <c r="L280" s="29" t="n">
        <f aca="false">K280*(1-MIN(1,INDEX(Tabla_Mortalidad!$B$5:$B$75,MIN(71,Cartera_Polizas!$B$282+9-49))*(1+(Cartera_Polizas!$P$282-1)*MAX(0,1-9/Supuestos!$C$20))*(1-Supuestos!$C$18)^9))</f>
        <v>0.0594714680759407</v>
      </c>
      <c r="M280" s="29" t="n">
        <f aca="false">L280*(1-MIN(1,INDEX(Tabla_Mortalidad!$B$5:$B$75,MIN(71,Cartera_Polizas!$B$282+10-49))*(1+(Cartera_Polizas!$P$282-1)*MAX(0,1-10/Supuestos!$C$20))*(1-Supuestos!$C$18)^10))</f>
        <v>0.0419499504812555</v>
      </c>
      <c r="N280" s="29" t="n">
        <f aca="false">M280*(1-MIN(1,INDEX(Tabla_Mortalidad!$B$5:$B$75,MIN(71,Cartera_Polizas!$B$282+11-49))*(1+(Cartera_Polizas!$P$282-1)*MAX(0,1-11/Supuestos!$C$20))*(1-Supuestos!$C$18)^11))</f>
        <v>0.0294352560850505</v>
      </c>
      <c r="O280" s="29" t="n">
        <f aca="false">N280*(1-MIN(1,INDEX(Tabla_Mortalidad!$B$5:$B$75,MIN(71,Cartera_Polizas!$B$282+12-49))*(1+(Cartera_Polizas!$P$282-1)*MAX(0,1-12/Supuestos!$C$20))*(1-Supuestos!$C$18)^12))</f>
        <v>0.0206180579366081</v>
      </c>
      <c r="P280" s="29" t="n">
        <f aca="false">O280*(1-MIN(1,INDEX(Tabla_Mortalidad!$B$5:$B$75,MIN(71,Cartera_Polizas!$B$282+13-49))*(1+(Cartera_Polizas!$P$282-1)*MAX(0,1-13/Supuestos!$C$20))*(1-Supuestos!$C$18)^13))</f>
        <v>0.0144778584350982</v>
      </c>
      <c r="Q280" s="29" t="n">
        <f aca="false">P280*(1-MIN(1,INDEX(Tabla_Mortalidad!$B$5:$B$75,MIN(71,Cartera_Polizas!$B$282+14-49))*(1+(Cartera_Polizas!$P$282-1)*MAX(0,1-14/Supuestos!$C$20))*(1-Supuestos!$C$18)^14))</f>
        <v>0.0102418306023406</v>
      </c>
      <c r="R280" s="29" t="n">
        <f aca="false">Q280*(1-MIN(1,INDEX(Tabla_Mortalidad!$B$5:$B$75,MIN(71,Cartera_Polizas!$B$282+15-49))*(1+(Cartera_Polizas!$P$282-1)*MAX(0,1-15/Supuestos!$C$20))*(1-Supuestos!$C$18)^15))</f>
        <v>0.00734007330399567</v>
      </c>
      <c r="S280" s="29" t="n">
        <f aca="false">R280*(1-MIN(1,INDEX(Tabla_Mortalidad!$B$5:$B$75,MIN(71,Cartera_Polizas!$B$282+16-49))*(1+(Cartera_Polizas!$P$282-1)*MAX(0,1-16/Supuestos!$C$20))*(1-Supuestos!$C$18)^16))</f>
        <v>0.00507560059792111</v>
      </c>
      <c r="T280" s="29" t="n">
        <f aca="false">S280*(1-MIN(1,INDEX(Tabla_Mortalidad!$B$5:$B$75,MIN(71,Cartera_Polizas!$B$282+17-49))*(1+(Cartera_Polizas!$P$282-1)*MAX(0,1-17/Supuestos!$C$20))*(1-Supuestos!$C$18)^17))</f>
        <v>0.00337418366588842</v>
      </c>
      <c r="U280" s="29" t="n">
        <f aca="false">T280*(1-MIN(1,INDEX(Tabla_Mortalidad!$B$5:$B$75,MIN(71,Cartera_Polizas!$B$282+18-49))*(1+(Cartera_Polizas!$P$282-1)*MAX(0,1-18/Supuestos!$C$20))*(1-Supuestos!$C$18)^18))</f>
        <v>0.00214805992091322</v>
      </c>
      <c r="V280" s="29" t="n">
        <f aca="false">U280*(1-MIN(1,INDEX(Tabla_Mortalidad!$B$5:$B$75,MIN(71,Cartera_Polizas!$B$282+19-49))*(1+(Cartera_Polizas!$P$282-1)*MAX(0,1-19/Supuestos!$C$20))*(1-Supuestos!$C$18)^19))</f>
        <v>0.00130405384760243</v>
      </c>
      <c r="W280" s="29" t="n">
        <f aca="false">V280*(1-MIN(1,INDEX(Tabla_Mortalidad!$B$5:$B$75,MIN(71,Cartera_Polizas!$B$282+20-49))*(1+(Cartera_Polizas!$P$282-1)*MAX(0,1-20/Supuestos!$C$20))*(1-Supuestos!$C$18)^20))</f>
        <v>0.000751571519122594</v>
      </c>
      <c r="X280" s="29" t="n">
        <f aca="false">W280*(1-MIN(1,INDEX(Tabla_Mortalidad!$B$5:$B$75,MIN(71,Cartera_Polizas!$B$282+21-49))*(1+(Cartera_Polizas!$P$282-1)*MAX(0,1-21/Supuestos!$C$20))*(1-Supuestos!$C$18)^21))</f>
        <v>0.000409275983314991</v>
      </c>
      <c r="Y280" s="29" t="n">
        <f aca="false">X280*(1-MIN(1,INDEX(Tabla_Mortalidad!$B$5:$B$75,MIN(71,Cartera_Polizas!$B$282+22-49))*(1+(Cartera_Polizas!$P$282-1)*MAX(0,1-22/Supuestos!$C$20))*(1-Supuestos!$C$18)^22))</f>
        <v>0.000209551878368007</v>
      </c>
      <c r="Z280" s="29" t="n">
        <f aca="false">Y280*(1-MIN(1,INDEX(Tabla_Mortalidad!$B$5:$B$75,MIN(71,Cartera_Polizas!$B$282+23-49))*(1+(Cartera_Polizas!$P$282-1)*MAX(0,1-23/Supuestos!$C$20))*(1-Supuestos!$C$18)^23))</f>
        <v>0.000100369503140606</v>
      </c>
      <c r="AA280" s="29" t="n">
        <f aca="false">Z280*(1-MIN(1,INDEX(Tabla_Mortalidad!$B$5:$B$75,MIN(71,Cartera_Polizas!$B$282+24-49))*(1+(Cartera_Polizas!$P$282-1)*MAX(0,1-24/Supuestos!$C$20))*(1-Supuestos!$C$18)^24))</f>
        <v>4.47456917017963E-005</v>
      </c>
      <c r="AB280" s="29" t="n">
        <f aca="false">AA280*(1-MIN(1,INDEX(Tabla_Mortalidad!$B$5:$B$75,MIN(71,Cartera_Polizas!$B$282+25-49))*(1+(Cartera_Polizas!$P$282-1)*MAX(0,1-25/Supuestos!$C$20))*(1-Supuestos!$C$18)^25))</f>
        <v>1.84764862465623E-005</v>
      </c>
      <c r="AC280" s="29" t="n">
        <f aca="false">AB280*(1-MIN(1,INDEX(Tabla_Mortalidad!$B$5:$B$75,MIN(71,Cartera_Polizas!$B$282+26-49))*(1+(Cartera_Polizas!$P$282-1)*MAX(0,1-26/Supuestos!$C$20))*(1-Supuestos!$C$18)^26))</f>
        <v>7.03491365700089E-006</v>
      </c>
      <c r="AD280" s="29" t="n">
        <f aca="false">AC280*(1-MIN(1,INDEX(Tabla_Mortalidad!$B$5:$B$75,MIN(71,Cartera_Polizas!$B$282+27-49))*(1+(Cartera_Polizas!$P$282-1)*MAX(0,1-27/Supuestos!$C$20))*(1-Supuestos!$C$18)^27))</f>
        <v>2.46053543879397E-006</v>
      </c>
      <c r="AE280" s="29" t="n">
        <f aca="false">AD280*(1-MIN(1,INDEX(Tabla_Mortalidad!$B$5:$B$75,MIN(71,Cartera_Polizas!$B$282+28-49))*(1+(Cartera_Polizas!$P$282-1)*MAX(0,1-28/Supuestos!$C$20))*(1-Supuestos!$C$18)^28))</f>
        <v>7.88438183054121E-007</v>
      </c>
      <c r="AF280" s="29" t="n">
        <f aca="false">AE280*(1-MIN(1,INDEX(Tabla_Mortalidad!$B$5:$B$75,MIN(71,Cartera_Polizas!$B$282+29-49))*(1+(Cartera_Polizas!$P$282-1)*MAX(0,1-29/Supuestos!$C$20))*(1-Supuestos!$C$18)^29))</f>
        <v>2.31193942645782E-007</v>
      </c>
      <c r="AG280" s="29" t="n">
        <f aca="false">AF280*(1-MIN(1,INDEX(Tabla_Mortalidad!$B$5:$B$75,MIN(71,Cartera_Polizas!$B$282+30-49))*(1+(Cartera_Polizas!$P$282-1)*MAX(0,1-30/Supuestos!$C$20))*(1-Supuestos!$C$18)^30))</f>
        <v>6.20927958591931E-008</v>
      </c>
      <c r="AH280" s="29" t="n">
        <f aca="false">AG280*(1-MIN(1,INDEX(Tabla_Mortalidad!$B$5:$B$75,MIN(71,Cartera_Polizas!$B$282+31-49))*(1+(Cartera_Polizas!$P$282-1)*MAX(0,1-31/Supuestos!$C$20))*(1-Supuestos!$C$18)^31))</f>
        <v>1.53258831072977E-008</v>
      </c>
      <c r="AI280" s="29" t="n">
        <f aca="false">AH280*(1-MIN(1,INDEX(Tabla_Mortalidad!$B$5:$B$75,MIN(71,Cartera_Polizas!$B$282+32-49))*(1+(Cartera_Polizas!$P$282-1)*MAX(0,1-32/Supuestos!$C$20))*(1-Supuestos!$C$18)^32))</f>
        <v>3.49785296131977E-009</v>
      </c>
      <c r="AJ280" s="29" t="n">
        <f aca="false">AI280*(1-MIN(1,INDEX(Tabla_Mortalidad!$B$5:$B$75,MIN(71,Cartera_Polizas!$B$282+33-49))*(1+(Cartera_Polizas!$P$282-1)*MAX(0,1-33/Supuestos!$C$20))*(1-Supuestos!$C$18)^33))</f>
        <v>7.44851821746549E-010</v>
      </c>
      <c r="AK280" s="29" t="n">
        <f aca="false">AJ280*(1-MIN(1,INDEX(Tabla_Mortalidad!$B$5:$B$75,MIN(71,Cartera_Polizas!$B$282+34-49))*(1+(Cartera_Polizas!$P$282-1)*MAX(0,1-34/Supuestos!$C$20))*(1-Supuestos!$C$18)^34))</f>
        <v>1.49694179181305E-010</v>
      </c>
      <c r="AL280" s="29" t="n">
        <f aca="false">AK280*(1-MIN(1,INDEX(Tabla_Mortalidad!$B$5:$B$75,MIN(71,Cartera_Polizas!$B$282+35-49))*(1+(Cartera_Polizas!$P$282-1)*MAX(0,1-35/Supuestos!$C$20))*(1-Supuestos!$C$18)^35))</f>
        <v>2.40874983914993E-011</v>
      </c>
      <c r="AM280" s="29" t="n">
        <f aca="false">AL280*(1-MIN(1,INDEX(Tabla_Mortalidad!$B$5:$B$75,MIN(71,Cartera_Polizas!$B$282+36-49))*(1+(Cartera_Polizas!$P$282-1)*MAX(0,1-36/Supuestos!$C$20))*(1-Supuestos!$C$18)^36))</f>
        <v>3.97701056663573E-012</v>
      </c>
      <c r="AN280" s="29" t="n">
        <f aca="false">AM280*(1-MIN(1,INDEX(Tabla_Mortalidad!$B$5:$B$75,MIN(71,Cartera_Polizas!$B$282+37-49))*(1+(Cartera_Polizas!$P$282-1)*MAX(0,1-37/Supuestos!$C$20))*(1-Supuestos!$C$18)^37))</f>
        <v>6.73233512939375E-013</v>
      </c>
      <c r="AO280" s="29" t="n">
        <f aca="false">AN280*(1-MIN(1,INDEX(Tabla_Mortalidad!$B$5:$B$75,MIN(71,Cartera_Polizas!$B$282+38-49))*(1+(Cartera_Polizas!$P$282-1)*MAX(0,1-38/Supuestos!$C$20))*(1-Supuestos!$C$18)^38))</f>
        <v>1.16762181624439E-013</v>
      </c>
      <c r="AP280" s="29" t="n">
        <f aca="false">AO280*(1-MIN(1,INDEX(Tabla_Mortalidad!$B$5:$B$75,MIN(71,Cartera_Polizas!$B$282+39-49))*(1+(Cartera_Polizas!$P$282-1)*MAX(0,1-39/Supuestos!$C$20))*(1-Supuestos!$C$18)^39))</f>
        <v>2.07331940889793E-014</v>
      </c>
      <c r="AQ280" s="29" t="n">
        <f aca="false">AP280*(1-MIN(1,INDEX(Tabla_Mortalidad!$B$5:$B$75,MIN(71,Cartera_Polizas!$B$282+40-49))*(1+(Cartera_Polizas!$P$282-1)*MAX(0,1-40/Supuestos!$C$20))*(1-Supuestos!$C$18)^40))</f>
        <v>3.76680419289917E-015</v>
      </c>
      <c r="AR280" s="29" t="n">
        <f aca="false">AQ280*(1-MIN(1,INDEX(Tabla_Mortalidad!$B$5:$B$75,MIN(71,Cartera_Polizas!$B$282+41-49))*(1+(Cartera_Polizas!$P$282-1)*MAX(0,1-41/Supuestos!$C$20))*(1-Supuestos!$C$18)^41))</f>
        <v>6.99764788212214E-016</v>
      </c>
      <c r="AS280" s="29" t="n">
        <f aca="false">AR280*(1-MIN(1,INDEX(Tabla_Mortalidad!$B$5:$B$75,MIN(71,Cartera_Polizas!$B$282+42-49))*(1+(Cartera_Polizas!$P$282-1)*MAX(0,1-42/Supuestos!$C$20))*(1-Supuestos!$C$18)^42))</f>
        <v>1.32845182306607E-016</v>
      </c>
      <c r="AT280" s="29" t="n">
        <f aca="false">AS280*(1-MIN(1,INDEX(Tabla_Mortalidad!$B$5:$B$75,MIN(71,Cartera_Polizas!$B$282+43-49))*(1+(Cartera_Polizas!$P$282-1)*MAX(0,1-43/Supuestos!$C$20))*(1-Supuestos!$C$18)^43))</f>
        <v>2.57578052764325E-017</v>
      </c>
      <c r="AU280" s="29" t="n">
        <f aca="false">AT280*(1-MIN(1,INDEX(Tabla_Mortalidad!$B$5:$B$75,MIN(71,Cartera_Polizas!$B$282+44-49))*(1+(Cartera_Polizas!$P$282-1)*MAX(0,1-44/Supuestos!$C$20))*(1-Supuestos!$C$18)^44))</f>
        <v>5.09808635830722E-018</v>
      </c>
    </row>
    <row r="281" customFormat="false" ht="15" hidden="false" customHeight="false" outlineLevel="0" collapsed="false">
      <c r="A281" s="14" t="n">
        <f aca="false">Cartera_Polizas!A283</f>
        <v>278</v>
      </c>
      <c r="B281" s="26" t="n">
        <f aca="false">SUM(C281:AU281)+0.5</f>
        <v>13.6508369934587</v>
      </c>
      <c r="C281" s="29" t="n">
        <f aca="false">1-MIN(1,INDEX(Tabla_Mortalidad!$B$5:$B$75,MIN(71,Cartera_Polizas!$B$283+0-49))*(1+(Cartera_Polizas!$P$283-1)*MAX(0,1-0/Supuestos!$C$20))*(1-Supuestos!$C$18)^0)</f>
        <v>0.9579349</v>
      </c>
      <c r="D281" s="29" t="n">
        <f aca="false">C281*(1-MIN(1,INDEX(Tabla_Mortalidad!$B$5:$B$75,MIN(71,Cartera_Polizas!$B$283+1-49))*(1+(Cartera_Polizas!$P$283-1)*MAX(0,1-1/Supuestos!$C$20))*(1-Supuestos!$C$18)^1))</f>
        <v>0.91524895827764</v>
      </c>
      <c r="E281" s="29" t="n">
        <f aca="false">D281*(1-MIN(1,INDEX(Tabla_Mortalidad!$B$5:$B$75,MIN(71,Cartera_Polizas!$B$283+2-49))*(1+(Cartera_Polizas!$P$283-1)*MAX(0,1-2/Supuestos!$C$20))*(1-Supuestos!$C$18)^2))</f>
        <v>0.872148763156002</v>
      </c>
      <c r="F281" s="29" t="n">
        <f aca="false">E281*(1-MIN(1,INDEX(Tabla_Mortalidad!$B$5:$B$75,MIN(71,Cartera_Polizas!$B$283+3-49))*(1+(Cartera_Polizas!$P$283-1)*MAX(0,1-3/Supuestos!$C$20))*(1-Supuestos!$C$18)^3))</f>
        <v>0.828856491473516</v>
      </c>
      <c r="G281" s="29" t="n">
        <f aca="false">F281*(1-MIN(1,INDEX(Tabla_Mortalidad!$B$5:$B$75,MIN(71,Cartera_Polizas!$B$283+4-49))*(1+(Cartera_Polizas!$P$283-1)*MAX(0,1-4/Supuestos!$C$20))*(1-Supuestos!$C$18)^4))</f>
        <v>0.785615349505427</v>
      </c>
      <c r="H281" s="29" t="n">
        <f aca="false">G281*(1-MIN(1,INDEX(Tabla_Mortalidad!$B$5:$B$75,MIN(71,Cartera_Polizas!$B$283+5-49))*(1+(Cartera_Polizas!$P$283-1)*MAX(0,1-5/Supuestos!$C$20))*(1-Supuestos!$C$18)^5))</f>
        <v>0.742675687541897</v>
      </c>
      <c r="I281" s="29" t="n">
        <f aca="false">H281*(1-MIN(1,INDEX(Tabla_Mortalidad!$B$5:$B$75,MIN(71,Cartera_Polizas!$B$283+6-49))*(1+(Cartera_Polizas!$P$283-1)*MAX(0,1-6/Supuestos!$C$20))*(1-Supuestos!$C$18)^6))</f>
        <v>0.700303232649391</v>
      </c>
      <c r="J281" s="29" t="n">
        <f aca="false">I281*(1-MIN(1,INDEX(Tabla_Mortalidad!$B$5:$B$75,MIN(71,Cartera_Polizas!$B$283+7-49))*(1+(Cartera_Polizas!$P$283-1)*MAX(0,1-7/Supuestos!$C$20))*(1-Supuestos!$C$18)^7))</f>
        <v>0.658766109658864</v>
      </c>
      <c r="K281" s="29" t="n">
        <f aca="false">J281*(1-MIN(1,INDEX(Tabla_Mortalidad!$B$5:$B$75,MIN(71,Cartera_Polizas!$B$283+8-49))*(1+(Cartera_Polizas!$P$283-1)*MAX(0,1-8/Supuestos!$C$20))*(1-Supuestos!$C$18)^8))</f>
        <v>0.61833299014468</v>
      </c>
      <c r="L281" s="29" t="n">
        <f aca="false">K281*(1-MIN(1,INDEX(Tabla_Mortalidad!$B$5:$B$75,MIN(71,Cartera_Polizas!$B$283+9-49))*(1+(Cartera_Polizas!$P$283-1)*MAX(0,1-9/Supuestos!$C$20))*(1-Supuestos!$C$18)^9))</f>
        <v>0.579269147217602</v>
      </c>
      <c r="M281" s="29" t="n">
        <f aca="false">L281*(1-MIN(1,INDEX(Tabla_Mortalidad!$B$5:$B$75,MIN(71,Cartera_Polizas!$B$283+10-49))*(1+(Cartera_Polizas!$P$283-1)*MAX(0,1-10/Supuestos!$C$20))*(1-Supuestos!$C$18)^10))</f>
        <v>0.541832675224615</v>
      </c>
      <c r="N281" s="29" t="n">
        <f aca="false">M281*(1-MIN(1,INDEX(Tabla_Mortalidad!$B$5:$B$75,MIN(71,Cartera_Polizas!$B$283+11-49))*(1+(Cartera_Polizas!$P$283-1)*MAX(0,1-11/Supuestos!$C$20))*(1-Supuestos!$C$18)^11))</f>
        <v>0.50627025889976</v>
      </c>
      <c r="O281" s="29" t="n">
        <f aca="false">N281*(1-MIN(1,INDEX(Tabla_Mortalidad!$B$5:$B$75,MIN(71,Cartera_Polizas!$B$283+12-49))*(1+(Cartera_Polizas!$P$283-1)*MAX(0,1-12/Supuestos!$C$20))*(1-Supuestos!$C$18)^12))</f>
        <v>0.472812940685387</v>
      </c>
      <c r="P281" s="29" t="n">
        <f aca="false">O281*(1-MIN(1,INDEX(Tabla_Mortalidad!$B$5:$B$75,MIN(71,Cartera_Polizas!$B$283+13-49))*(1+(Cartera_Polizas!$P$283-1)*MAX(0,1-13/Supuestos!$C$20))*(1-Supuestos!$C$18)^13))</f>
        <v>0.441676371701973</v>
      </c>
      <c r="Q281" s="29" t="n">
        <f aca="false">P281*(1-MIN(1,INDEX(Tabla_Mortalidad!$B$5:$B$75,MIN(71,Cartera_Polizas!$B$283+14-49))*(1+(Cartera_Polizas!$P$283-1)*MAX(0,1-14/Supuestos!$C$20))*(1-Supuestos!$C$18)^14))</f>
        <v>0.413062126557872</v>
      </c>
      <c r="R281" s="29" t="n">
        <f aca="false">Q281*(1-MIN(1,INDEX(Tabla_Mortalidad!$B$5:$B$75,MIN(71,Cartera_Polizas!$B$283+15-49))*(1+(Cartera_Polizas!$P$283-1)*MAX(0,1-15/Supuestos!$C$20))*(1-Supuestos!$C$18)^15))</f>
        <v>0.387159319606858</v>
      </c>
      <c r="S281" s="29" t="n">
        <f aca="false">R281*(1-MIN(1,INDEX(Tabla_Mortalidad!$B$5:$B$75,MIN(71,Cartera_Polizas!$B$283+16-49))*(1+(Cartera_Polizas!$P$283-1)*MAX(0,1-16/Supuestos!$C$20))*(1-Supuestos!$C$18)^16))</f>
        <v>0.360301257628028</v>
      </c>
      <c r="T281" s="29" t="n">
        <f aca="false">S281*(1-MIN(1,INDEX(Tabla_Mortalidad!$B$5:$B$75,MIN(71,Cartera_Polizas!$B$283+17-49))*(1+(Cartera_Polizas!$P$283-1)*MAX(0,1-17/Supuestos!$C$20))*(1-Supuestos!$C$18)^17))</f>
        <v>0.332663969080795</v>
      </c>
      <c r="U281" s="29" t="n">
        <f aca="false">T281*(1-MIN(1,INDEX(Tabla_Mortalidad!$B$5:$B$75,MIN(71,Cartera_Polizas!$B$283+18-49))*(1+(Cartera_Polizas!$P$283-1)*MAX(0,1-18/Supuestos!$C$20))*(1-Supuestos!$C$18)^18))</f>
        <v>0.304462857651597</v>
      </c>
      <c r="V281" s="29" t="n">
        <f aca="false">U281*(1-MIN(1,INDEX(Tabla_Mortalidad!$B$5:$B$75,MIN(71,Cartera_Polizas!$B$283+19-49))*(1+(Cartera_Polizas!$P$283-1)*MAX(0,1-19/Supuestos!$C$20))*(1-Supuestos!$C$18)^19))</f>
        <v>0.275954504604732</v>
      </c>
      <c r="W281" s="29" t="n">
        <f aca="false">V281*(1-MIN(1,INDEX(Tabla_Mortalidad!$B$5:$B$75,MIN(71,Cartera_Polizas!$B$283+20-49))*(1+(Cartera_Polizas!$P$283-1)*MAX(0,1-20/Supuestos!$C$20))*(1-Supuestos!$C$18)^20))</f>
        <v>0.247432626570809</v>
      </c>
      <c r="X281" s="29" t="n">
        <f aca="false">W281*(1-MIN(1,INDEX(Tabla_Mortalidad!$B$5:$B$75,MIN(71,Cartera_Polizas!$B$283+21-49))*(1+(Cartera_Polizas!$P$283-1)*MAX(0,1-21/Supuestos!$C$20))*(1-Supuestos!$C$18)^21))</f>
        <v>0.219223160920008</v>
      </c>
      <c r="Y281" s="29" t="n">
        <f aca="false">X281*(1-MIN(1,INDEX(Tabla_Mortalidad!$B$5:$B$75,MIN(71,Cartera_Polizas!$B$283+22-49))*(1+(Cartera_Polizas!$P$283-1)*MAX(0,1-22/Supuestos!$C$20))*(1-Supuestos!$C$18)^22))</f>
        <v>0.191675620024349</v>
      </c>
      <c r="Z281" s="29" t="n">
        <f aca="false">Y281*(1-MIN(1,INDEX(Tabla_Mortalidad!$B$5:$B$75,MIN(71,Cartera_Polizas!$B$283+23-49))*(1+(Cartera_Polizas!$P$283-1)*MAX(0,1-23/Supuestos!$C$20))*(1-Supuestos!$C$18)^23))</f>
        <v>0.165151314574766</v>
      </c>
      <c r="AA281" s="29" t="n">
        <f aca="false">Z281*(1-MIN(1,INDEX(Tabla_Mortalidad!$B$5:$B$75,MIN(71,Cartera_Polizas!$B$283+24-49))*(1+(Cartera_Polizas!$P$283-1)*MAX(0,1-24/Supuestos!$C$20))*(1-Supuestos!$C$18)^24))</f>
        <v>0.140008209245612</v>
      </c>
      <c r="AB281" s="29" t="n">
        <f aca="false">AA281*(1-MIN(1,INDEX(Tabla_Mortalidad!$B$5:$B$75,MIN(71,Cartera_Polizas!$B$283+25-49))*(1+(Cartera_Polizas!$P$283-1)*MAX(0,1-25/Supuestos!$C$20))*(1-Supuestos!$C$18)^25))</f>
        <v>0.116582759024848</v>
      </c>
      <c r="AC281" s="29" t="n">
        <f aca="false">AB281*(1-MIN(1,INDEX(Tabla_Mortalidad!$B$5:$B$75,MIN(71,Cartera_Polizas!$B$283+26-49))*(1+(Cartera_Polizas!$P$283-1)*MAX(0,1-26/Supuestos!$C$20))*(1-Supuestos!$C$18)^26))</f>
        <v>0.0951710093995219</v>
      </c>
      <c r="AD281" s="29" t="n">
        <f aca="false">AC281*(1-MIN(1,INDEX(Tabla_Mortalidad!$B$5:$B$75,MIN(71,Cartera_Polizas!$B$283+27-49))*(1+(Cartera_Polizas!$P$283-1)*MAX(0,1-27/Supuestos!$C$20))*(1-Supuestos!$C$18)^27))</f>
        <v>0.0760092853034969</v>
      </c>
      <c r="AE281" s="29" t="n">
        <f aca="false">AD281*(1-MIN(1,INDEX(Tabla_Mortalidad!$B$5:$B$75,MIN(71,Cartera_Polizas!$B$283+28-49))*(1+(Cartera_Polizas!$P$283-1)*MAX(0,1-28/Supuestos!$C$20))*(1-Supuestos!$C$18)^28))</f>
        <v>0.0592567324663683</v>
      </c>
      <c r="AF281" s="29" t="n">
        <f aca="false">AE281*(1-MIN(1,INDEX(Tabla_Mortalidad!$B$5:$B$75,MIN(71,Cartera_Polizas!$B$283+29-49))*(1+(Cartera_Polizas!$P$283-1)*MAX(0,1-29/Supuestos!$C$20))*(1-Supuestos!$C$18)^29))</f>
        <v>0.0449828227732503</v>
      </c>
      <c r="AG281" s="29" t="n">
        <f aca="false">AF281*(1-MIN(1,INDEX(Tabla_Mortalidad!$B$5:$B$75,MIN(71,Cartera_Polizas!$B$283+30-49))*(1+(Cartera_Polizas!$P$283-1)*MAX(0,1-30/Supuestos!$C$20))*(1-Supuestos!$C$18)^30))</f>
        <v>0.0331612186142892</v>
      </c>
      <c r="AH281" s="29" t="n">
        <f aca="false">AG281*(1-MIN(1,INDEX(Tabla_Mortalidad!$B$5:$B$75,MIN(71,Cartera_Polizas!$B$283+31-49))*(1+(Cartera_Polizas!$P$283-1)*MAX(0,1-31/Supuestos!$C$20))*(1-Supuestos!$C$18)^31))</f>
        <v>0.0236717173896151</v>
      </c>
      <c r="AI281" s="29" t="n">
        <f aca="false">AH281*(1-MIN(1,INDEX(Tabla_Mortalidad!$B$5:$B$75,MIN(71,Cartera_Polizas!$B$283+32-49))*(1+(Cartera_Polizas!$P$283-1)*MAX(0,1-32/Supuestos!$C$20))*(1-Supuestos!$C$18)^32))</f>
        <v>0.0163113534482736</v>
      </c>
      <c r="AJ281" s="29" t="n">
        <f aca="false">AI281*(1-MIN(1,INDEX(Tabla_Mortalidad!$B$5:$B$75,MIN(71,Cartera_Polizas!$B$283+33-49))*(1+(Cartera_Polizas!$P$283-1)*MAX(0,1-33/Supuestos!$C$20))*(1-Supuestos!$C$18)^33))</f>
        <v>0.0108133906868789</v>
      </c>
      <c r="AK281" s="29" t="n">
        <f aca="false">AJ281*(1-MIN(1,INDEX(Tabla_Mortalidad!$B$5:$B$75,MIN(71,Cartera_Polizas!$B$283+34-49))*(1+(Cartera_Polizas!$P$283-1)*MAX(0,1-34/Supuestos!$C$20))*(1-Supuestos!$C$18)^34))</f>
        <v>0.00687238297032021</v>
      </c>
      <c r="AL281" s="29" t="n">
        <f aca="false">AK281*(1-MIN(1,INDEX(Tabla_Mortalidad!$B$5:$B$75,MIN(71,Cartera_Polizas!$B$283+35-49))*(1+(Cartera_Polizas!$P$283-1)*MAX(0,1-35/Supuestos!$C$20))*(1-Supuestos!$C$18)^35))</f>
        <v>0.004171682433904</v>
      </c>
      <c r="AM281" s="29" t="n">
        <f aca="false">AL281*(1-MIN(1,INDEX(Tabla_Mortalidad!$B$5:$B$75,MIN(71,Cartera_Polizas!$B$283+36-49))*(1+(Cartera_Polizas!$P$283-1)*MAX(0,1-36/Supuestos!$C$20))*(1-Supuestos!$C$18)^36))</f>
        <v>0.00240934781334306</v>
      </c>
      <c r="AN281" s="29" t="n">
        <f aca="false">AM281*(1-MIN(1,INDEX(Tabla_Mortalidad!$B$5:$B$75,MIN(71,Cartera_Polizas!$B$283+37-49))*(1+(Cartera_Polizas!$P$283-1)*MAX(0,1-37/Supuestos!$C$20))*(1-Supuestos!$C$18)^37))</f>
        <v>0.00131876177537454</v>
      </c>
      <c r="AO281" s="29" t="n">
        <f aca="false">AN281*(1-MIN(1,INDEX(Tabla_Mortalidad!$B$5:$B$75,MIN(71,Cartera_Polizas!$B$283+38-49))*(1+(Cartera_Polizas!$P$283-1)*MAX(0,1-38/Supuestos!$C$20))*(1-Supuestos!$C$18)^38))</f>
        <v>0.000681418303770789</v>
      </c>
      <c r="AP281" s="29" t="n">
        <f aca="false">AO281*(1-MIN(1,INDEX(Tabla_Mortalidad!$B$5:$B$75,MIN(71,Cartera_Polizas!$B$283+39-49))*(1+(Cartera_Polizas!$P$283-1)*MAX(0,1-39/Supuestos!$C$20))*(1-Supuestos!$C$18)^39))</f>
        <v>0.000331135371846565</v>
      </c>
      <c r="AQ281" s="29" t="n">
        <f aca="false">AP281*(1-MIN(1,INDEX(Tabla_Mortalidad!$B$5:$B$75,MIN(71,Cartera_Polizas!$B$283+40-49))*(1+(Cartera_Polizas!$P$283-1)*MAX(0,1-40/Supuestos!$C$20))*(1-Supuestos!$C$18)^40))</f>
        <v>0.000150813877860667</v>
      </c>
      <c r="AR281" s="29" t="n">
        <f aca="false">AQ281*(1-MIN(1,INDEX(Tabla_Mortalidad!$B$5:$B$75,MIN(71,Cartera_Polizas!$B$283+41-49))*(1+(Cartera_Polizas!$P$283-1)*MAX(0,1-41/Supuestos!$C$20))*(1-Supuestos!$C$18)^41))</f>
        <v>6.41867619849916E-005</v>
      </c>
      <c r="AS281" s="29" t="n">
        <f aca="false">AR281*(1-MIN(1,INDEX(Tabla_Mortalidad!$B$5:$B$75,MIN(71,Cartera_Polizas!$B$283+42-49))*(1+(Cartera_Polizas!$P$283-1)*MAX(0,1-42/Supuestos!$C$20))*(1-Supuestos!$C$18)^42))</f>
        <v>2.54730355175823E-005</v>
      </c>
      <c r="AT281" s="29" t="n">
        <f aca="false">AS281*(1-MIN(1,INDEX(Tabla_Mortalidad!$B$5:$B$75,MIN(71,Cartera_Polizas!$B$283+43-49))*(1+(Cartera_Polizas!$P$283-1)*MAX(0,1-43/Supuestos!$C$20))*(1-Supuestos!$C$18)^43))</f>
        <v>9.41624202438058E-006</v>
      </c>
      <c r="AU281" s="29" t="n">
        <f aca="false">AT281*(1-MIN(1,INDEX(Tabla_Mortalidad!$B$5:$B$75,MIN(71,Cartera_Polizas!$B$283+44-49))*(1+(Cartera_Polizas!$P$283-1)*MAX(0,1-44/Supuestos!$C$20))*(1-Supuestos!$C$18)^44))</f>
        <v>3.24316403615537E-006</v>
      </c>
    </row>
    <row r="282" customFormat="false" ht="15" hidden="false" customHeight="false" outlineLevel="0" collapsed="false">
      <c r="A282" s="14" t="n">
        <f aca="false">Cartera_Polizas!A284</f>
        <v>279</v>
      </c>
      <c r="B282" s="26" t="n">
        <f aca="false">SUM(C282:AU282)+0.5</f>
        <v>5.34443352858272</v>
      </c>
      <c r="C282" s="29" t="n">
        <f aca="false">1-MIN(1,INDEX(Tabla_Mortalidad!$B$5:$B$75,MIN(71,Cartera_Polizas!$B$284+0-49))*(1+(Cartera_Polizas!$P$284-1)*MAX(0,1-0/Supuestos!$C$20))*(1-Supuestos!$C$18)^0)</f>
        <v>0.8666117065</v>
      </c>
      <c r="D282" s="29" t="n">
        <f aca="false">C282*(1-MIN(1,INDEX(Tabla_Mortalidad!$B$5:$B$75,MIN(71,Cartera_Polizas!$B$284+1-49))*(1+(Cartera_Polizas!$P$284-1)*MAX(0,1-1/Supuestos!$C$20))*(1-Supuestos!$C$18)^1))</f>
        <v>0.743325109464155</v>
      </c>
      <c r="E282" s="29" t="n">
        <f aca="false">D282*(1-MIN(1,INDEX(Tabla_Mortalidad!$B$5:$B$75,MIN(71,Cartera_Polizas!$B$284+2-49))*(1+(Cartera_Polizas!$P$284-1)*MAX(0,1-2/Supuestos!$C$20))*(1-Supuestos!$C$18)^2))</f>
        <v>0.630746771236866</v>
      </c>
      <c r="F282" s="29" t="n">
        <f aca="false">E282*(1-MIN(1,INDEX(Tabla_Mortalidad!$B$5:$B$75,MIN(71,Cartera_Polizas!$B$284+3-49))*(1+(Cartera_Polizas!$P$284-1)*MAX(0,1-3/Supuestos!$C$20))*(1-Supuestos!$C$18)^3))</f>
        <v>0.529252486102657</v>
      </c>
      <c r="G282" s="29" t="n">
        <f aca="false">F282*(1-MIN(1,INDEX(Tabla_Mortalidad!$B$5:$B$75,MIN(71,Cartera_Polizas!$B$284+4-49))*(1+(Cartera_Polizas!$P$284-1)*MAX(0,1-4/Supuestos!$C$20))*(1-Supuestos!$C$18)^4))</f>
        <v>0.438965458972825</v>
      </c>
      <c r="H282" s="29" t="n">
        <f aca="false">G282*(1-MIN(1,INDEX(Tabla_Mortalidad!$B$5:$B$75,MIN(71,Cartera_Polizas!$B$284+5-49))*(1+(Cartera_Polizas!$P$284-1)*MAX(0,1-5/Supuestos!$C$20))*(1-Supuestos!$C$18)^5))</f>
        <v>0.359764223604878</v>
      </c>
      <c r="I282" s="29" t="n">
        <f aca="false">H282*(1-MIN(1,INDEX(Tabla_Mortalidad!$B$5:$B$75,MIN(71,Cartera_Polizas!$B$284+6-49))*(1+(Cartera_Polizas!$P$284-1)*MAX(0,1-6/Supuestos!$C$20))*(1-Supuestos!$C$18)^6))</f>
        <v>0.291289564233947</v>
      </c>
      <c r="J282" s="29" t="n">
        <f aca="false">I282*(1-MIN(1,INDEX(Tabla_Mortalidad!$B$5:$B$75,MIN(71,Cartera_Polizas!$B$284+7-49))*(1+(Cartera_Polizas!$P$284-1)*MAX(0,1-7/Supuestos!$C$20))*(1-Supuestos!$C$18)^7))</f>
        <v>0.232971103119098</v>
      </c>
      <c r="K282" s="29" t="n">
        <f aca="false">J282*(1-MIN(1,INDEX(Tabla_Mortalidad!$B$5:$B$75,MIN(71,Cartera_Polizas!$B$284+8-49))*(1+(Cartera_Polizas!$P$284-1)*MAX(0,1-8/Supuestos!$C$20))*(1-Supuestos!$C$18)^8))</f>
        <v>0.184062552577966</v>
      </c>
      <c r="L282" s="29" t="n">
        <f aca="false">K282*(1-MIN(1,INDEX(Tabla_Mortalidad!$B$5:$B$75,MIN(71,Cartera_Polizas!$B$284+9-49))*(1+(Cartera_Polizas!$P$284-1)*MAX(0,1-9/Supuestos!$C$20))*(1-Supuestos!$C$18)^9))</f>
        <v>0.143685453263248</v>
      </c>
      <c r="M282" s="29" t="n">
        <f aca="false">L282*(1-MIN(1,INDEX(Tabla_Mortalidad!$B$5:$B$75,MIN(71,Cartera_Polizas!$B$284+10-49))*(1+(Cartera_Polizas!$P$284-1)*MAX(0,1-10/Supuestos!$C$20))*(1-Supuestos!$C$18)^10))</f>
        <v>0.110877019688643</v>
      </c>
      <c r="N282" s="29" t="n">
        <f aca="false">M282*(1-MIN(1,INDEX(Tabla_Mortalidad!$B$5:$B$75,MIN(71,Cartera_Polizas!$B$284+11-49))*(1+(Cartera_Polizas!$P$284-1)*MAX(0,1-11/Supuestos!$C$20))*(1-Supuestos!$C$18)^11))</f>
        <v>0.0846382194899231</v>
      </c>
      <c r="O282" s="29" t="n">
        <f aca="false">N282*(1-MIN(1,INDEX(Tabla_Mortalidad!$B$5:$B$75,MIN(71,Cartera_Polizas!$B$284+12-49))*(1+(Cartera_Polizas!$P$284-1)*MAX(0,1-12/Supuestos!$C$20))*(1-Supuestos!$C$18)^12))</f>
        <v>0.0639797820879355</v>
      </c>
      <c r="P282" s="29" t="n">
        <f aca="false">O282*(1-MIN(1,INDEX(Tabla_Mortalidad!$B$5:$B$75,MIN(71,Cartera_Polizas!$B$284+13-49))*(1+(Cartera_Polizas!$P$284-1)*MAX(0,1-13/Supuestos!$C$20))*(1-Supuestos!$C$18)^13))</f>
        <v>0.0479608750298072</v>
      </c>
      <c r="Q282" s="29" t="n">
        <f aca="false">P282*(1-MIN(1,INDEX(Tabla_Mortalidad!$B$5:$B$75,MIN(71,Cartera_Polizas!$B$284+14-49))*(1+(Cartera_Polizas!$P$284-1)*MAX(0,1-14/Supuestos!$C$20))*(1-Supuestos!$C$18)^14))</f>
        <v>0.0357188123214856</v>
      </c>
      <c r="R282" s="29" t="n">
        <f aca="false">Q282*(1-MIN(1,INDEX(Tabla_Mortalidad!$B$5:$B$75,MIN(71,Cartera_Polizas!$B$284+15-49))*(1+(Cartera_Polizas!$P$284-1)*MAX(0,1-15/Supuestos!$C$20))*(1-Supuestos!$C$18)^15))</f>
        <v>0.0264892921308709</v>
      </c>
      <c r="S282" s="29" t="n">
        <f aca="false">R282*(1-MIN(1,INDEX(Tabla_Mortalidad!$B$5:$B$75,MIN(71,Cartera_Polizas!$B$284+16-49))*(1+(Cartera_Polizas!$P$284-1)*MAX(0,1-16/Supuestos!$C$20))*(1-Supuestos!$C$18)^16))</f>
        <v>0.0190217629112973</v>
      </c>
      <c r="T282" s="29" t="n">
        <f aca="false">S282*(1-MIN(1,INDEX(Tabla_Mortalidad!$B$5:$B$75,MIN(71,Cartera_Polizas!$B$284+17-49))*(1+(Cartera_Polizas!$P$284-1)*MAX(0,1-17/Supuestos!$C$20))*(1-Supuestos!$C$18)^17))</f>
        <v>0.0131827351735153</v>
      </c>
      <c r="U282" s="29" t="n">
        <f aca="false">T282*(1-MIN(1,INDEX(Tabla_Mortalidad!$B$5:$B$75,MIN(71,Cartera_Polizas!$B$284+18-49))*(1+(Cartera_Polizas!$P$284-1)*MAX(0,1-18/Supuestos!$C$20))*(1-Supuestos!$C$18)^18))</f>
        <v>0.00878578120521271</v>
      </c>
      <c r="V282" s="29" t="n">
        <f aca="false">U282*(1-MIN(1,INDEX(Tabla_Mortalidad!$B$5:$B$75,MIN(71,Cartera_Polizas!$B$284+19-49))*(1+(Cartera_Polizas!$P$284-1)*MAX(0,1-19/Supuestos!$C$20))*(1-Supuestos!$C$18)^19))</f>
        <v>0.0056091335355973</v>
      </c>
      <c r="W282" s="29" t="n">
        <f aca="false">V282*(1-MIN(1,INDEX(Tabla_Mortalidad!$B$5:$B$75,MIN(71,Cartera_Polizas!$B$284+20-49))*(1+(Cartera_Polizas!$P$284-1)*MAX(0,1-20/Supuestos!$C$20))*(1-Supuestos!$C$18)^20))</f>
        <v>0.00341623751331014</v>
      </c>
      <c r="X282" s="29" t="n">
        <f aca="false">W282*(1-MIN(1,INDEX(Tabla_Mortalidad!$B$5:$B$75,MIN(71,Cartera_Polizas!$B$284+21-49))*(1+(Cartera_Polizas!$P$284-1)*MAX(0,1-21/Supuestos!$C$20))*(1-Supuestos!$C$18)^21))</f>
        <v>0.00197613302286557</v>
      </c>
      <c r="Y282" s="29" t="n">
        <f aca="false">X282*(1-MIN(1,INDEX(Tabla_Mortalidad!$B$5:$B$75,MIN(71,Cartera_Polizas!$B$284+22-49))*(1+(Cartera_Polizas!$P$284-1)*MAX(0,1-22/Supuestos!$C$20))*(1-Supuestos!$C$18)^22))</f>
        <v>0.00108062356407827</v>
      </c>
      <c r="Z282" s="29" t="n">
        <f aca="false">Y282*(1-MIN(1,INDEX(Tabla_Mortalidad!$B$5:$B$75,MIN(71,Cartera_Polizas!$B$284+23-49))*(1+(Cartera_Polizas!$P$284-1)*MAX(0,1-23/Supuestos!$C$20))*(1-Supuestos!$C$18)^23))</f>
        <v>0.000555922750924825</v>
      </c>
      <c r="AA282" s="29" t="n">
        <f aca="false">Z282*(1-MIN(1,INDEX(Tabla_Mortalidad!$B$5:$B$75,MIN(71,Cartera_Polizas!$B$284+24-49))*(1+(Cartera_Polizas!$P$284-1)*MAX(0,1-24/Supuestos!$C$20))*(1-Supuestos!$C$18)^24))</f>
        <v>0.000267719743500963</v>
      </c>
      <c r="AB282" s="29" t="n">
        <f aca="false">AA282*(1-MIN(1,INDEX(Tabla_Mortalidad!$B$5:$B$75,MIN(71,Cartera_Polizas!$B$284+25-49))*(1+(Cartera_Polizas!$P$284-1)*MAX(0,1-25/Supuestos!$C$20))*(1-Supuestos!$C$18)^25))</f>
        <v>0.000120093880019979</v>
      </c>
      <c r="AC282" s="29" t="n">
        <f aca="false">AB282*(1-MIN(1,INDEX(Tabla_Mortalidad!$B$5:$B$75,MIN(71,Cartera_Polizas!$B$284+26-49))*(1+(Cartera_Polizas!$P$284-1)*MAX(0,1-26/Supuestos!$C$20))*(1-Supuestos!$C$18)^26))</f>
        <v>4.99419428225432E-005</v>
      </c>
      <c r="AD282" s="29" t="n">
        <f aca="false">AC282*(1-MIN(1,INDEX(Tabla_Mortalidad!$B$5:$B$75,MIN(71,Cartera_Polizas!$B$284+27-49))*(1+(Cartera_Polizas!$P$284-1)*MAX(0,1-27/Supuestos!$C$20))*(1-Supuestos!$C$18)^27))</f>
        <v>1.91700046596092E-005</v>
      </c>
      <c r="AE282" s="29" t="n">
        <f aca="false">AD282*(1-MIN(1,INDEX(Tabla_Mortalidad!$B$5:$B$75,MIN(71,Cartera_Polizas!$B$284+28-49))*(1+(Cartera_Polizas!$P$284-1)*MAX(0,1-28/Supuestos!$C$20))*(1-Supuestos!$C$18)^28))</f>
        <v>6.76723729767837E-006</v>
      </c>
      <c r="AF282" s="29" t="n">
        <f aca="false">AE282*(1-MIN(1,INDEX(Tabla_Mortalidad!$B$5:$B$75,MIN(71,Cartera_Polizas!$B$284+29-49))*(1+(Cartera_Polizas!$P$284-1)*MAX(0,1-29/Supuestos!$C$20))*(1-Supuestos!$C$18)^29))</f>
        <v>2.19144402020582E-006</v>
      </c>
      <c r="AG282" s="29" t="n">
        <f aca="false">AF282*(1-MIN(1,INDEX(Tabla_Mortalidad!$B$5:$B$75,MIN(71,Cartera_Polizas!$B$284+30-49))*(1+(Cartera_Polizas!$P$284-1)*MAX(0,1-30/Supuestos!$C$20))*(1-Supuestos!$C$18)^30))</f>
        <v>6.50341956962139E-007</v>
      </c>
      <c r="AH282" s="29" t="n">
        <f aca="false">AG282*(1-MIN(1,INDEX(Tabla_Mortalidad!$B$5:$B$75,MIN(71,Cartera_Polizas!$B$284+31-49))*(1+(Cartera_Polizas!$P$284-1)*MAX(0,1-31/Supuestos!$C$20))*(1-Supuestos!$C$18)^31))</f>
        <v>1.77043644645392E-007</v>
      </c>
      <c r="AI282" s="29" t="n">
        <f aca="false">AH282*(1-MIN(1,INDEX(Tabla_Mortalidad!$B$5:$B$75,MIN(71,Cartera_Polizas!$B$284+32-49))*(1+(Cartera_Polizas!$P$284-1)*MAX(0,1-32/Supuestos!$C$20))*(1-Supuestos!$C$18)^32))</f>
        <v>4.43650360403191E-008</v>
      </c>
      <c r="AJ282" s="29" t="n">
        <f aca="false">AI282*(1-MIN(1,INDEX(Tabla_Mortalidad!$B$5:$B$75,MIN(71,Cartera_Polizas!$B$284+33-49))*(1+(Cartera_Polizas!$P$284-1)*MAX(0,1-33/Supuestos!$C$20))*(1-Supuestos!$C$18)^33))</f>
        <v>1.02967069829802E-008</v>
      </c>
      <c r="AK282" s="29" t="n">
        <f aca="false">AJ282*(1-MIN(1,INDEX(Tabla_Mortalidad!$B$5:$B$75,MIN(71,Cartera_Polizas!$B$284+34-49))*(1+(Cartera_Polizas!$P$284-1)*MAX(0,1-34/Supuestos!$C$20))*(1-Supuestos!$C$18)^34))</f>
        <v>2.23315710263759E-009</v>
      </c>
      <c r="AL282" s="29" t="n">
        <f aca="false">AK282*(1-MIN(1,INDEX(Tabla_Mortalidad!$B$5:$B$75,MIN(71,Cartera_Polizas!$B$284+35-49))*(1+(Cartera_Polizas!$P$284-1)*MAX(0,1-35/Supuestos!$C$20))*(1-Supuestos!$C$18)^35))</f>
        <v>4.57723284137532E-010</v>
      </c>
      <c r="AM282" s="29" t="n">
        <f aca="false">AL282*(1-MIN(1,INDEX(Tabla_Mortalidad!$B$5:$B$75,MIN(71,Cartera_Polizas!$B$284+36-49))*(1+(Cartera_Polizas!$P$284-1)*MAX(0,1-36/Supuestos!$C$20))*(1-Supuestos!$C$18)^36))</f>
        <v>7.55732416884185E-011</v>
      </c>
      <c r="AN282" s="29" t="n">
        <f aca="false">AM282*(1-MIN(1,INDEX(Tabla_Mortalidad!$B$5:$B$75,MIN(71,Cartera_Polizas!$B$284+37-49))*(1+(Cartera_Polizas!$P$284-1)*MAX(0,1-37/Supuestos!$C$20))*(1-Supuestos!$C$18)^37))</f>
        <v>1.27931364862201E-011</v>
      </c>
      <c r="AO282" s="29" t="n">
        <f aca="false">AN282*(1-MIN(1,INDEX(Tabla_Mortalidad!$B$5:$B$75,MIN(71,Cartera_Polizas!$B$284+38-49))*(1+(Cartera_Polizas!$P$284-1)*MAX(0,1-38/Supuestos!$C$20))*(1-Supuestos!$C$18)^38))</f>
        <v>2.21877624515223E-012</v>
      </c>
      <c r="AP282" s="29" t="n">
        <f aca="false">AO282*(1-MIN(1,INDEX(Tabla_Mortalidad!$B$5:$B$75,MIN(71,Cartera_Polizas!$B$284+39-49))*(1+(Cartera_Polizas!$P$284-1)*MAX(0,1-39/Supuestos!$C$20))*(1-Supuestos!$C$18)^39))</f>
        <v>3.93983033639458E-013</v>
      </c>
      <c r="AQ282" s="29" t="n">
        <f aca="false">AP282*(1-MIN(1,INDEX(Tabla_Mortalidad!$B$5:$B$75,MIN(71,Cartera_Polizas!$B$284+40-49))*(1+(Cartera_Polizas!$P$284-1)*MAX(0,1-40/Supuestos!$C$20))*(1-Supuestos!$C$18)^40))</f>
        <v>7.15787898707364E-014</v>
      </c>
      <c r="AR282" s="29" t="n">
        <f aca="false">AQ282*(1-MIN(1,INDEX(Tabla_Mortalidad!$B$5:$B$75,MIN(71,Cartera_Polizas!$B$284+41-49))*(1+(Cartera_Polizas!$P$284-1)*MAX(0,1-41/Supuestos!$C$20))*(1-Supuestos!$C$18)^41))</f>
        <v>1.32972977010072E-014</v>
      </c>
      <c r="AS282" s="29" t="n">
        <f aca="false">AR282*(1-MIN(1,INDEX(Tabla_Mortalidad!$B$5:$B$75,MIN(71,Cartera_Polizas!$B$284+42-49))*(1+(Cartera_Polizas!$P$284-1)*MAX(0,1-42/Supuestos!$C$20))*(1-Supuestos!$C$18)^42))</f>
        <v>2.52439386352749E-015</v>
      </c>
      <c r="AT282" s="29" t="n">
        <f aca="false">AS282*(1-MIN(1,INDEX(Tabla_Mortalidad!$B$5:$B$75,MIN(71,Cartera_Polizas!$B$284+43-49))*(1+(Cartera_Polizas!$P$284-1)*MAX(0,1-43/Supuestos!$C$20))*(1-Supuestos!$C$18)^43))</f>
        <v>4.89463332043832E-016</v>
      </c>
      <c r="AU282" s="29" t="n">
        <f aca="false">AT282*(1-MIN(1,INDEX(Tabla_Mortalidad!$B$5:$B$75,MIN(71,Cartera_Polizas!$B$284+44-49))*(1+(Cartera_Polizas!$P$284-1)*MAX(0,1-44/Supuestos!$C$20))*(1-Supuestos!$C$18)^44))</f>
        <v>9.68765121563908E-017</v>
      </c>
    </row>
    <row r="283" customFormat="false" ht="15" hidden="false" customHeight="false" outlineLevel="0" collapsed="false">
      <c r="A283" s="14" t="n">
        <f aca="false">Cartera_Polizas!A285</f>
        <v>280</v>
      </c>
      <c r="B283" s="26" t="n">
        <f aca="false">SUM(C283:AU283)+0.5</f>
        <v>6.45610243987062</v>
      </c>
      <c r="C283" s="29" t="n">
        <f aca="false">1-MIN(1,INDEX(Tabla_Mortalidad!$B$5:$B$75,MIN(71,Cartera_Polizas!$B$285+0-49))*(1+(Cartera_Polizas!$P$285-1)*MAX(0,1-0/Supuestos!$C$20))*(1-Supuestos!$C$18)^0)</f>
        <v>0.897244732</v>
      </c>
      <c r="D283" s="29" t="n">
        <f aca="false">C283*(1-MIN(1,INDEX(Tabla_Mortalidad!$B$5:$B$75,MIN(71,Cartera_Polizas!$B$285+1-49))*(1+(Cartera_Polizas!$P$285-1)*MAX(0,1-1/Supuestos!$C$20))*(1-Supuestos!$C$18)^1))</f>
        <v>0.798360268824442</v>
      </c>
      <c r="E283" s="29" t="n">
        <f aca="false">D283*(1-MIN(1,INDEX(Tabla_Mortalidad!$B$5:$B$75,MIN(71,Cartera_Polizas!$B$285+2-49))*(1+(Cartera_Polizas!$P$285-1)*MAX(0,1-2/Supuestos!$C$20))*(1-Supuestos!$C$18)^2))</f>
        <v>0.704124887738097</v>
      </c>
      <c r="F283" s="29" t="n">
        <f aca="false">E283*(1-MIN(1,INDEX(Tabla_Mortalidad!$B$5:$B$75,MIN(71,Cartera_Polizas!$B$285+3-49))*(1+(Cartera_Polizas!$P$285-1)*MAX(0,1-3/Supuestos!$C$20))*(1-Supuestos!$C$18)^3))</f>
        <v>0.615244071204615</v>
      </c>
      <c r="G283" s="29" t="n">
        <f aca="false">F283*(1-MIN(1,INDEX(Tabla_Mortalidad!$B$5:$B$75,MIN(71,Cartera_Polizas!$B$285+4-49))*(1+(Cartera_Polizas!$P$285-1)*MAX(0,1-4/Supuestos!$C$20))*(1-Supuestos!$C$18)^4))</f>
        <v>0.532330721155765</v>
      </c>
      <c r="H283" s="29" t="n">
        <f aca="false">G283*(1-MIN(1,INDEX(Tabla_Mortalidad!$B$5:$B$75,MIN(71,Cartera_Polizas!$B$285+5-49))*(1+(Cartera_Polizas!$P$285-1)*MAX(0,1-5/Supuestos!$C$20))*(1-Supuestos!$C$18)^5))</f>
        <v>0.455874984580223</v>
      </c>
      <c r="I283" s="29" t="n">
        <f aca="false">H283*(1-MIN(1,INDEX(Tabla_Mortalidad!$B$5:$B$75,MIN(71,Cartera_Polizas!$B$285+6-49))*(1+(Cartera_Polizas!$P$285-1)*MAX(0,1-6/Supuestos!$C$20))*(1-Supuestos!$C$18)^6))</f>
        <v>0.386231999740381</v>
      </c>
      <c r="J283" s="29" t="n">
        <f aca="false">I283*(1-MIN(1,INDEX(Tabla_Mortalidad!$B$5:$B$75,MIN(71,Cartera_Polizas!$B$285+7-49))*(1+(Cartera_Polizas!$P$285-1)*MAX(0,1-7/Supuestos!$C$20))*(1-Supuestos!$C$18)^7))</f>
        <v>0.323604254707739</v>
      </c>
      <c r="K283" s="29" t="n">
        <f aca="false">J283*(1-MIN(1,INDEX(Tabla_Mortalidad!$B$5:$B$75,MIN(71,Cartera_Polizas!$B$285+8-49))*(1+(Cartera_Polizas!$P$285-1)*MAX(0,1-8/Supuestos!$C$20))*(1-Supuestos!$C$18)^8))</f>
        <v>0.26803684934846</v>
      </c>
      <c r="L283" s="29" t="n">
        <f aca="false">K283*(1-MIN(1,INDEX(Tabla_Mortalidad!$B$5:$B$75,MIN(71,Cartera_Polizas!$B$285+9-49))*(1+(Cartera_Polizas!$P$285-1)*MAX(0,1-9/Supuestos!$C$20))*(1-Supuestos!$C$18)^9))</f>
        <v>0.219418969299389</v>
      </c>
      <c r="M283" s="29" t="n">
        <f aca="false">L283*(1-MIN(1,INDEX(Tabla_Mortalidad!$B$5:$B$75,MIN(71,Cartera_Polizas!$B$285+10-49))*(1+(Cartera_Polizas!$P$285-1)*MAX(0,1-10/Supuestos!$C$20))*(1-Supuestos!$C$18)^10))</f>
        <v>0.177493913165618</v>
      </c>
      <c r="N283" s="29" t="n">
        <f aca="false">M283*(1-MIN(1,INDEX(Tabla_Mortalidad!$B$5:$B$75,MIN(71,Cartera_Polizas!$B$285+11-49))*(1+(Cartera_Polizas!$P$285-1)*MAX(0,1-11/Supuestos!$C$20))*(1-Supuestos!$C$18)^11))</f>
        <v>0.141876382438128</v>
      </c>
      <c r="O283" s="29" t="n">
        <f aca="false">N283*(1-MIN(1,INDEX(Tabla_Mortalidad!$B$5:$B$75,MIN(71,Cartera_Polizas!$B$285+12-49))*(1+(Cartera_Polizas!$P$285-1)*MAX(0,1-12/Supuestos!$C$20))*(1-Supuestos!$C$18)^12))</f>
        <v>0.112075736524036</v>
      </c>
      <c r="P283" s="29" t="n">
        <f aca="false">O283*(1-MIN(1,INDEX(Tabla_Mortalidad!$B$5:$B$75,MIN(71,Cartera_Polizas!$B$285+13-49))*(1+(Cartera_Polizas!$P$285-1)*MAX(0,1-13/Supuestos!$C$20))*(1-Supuestos!$C$18)^13))</f>
        <v>0.0875250321662619</v>
      </c>
      <c r="Q283" s="29" t="n">
        <f aca="false">P283*(1-MIN(1,INDEX(Tabla_Mortalidad!$B$5:$B$75,MIN(71,Cartera_Polizas!$B$285+14-49))*(1+(Cartera_Polizas!$P$285-1)*MAX(0,1-14/Supuestos!$C$20))*(1-Supuestos!$C$18)^14))</f>
        <v>0.0676114805958288</v>
      </c>
      <c r="R283" s="29" t="n">
        <f aca="false">Q283*(1-MIN(1,INDEX(Tabla_Mortalidad!$B$5:$B$75,MIN(71,Cartera_Polizas!$B$285+15-49))*(1+(Cartera_Polizas!$P$285-1)*MAX(0,1-15/Supuestos!$C$20))*(1-Supuestos!$C$18)^15))</f>
        <v>0.0517064413834542</v>
      </c>
      <c r="S283" s="29" t="n">
        <f aca="false">R283*(1-MIN(1,INDEX(Tabla_Mortalidad!$B$5:$B$75,MIN(71,Cartera_Polizas!$B$285+16-49))*(1+(Cartera_Polizas!$P$285-1)*MAX(0,1-16/Supuestos!$C$20))*(1-Supuestos!$C$18)^16))</f>
        <v>0.0384126198466128</v>
      </c>
      <c r="T283" s="29" t="n">
        <f aca="false">S283*(1-MIN(1,INDEX(Tabla_Mortalidad!$B$5:$B$75,MIN(71,Cartera_Polizas!$B$285+17-49))*(1+(Cartera_Polizas!$P$285-1)*MAX(0,1-17/Supuestos!$C$20))*(1-Supuestos!$C$18)^17))</f>
        <v>0.0276379595465436</v>
      </c>
      <c r="U283" s="29" t="n">
        <f aca="false">T283*(1-MIN(1,INDEX(Tabla_Mortalidad!$B$5:$B$75,MIN(71,Cartera_Polizas!$B$285+18-49))*(1+(Cartera_Polizas!$P$285-1)*MAX(0,1-18/Supuestos!$C$20))*(1-Supuestos!$C$18)^18))</f>
        <v>0.0191964749641362</v>
      </c>
      <c r="V283" s="29" t="n">
        <f aca="false">U283*(1-MIN(1,INDEX(Tabla_Mortalidad!$B$5:$B$75,MIN(71,Cartera_Polizas!$B$285+19-49))*(1+(Cartera_Polizas!$P$285-1)*MAX(0,1-19/Supuestos!$C$20))*(1-Supuestos!$C$18)^19))</f>
        <v>0.0128257191549888</v>
      </c>
      <c r="W283" s="29" t="n">
        <f aca="false">V283*(1-MIN(1,INDEX(Tabla_Mortalidad!$B$5:$B$75,MIN(71,Cartera_Polizas!$B$285+20-49))*(1+(Cartera_Polizas!$P$285-1)*MAX(0,1-20/Supuestos!$C$20))*(1-Supuestos!$C$18)^20))</f>
        <v>0.00821155042444262</v>
      </c>
      <c r="X283" s="29" t="n">
        <f aca="false">W283*(1-MIN(1,INDEX(Tabla_Mortalidad!$B$5:$B$75,MIN(71,Cartera_Polizas!$B$285+21-49))*(1+(Cartera_Polizas!$P$285-1)*MAX(0,1-21/Supuestos!$C$20))*(1-Supuestos!$C$18)^21))</f>
        <v>0.00501728864273413</v>
      </c>
      <c r="Y283" s="29" t="n">
        <f aca="false">X283*(1-MIN(1,INDEX(Tabla_Mortalidad!$B$5:$B$75,MIN(71,Cartera_Polizas!$B$285+22-49))*(1+(Cartera_Polizas!$P$285-1)*MAX(0,1-22/Supuestos!$C$20))*(1-Supuestos!$C$18)^22))</f>
        <v>0.00291284105186079</v>
      </c>
      <c r="Z283" s="29" t="n">
        <f aca="false">Y283*(1-MIN(1,INDEX(Tabla_Mortalidad!$B$5:$B$75,MIN(71,Cartera_Polizas!$B$285+23-49))*(1+(Cartera_Polizas!$P$285-1)*MAX(0,1-23/Supuestos!$C$20))*(1-Supuestos!$C$18)^23))</f>
        <v>0.00159945055623907</v>
      </c>
      <c r="AA283" s="29" t="n">
        <f aca="false">Z283*(1-MIN(1,INDEX(Tabla_Mortalidad!$B$5:$B$75,MIN(71,Cartera_Polizas!$B$285+24-49))*(1+(Cartera_Polizas!$P$285-1)*MAX(0,1-24/Supuestos!$C$20))*(1-Supuestos!$C$18)^24))</f>
        <v>0.000826714452587344</v>
      </c>
      <c r="AB283" s="29" t="n">
        <f aca="false">AA283*(1-MIN(1,INDEX(Tabla_Mortalidad!$B$5:$B$75,MIN(71,Cartera_Polizas!$B$285+25-49))*(1+(Cartera_Polizas!$P$285-1)*MAX(0,1-25/Supuestos!$C$20))*(1-Supuestos!$C$18)^25))</f>
        <v>0.000400269801483436</v>
      </c>
      <c r="AC283" s="29" t="n">
        <f aca="false">AB283*(1-MIN(1,INDEX(Tabla_Mortalidad!$B$5:$B$75,MIN(71,Cartera_Polizas!$B$285+26-49))*(1+(Cartera_Polizas!$P$285-1)*MAX(0,1-26/Supuestos!$C$20))*(1-Supuestos!$C$18)^26))</f>
        <v>0.000180656845691866</v>
      </c>
      <c r="AD283" s="29" t="n">
        <f aca="false">AC283*(1-MIN(1,INDEX(Tabla_Mortalidad!$B$5:$B$75,MIN(71,Cartera_Polizas!$B$285+27-49))*(1+(Cartera_Polizas!$P$285-1)*MAX(0,1-27/Supuestos!$C$20))*(1-Supuestos!$C$18)^27))</f>
        <v>7.5655154076119E-005</v>
      </c>
      <c r="AE283" s="29" t="n">
        <f aca="false">AD283*(1-MIN(1,INDEX(Tabla_Mortalidad!$B$5:$B$75,MIN(71,Cartera_Polizas!$B$285+28-49))*(1+(Cartera_Polizas!$P$285-1)*MAX(0,1-28/Supuestos!$C$20))*(1-Supuestos!$C$18)^28))</f>
        <v>2.92729888376998E-005</v>
      </c>
      <c r="AF283" s="29" t="n">
        <f aca="false">AE283*(1-MIN(1,INDEX(Tabla_Mortalidad!$B$5:$B$75,MIN(71,Cartera_Polizas!$B$285+29-49))*(1+(Cartera_Polizas!$P$285-1)*MAX(0,1-29/Supuestos!$C$20))*(1-Supuestos!$C$18)^29))</f>
        <v>1.04284060322076E-005</v>
      </c>
      <c r="AG283" s="29" t="n">
        <f aca="false">AF283*(1-MIN(1,INDEX(Tabla_Mortalidad!$B$5:$B$75,MIN(71,Cartera_Polizas!$B$285+30-49))*(1+(Cartera_Polizas!$P$285-1)*MAX(0,1-30/Supuestos!$C$20))*(1-Supuestos!$C$18)^30))</f>
        <v>3.41230226972628E-006</v>
      </c>
      <c r="AH283" s="29" t="n">
        <f aca="false">AG283*(1-MIN(1,INDEX(Tabla_Mortalidad!$B$5:$B$75,MIN(71,Cartera_Polizas!$B$285+31-49))*(1+(Cartera_Polizas!$P$285-1)*MAX(0,1-31/Supuestos!$C$20))*(1-Supuestos!$C$18)^31))</f>
        <v>1.02464714839975E-006</v>
      </c>
      <c r="AI283" s="29" t="n">
        <f aca="false">AH283*(1-MIN(1,INDEX(Tabla_Mortalidad!$B$5:$B$75,MIN(71,Cartera_Polizas!$B$285+32-49))*(1+(Cartera_Polizas!$P$285-1)*MAX(0,1-32/Supuestos!$C$20))*(1-Supuestos!$C$18)^32))</f>
        <v>2.82669882344973E-007</v>
      </c>
      <c r="AJ283" s="29" t="n">
        <f aca="false">AI283*(1-MIN(1,INDEX(Tabla_Mortalidad!$B$5:$B$75,MIN(71,Cartera_Polizas!$B$285+33-49))*(1+(Cartera_Polizas!$P$285-1)*MAX(0,1-33/Supuestos!$C$20))*(1-Supuestos!$C$18)^33))</f>
        <v>7.18928983678671E-008</v>
      </c>
      <c r="AK283" s="29" t="n">
        <f aca="false">AJ283*(1-MIN(1,INDEX(Tabla_Mortalidad!$B$5:$B$75,MIN(71,Cartera_Polizas!$B$285+34-49))*(1+(Cartera_Polizas!$P$285-1)*MAX(0,1-34/Supuestos!$C$20))*(1-Supuestos!$C$18)^34))</f>
        <v>1.69617007086308E-008</v>
      </c>
      <c r="AL283" s="29" t="n">
        <f aca="false">AK283*(1-MIN(1,INDEX(Tabla_Mortalidad!$B$5:$B$75,MIN(71,Cartera_Polizas!$B$285+35-49))*(1+(Cartera_Polizas!$P$285-1)*MAX(0,1-35/Supuestos!$C$20))*(1-Supuestos!$C$18)^35))</f>
        <v>3.74508083726477E-009</v>
      </c>
      <c r="AM283" s="29" t="n">
        <f aca="false">AL283*(1-MIN(1,INDEX(Tabla_Mortalidad!$B$5:$B$75,MIN(71,Cartera_Polizas!$B$285+36-49))*(1+(Cartera_Polizas!$P$285-1)*MAX(0,1-36/Supuestos!$C$20))*(1-Supuestos!$C$18)^36))</f>
        <v>7.82504918255382E-010</v>
      </c>
      <c r="AN283" s="29" t="n">
        <f aca="false">AM283*(1-MIN(1,INDEX(Tabla_Mortalidad!$B$5:$B$75,MIN(71,Cartera_Polizas!$B$285+37-49))*(1+(Cartera_Polizas!$P$285-1)*MAX(0,1-37/Supuestos!$C$20))*(1-Supuestos!$C$18)^37))</f>
        <v>1.32463448658889E-010</v>
      </c>
      <c r="AO283" s="29" t="n">
        <f aca="false">AN283*(1-MIN(1,INDEX(Tabla_Mortalidad!$B$5:$B$75,MIN(71,Cartera_Polizas!$B$285+38-49))*(1+(Cartera_Polizas!$P$285-1)*MAX(0,1-38/Supuestos!$C$20))*(1-Supuestos!$C$18)^38))</f>
        <v>2.29737839154503E-011</v>
      </c>
      <c r="AP283" s="29" t="n">
        <f aca="false">AO283*(1-MIN(1,INDEX(Tabla_Mortalidad!$B$5:$B$75,MIN(71,Cartera_Polizas!$B$285+39-49))*(1+(Cartera_Polizas!$P$285-1)*MAX(0,1-39/Supuestos!$C$20))*(1-Supuestos!$C$18)^39))</f>
        <v>4.0794023737015E-012</v>
      </c>
      <c r="AQ283" s="29" t="n">
        <f aca="false">AP283*(1-MIN(1,INDEX(Tabla_Mortalidad!$B$5:$B$75,MIN(71,Cartera_Polizas!$B$285+40-49))*(1+(Cartera_Polizas!$P$285-1)*MAX(0,1-40/Supuestos!$C$20))*(1-Supuestos!$C$18)^40))</f>
        <v>7.41145329553904E-013</v>
      </c>
      <c r="AR283" s="29" t="n">
        <f aca="false">AQ283*(1-MIN(1,INDEX(Tabla_Mortalidad!$B$5:$B$75,MIN(71,Cartera_Polizas!$B$285+41-49))*(1+(Cartera_Polizas!$P$285-1)*MAX(0,1-41/Supuestos!$C$20))*(1-Supuestos!$C$18)^41))</f>
        <v>1.37683664456843E-013</v>
      </c>
      <c r="AS283" s="29" t="n">
        <f aca="false">AR283*(1-MIN(1,INDEX(Tabla_Mortalidad!$B$5:$B$75,MIN(71,Cartera_Polizas!$B$285+42-49))*(1+(Cartera_Polizas!$P$285-1)*MAX(0,1-42/Supuestos!$C$20))*(1-Supuestos!$C$18)^42))</f>
        <v>2.61382278924616E-014</v>
      </c>
      <c r="AT283" s="29" t="n">
        <f aca="false">AS283*(1-MIN(1,INDEX(Tabla_Mortalidad!$B$5:$B$75,MIN(71,Cartera_Polizas!$B$285+43-49))*(1+(Cartera_Polizas!$P$285-1)*MAX(0,1-43/Supuestos!$C$20))*(1-Supuestos!$C$18)^43))</f>
        <v>5.06803011321216E-015</v>
      </c>
      <c r="AU283" s="29" t="n">
        <f aca="false">AT283*(1-MIN(1,INDEX(Tabla_Mortalidad!$B$5:$B$75,MIN(71,Cartera_Polizas!$B$285+44-49))*(1+(Cartera_Polizas!$P$285-1)*MAX(0,1-44/Supuestos!$C$20))*(1-Supuestos!$C$18)^44))</f>
        <v>1.00308449832476E-015</v>
      </c>
    </row>
    <row r="284" customFormat="false" ht="15" hidden="false" customHeight="false" outlineLevel="0" collapsed="false">
      <c r="A284" s="14" t="n">
        <f aca="false">Cartera_Polizas!A286</f>
        <v>281</v>
      </c>
      <c r="B284" s="26" t="n">
        <f aca="false">SUM(C284:AU284)+0.5</f>
        <v>6.67968823637793</v>
      </c>
      <c r="C284" s="29" t="n">
        <f aca="false">1-MIN(1,INDEX(Tabla_Mortalidad!$B$5:$B$75,MIN(71,Cartera_Polizas!$B$286+0-49))*(1+(Cartera_Polizas!$P$286-1)*MAX(0,1-0/Supuestos!$C$20))*(1-Supuestos!$C$18)^0)</f>
        <v>0.902953358</v>
      </c>
      <c r="D284" s="29" t="n">
        <f aca="false">C284*(1-MIN(1,INDEX(Tabla_Mortalidad!$B$5:$B$75,MIN(71,Cartera_Polizas!$B$286+1-49))*(1+(Cartera_Polizas!$P$286-1)*MAX(0,1-1/Supuestos!$C$20))*(1-Supuestos!$C$18)^1))</f>
        <v>0.80876602787702</v>
      </c>
      <c r="E284" s="29" t="n">
        <f aca="false">D284*(1-MIN(1,INDEX(Tabla_Mortalidad!$B$5:$B$75,MIN(71,Cartera_Polizas!$B$286+2-49))*(1+(Cartera_Polizas!$P$286-1)*MAX(0,1-2/Supuestos!$C$20))*(1-Supuestos!$C$18)^2))</f>
        <v>0.718204948336906</v>
      </c>
      <c r="F284" s="29" t="n">
        <f aca="false">E284*(1-MIN(1,INDEX(Tabla_Mortalidad!$B$5:$B$75,MIN(71,Cartera_Polizas!$B$286+3-49))*(1+(Cartera_Polizas!$P$286-1)*MAX(0,1-3/Supuestos!$C$20))*(1-Supuestos!$C$18)^3))</f>
        <v>0.631992517192663</v>
      </c>
      <c r="G284" s="29" t="n">
        <f aca="false">F284*(1-MIN(1,INDEX(Tabla_Mortalidad!$B$5:$B$75,MIN(71,Cartera_Polizas!$B$286+4-49))*(1+(Cartera_Polizas!$P$286-1)*MAX(0,1-4/Supuestos!$C$20))*(1-Supuestos!$C$18)^4))</f>
        <v>0.550787209972166</v>
      </c>
      <c r="H284" s="29" t="n">
        <f aca="false">G284*(1-MIN(1,INDEX(Tabla_Mortalidad!$B$5:$B$75,MIN(71,Cartera_Polizas!$B$286+5-49))*(1+(Cartera_Polizas!$P$286-1)*MAX(0,1-5/Supuestos!$C$20))*(1-Supuestos!$C$18)^5))</f>
        <v>0.475152585948548</v>
      </c>
      <c r="I284" s="29" t="n">
        <f aca="false">H284*(1-MIN(1,INDEX(Tabla_Mortalidad!$B$5:$B$75,MIN(71,Cartera_Polizas!$B$286+6-49))*(1+(Cartera_Polizas!$P$286-1)*MAX(0,1-6/Supuestos!$C$20))*(1-Supuestos!$C$18)^6))</f>
        <v>0.405542014099557</v>
      </c>
      <c r="J284" s="29" t="n">
        <f aca="false">I284*(1-MIN(1,INDEX(Tabla_Mortalidad!$B$5:$B$75,MIN(71,Cartera_Polizas!$B$286+7-49))*(1+(Cartera_Polizas!$P$286-1)*MAX(0,1-7/Supuestos!$C$20))*(1-Supuestos!$C$18)^7))</f>
        <v>0.342276536043205</v>
      </c>
      <c r="K284" s="29" t="n">
        <f aca="false">J284*(1-MIN(1,INDEX(Tabla_Mortalidad!$B$5:$B$75,MIN(71,Cartera_Polizas!$B$286+8-49))*(1+(Cartera_Polizas!$P$286-1)*MAX(0,1-8/Supuestos!$C$20))*(1-Supuestos!$C$18)^8))</f>
        <v>0.285533968673575</v>
      </c>
      <c r="L284" s="29" t="n">
        <f aca="false">K284*(1-MIN(1,INDEX(Tabla_Mortalidad!$B$5:$B$75,MIN(71,Cartera_Polizas!$B$286+9-49))*(1+(Cartera_Polizas!$P$286-1)*MAX(0,1-9/Supuestos!$C$20))*(1-Supuestos!$C$18)^9))</f>
        <v>0.235343148031304</v>
      </c>
      <c r="M284" s="29" t="n">
        <f aca="false">L284*(1-MIN(1,INDEX(Tabla_Mortalidad!$B$5:$B$75,MIN(71,Cartera_Polizas!$B$286+10-49))*(1+(Cartera_Polizas!$P$286-1)*MAX(0,1-10/Supuestos!$C$20))*(1-Supuestos!$C$18)^10))</f>
        <v>0.191586213733411</v>
      </c>
      <c r="N284" s="29" t="n">
        <f aca="false">M284*(1-MIN(1,INDEX(Tabla_Mortalidad!$B$5:$B$75,MIN(71,Cartera_Polizas!$B$286+11-49))*(1+(Cartera_Polizas!$P$286-1)*MAX(0,1-11/Supuestos!$C$20))*(1-Supuestos!$C$18)^11))</f>
        <v>0.154008327979735</v>
      </c>
      <c r="O284" s="29" t="n">
        <f aca="false">N284*(1-MIN(1,INDEX(Tabla_Mortalidad!$B$5:$B$75,MIN(71,Cartera_Polizas!$B$286+12-49))*(1+(Cartera_Polizas!$P$286-1)*MAX(0,1-12/Supuestos!$C$20))*(1-Supuestos!$C$18)^12))</f>
        <v>0.122234219410722</v>
      </c>
      <c r="P284" s="29" t="n">
        <f aca="false">O284*(1-MIN(1,INDEX(Tabla_Mortalidad!$B$5:$B$75,MIN(71,Cartera_Polizas!$B$286+13-49))*(1+(Cartera_Polizas!$P$286-1)*MAX(0,1-13/Supuestos!$C$20))*(1-Supuestos!$C$18)^13))</f>
        <v>0.0957921137004709</v>
      </c>
      <c r="Q284" s="29" t="n">
        <f aca="false">P284*(1-MIN(1,INDEX(Tabla_Mortalidad!$B$5:$B$75,MIN(71,Cartera_Polizas!$B$286+14-49))*(1+(Cartera_Polizas!$P$286-1)*MAX(0,1-14/Supuestos!$C$20))*(1-Supuestos!$C$18)^14))</f>
        <v>0.0741410610371123</v>
      </c>
      <c r="R284" s="29" t="n">
        <f aca="false">Q284*(1-MIN(1,INDEX(Tabla_Mortalidad!$B$5:$B$75,MIN(71,Cartera_Polizas!$B$286+15-49))*(1+(Cartera_Polizas!$P$286-1)*MAX(0,1-15/Supuestos!$C$20))*(1-Supuestos!$C$18)^15))</f>
        <v>0.0566999922622468</v>
      </c>
      <c r="S284" s="29" t="n">
        <f aca="false">R284*(1-MIN(1,INDEX(Tabla_Mortalidad!$B$5:$B$75,MIN(71,Cartera_Polizas!$B$286+16-49))*(1+(Cartera_Polizas!$P$286-1)*MAX(0,1-16/Supuestos!$C$20))*(1-Supuestos!$C$18)^16))</f>
        <v>0.0421223195756907</v>
      </c>
      <c r="T284" s="29" t="n">
        <f aca="false">S284*(1-MIN(1,INDEX(Tabla_Mortalidad!$B$5:$B$75,MIN(71,Cartera_Polizas!$B$286+17-49))*(1+(Cartera_Polizas!$P$286-1)*MAX(0,1-17/Supuestos!$C$20))*(1-Supuestos!$C$18)^17))</f>
        <v>0.0303070961857911</v>
      </c>
      <c r="U284" s="29" t="n">
        <f aca="false">T284*(1-MIN(1,INDEX(Tabla_Mortalidad!$B$5:$B$75,MIN(71,Cartera_Polizas!$B$286+18-49))*(1+(Cartera_Polizas!$P$286-1)*MAX(0,1-18/Supuestos!$C$20))*(1-Supuestos!$C$18)^18))</f>
        <v>0.0210503750172456</v>
      </c>
      <c r="V284" s="29" t="n">
        <f aca="false">U284*(1-MIN(1,INDEX(Tabla_Mortalidad!$B$5:$B$75,MIN(71,Cartera_Polizas!$B$286+19-49))*(1+(Cartera_Polizas!$P$286-1)*MAX(0,1-19/Supuestos!$C$20))*(1-Supuestos!$C$18)^19))</f>
        <v>0.0140643633053873</v>
      </c>
      <c r="W284" s="29" t="n">
        <f aca="false">V284*(1-MIN(1,INDEX(Tabla_Mortalidad!$B$5:$B$75,MIN(71,Cartera_Polizas!$B$286+20-49))*(1+(Cartera_Polizas!$P$286-1)*MAX(0,1-20/Supuestos!$C$20))*(1-Supuestos!$C$18)^20))</f>
        <v>0.00900458111348452</v>
      </c>
      <c r="X284" s="29" t="n">
        <f aca="false">W284*(1-MIN(1,INDEX(Tabla_Mortalidad!$B$5:$B$75,MIN(71,Cartera_Polizas!$B$286+21-49))*(1+(Cartera_Polizas!$P$286-1)*MAX(0,1-21/Supuestos!$C$20))*(1-Supuestos!$C$18)^21))</f>
        <v>0.0055018334197626</v>
      </c>
      <c r="Y284" s="29" t="n">
        <f aca="false">X284*(1-MIN(1,INDEX(Tabla_Mortalidad!$B$5:$B$75,MIN(71,Cartera_Polizas!$B$286+22-49))*(1+(Cartera_Polizas!$P$286-1)*MAX(0,1-22/Supuestos!$C$20))*(1-Supuestos!$C$18)^22))</f>
        <v>0.00319414874980183</v>
      </c>
      <c r="Z284" s="29" t="n">
        <f aca="false">Y284*(1-MIN(1,INDEX(Tabla_Mortalidad!$B$5:$B$75,MIN(71,Cartera_Polizas!$B$286+23-49))*(1+(Cartera_Polizas!$P$286-1)*MAX(0,1-23/Supuestos!$C$20))*(1-Supuestos!$C$18)^23))</f>
        <v>0.00175391753398875</v>
      </c>
      <c r="AA284" s="29" t="n">
        <f aca="false">Z284*(1-MIN(1,INDEX(Tabla_Mortalidad!$B$5:$B$75,MIN(71,Cartera_Polizas!$B$286+24-49))*(1+(Cartera_Polizas!$P$286-1)*MAX(0,1-24/Supuestos!$C$20))*(1-Supuestos!$C$18)^24))</f>
        <v>0.000906554421666111</v>
      </c>
      <c r="AB284" s="29" t="n">
        <f aca="false">AA284*(1-MIN(1,INDEX(Tabla_Mortalidad!$B$5:$B$75,MIN(71,Cartera_Polizas!$B$286+25-49))*(1+(Cartera_Polizas!$P$286-1)*MAX(0,1-25/Supuestos!$C$20))*(1-Supuestos!$C$18)^25))</f>
        <v>0.000438925867642175</v>
      </c>
      <c r="AC284" s="29" t="n">
        <f aca="false">AB284*(1-MIN(1,INDEX(Tabla_Mortalidad!$B$5:$B$75,MIN(71,Cartera_Polizas!$B$286+26-49))*(1+(Cartera_Polizas!$P$286-1)*MAX(0,1-26/Supuestos!$C$20))*(1-Supuestos!$C$18)^26))</f>
        <v>0.000198103785114257</v>
      </c>
      <c r="AD284" s="29" t="n">
        <f aca="false">AC284*(1-MIN(1,INDEX(Tabla_Mortalidad!$B$5:$B$75,MIN(71,Cartera_Polizas!$B$286+27-49))*(1+(Cartera_Polizas!$P$286-1)*MAX(0,1-27/Supuestos!$C$20))*(1-Supuestos!$C$18)^27))</f>
        <v>8.29615524863351E-005</v>
      </c>
      <c r="AE284" s="29" t="n">
        <f aca="false">AD284*(1-MIN(1,INDEX(Tabla_Mortalidad!$B$5:$B$75,MIN(71,Cartera_Polizas!$B$286+28-49))*(1+(Cartera_Polizas!$P$286-1)*MAX(0,1-28/Supuestos!$C$20))*(1-Supuestos!$C$18)^28))</f>
        <v>3.21000284719175E-005</v>
      </c>
      <c r="AF284" s="29" t="n">
        <f aca="false">AE284*(1-MIN(1,INDEX(Tabla_Mortalidad!$B$5:$B$75,MIN(71,Cartera_Polizas!$B$286+29-49))*(1+(Cartera_Polizas!$P$286-1)*MAX(0,1-29/Supuestos!$C$20))*(1-Supuestos!$C$18)^29))</f>
        <v>1.14355296073991E-005</v>
      </c>
      <c r="AG284" s="29" t="n">
        <f aca="false">AF284*(1-MIN(1,INDEX(Tabla_Mortalidad!$B$5:$B$75,MIN(71,Cartera_Polizas!$B$286+30-49))*(1+(Cartera_Polizas!$P$286-1)*MAX(0,1-30/Supuestos!$C$20))*(1-Supuestos!$C$18)^30))</f>
        <v>3.74184544736121E-006</v>
      </c>
      <c r="AH284" s="29" t="n">
        <f aca="false">AG284*(1-MIN(1,INDEX(Tabla_Mortalidad!$B$5:$B$75,MIN(71,Cartera_Polizas!$B$286+31-49))*(1+(Cartera_Polizas!$P$286-1)*MAX(0,1-31/Supuestos!$C$20))*(1-Supuestos!$C$18)^31))</f>
        <v>1.12360247256137E-006</v>
      </c>
      <c r="AI284" s="29" t="n">
        <f aca="false">AH284*(1-MIN(1,INDEX(Tabla_Mortalidad!$B$5:$B$75,MIN(71,Cartera_Polizas!$B$286+32-49))*(1+(Cartera_Polizas!$P$286-1)*MAX(0,1-32/Supuestos!$C$20))*(1-Supuestos!$C$18)^32))</f>
        <v>3.09968733351255E-007</v>
      </c>
      <c r="AJ284" s="29" t="n">
        <f aca="false">AI284*(1-MIN(1,INDEX(Tabla_Mortalidad!$B$5:$B$75,MIN(71,Cartera_Polizas!$B$286+33-49))*(1+(Cartera_Polizas!$P$286-1)*MAX(0,1-33/Supuestos!$C$20))*(1-Supuestos!$C$18)^33))</f>
        <v>7.88359568383093E-008</v>
      </c>
      <c r="AK284" s="29" t="n">
        <f aca="false">AJ284*(1-MIN(1,INDEX(Tabla_Mortalidad!$B$5:$B$75,MIN(71,Cartera_Polizas!$B$286+34-49))*(1+(Cartera_Polizas!$P$286-1)*MAX(0,1-34/Supuestos!$C$20))*(1-Supuestos!$C$18)^34))</f>
        <v>1.85997773817338E-008</v>
      </c>
      <c r="AL284" s="29" t="n">
        <f aca="false">AK284*(1-MIN(1,INDEX(Tabla_Mortalidad!$B$5:$B$75,MIN(71,Cartera_Polizas!$B$286+35-49))*(1+(Cartera_Polizas!$P$286-1)*MAX(0,1-35/Supuestos!$C$20))*(1-Supuestos!$C$18)^35))</f>
        <v>4.1067621134405E-009</v>
      </c>
      <c r="AM284" s="29" t="n">
        <f aca="false">AL284*(1-MIN(1,INDEX(Tabla_Mortalidad!$B$5:$B$75,MIN(71,Cartera_Polizas!$B$286+36-49))*(1+(Cartera_Polizas!$P$286-1)*MAX(0,1-36/Supuestos!$C$20))*(1-Supuestos!$C$18)^36))</f>
        <v>8.58075350442659E-010</v>
      </c>
      <c r="AN284" s="29" t="n">
        <f aca="false">AM284*(1-MIN(1,INDEX(Tabla_Mortalidad!$B$5:$B$75,MIN(71,Cartera_Polizas!$B$286+37-49))*(1+(Cartera_Polizas!$P$286-1)*MAX(0,1-37/Supuestos!$C$20))*(1-Supuestos!$C$18)^37))</f>
        <v>1.45256109549107E-010</v>
      </c>
      <c r="AO284" s="29" t="n">
        <f aca="false">AN284*(1-MIN(1,INDEX(Tabla_Mortalidad!$B$5:$B$75,MIN(71,Cartera_Polizas!$B$286+38-49))*(1+(Cartera_Polizas!$P$286-1)*MAX(0,1-38/Supuestos!$C$20))*(1-Supuestos!$C$18)^38))</f>
        <v>2.51924776756614E-011</v>
      </c>
      <c r="AP284" s="29" t="n">
        <f aca="false">AO284*(1-MIN(1,INDEX(Tabla_Mortalidad!$B$5:$B$75,MIN(71,Cartera_Polizas!$B$286+39-49))*(1+(Cartera_Polizas!$P$286-1)*MAX(0,1-39/Supuestos!$C$20))*(1-Supuestos!$C$18)^39))</f>
        <v>4.47337076067822E-012</v>
      </c>
      <c r="AQ284" s="29" t="n">
        <f aca="false">AP284*(1-MIN(1,INDEX(Tabla_Mortalidad!$B$5:$B$75,MIN(71,Cartera_Polizas!$B$286+40-49))*(1+(Cartera_Polizas!$P$286-1)*MAX(0,1-40/Supuestos!$C$20))*(1-Supuestos!$C$18)^40))</f>
        <v>8.12721458420727E-013</v>
      </c>
      <c r="AR284" s="29" t="n">
        <f aca="false">AQ284*(1-MIN(1,INDEX(Tabla_Mortalidad!$B$5:$B$75,MIN(71,Cartera_Polizas!$B$286+41-49))*(1+(Cartera_Polizas!$P$286-1)*MAX(0,1-41/Supuestos!$C$20))*(1-Supuestos!$C$18)^41))</f>
        <v>1.50980467819216E-013</v>
      </c>
      <c r="AS284" s="29" t="n">
        <f aca="false">AR284*(1-MIN(1,INDEX(Tabla_Mortalidad!$B$5:$B$75,MIN(71,Cartera_Polizas!$B$286+42-49))*(1+(Cartera_Polizas!$P$286-1)*MAX(0,1-42/Supuestos!$C$20))*(1-Supuestos!$C$18)^42))</f>
        <v>2.86625279094466E-014</v>
      </c>
      <c r="AT284" s="29" t="n">
        <f aca="false">AS284*(1-MIN(1,INDEX(Tabla_Mortalidad!$B$5:$B$75,MIN(71,Cartera_Polizas!$B$286+43-49))*(1+(Cartera_Polizas!$P$286-1)*MAX(0,1-43/Supuestos!$C$20))*(1-Supuestos!$C$18)^43))</f>
        <v>5.55747524902993E-015</v>
      </c>
      <c r="AU284" s="29" t="n">
        <f aca="false">AT284*(1-MIN(1,INDEX(Tabla_Mortalidad!$B$5:$B$75,MIN(71,Cartera_Polizas!$B$286+44-49))*(1+(Cartera_Polizas!$P$286-1)*MAX(0,1-44/Supuestos!$C$20))*(1-Supuestos!$C$18)^44))</f>
        <v>1.09995740901236E-015</v>
      </c>
    </row>
    <row r="285" customFormat="false" ht="15" hidden="false" customHeight="false" outlineLevel="0" collapsed="false">
      <c r="A285" s="14" t="n">
        <f aca="false">Cartera_Polizas!A287</f>
        <v>282</v>
      </c>
      <c r="B285" s="26" t="n">
        <f aca="false">SUM(C285:AU285)+0.5</f>
        <v>7.20789182521812</v>
      </c>
      <c r="C285" s="29" t="n">
        <f aca="false">1-MIN(1,INDEX(Tabla_Mortalidad!$B$5:$B$75,MIN(71,Cartera_Polizas!$B$287+0-49))*(1+(Cartera_Polizas!$P$287-1)*MAX(0,1-0/Supuestos!$C$20))*(1-Supuestos!$C$18)^0)</f>
        <v>0.900021715</v>
      </c>
      <c r="D285" s="29" t="n">
        <f aca="false">C285*(1-MIN(1,INDEX(Tabla_Mortalidad!$B$5:$B$75,MIN(71,Cartera_Polizas!$B$287+1-49))*(1+(Cartera_Polizas!$P$287-1)*MAX(0,1-1/Supuestos!$C$20))*(1-Supuestos!$C$18)^1))</f>
        <v>0.804793358117803</v>
      </c>
      <c r="E285" s="29" t="n">
        <f aca="false">D285*(1-MIN(1,INDEX(Tabla_Mortalidad!$B$5:$B$75,MIN(71,Cartera_Polizas!$B$287+2-49))*(1+(Cartera_Polizas!$P$287-1)*MAX(0,1-2/Supuestos!$C$20))*(1-Supuestos!$C$18)^2))</f>
        <v>0.714900760327973</v>
      </c>
      <c r="F285" s="29" t="n">
        <f aca="false">E285*(1-MIN(1,INDEX(Tabla_Mortalidad!$B$5:$B$75,MIN(71,Cartera_Polizas!$B$287+3-49))*(1+(Cartera_Polizas!$P$287-1)*MAX(0,1-3/Supuestos!$C$20))*(1-Supuestos!$C$18)^3))</f>
        <v>0.630835783160372</v>
      </c>
      <c r="G285" s="29" t="n">
        <f aca="false">F285*(1-MIN(1,INDEX(Tabla_Mortalidad!$B$5:$B$75,MIN(71,Cartera_Polizas!$B$287+4-49))*(1+(Cartera_Polizas!$P$287-1)*MAX(0,1-4/Supuestos!$C$20))*(1-Supuestos!$C$18)^4))</f>
        <v>0.55297754353359</v>
      </c>
      <c r="H285" s="29" t="n">
        <f aca="false">G285*(1-MIN(1,INDEX(Tabla_Mortalidad!$B$5:$B$75,MIN(71,Cartera_Polizas!$B$287+5-49))*(1+(Cartera_Polizas!$P$287-1)*MAX(0,1-5/Supuestos!$C$20))*(1-Supuestos!$C$18)^5))</f>
        <v>0.481585246499206</v>
      </c>
      <c r="I285" s="29" t="n">
        <f aca="false">H285*(1-MIN(1,INDEX(Tabla_Mortalidad!$B$5:$B$75,MIN(71,Cartera_Polizas!$B$287+6-49))*(1+(Cartera_Polizas!$P$287-1)*MAX(0,1-6/Supuestos!$C$20))*(1-Supuestos!$C$18)^6))</f>
        <v>0.41679359130679</v>
      </c>
      <c r="J285" s="29" t="n">
        <f aca="false">I285*(1-MIN(1,INDEX(Tabla_Mortalidad!$B$5:$B$75,MIN(71,Cartera_Polizas!$B$287+7-49))*(1+(Cartera_Polizas!$P$287-1)*MAX(0,1-7/Supuestos!$C$20))*(1-Supuestos!$C$18)^7))</f>
        <v>0.358608604603613</v>
      </c>
      <c r="K285" s="29" t="n">
        <f aca="false">J285*(1-MIN(1,INDEX(Tabla_Mortalidad!$B$5:$B$75,MIN(71,Cartera_Polizas!$B$287+8-49))*(1+(Cartera_Polizas!$P$287-1)*MAX(0,1-8/Supuestos!$C$20))*(1-Supuestos!$C$18)^8))</f>
        <v>0.306912946058955</v>
      </c>
      <c r="L285" s="29" t="n">
        <f aca="false">K285*(1-MIN(1,INDEX(Tabla_Mortalidad!$B$5:$B$75,MIN(71,Cartera_Polizas!$B$287+9-49))*(1+(Cartera_Polizas!$P$287-1)*MAX(0,1-9/Supuestos!$C$20))*(1-Supuestos!$C$18)^9))</f>
        <v>0.261480099645023</v>
      </c>
      <c r="M285" s="29" t="n">
        <f aca="false">L285*(1-MIN(1,INDEX(Tabla_Mortalidad!$B$5:$B$75,MIN(71,Cartera_Polizas!$B$287+10-49))*(1+(Cartera_Polizas!$P$287-1)*MAX(0,1-10/Supuestos!$C$20))*(1-Supuestos!$C$18)^10))</f>
        <v>0.221985869852213</v>
      </c>
      <c r="N285" s="29" t="n">
        <f aca="false">M285*(1-MIN(1,INDEX(Tabla_Mortalidad!$B$5:$B$75,MIN(71,Cartera_Polizas!$B$287+11-49))*(1+(Cartera_Polizas!$P$287-1)*MAX(0,1-11/Supuestos!$C$20))*(1-Supuestos!$C$18)^11))</f>
        <v>0.188031654902215</v>
      </c>
      <c r="O285" s="29" t="n">
        <f aca="false">N285*(1-MIN(1,INDEX(Tabla_Mortalidad!$B$5:$B$75,MIN(71,Cartera_Polizas!$B$287+12-49))*(1+(Cartera_Polizas!$P$287-1)*MAX(0,1-12/Supuestos!$C$20))*(1-Supuestos!$C$18)^12))</f>
        <v>0.159164038468138</v>
      </c>
      <c r="P285" s="29" t="n">
        <f aca="false">O285*(1-MIN(1,INDEX(Tabla_Mortalidad!$B$5:$B$75,MIN(71,Cartera_Polizas!$B$287+13-49))*(1+(Cartera_Polizas!$P$287-1)*MAX(0,1-13/Supuestos!$C$20))*(1-Supuestos!$C$18)^13))</f>
        <v>0.134898571463044</v>
      </c>
      <c r="Q285" s="29" t="n">
        <f aca="false">P285*(1-MIN(1,INDEX(Tabla_Mortalidad!$B$5:$B$75,MIN(71,Cartera_Polizas!$B$287+14-49))*(1+(Cartera_Polizas!$P$287-1)*MAX(0,1-14/Supuestos!$C$20))*(1-Supuestos!$C$18)^14))</f>
        <v>0.114742218470778</v>
      </c>
      <c r="R285" s="29" t="n">
        <f aca="false">Q285*(1-MIN(1,INDEX(Tabla_Mortalidad!$B$5:$B$75,MIN(71,Cartera_Polizas!$B$287+15-49))*(1+(Cartera_Polizas!$P$287-1)*MAX(0,1-15/Supuestos!$C$20))*(1-Supuestos!$C$18)^15))</f>
        <v>0.0982143921599253</v>
      </c>
      <c r="S285" s="29" t="n">
        <f aca="false">R285*(1-MIN(1,INDEX(Tabla_Mortalidad!$B$5:$B$75,MIN(71,Cartera_Polizas!$B$287+16-49))*(1+(Cartera_Polizas!$P$287-1)*MAX(0,1-16/Supuestos!$C$20))*(1-Supuestos!$C$18)^16))</f>
        <v>0.0826501719425163</v>
      </c>
      <c r="T285" s="29" t="n">
        <f aca="false">S285*(1-MIN(1,INDEX(Tabla_Mortalidad!$B$5:$B$75,MIN(71,Cartera_Polizas!$B$287+17-49))*(1+(Cartera_Polizas!$P$287-1)*MAX(0,1-17/Supuestos!$C$20))*(1-Supuestos!$C$18)^17))</f>
        <v>0.0682557721380356</v>
      </c>
      <c r="U285" s="29" t="n">
        <f aca="false">T285*(1-MIN(1,INDEX(Tabla_Mortalidad!$B$5:$B$75,MIN(71,Cartera_Polizas!$B$287+18-49))*(1+(Cartera_Polizas!$P$287-1)*MAX(0,1-18/Supuestos!$C$20))*(1-Supuestos!$C$18)^18))</f>
        <v>0.0552069123277222</v>
      </c>
      <c r="V285" s="29" t="n">
        <f aca="false">U285*(1-MIN(1,INDEX(Tabla_Mortalidad!$B$5:$B$75,MIN(71,Cartera_Polizas!$B$287+19-49))*(1+(Cartera_Polizas!$P$287-1)*MAX(0,1-19/Supuestos!$C$20))*(1-Supuestos!$C$18)^19))</f>
        <v>0.0436367695243802</v>
      </c>
      <c r="W285" s="29" t="n">
        <f aca="false">V285*(1-MIN(1,INDEX(Tabla_Mortalidad!$B$5:$B$75,MIN(71,Cartera_Polizas!$B$287+20-49))*(1+(Cartera_Polizas!$P$287-1)*MAX(0,1-20/Supuestos!$C$20))*(1-Supuestos!$C$18)^20))</f>
        <v>0.0336256581435067</v>
      </c>
      <c r="X285" s="29" t="n">
        <f aca="false">W285*(1-MIN(1,INDEX(Tabla_Mortalidad!$B$5:$B$75,MIN(71,Cartera_Polizas!$B$287+21-49))*(1+(Cartera_Polizas!$P$287-1)*MAX(0,1-21/Supuestos!$C$20))*(1-Supuestos!$C$18)^21))</f>
        <v>0.025194419301746</v>
      </c>
      <c r="Y285" s="29" t="n">
        <f aca="false">X285*(1-MIN(1,INDEX(Tabla_Mortalidad!$B$5:$B$75,MIN(71,Cartera_Polizas!$B$287+22-49))*(1+(Cartera_Polizas!$P$287-1)*MAX(0,1-22/Supuestos!$C$20))*(1-Supuestos!$C$18)^22))</f>
        <v>0.0183023535014096</v>
      </c>
      <c r="Z285" s="29" t="n">
        <f aca="false">Y285*(1-MIN(1,INDEX(Tabla_Mortalidad!$B$5:$B$75,MIN(71,Cartera_Polizas!$B$287+23-49))*(1+(Cartera_Polizas!$P$287-1)*MAX(0,1-23/Supuestos!$C$20))*(1-Supuestos!$C$18)^23))</f>
        <v>0.0128506127209502</v>
      </c>
      <c r="AA285" s="29" t="n">
        <f aca="false">Z285*(1-MIN(1,INDEX(Tabla_Mortalidad!$B$5:$B$75,MIN(71,Cartera_Polizas!$B$287+24-49))*(1+(Cartera_Polizas!$P$287-1)*MAX(0,1-24/Supuestos!$C$20))*(1-Supuestos!$C$18)^24))</f>
        <v>0.00869142319003198</v>
      </c>
      <c r="AB285" s="29" t="n">
        <f aca="false">AA285*(1-MIN(1,INDEX(Tabla_Mortalidad!$B$5:$B$75,MIN(71,Cartera_Polizas!$B$287+25-49))*(1+(Cartera_Polizas!$P$287-1)*MAX(0,1-25/Supuestos!$C$20))*(1-Supuestos!$C$18)^25))</f>
        <v>0.00564199756126707</v>
      </c>
      <c r="AC285" s="29" t="n">
        <f aca="false">AB285*(1-MIN(1,INDEX(Tabla_Mortalidad!$B$5:$B$75,MIN(71,Cartera_Polizas!$B$287+26-49))*(1+(Cartera_Polizas!$P$287-1)*MAX(0,1-26/Supuestos!$C$20))*(1-Supuestos!$C$18)^26))</f>
        <v>0.00350160398423849</v>
      </c>
      <c r="AD285" s="29" t="n">
        <f aca="false">AC285*(1-MIN(1,INDEX(Tabla_Mortalidad!$B$5:$B$75,MIN(71,Cartera_Polizas!$B$287+27-49))*(1+(Cartera_Polizas!$P$287-1)*MAX(0,1-27/Supuestos!$C$20))*(1-Supuestos!$C$18)^27))</f>
        <v>0.00206924637514329</v>
      </c>
      <c r="AE285" s="29" t="n">
        <f aca="false">AD285*(1-MIN(1,INDEX(Tabla_Mortalidad!$B$5:$B$75,MIN(71,Cartera_Polizas!$B$287+28-49))*(1+(Cartera_Polizas!$P$287-1)*MAX(0,1-28/Supuestos!$C$20))*(1-Supuestos!$C$18)^28))</f>
        <v>0.00115932327758234</v>
      </c>
      <c r="AF285" s="29" t="n">
        <f aca="false">AE285*(1-MIN(1,INDEX(Tabla_Mortalidad!$B$5:$B$75,MIN(71,Cartera_Polizas!$B$287+29-49))*(1+(Cartera_Polizas!$P$287-1)*MAX(0,1-29/Supuestos!$C$20))*(1-Supuestos!$C$18)^29))</f>
        <v>0.000613087246155752</v>
      </c>
      <c r="AG285" s="29" t="n">
        <f aca="false">AF285*(1-MIN(1,INDEX(Tabla_Mortalidad!$B$5:$B$75,MIN(71,Cartera_Polizas!$B$287+30-49))*(1+(Cartera_Polizas!$P$287-1)*MAX(0,1-30/Supuestos!$C$20))*(1-Supuestos!$C$18)^30))</f>
        <v>0.000304665616999209</v>
      </c>
      <c r="AH285" s="29" t="n">
        <f aca="false">AG285*(1-MIN(1,INDEX(Tabla_Mortalidad!$B$5:$B$75,MIN(71,Cartera_Polizas!$B$287+31-49))*(1+(Cartera_Polizas!$P$287-1)*MAX(0,1-31/Supuestos!$C$20))*(1-Supuestos!$C$18)^31))</f>
        <v>0.000141644456719569</v>
      </c>
      <c r="AI285" s="29" t="n">
        <f aca="false">AH285*(1-MIN(1,INDEX(Tabla_Mortalidad!$B$5:$B$75,MIN(71,Cartera_Polizas!$B$287+32-49))*(1+(Cartera_Polizas!$P$287-1)*MAX(0,1-32/Supuestos!$C$20))*(1-Supuestos!$C$18)^32))</f>
        <v>6.13553068614613E-005</v>
      </c>
      <c r="AJ285" s="29" t="n">
        <f aca="false">AI285*(1-MIN(1,INDEX(Tabla_Mortalidad!$B$5:$B$75,MIN(71,Cartera_Polizas!$B$287+33-49))*(1+(Cartera_Polizas!$P$287-1)*MAX(0,1-33/Supuestos!$C$20))*(1-Supuestos!$C$18)^33))</f>
        <v>2.46710238789457E-005</v>
      </c>
      <c r="AK285" s="29" t="n">
        <f aca="false">AJ285*(1-MIN(1,INDEX(Tabla_Mortalidad!$B$5:$B$75,MIN(71,Cartera_Polizas!$B$287+34-49))*(1+(Cartera_Polizas!$P$287-1)*MAX(0,1-34/Supuestos!$C$20))*(1-Supuestos!$C$18)^34))</f>
        <v>9.18207175373178E-006</v>
      </c>
      <c r="AL285" s="29" t="n">
        <f aca="false">AK285*(1-MIN(1,INDEX(Tabla_Mortalidad!$B$5:$B$75,MIN(71,Cartera_Polizas!$B$287+35-49))*(1+(Cartera_Polizas!$P$287-1)*MAX(0,1-35/Supuestos!$C$20))*(1-Supuestos!$C$18)^35))</f>
        <v>3.15738935783876E-006</v>
      </c>
      <c r="AM285" s="29" t="n">
        <f aca="false">AL285*(1-MIN(1,INDEX(Tabla_Mortalidad!$B$5:$B$75,MIN(71,Cartera_Polizas!$B$287+36-49))*(1+(Cartera_Polizas!$P$287-1)*MAX(0,1-36/Supuestos!$C$20))*(1-Supuestos!$C$18)^36))</f>
        <v>1.00278444401169E-006</v>
      </c>
      <c r="AN285" s="29" t="n">
        <f aca="false">AM285*(1-MIN(1,INDEX(Tabla_Mortalidad!$B$5:$B$75,MIN(71,Cartera_Polizas!$B$287+37-49))*(1+(Cartera_Polizas!$P$287-1)*MAX(0,1-37/Supuestos!$C$20))*(1-Supuestos!$C$18)^37))</f>
        <v>2.94611622839211E-007</v>
      </c>
      <c r="AO285" s="29" t="n">
        <f aca="false">AN285*(1-MIN(1,INDEX(Tabla_Mortalidad!$B$5:$B$75,MIN(71,Cartera_Polizas!$B$287+38-49))*(1+(Cartera_Polizas!$P$287-1)*MAX(0,1-38/Supuestos!$C$20))*(1-Supuestos!$C$18)^38))</f>
        <v>8.03674947379544E-008</v>
      </c>
      <c r="AP285" s="29" t="n">
        <f aca="false">AO285*(1-MIN(1,INDEX(Tabla_Mortalidad!$B$5:$B$75,MIN(71,Cartera_Polizas!$B$287+39-49))*(1+(Cartera_Polizas!$P$287-1)*MAX(0,1-39/Supuestos!$C$20))*(1-Supuestos!$C$18)^39))</f>
        <v>2.04809978208236E-008</v>
      </c>
      <c r="AQ285" s="29" t="n">
        <f aca="false">AP285*(1-MIN(1,INDEX(Tabla_Mortalidad!$B$5:$B$75,MIN(71,Cartera_Polizas!$B$287+40-49))*(1+(Cartera_Polizas!$P$287-1)*MAX(0,1-40/Supuestos!$C$20))*(1-Supuestos!$C$18)^40))</f>
        <v>4.91713054577069E-009</v>
      </c>
      <c r="AR285" s="29" t="n">
        <f aca="false">AQ285*(1-MIN(1,INDEX(Tabla_Mortalidad!$B$5:$B$75,MIN(71,Cartera_Polizas!$B$287+41-49))*(1+(Cartera_Polizas!$P$287-1)*MAX(0,1-41/Supuestos!$C$20))*(1-Supuestos!$C$18)^41))</f>
        <v>1.12367119773114E-009</v>
      </c>
      <c r="AS285" s="29" t="n">
        <f aca="false">AR285*(1-MIN(1,INDEX(Tabla_Mortalidad!$B$5:$B$75,MIN(71,Cartera_Polizas!$B$287+42-49))*(1+(Cartera_Polizas!$P$287-1)*MAX(0,1-42/Supuestos!$C$20))*(1-Supuestos!$C$18)^42))</f>
        <v>2.13320686650509E-010</v>
      </c>
      <c r="AT285" s="29" t="n">
        <f aca="false">AS285*(1-MIN(1,INDEX(Tabla_Mortalidad!$B$5:$B$75,MIN(71,Cartera_Polizas!$B$287+43-49))*(1+(Cartera_Polizas!$P$287-1)*MAX(0,1-43/Supuestos!$C$20))*(1-Supuestos!$C$18)^43))</f>
        <v>4.13614751605892E-011</v>
      </c>
      <c r="AU285" s="29" t="n">
        <f aca="false">AT285*(1-MIN(1,INDEX(Tabla_Mortalidad!$B$5:$B$75,MIN(71,Cartera_Polizas!$B$287+44-49))*(1+(Cartera_Polizas!$P$287-1)*MAX(0,1-44/Supuestos!$C$20))*(1-Supuestos!$C$18)^44))</f>
        <v>8.18642621188679E-012</v>
      </c>
    </row>
    <row r="286" customFormat="false" ht="15" hidden="false" customHeight="false" outlineLevel="0" collapsed="false">
      <c r="A286" s="14" t="n">
        <f aca="false">Cartera_Polizas!A288</f>
        <v>283</v>
      </c>
      <c r="B286" s="26" t="n">
        <f aca="false">SUM(C286:AU286)+0.5</f>
        <v>8.91621854754342</v>
      </c>
      <c r="C286" s="29" t="n">
        <f aca="false">1-MIN(1,INDEX(Tabla_Mortalidad!$B$5:$B$75,MIN(71,Cartera_Polizas!$B$288+0-49))*(1+(Cartera_Polizas!$P$288-1)*MAX(0,1-0/Supuestos!$C$20))*(1-Supuestos!$C$18)^0)</f>
        <v>0.944632753125</v>
      </c>
      <c r="D286" s="29" t="n">
        <f aca="false">C286*(1-MIN(1,INDEX(Tabla_Mortalidad!$B$5:$B$75,MIN(71,Cartera_Polizas!$B$288+1-49))*(1+(Cartera_Polizas!$P$288-1)*MAX(0,1-1/Supuestos!$C$20))*(1-Supuestos!$C$18)^1))</f>
        <v>0.887147320260543</v>
      </c>
      <c r="E286" s="29" t="n">
        <f aca="false">D286*(1-MIN(1,INDEX(Tabla_Mortalidad!$B$5:$B$75,MIN(71,Cartera_Polizas!$B$288+2-49))*(1+(Cartera_Polizas!$P$288-1)*MAX(0,1-2/Supuestos!$C$20))*(1-Supuestos!$C$18)^2))</f>
        <v>0.827833706594648</v>
      </c>
      <c r="F286" s="29" t="n">
        <f aca="false">E286*(1-MIN(1,INDEX(Tabla_Mortalidad!$B$5:$B$75,MIN(71,Cartera_Polizas!$B$288+3-49))*(1+(Cartera_Polizas!$P$288-1)*MAX(0,1-3/Supuestos!$C$20))*(1-Supuestos!$C$18)^3))</f>
        <v>0.767051538553272</v>
      </c>
      <c r="G286" s="29" t="n">
        <f aca="false">F286*(1-MIN(1,INDEX(Tabla_Mortalidad!$B$5:$B$75,MIN(71,Cartera_Polizas!$B$288+4-49))*(1+(Cartera_Polizas!$P$288-1)*MAX(0,1-4/Supuestos!$C$20))*(1-Supuestos!$C$18)^4))</f>
        <v>0.705230924990691</v>
      </c>
      <c r="H286" s="29" t="n">
        <f aca="false">G286*(1-MIN(1,INDEX(Tabla_Mortalidad!$B$5:$B$75,MIN(71,Cartera_Polizas!$B$288+5-49))*(1+(Cartera_Polizas!$P$288-1)*MAX(0,1-5/Supuestos!$C$20))*(1-Supuestos!$C$18)^5))</f>
        <v>0.642874598830087</v>
      </c>
      <c r="I286" s="29" t="n">
        <f aca="false">H286*(1-MIN(1,INDEX(Tabla_Mortalidad!$B$5:$B$75,MIN(71,Cartera_Polizas!$B$288+6-49))*(1+(Cartera_Polizas!$P$288-1)*MAX(0,1-6/Supuestos!$C$20))*(1-Supuestos!$C$18)^6))</f>
        <v>0.580547766961817</v>
      </c>
      <c r="J286" s="29" t="n">
        <f aca="false">I286*(1-MIN(1,INDEX(Tabla_Mortalidad!$B$5:$B$75,MIN(71,Cartera_Polizas!$B$288+7-49))*(1+(Cartera_Polizas!$P$288-1)*MAX(0,1-7/Supuestos!$C$20))*(1-Supuestos!$C$18)^7))</f>
        <v>0.518873275349181</v>
      </c>
      <c r="K286" s="29" t="n">
        <f aca="false">J286*(1-MIN(1,INDEX(Tabla_Mortalidad!$B$5:$B$75,MIN(71,Cartera_Polizas!$B$288+8-49))*(1+(Cartera_Polizas!$P$288-1)*MAX(0,1-8/Supuestos!$C$20))*(1-Supuestos!$C$18)^8))</f>
        <v>0.458513798800667</v>
      </c>
      <c r="L286" s="29" t="n">
        <f aca="false">K286*(1-MIN(1,INDEX(Tabla_Mortalidad!$B$5:$B$75,MIN(71,Cartera_Polizas!$B$288+9-49))*(1+(Cartera_Polizas!$P$288-1)*MAX(0,1-9/Supuestos!$C$20))*(1-Supuestos!$C$18)^9))</f>
        <v>0.400153253060359</v>
      </c>
      <c r="M286" s="29" t="n">
        <f aca="false">L286*(1-MIN(1,INDEX(Tabla_Mortalidad!$B$5:$B$75,MIN(71,Cartera_Polizas!$B$288+10-49))*(1+(Cartera_Polizas!$P$288-1)*MAX(0,1-10/Supuestos!$C$20))*(1-Supuestos!$C$18)^10))</f>
        <v>0.344472047664522</v>
      </c>
      <c r="N286" s="29" t="n">
        <f aca="false">M286*(1-MIN(1,INDEX(Tabla_Mortalidad!$B$5:$B$75,MIN(71,Cartera_Polizas!$B$288+11-49))*(1+(Cartera_Polizas!$P$288-1)*MAX(0,1-11/Supuestos!$C$20))*(1-Supuestos!$C$18)^11))</f>
        <v>0.292118671111358</v>
      </c>
      <c r="O286" s="29" t="n">
        <f aca="false">N286*(1-MIN(1,INDEX(Tabla_Mortalidad!$B$5:$B$75,MIN(71,Cartera_Polizas!$B$288+12-49))*(1+(Cartera_Polizas!$P$288-1)*MAX(0,1-12/Supuestos!$C$20))*(1-Supuestos!$C$18)^12))</f>
        <v>0.243678259419319</v>
      </c>
      <c r="P286" s="29" t="n">
        <f aca="false">O286*(1-MIN(1,INDEX(Tabla_Mortalidad!$B$5:$B$75,MIN(71,Cartera_Polizas!$B$288+13-49))*(1+(Cartera_Polizas!$P$288-1)*MAX(0,1-13/Supuestos!$C$20))*(1-Supuestos!$C$18)^13))</f>
        <v>0.199639933807581</v>
      </c>
      <c r="Q286" s="29" t="n">
        <f aca="false">P286*(1-MIN(1,INDEX(Tabla_Mortalidad!$B$5:$B$75,MIN(71,Cartera_Polizas!$B$288+14-49))*(1+(Cartera_Polizas!$P$288-1)*MAX(0,1-14/Supuestos!$C$20))*(1-Supuestos!$C$18)^14))</f>
        <v>0.160368015030672</v>
      </c>
      <c r="R286" s="29" t="n">
        <f aca="false">Q286*(1-MIN(1,INDEX(Tabla_Mortalidad!$B$5:$B$75,MIN(71,Cartera_Polizas!$B$288+15-49))*(1+(Cartera_Polizas!$P$288-1)*MAX(0,1-15/Supuestos!$C$20))*(1-Supuestos!$C$18)^15))</f>
        <v>0.126077761841321</v>
      </c>
      <c r="S286" s="29" t="n">
        <f aca="false">R286*(1-MIN(1,INDEX(Tabla_Mortalidad!$B$5:$B$75,MIN(71,Cartera_Polizas!$B$288+16-49))*(1+(Cartera_Polizas!$P$288-1)*MAX(0,1-16/Supuestos!$C$20))*(1-Supuestos!$C$18)^16))</f>
        <v>0.0965673093326349</v>
      </c>
      <c r="T286" s="29" t="n">
        <f aca="false">S286*(1-MIN(1,INDEX(Tabla_Mortalidad!$B$5:$B$75,MIN(71,Cartera_Polizas!$B$288+17-49))*(1+(Cartera_Polizas!$P$288-1)*MAX(0,1-17/Supuestos!$C$20))*(1-Supuestos!$C$18)^17))</f>
        <v>0.0718638139942971</v>
      </c>
      <c r="U286" s="29" t="n">
        <f aca="false">T286*(1-MIN(1,INDEX(Tabla_Mortalidad!$B$5:$B$75,MIN(71,Cartera_Polizas!$B$288+18-49))*(1+(Cartera_Polizas!$P$288-1)*MAX(0,1-18/Supuestos!$C$20))*(1-Supuestos!$C$18)^18))</f>
        <v>0.0518069512805823</v>
      </c>
      <c r="V286" s="29" t="n">
        <f aca="false">U286*(1-MIN(1,INDEX(Tabla_Mortalidad!$B$5:$B$75,MIN(71,Cartera_Polizas!$B$288+19-49))*(1+(Cartera_Polizas!$P$288-1)*MAX(0,1-19/Supuestos!$C$20))*(1-Supuestos!$C$18)^19))</f>
        <v>0.0360626289885807</v>
      </c>
      <c r="W286" s="29" t="n">
        <f aca="false">V286*(1-MIN(1,INDEX(Tabla_Mortalidad!$B$5:$B$75,MIN(71,Cartera_Polizas!$B$288+20-49))*(1+(Cartera_Polizas!$P$288-1)*MAX(0,1-20/Supuestos!$C$20))*(1-Supuestos!$C$18)^20))</f>
        <v>0.0241543243371488</v>
      </c>
      <c r="X286" s="29" t="n">
        <f aca="false">W286*(1-MIN(1,INDEX(Tabla_Mortalidad!$B$5:$B$75,MIN(71,Cartera_Polizas!$B$288+21-49))*(1+(Cartera_Polizas!$P$288-1)*MAX(0,1-21/Supuestos!$C$20))*(1-Supuestos!$C$18)^21))</f>
        <v>0.0155080358847397</v>
      </c>
      <c r="Y286" s="29" t="n">
        <f aca="false">X286*(1-MIN(1,INDEX(Tabla_Mortalidad!$B$5:$B$75,MIN(71,Cartera_Polizas!$B$288+22-49))*(1+(Cartera_Polizas!$P$288-1)*MAX(0,1-22/Supuestos!$C$20))*(1-Supuestos!$C$18)^22))</f>
        <v>0.00950563193461677</v>
      </c>
      <c r="Z286" s="29" t="n">
        <f aca="false">Y286*(1-MIN(1,INDEX(Tabla_Mortalidad!$B$5:$B$75,MIN(71,Cartera_Polizas!$B$288+23-49))*(1+(Cartera_Polizas!$P$288-1)*MAX(0,1-23/Supuestos!$C$20))*(1-Supuestos!$C$18)^23))</f>
        <v>0.00553853234742544</v>
      </c>
      <c r="AA286" s="29" t="n">
        <f aca="false">Z286*(1-MIN(1,INDEX(Tabla_Mortalidad!$B$5:$B$75,MIN(71,Cartera_Polizas!$B$288+24-49))*(1+(Cartera_Polizas!$P$288-1)*MAX(0,1-24/Supuestos!$C$20))*(1-Supuestos!$C$18)^24))</f>
        <v>0.00305371277189306</v>
      </c>
      <c r="AB286" s="29" t="n">
        <f aca="false">AA286*(1-MIN(1,INDEX(Tabla_Mortalidad!$B$5:$B$75,MIN(71,Cartera_Polizas!$B$288+25-49))*(1+(Cartera_Polizas!$P$288-1)*MAX(0,1-25/Supuestos!$C$20))*(1-Supuestos!$C$18)^25))</f>
        <v>0.00158576146241345</v>
      </c>
      <c r="AC286" s="29" t="n">
        <f aca="false">AB286*(1-MIN(1,INDEX(Tabla_Mortalidad!$B$5:$B$75,MIN(71,Cartera_Polizas!$B$288+26-49))*(1+(Cartera_Polizas!$P$288-1)*MAX(0,1-26/Supuestos!$C$20))*(1-Supuestos!$C$18)^26))</f>
        <v>0.000771867022804663</v>
      </c>
      <c r="AD286" s="29" t="n">
        <f aca="false">AC286*(1-MIN(1,INDEX(Tabla_Mortalidad!$B$5:$B$75,MIN(71,Cartera_Polizas!$B$288+27-49))*(1+(Cartera_Polizas!$P$288-1)*MAX(0,1-27/Supuestos!$C$20))*(1-Supuestos!$C$18)^27))</f>
        <v>0.000350490147159024</v>
      </c>
      <c r="AE286" s="29" t="n">
        <f aca="false">AD286*(1-MIN(1,INDEX(Tabla_Mortalidad!$B$5:$B$75,MIN(71,Cartera_Polizas!$B$288+28-49))*(1+(Cartera_Polizas!$P$288-1)*MAX(0,1-28/Supuestos!$C$20))*(1-Supuestos!$C$18)^28))</f>
        <v>0.000147796205977992</v>
      </c>
      <c r="AF286" s="29" t="n">
        <f aca="false">AE286*(1-MIN(1,INDEX(Tabla_Mortalidad!$B$5:$B$75,MIN(71,Cartera_Polizas!$B$288+29-49))*(1+(Cartera_Polizas!$P$288-1)*MAX(0,1-29/Supuestos!$C$20))*(1-Supuestos!$C$18)^29))</f>
        <v>5.76393278334625E-005</v>
      </c>
      <c r="AG286" s="29" t="n">
        <f aca="false">AF286*(1-MIN(1,INDEX(Tabla_Mortalidad!$B$5:$B$75,MIN(71,Cartera_Polizas!$B$288+30-49))*(1+(Cartera_Polizas!$P$288-1)*MAX(0,1-30/Supuestos!$C$20))*(1-Supuestos!$C$18)^30))</f>
        <v>2.07193485730029E-005</v>
      </c>
      <c r="AH286" s="29" t="n">
        <f aca="false">AG286*(1-MIN(1,INDEX(Tabla_Mortalidad!$B$5:$B$75,MIN(71,Cartera_Polizas!$B$288+31-49))*(1+(Cartera_Polizas!$P$288-1)*MAX(0,1-31/Supuestos!$C$20))*(1-Supuestos!$C$18)^31))</f>
        <v>6.84932341910198E-006</v>
      </c>
      <c r="AI286" s="29" t="n">
        <f aca="false">AH286*(1-MIN(1,INDEX(Tabla_Mortalidad!$B$5:$B$75,MIN(71,Cartera_Polizas!$B$288+32-49))*(1+(Cartera_Polizas!$P$288-1)*MAX(0,1-32/Supuestos!$C$20))*(1-Supuestos!$C$18)^32))</f>
        <v>2.08067992203873E-006</v>
      </c>
      <c r="AJ286" s="29" t="n">
        <f aca="false">AI286*(1-MIN(1,INDEX(Tabla_Mortalidad!$B$5:$B$75,MIN(71,Cartera_Polizas!$B$288+33-49))*(1+(Cartera_Polizas!$P$288-1)*MAX(0,1-33/Supuestos!$C$20))*(1-Supuestos!$C$18)^33))</f>
        <v>5.81531540580853E-007</v>
      </c>
      <c r="AK286" s="29" t="n">
        <f aca="false">AJ286*(1-MIN(1,INDEX(Tabla_Mortalidad!$B$5:$B$75,MIN(71,Cartera_Polizas!$B$288+34-49))*(1+(Cartera_Polizas!$P$288-1)*MAX(0,1-34/Supuestos!$C$20))*(1-Supuestos!$C$18)^34))</f>
        <v>1.50072073168282E-007</v>
      </c>
      <c r="AL286" s="29" t="n">
        <f aca="false">AK286*(1-MIN(1,INDEX(Tabla_Mortalidad!$B$5:$B$75,MIN(71,Cartera_Polizas!$B$288+35-49))*(1+(Cartera_Polizas!$P$288-1)*MAX(0,1-35/Supuestos!$C$20))*(1-Supuestos!$C$18)^35))</f>
        <v>3.59798511688878E-008</v>
      </c>
      <c r="AM286" s="29" t="n">
        <f aca="false">AL286*(1-MIN(1,INDEX(Tabla_Mortalidad!$B$5:$B$75,MIN(71,Cartera_Polizas!$B$288+36-49))*(1+(Cartera_Polizas!$P$288-1)*MAX(0,1-36/Supuestos!$C$20))*(1-Supuestos!$C$18)^36))</f>
        <v>8.08439634535602E-009</v>
      </c>
      <c r="AN286" s="29" t="n">
        <f aca="false">AM286*(1-MIN(1,INDEX(Tabla_Mortalidad!$B$5:$B$75,MIN(71,Cartera_Polizas!$B$288+37-49))*(1+(Cartera_Polizas!$P$288-1)*MAX(0,1-37/Supuestos!$C$20))*(1-Supuestos!$C$18)^37))</f>
        <v>1.72114658431166E-009</v>
      </c>
      <c r="AO286" s="29" t="n">
        <f aca="false">AN286*(1-MIN(1,INDEX(Tabla_Mortalidad!$B$5:$B$75,MIN(71,Cartera_Polizas!$B$288+38-49))*(1+(Cartera_Polizas!$P$288-1)*MAX(0,1-38/Supuestos!$C$20))*(1-Supuestos!$C$18)^38))</f>
        <v>2.98506872009769E-010</v>
      </c>
      <c r="AP286" s="29" t="n">
        <f aca="false">AO286*(1-MIN(1,INDEX(Tabla_Mortalidad!$B$5:$B$75,MIN(71,Cartera_Polizas!$B$288+39-49))*(1+(Cartera_Polizas!$P$288-1)*MAX(0,1-39/Supuestos!$C$20))*(1-Supuestos!$C$18)^39))</f>
        <v>5.30051839402875E-011</v>
      </c>
      <c r="AQ286" s="29" t="n">
        <f aca="false">AP286*(1-MIN(1,INDEX(Tabla_Mortalidad!$B$5:$B$75,MIN(71,Cartera_Polizas!$B$288+40-49))*(1+(Cartera_Polizas!$P$288-1)*MAX(0,1-40/Supuestos!$C$20))*(1-Supuestos!$C$18)^40))</f>
        <v>9.62997540344232E-012</v>
      </c>
      <c r="AR286" s="29" t="n">
        <f aca="false">AQ286*(1-MIN(1,INDEX(Tabla_Mortalidad!$B$5:$B$75,MIN(71,Cartera_Polizas!$B$288+41-49))*(1+(Cartera_Polizas!$P$288-1)*MAX(0,1-41/Supuestos!$C$20))*(1-Supuestos!$C$18)^41))</f>
        <v>1.78897477903998E-012</v>
      </c>
      <c r="AS286" s="29" t="n">
        <f aca="false">AR286*(1-MIN(1,INDEX(Tabla_Mortalidad!$B$5:$B$75,MIN(71,Cartera_Polizas!$B$288+42-49))*(1+(Cartera_Polizas!$P$288-1)*MAX(0,1-42/Supuestos!$C$20))*(1-Supuestos!$C$18)^42))</f>
        <v>3.39623663074934E-013</v>
      </c>
      <c r="AT286" s="29" t="n">
        <f aca="false">AS286*(1-MIN(1,INDEX(Tabla_Mortalidad!$B$5:$B$75,MIN(71,Cartera_Polizas!$B$288+43-49))*(1+(Cartera_Polizas!$P$288-1)*MAX(0,1-43/Supuestos!$C$20))*(1-Supuestos!$C$18)^43))</f>
        <v>6.58507898356641E-014</v>
      </c>
      <c r="AU286" s="29" t="n">
        <f aca="false">AT286*(1-MIN(1,INDEX(Tabla_Mortalidad!$B$5:$B$75,MIN(71,Cartera_Polizas!$B$288+44-49))*(1+(Cartera_Polizas!$P$288-1)*MAX(0,1-44/Supuestos!$C$20))*(1-Supuestos!$C$18)^44))</f>
        <v>1.30334479099475E-014</v>
      </c>
    </row>
    <row r="287" customFormat="false" ht="15" hidden="false" customHeight="false" outlineLevel="0" collapsed="false">
      <c r="A287" s="14" t="n">
        <f aca="false">Cartera_Polizas!A289</f>
        <v>284</v>
      </c>
      <c r="B287" s="26" t="n">
        <f aca="false">SUM(C287:AU287)+0.5</f>
        <v>7.4784270766979</v>
      </c>
      <c r="C287" s="29" t="n">
        <f aca="false">1-MIN(1,INDEX(Tabla_Mortalidad!$B$5:$B$75,MIN(71,Cartera_Polizas!$B$289+0-49))*(1+(Cartera_Polizas!$P$289-1)*MAX(0,1-0/Supuestos!$C$20))*(1-Supuestos!$C$18)^0)</f>
        <v>0.917939912</v>
      </c>
      <c r="D287" s="29" t="n">
        <f aca="false">C287*(1-MIN(1,INDEX(Tabla_Mortalidad!$B$5:$B$75,MIN(71,Cartera_Polizas!$B$289+1-49))*(1+(Cartera_Polizas!$P$289-1)*MAX(0,1-1/Supuestos!$C$20))*(1-Supuestos!$C$18)^1))</f>
        <v>0.836751589076704</v>
      </c>
      <c r="E287" s="29" t="n">
        <f aca="false">D287*(1-MIN(1,INDEX(Tabla_Mortalidad!$B$5:$B$75,MIN(71,Cartera_Polizas!$B$289+2-49))*(1+(Cartera_Polizas!$P$289-1)*MAX(0,1-2/Supuestos!$C$20))*(1-Supuestos!$C$18)^2))</f>
        <v>0.757073095828133</v>
      </c>
      <c r="F287" s="29" t="n">
        <f aca="false">E287*(1-MIN(1,INDEX(Tabla_Mortalidad!$B$5:$B$75,MIN(71,Cartera_Polizas!$B$289+3-49))*(1+(Cartera_Polizas!$P$289-1)*MAX(0,1-3/Supuestos!$C$20))*(1-Supuestos!$C$18)^3))</f>
        <v>0.679549186213019</v>
      </c>
      <c r="G287" s="29" t="n">
        <f aca="false">F287*(1-MIN(1,INDEX(Tabla_Mortalidad!$B$5:$B$75,MIN(71,Cartera_Polizas!$B$289+4-49))*(1+(Cartera_Polizas!$P$289-1)*MAX(0,1-4/Supuestos!$C$20))*(1-Supuestos!$C$18)^4))</f>
        <v>0.604813072986603</v>
      </c>
      <c r="H287" s="29" t="n">
        <f aca="false">G287*(1-MIN(1,INDEX(Tabla_Mortalidad!$B$5:$B$75,MIN(71,Cartera_Polizas!$B$289+5-49))*(1+(Cartera_Polizas!$P$289-1)*MAX(0,1-5/Supuestos!$C$20))*(1-Supuestos!$C$18)^5))</f>
        <v>0.533471543233573</v>
      </c>
      <c r="I287" s="29" t="n">
        <f aca="false">H287*(1-MIN(1,INDEX(Tabla_Mortalidad!$B$5:$B$75,MIN(71,Cartera_Polizas!$B$289+6-49))*(1+(Cartera_Polizas!$P$289-1)*MAX(0,1-6/Supuestos!$C$20))*(1-Supuestos!$C$18)^6))</f>
        <v>0.46607861534225</v>
      </c>
      <c r="J287" s="29" t="n">
        <f aca="false">I287*(1-MIN(1,INDEX(Tabla_Mortalidad!$B$5:$B$75,MIN(71,Cartera_Polizas!$B$289+7-49))*(1+(Cartera_Polizas!$P$289-1)*MAX(0,1-7/Supuestos!$C$20))*(1-Supuestos!$C$18)^7))</f>
        <v>0.4031210840286</v>
      </c>
      <c r="K287" s="29" t="n">
        <f aca="false">J287*(1-MIN(1,INDEX(Tabla_Mortalidad!$B$5:$B$75,MIN(71,Cartera_Polizas!$B$289+8-49))*(1+(Cartera_Polizas!$P$289-1)*MAX(0,1-8/Supuestos!$C$20))*(1-Supuestos!$C$18)^8))</f>
        <v>0.344996171186389</v>
      </c>
      <c r="L287" s="29" t="n">
        <f aca="false">K287*(1-MIN(1,INDEX(Tabla_Mortalidad!$B$5:$B$75,MIN(71,Cartera_Polizas!$B$289+9-49))*(1+(Cartera_Polizas!$P$289-1)*MAX(0,1-9/Supuestos!$C$20))*(1-Supuestos!$C$18)^9))</f>
        <v>0.291997086323619</v>
      </c>
      <c r="M287" s="29" t="n">
        <f aca="false">L287*(1-MIN(1,INDEX(Tabla_Mortalidad!$B$5:$B$75,MIN(71,Cartera_Polizas!$B$289+10-49))*(1+(Cartera_Polizas!$P$289-1)*MAX(0,1-10/Supuestos!$C$20))*(1-Supuestos!$C$18)^10))</f>
        <v>0.244301370866734</v>
      </c>
      <c r="N287" s="29" t="n">
        <f aca="false">M287*(1-MIN(1,INDEX(Tabla_Mortalidad!$B$5:$B$75,MIN(71,Cartera_Polizas!$B$289+11-49))*(1+(Cartera_Polizas!$P$289-1)*MAX(0,1-11/Supuestos!$C$20))*(1-Supuestos!$C$18)^11))</f>
        <v>0.201965007568982</v>
      </c>
      <c r="O287" s="29" t="n">
        <f aca="false">N287*(1-MIN(1,INDEX(Tabla_Mortalidad!$B$5:$B$75,MIN(71,Cartera_Polizas!$B$289+12-49))*(1+(Cartera_Polizas!$P$289-1)*MAX(0,1-12/Supuestos!$C$20))*(1-Supuestos!$C$18)^12))</f>
        <v>0.164922339602811</v>
      </c>
      <c r="P287" s="29" t="n">
        <f aca="false">O287*(1-MIN(1,INDEX(Tabla_Mortalidad!$B$5:$B$75,MIN(71,Cartera_Polizas!$B$289+13-49))*(1+(Cartera_Polizas!$P$289-1)*MAX(0,1-13/Supuestos!$C$20))*(1-Supuestos!$C$18)^13))</f>
        <v>0.132991961713913</v>
      </c>
      <c r="Q287" s="29" t="n">
        <f aca="false">P287*(1-MIN(1,INDEX(Tabla_Mortalidad!$B$5:$B$75,MIN(71,Cartera_Polizas!$B$289+14-49))*(1+(Cartera_Polizas!$P$289-1)*MAX(0,1-14/Supuestos!$C$20))*(1-Supuestos!$C$18)^14))</f>
        <v>0.105890081931556</v>
      </c>
      <c r="R287" s="29" t="n">
        <f aca="false">Q287*(1-MIN(1,INDEX(Tabla_Mortalidad!$B$5:$B$75,MIN(71,Cartera_Polizas!$B$289+15-49))*(1+(Cartera_Polizas!$P$289-1)*MAX(0,1-15/Supuestos!$C$20))*(1-Supuestos!$C$18)^15))</f>
        <v>0.0832484241235466</v>
      </c>
      <c r="S287" s="29" t="n">
        <f aca="false">R287*(1-MIN(1,INDEX(Tabla_Mortalidad!$B$5:$B$75,MIN(71,Cartera_Polizas!$B$289+16-49))*(1+(Cartera_Polizas!$P$289-1)*MAX(0,1-16/Supuestos!$C$20))*(1-Supuestos!$C$18)^16))</f>
        <v>0.0637628413320877</v>
      </c>
      <c r="T287" s="29" t="n">
        <f aca="false">S287*(1-MIN(1,INDEX(Tabla_Mortalidad!$B$5:$B$75,MIN(71,Cartera_Polizas!$B$289+17-49))*(1+(Cartera_Polizas!$P$289-1)*MAX(0,1-17/Supuestos!$C$20))*(1-Supuestos!$C$18)^17))</f>
        <v>0.0474512648317981</v>
      </c>
      <c r="U287" s="29" t="n">
        <f aca="false">T287*(1-MIN(1,INDEX(Tabla_Mortalidad!$B$5:$B$75,MIN(71,Cartera_Polizas!$B$289+18-49))*(1+(Cartera_Polizas!$P$289-1)*MAX(0,1-18/Supuestos!$C$20))*(1-Supuestos!$C$18)^18))</f>
        <v>0.0342078332432795</v>
      </c>
      <c r="V287" s="29" t="n">
        <f aca="false">U287*(1-MIN(1,INDEX(Tabla_Mortalidad!$B$5:$B$75,MIN(71,Cartera_Polizas!$B$289+19-49))*(1+(Cartera_Polizas!$P$289-1)*MAX(0,1-19/Supuestos!$C$20))*(1-Supuestos!$C$18)^19))</f>
        <v>0.023811947398225</v>
      </c>
      <c r="W287" s="29" t="n">
        <f aca="false">V287*(1-MIN(1,INDEX(Tabla_Mortalidad!$B$5:$B$75,MIN(71,Cartera_Polizas!$B$289+20-49))*(1+(Cartera_Polizas!$P$289-1)*MAX(0,1-20/Supuestos!$C$20))*(1-Supuestos!$C$18)^20))</f>
        <v>0.0159489620331889</v>
      </c>
      <c r="X287" s="29" t="n">
        <f aca="false">W287*(1-MIN(1,INDEX(Tabla_Mortalidad!$B$5:$B$75,MIN(71,Cartera_Polizas!$B$289+21-49))*(1+(Cartera_Polizas!$P$289-1)*MAX(0,1-21/Supuestos!$C$20))*(1-Supuestos!$C$18)^21))</f>
        <v>0.0102398672835011</v>
      </c>
      <c r="Y287" s="29" t="n">
        <f aca="false">X287*(1-MIN(1,INDEX(Tabla_Mortalidad!$B$5:$B$75,MIN(71,Cartera_Polizas!$B$289+22-49))*(1+(Cartera_Polizas!$P$289-1)*MAX(0,1-22/Supuestos!$C$20))*(1-Supuestos!$C$18)^22))</f>
        <v>0.00627651432971388</v>
      </c>
      <c r="Z287" s="29" t="n">
        <f aca="false">Y287*(1-MIN(1,INDEX(Tabla_Mortalidad!$B$5:$B$75,MIN(71,Cartera_Polizas!$B$289+23-49))*(1+(Cartera_Polizas!$P$289-1)*MAX(0,1-23/Supuestos!$C$20))*(1-Supuestos!$C$18)^23))</f>
        <v>0.00365706119101919</v>
      </c>
      <c r="AA287" s="29" t="n">
        <f aca="false">Z287*(1-MIN(1,INDEX(Tabla_Mortalidad!$B$5:$B$75,MIN(71,Cartera_Polizas!$B$289+24-49))*(1+(Cartera_Polizas!$P$289-1)*MAX(0,1-24/Supuestos!$C$20))*(1-Supuestos!$C$18)^24))</f>
        <v>0.00201634905532346</v>
      </c>
      <c r="AB287" s="29" t="n">
        <f aca="false">AA287*(1-MIN(1,INDEX(Tabla_Mortalidad!$B$5:$B$75,MIN(71,Cartera_Polizas!$B$289+25-49))*(1+(Cartera_Polizas!$P$289-1)*MAX(0,1-25/Supuestos!$C$20))*(1-Supuestos!$C$18)^25))</f>
        <v>0.00104706921231611</v>
      </c>
      <c r="AC287" s="29" t="n">
        <f aca="false">AB287*(1-MIN(1,INDEX(Tabla_Mortalidad!$B$5:$B$75,MIN(71,Cartera_Polizas!$B$289+26-49))*(1+(Cartera_Polizas!$P$289-1)*MAX(0,1-26/Supuestos!$C$20))*(1-Supuestos!$C$18)^26))</f>
        <v>0.000509659374841171</v>
      </c>
      <c r="AD287" s="29" t="n">
        <f aca="false">AC287*(1-MIN(1,INDEX(Tabla_Mortalidad!$B$5:$B$75,MIN(71,Cartera_Polizas!$B$289+27-49))*(1+(Cartera_Polizas!$P$289-1)*MAX(0,1-27/Supuestos!$C$20))*(1-Supuestos!$C$18)^27))</f>
        <v>0.000231426636987268</v>
      </c>
      <c r="AE287" s="29" t="n">
        <f aca="false">AD287*(1-MIN(1,INDEX(Tabla_Mortalidad!$B$5:$B$75,MIN(71,Cartera_Polizas!$B$289+28-49))*(1+(Cartera_Polizas!$P$289-1)*MAX(0,1-28/Supuestos!$C$20))*(1-Supuestos!$C$18)^28))</f>
        <v>9.75889884101229E-005</v>
      </c>
      <c r="AF287" s="29" t="n">
        <f aca="false">AE287*(1-MIN(1,INDEX(Tabla_Mortalidad!$B$5:$B$75,MIN(71,Cartera_Polizas!$B$289+29-49))*(1+(Cartera_Polizas!$P$289-1)*MAX(0,1-29/Supuestos!$C$20))*(1-Supuestos!$C$18)^29))</f>
        <v>3.80589180803779E-005</v>
      </c>
      <c r="AG287" s="29" t="n">
        <f aca="false">AF287*(1-MIN(1,INDEX(Tabla_Mortalidad!$B$5:$B$75,MIN(71,Cartera_Polizas!$B$289+30-49))*(1+(Cartera_Polizas!$P$289-1)*MAX(0,1-30/Supuestos!$C$20))*(1-Supuestos!$C$18)^30))</f>
        <v>1.36808672074922E-005</v>
      </c>
      <c r="AH287" s="29" t="n">
        <f aca="false">AG287*(1-MIN(1,INDEX(Tabla_Mortalidad!$B$5:$B$75,MIN(71,Cartera_Polizas!$B$289+31-49))*(1+(Cartera_Polizas!$P$289-1)*MAX(0,1-31/Supuestos!$C$20))*(1-Supuestos!$C$18)^31))</f>
        <v>4.52256902902812E-006</v>
      </c>
      <c r="AI287" s="29" t="n">
        <f aca="false">AH287*(1-MIN(1,INDEX(Tabla_Mortalidad!$B$5:$B$75,MIN(71,Cartera_Polizas!$B$289+32-49))*(1+(Cartera_Polizas!$P$289-1)*MAX(0,1-32/Supuestos!$C$20))*(1-Supuestos!$C$18)^32))</f>
        <v>1.3738610369149E-006</v>
      </c>
      <c r="AJ287" s="29" t="n">
        <f aca="false">AI287*(1-MIN(1,INDEX(Tabla_Mortalidad!$B$5:$B$75,MIN(71,Cartera_Polizas!$B$289+33-49))*(1+(Cartera_Polizas!$P$289-1)*MAX(0,1-33/Supuestos!$C$20))*(1-Supuestos!$C$18)^33))</f>
        <v>3.83981945939238E-007</v>
      </c>
      <c r="AK287" s="29" t="n">
        <f aca="false">AJ287*(1-MIN(1,INDEX(Tabla_Mortalidad!$B$5:$B$75,MIN(71,Cartera_Polizas!$B$289+34-49))*(1+(Cartera_Polizas!$P$289-1)*MAX(0,1-34/Supuestos!$C$20))*(1-Supuestos!$C$18)^34))</f>
        <v>9.90917304824684E-008</v>
      </c>
      <c r="AL287" s="29" t="n">
        <f aca="false">AK287*(1-MIN(1,INDEX(Tabla_Mortalidad!$B$5:$B$75,MIN(71,Cartera_Polizas!$B$289+35-49))*(1+(Cartera_Polizas!$P$289-1)*MAX(0,1-35/Supuestos!$C$20))*(1-Supuestos!$C$18)^35))</f>
        <v>2.37572896779325E-008</v>
      </c>
      <c r="AM287" s="29" t="n">
        <f aca="false">AL287*(1-MIN(1,INDEX(Tabla_Mortalidad!$B$5:$B$75,MIN(71,Cartera_Polizas!$B$289+36-49))*(1+(Cartera_Polizas!$P$289-1)*MAX(0,1-36/Supuestos!$C$20))*(1-Supuestos!$C$18)^36))</f>
        <v>5.33808060923614E-009</v>
      </c>
      <c r="AN287" s="29" t="n">
        <f aca="false">AM287*(1-MIN(1,INDEX(Tabla_Mortalidad!$B$5:$B$75,MIN(71,Cartera_Polizas!$B$289+37-49))*(1+(Cartera_Polizas!$P$289-1)*MAX(0,1-37/Supuestos!$C$20))*(1-Supuestos!$C$18)^37))</f>
        <v>1.13646323298397E-009</v>
      </c>
      <c r="AO287" s="29" t="n">
        <f aca="false">AN287*(1-MIN(1,INDEX(Tabla_Mortalidad!$B$5:$B$75,MIN(71,Cartera_Polizas!$B$289+38-49))*(1+(Cartera_Polizas!$P$289-1)*MAX(0,1-38/Supuestos!$C$20))*(1-Supuestos!$C$18)^38))</f>
        <v>1.97102378103273E-010</v>
      </c>
      <c r="AP287" s="29" t="n">
        <f aca="false">AO287*(1-MIN(1,INDEX(Tabla_Mortalidad!$B$5:$B$75,MIN(71,Cartera_Polizas!$B$289+39-49))*(1+(Cartera_Polizas!$P$289-1)*MAX(0,1-39/Supuestos!$C$20))*(1-Supuestos!$C$18)^39))</f>
        <v>3.49990194064617E-011</v>
      </c>
      <c r="AQ287" s="29" t="n">
        <f aca="false">AP287*(1-MIN(1,INDEX(Tabla_Mortalidad!$B$5:$B$75,MIN(71,Cartera_Polizas!$B$289+40-49))*(1+(Cartera_Polizas!$P$289-1)*MAX(0,1-40/Supuestos!$C$20))*(1-Supuestos!$C$18)^40))</f>
        <v>6.35861761009103E-012</v>
      </c>
      <c r="AR287" s="29" t="n">
        <f aca="false">AQ287*(1-MIN(1,INDEX(Tabla_Mortalidad!$B$5:$B$75,MIN(71,Cartera_Polizas!$B$289+41-49))*(1+(Cartera_Polizas!$P$289-1)*MAX(0,1-41/Supuestos!$C$20))*(1-Supuestos!$C$18)^41))</f>
        <v>1.18124980152556E-012</v>
      </c>
      <c r="AS287" s="29" t="n">
        <f aca="false">AR287*(1-MIN(1,INDEX(Tabla_Mortalidad!$B$5:$B$75,MIN(71,Cartera_Polizas!$B$289+42-49))*(1+(Cartera_Polizas!$P$289-1)*MAX(0,1-42/Supuestos!$C$20))*(1-Supuestos!$C$18)^42))</f>
        <v>2.24251559776565E-013</v>
      </c>
      <c r="AT287" s="29" t="n">
        <f aca="false">AS287*(1-MIN(1,INDEX(Tabla_Mortalidad!$B$5:$B$75,MIN(71,Cartera_Polizas!$B$289+43-49))*(1+(Cartera_Polizas!$P$289-1)*MAX(0,1-43/Supuestos!$C$20))*(1-Supuestos!$C$18)^43))</f>
        <v>4.34808994151514E-014</v>
      </c>
      <c r="AU287" s="29" t="n">
        <f aca="false">AT287*(1-MIN(1,INDEX(Tabla_Mortalidad!$B$5:$B$75,MIN(71,Cartera_Polizas!$B$289+44-49))*(1+(Cartera_Polizas!$P$289-1)*MAX(0,1-44/Supuestos!$C$20))*(1-Supuestos!$C$18)^44))</f>
        <v>8.60591101517999E-015</v>
      </c>
    </row>
    <row r="288" customFormat="false" ht="15" hidden="false" customHeight="false" outlineLevel="0" collapsed="false">
      <c r="A288" s="14" t="n">
        <f aca="false">Cartera_Polizas!A290</f>
        <v>285</v>
      </c>
      <c r="B288" s="26" t="n">
        <f aca="false">SUM(C288:AU288)+0.5</f>
        <v>3.309688029755</v>
      </c>
      <c r="C288" s="29" t="n">
        <f aca="false">1-MIN(1,INDEX(Tabla_Mortalidad!$B$5:$B$75,MIN(71,Cartera_Polizas!$B$290+0-49))*(1+(Cartera_Polizas!$P$290-1)*MAX(0,1-0/Supuestos!$C$20))*(1-Supuestos!$C$18)^0)</f>
        <v>0.7734198</v>
      </c>
      <c r="D288" s="29" t="n">
        <f aca="false">C288*(1-MIN(1,INDEX(Tabla_Mortalidad!$B$5:$B$75,MIN(71,Cartera_Polizas!$B$290+1-49))*(1+(Cartera_Polizas!$P$290-1)*MAX(0,1-1/Supuestos!$C$20))*(1-Supuestos!$C$18)^1))</f>
        <v>0.587016651580433</v>
      </c>
      <c r="E288" s="29" t="n">
        <f aca="false">D288*(1-MIN(1,INDEX(Tabla_Mortalidad!$B$5:$B$75,MIN(71,Cartera_Polizas!$B$290+2-49))*(1+(Cartera_Polizas!$P$290-1)*MAX(0,1-2/Supuestos!$C$20))*(1-Supuestos!$C$18)^2))</f>
        <v>0.436847769228877</v>
      </c>
      <c r="F288" s="29" t="n">
        <f aca="false">E288*(1-MIN(1,INDEX(Tabla_Mortalidad!$B$5:$B$75,MIN(71,Cartera_Polizas!$B$290+3-49))*(1+(Cartera_Polizas!$P$290-1)*MAX(0,1-3/Supuestos!$C$20))*(1-Supuestos!$C$18)^3))</f>
        <v>0.318504364279418</v>
      </c>
      <c r="G288" s="29" t="n">
        <f aca="false">F288*(1-MIN(1,INDEX(Tabla_Mortalidad!$B$5:$B$75,MIN(71,Cartera_Polizas!$B$290+4-49))*(1+(Cartera_Polizas!$P$290-1)*MAX(0,1-4/Supuestos!$C$20))*(1-Supuestos!$C$18)^4))</f>
        <v>0.227363772015383</v>
      </c>
      <c r="H288" s="29" t="n">
        <f aca="false">G288*(1-MIN(1,INDEX(Tabla_Mortalidad!$B$5:$B$75,MIN(71,Cartera_Polizas!$B$290+5-49))*(1+(Cartera_Polizas!$P$290-1)*MAX(0,1-5/Supuestos!$C$20))*(1-Supuestos!$C$18)^5))</f>
        <v>0.158831975549763</v>
      </c>
      <c r="I288" s="29" t="n">
        <f aca="false">H288*(1-MIN(1,INDEX(Tabla_Mortalidad!$B$5:$B$75,MIN(71,Cartera_Polizas!$B$290+6-49))*(1+(Cartera_Polizas!$P$290-1)*MAX(0,1-6/Supuestos!$C$20))*(1-Supuestos!$C$18)^6))</f>
        <v>0.108555792817767</v>
      </c>
      <c r="J288" s="29" t="n">
        <f aca="false">I288*(1-MIN(1,INDEX(Tabla_Mortalidad!$B$5:$B$75,MIN(71,Cartera_Polizas!$B$290+7-49))*(1+(Cartera_Polizas!$P$290-1)*MAX(0,1-7/Supuestos!$C$20))*(1-Supuestos!$C$18)^7))</f>
        <v>0.0725911174340989</v>
      </c>
      <c r="K288" s="29" t="n">
        <f aca="false">J288*(1-MIN(1,INDEX(Tabla_Mortalidad!$B$5:$B$75,MIN(71,Cartera_Polizas!$B$290+8-49))*(1+(Cartera_Polizas!$P$290-1)*MAX(0,1-8/Supuestos!$C$20))*(1-Supuestos!$C$18)^8))</f>
        <v>0.0475127389185522</v>
      </c>
      <c r="L288" s="29" t="n">
        <f aca="false">K288*(1-MIN(1,INDEX(Tabla_Mortalidad!$B$5:$B$75,MIN(71,Cartera_Polizas!$B$290+9-49))*(1+(Cartera_Polizas!$P$290-1)*MAX(0,1-9/Supuestos!$C$20))*(1-Supuestos!$C$18)^9))</f>
        <v>0.0304657532879127</v>
      </c>
      <c r="M288" s="29" t="n">
        <f aca="false">L288*(1-MIN(1,INDEX(Tabla_Mortalidad!$B$5:$B$75,MIN(71,Cartera_Polizas!$B$290+10-49))*(1+(Cartera_Polizas!$P$290-1)*MAX(0,1-10/Supuestos!$C$20))*(1-Supuestos!$C$18)^10))</f>
        <v>0.0191650189057668</v>
      </c>
      <c r="N288" s="29" t="n">
        <f aca="false">M288*(1-MIN(1,INDEX(Tabla_Mortalidad!$B$5:$B$75,MIN(71,Cartera_Polizas!$B$290+11-49))*(1+(Cartera_Polizas!$P$290-1)*MAX(0,1-11/Supuestos!$C$20))*(1-Supuestos!$C$18)^11))</f>
        <v>0.0118523761522151</v>
      </c>
      <c r="O288" s="29" t="n">
        <f aca="false">N288*(1-MIN(1,INDEX(Tabla_Mortalidad!$B$5:$B$75,MIN(71,Cartera_Polizas!$B$290+12-49))*(1+(Cartera_Polizas!$P$290-1)*MAX(0,1-12/Supuestos!$C$20))*(1-Supuestos!$C$18)^12))</f>
        <v>0.00722642032456033</v>
      </c>
      <c r="P288" s="29" t="n">
        <f aca="false">O288*(1-MIN(1,INDEX(Tabla_Mortalidad!$B$5:$B$75,MIN(71,Cartera_Polizas!$B$290+13-49))*(1+(Cartera_Polizas!$P$290-1)*MAX(0,1-13/Supuestos!$C$20))*(1-Supuestos!$C$18)^13))</f>
        <v>0.00435952262906752</v>
      </c>
      <c r="Q288" s="29" t="n">
        <f aca="false">P288*(1-MIN(1,INDEX(Tabla_Mortalidad!$B$5:$B$75,MIN(71,Cartera_Polizas!$B$290+14-49))*(1+(Cartera_Polizas!$P$290-1)*MAX(0,1-14/Supuestos!$C$20))*(1-Supuestos!$C$18)^14))</f>
        <v>0.00261395791951947</v>
      </c>
      <c r="R288" s="29" t="n">
        <f aca="false">Q288*(1-MIN(1,INDEX(Tabla_Mortalidad!$B$5:$B$75,MIN(71,Cartera_Polizas!$B$290+15-49))*(1+(Cartera_Polizas!$P$290-1)*MAX(0,1-15/Supuestos!$C$20))*(1-Supuestos!$C$18)^15))</f>
        <v>0.00156609264445968</v>
      </c>
      <c r="S288" s="29" t="n">
        <f aca="false">R288*(1-MIN(1,INDEX(Tabla_Mortalidad!$B$5:$B$75,MIN(71,Cartera_Polizas!$B$290+16-49))*(1+(Cartera_Polizas!$P$290-1)*MAX(0,1-16/Supuestos!$C$20))*(1-Supuestos!$C$18)^16))</f>
        <v>0.000889156048268202</v>
      </c>
      <c r="T288" s="29" t="n">
        <f aca="false">S288*(1-MIN(1,INDEX(Tabla_Mortalidad!$B$5:$B$75,MIN(71,Cartera_Polizas!$B$290+17-49))*(1+(Cartera_Polizas!$P$290-1)*MAX(0,1-17/Supuestos!$C$20))*(1-Supuestos!$C$18)^17))</f>
        <v>0.000475997650018254</v>
      </c>
      <c r="U288" s="29" t="n">
        <f aca="false">T288*(1-MIN(1,INDEX(Tabla_Mortalidad!$B$5:$B$75,MIN(71,Cartera_Polizas!$B$290+18-49))*(1+(Cartera_Polizas!$P$290-1)*MAX(0,1-18/Supuestos!$C$20))*(1-Supuestos!$C$18)^18))</f>
        <v>0.000239009457524456</v>
      </c>
      <c r="V288" s="29" t="n">
        <f aca="false">U288*(1-MIN(1,INDEX(Tabla_Mortalidad!$B$5:$B$75,MIN(71,Cartera_Polizas!$B$290+19-49))*(1+(Cartera_Polizas!$P$290-1)*MAX(0,1-19/Supuestos!$C$20))*(1-Supuestos!$C$18)^19))</f>
        <v>0.000111956803037506</v>
      </c>
      <c r="W288" s="29" t="n">
        <f aca="false">V288*(1-MIN(1,INDEX(Tabla_Mortalidad!$B$5:$B$75,MIN(71,Cartera_Polizas!$B$290+20-49))*(1+(Cartera_Polizas!$P$290-1)*MAX(0,1-20/Supuestos!$C$20))*(1-Supuestos!$C$18)^20))</f>
        <v>4.86548462011953E-005</v>
      </c>
      <c r="X288" s="29" t="n">
        <f aca="false">W288*(1-MIN(1,INDEX(Tabla_Mortalidad!$B$5:$B$75,MIN(71,Cartera_Polizas!$B$290+21-49))*(1+(Cartera_Polizas!$P$290-1)*MAX(0,1-21/Supuestos!$C$20))*(1-Supuestos!$C$18)^21))</f>
        <v>1.95121658846182E-005</v>
      </c>
      <c r="Y288" s="29" t="n">
        <f aca="false">X288*(1-MIN(1,INDEX(Tabla_Mortalidad!$B$5:$B$75,MIN(71,Cartera_Polizas!$B$290+22-49))*(1+(Cartera_Polizas!$P$290-1)*MAX(0,1-22/Supuestos!$C$20))*(1-Supuestos!$C$18)^22))</f>
        <v>7.18453864700055E-006</v>
      </c>
      <c r="Z288" s="29" t="n">
        <f aca="false">Y288*(1-MIN(1,INDEX(Tabla_Mortalidad!$B$5:$B$75,MIN(71,Cartera_Polizas!$B$290+23-49))*(1+(Cartera_Polizas!$P$290-1)*MAX(0,1-23/Supuestos!$C$20))*(1-Supuestos!$C$18)^23))</f>
        <v>2.41825525570269E-006</v>
      </c>
      <c r="AA288" s="29" t="n">
        <f aca="false">Z288*(1-MIN(1,INDEX(Tabla_Mortalidad!$B$5:$B$75,MIN(71,Cartera_Polizas!$B$290+24-49))*(1+(Cartera_Polizas!$P$290-1)*MAX(0,1-24/Supuestos!$C$20))*(1-Supuestos!$C$18)^24))</f>
        <v>7.4160790538014E-007</v>
      </c>
      <c r="AB288" s="29" t="n">
        <f aca="false">AA288*(1-MIN(1,INDEX(Tabla_Mortalidad!$B$5:$B$75,MIN(71,Cartera_Polizas!$B$290+25-49))*(1+(Cartera_Polizas!$P$290-1)*MAX(0,1-25/Supuestos!$C$20))*(1-Supuestos!$C$18)^25))</f>
        <v>2.06846608815826E-007</v>
      </c>
      <c r="AC288" s="29" t="n">
        <f aca="false">AB288*(1-MIN(1,INDEX(Tabla_Mortalidad!$B$5:$B$75,MIN(71,Cartera_Polizas!$B$290+26-49))*(1+(Cartera_Polizas!$P$290-1)*MAX(0,1-26/Supuestos!$C$20))*(1-Supuestos!$C$18)^26))</f>
        <v>5.24896605218107E-008</v>
      </c>
      <c r="AD288" s="29" t="n">
        <f aca="false">AC288*(1-MIN(1,INDEX(Tabla_Mortalidad!$B$5:$B$75,MIN(71,Cartera_Polizas!$B$290+27-49))*(1+(Cartera_Polizas!$P$290-1)*MAX(0,1-27/Supuestos!$C$20))*(1-Supuestos!$C$18)^27))</f>
        <v>1.21549515954708E-008</v>
      </c>
      <c r="AE288" s="29" t="n">
        <f aca="false">AD288*(1-MIN(1,INDEX(Tabla_Mortalidad!$B$5:$B$75,MIN(71,Cartera_Polizas!$B$290+28-49))*(1+(Cartera_Polizas!$P$290-1)*MAX(0,1-28/Supuestos!$C$20))*(1-Supuestos!$C$18)^28))</f>
        <v>2.58416076914793E-009</v>
      </c>
      <c r="AF288" s="29" t="n">
        <f aca="false">AE288*(1-MIN(1,INDEX(Tabla_Mortalidad!$B$5:$B$75,MIN(71,Cartera_Polizas!$B$290+29-49))*(1+(Cartera_Polizas!$P$290-1)*MAX(0,1-29/Supuestos!$C$20))*(1-Supuestos!$C$18)^29))</f>
        <v>5.09094131078319E-010</v>
      </c>
      <c r="AG288" s="29" t="n">
        <f aca="false">AF288*(1-MIN(1,INDEX(Tabla_Mortalidad!$B$5:$B$75,MIN(71,Cartera_Polizas!$B$290+30-49))*(1+(Cartera_Polizas!$P$290-1)*MAX(0,1-30/Supuestos!$C$20))*(1-Supuestos!$C$18)^30))</f>
        <v>9.40752090534129E-011</v>
      </c>
      <c r="AH288" s="29" t="n">
        <f aca="false">AG288*(1-MIN(1,INDEX(Tabla_Mortalidad!$B$5:$B$75,MIN(71,Cartera_Polizas!$B$290+31-49))*(1+(Cartera_Polizas!$P$290-1)*MAX(0,1-31/Supuestos!$C$20))*(1-Supuestos!$C$18)^31))</f>
        <v>1.35390904463893E-011</v>
      </c>
      <c r="AI288" s="29" t="n">
        <f aca="false">AH288*(1-MIN(1,INDEX(Tabla_Mortalidad!$B$5:$B$75,MIN(71,Cartera_Polizas!$B$290+32-49))*(1+(Cartera_Polizas!$P$290-1)*MAX(0,1-32/Supuestos!$C$20))*(1-Supuestos!$C$18)^32))</f>
        <v>2.0064680268576E-012</v>
      </c>
      <c r="AJ288" s="29" t="n">
        <f aca="false">AI288*(1-MIN(1,INDEX(Tabla_Mortalidad!$B$5:$B$75,MIN(71,Cartera_Polizas!$B$290+33-49))*(1+(Cartera_Polizas!$P$290-1)*MAX(0,1-33/Supuestos!$C$20))*(1-Supuestos!$C$18)^33))</f>
        <v>3.05900396334187E-013</v>
      </c>
      <c r="AK288" s="29" t="n">
        <f aca="false">AJ288*(1-MIN(1,INDEX(Tabla_Mortalidad!$B$5:$B$75,MIN(71,Cartera_Polizas!$B$290+34-49))*(1+(Cartera_Polizas!$P$290-1)*MAX(0,1-34/Supuestos!$C$20))*(1-Supuestos!$C$18)^34))</f>
        <v>4.79330209855816E-014</v>
      </c>
      <c r="AL288" s="29" t="n">
        <f aca="false">AK288*(1-MIN(1,INDEX(Tabla_Mortalidad!$B$5:$B$75,MIN(71,Cartera_Polizas!$B$290+35-49))*(1+(Cartera_Polizas!$P$290-1)*MAX(0,1-35/Supuestos!$C$20))*(1-Supuestos!$C$18)^35))</f>
        <v>7.71296901592612E-015</v>
      </c>
      <c r="AM288" s="29" t="n">
        <f aca="false">AL288*(1-MIN(1,INDEX(Tabla_Mortalidad!$B$5:$B$75,MIN(71,Cartera_Polizas!$B$290+36-49))*(1+(Cartera_Polizas!$P$290-1)*MAX(0,1-36/Supuestos!$C$20))*(1-Supuestos!$C$18)^36))</f>
        <v>1.27346388478836E-015</v>
      </c>
      <c r="AN288" s="29" t="n">
        <f aca="false">AM288*(1-MIN(1,INDEX(Tabla_Mortalidad!$B$5:$B$75,MIN(71,Cartera_Polizas!$B$290+37-49))*(1+(Cartera_Polizas!$P$290-1)*MAX(0,1-37/Supuestos!$C$20))*(1-Supuestos!$C$18)^37))</f>
        <v>2.15573620032581E-016</v>
      </c>
      <c r="AO288" s="29" t="n">
        <f aca="false">AN288*(1-MIN(1,INDEX(Tabla_Mortalidad!$B$5:$B$75,MIN(71,Cartera_Polizas!$B$290+38-49))*(1+(Cartera_Polizas!$P$290-1)*MAX(0,1-38/Supuestos!$C$20))*(1-Supuestos!$C$18)^38))</f>
        <v>3.73879875138491E-017</v>
      </c>
      <c r="AP288" s="29" t="n">
        <f aca="false">AO288*(1-MIN(1,INDEX(Tabla_Mortalidad!$B$5:$B$75,MIN(71,Cartera_Polizas!$B$290+39-49))*(1+(Cartera_Polizas!$P$290-1)*MAX(0,1-39/Supuestos!$C$20))*(1-Supuestos!$C$18)^39))</f>
        <v>6.63889960718856E-018</v>
      </c>
      <c r="AQ288" s="29" t="n">
        <f aca="false">AP288*(1-MIN(1,INDEX(Tabla_Mortalidad!$B$5:$B$75,MIN(71,Cartera_Polizas!$B$290+40-49))*(1+(Cartera_Polizas!$P$290-1)*MAX(0,1-40/Supuestos!$C$20))*(1-Supuestos!$C$18)^40))</f>
        <v>1.20615447717663E-018</v>
      </c>
      <c r="AR288" s="29" t="n">
        <f aca="false">AQ288*(1-MIN(1,INDEX(Tabla_Mortalidad!$B$5:$B$75,MIN(71,Cartera_Polizas!$B$290+41-49))*(1+(Cartera_Polizas!$P$290-1)*MAX(0,1-41/Supuestos!$C$20))*(1-Supuestos!$C$18)^41))</f>
        <v>2.24069101830086E-019</v>
      </c>
      <c r="AS288" s="29" t="n">
        <f aca="false">AR288*(1-MIN(1,INDEX(Tabla_Mortalidad!$B$5:$B$75,MIN(71,Cartera_Polizas!$B$290+42-49))*(1+(Cartera_Polizas!$P$290-1)*MAX(0,1-42/Supuestos!$C$20))*(1-Supuestos!$C$18)^42))</f>
        <v>4.25378658419554E-020</v>
      </c>
      <c r="AT288" s="29" t="n">
        <f aca="false">AS288*(1-MIN(1,INDEX(Tabla_Mortalidad!$B$5:$B$75,MIN(71,Cartera_Polizas!$B$290+43-49))*(1+(Cartera_Polizas!$P$290-1)*MAX(0,1-43/Supuestos!$C$20))*(1-Supuestos!$C$18)^43))</f>
        <v>8.24781182281236E-021</v>
      </c>
      <c r="AU288" s="29" t="n">
        <f aca="false">AT288*(1-MIN(1,INDEX(Tabla_Mortalidad!$B$5:$B$75,MIN(71,Cartera_Polizas!$B$290+44-49))*(1+(Cartera_Polizas!$P$290-1)*MAX(0,1-44/Supuestos!$C$20))*(1-Supuestos!$C$18)^44))</f>
        <v>1.63243942907811E-021</v>
      </c>
    </row>
    <row r="289" customFormat="false" ht="15" hidden="false" customHeight="false" outlineLevel="0" collapsed="false">
      <c r="A289" s="14" t="n">
        <f aca="false">Cartera_Polizas!A291</f>
        <v>286</v>
      </c>
      <c r="B289" s="26" t="n">
        <f aca="false">SUM(C289:AU289)+0.5</f>
        <v>5.05491015893638</v>
      </c>
      <c r="C289" s="29" t="n">
        <f aca="false">1-MIN(1,INDEX(Tabla_Mortalidad!$B$5:$B$75,MIN(71,Cartera_Polizas!$B$291+0-49))*(1+(Cartera_Polizas!$P$291-1)*MAX(0,1-0/Supuestos!$C$20))*(1-Supuestos!$C$18)^0)</f>
        <v>0.85870346</v>
      </c>
      <c r="D289" s="29" t="n">
        <f aca="false">C289*(1-MIN(1,INDEX(Tabla_Mortalidad!$B$5:$B$75,MIN(71,Cartera_Polizas!$B$291+1-49))*(1+(Cartera_Polizas!$P$291-1)*MAX(0,1-1/Supuestos!$C$20))*(1-Supuestos!$C$18)^1))</f>
        <v>0.729146836775963</v>
      </c>
      <c r="E289" s="29" t="n">
        <f aca="false">D289*(1-MIN(1,INDEX(Tabla_Mortalidad!$B$5:$B$75,MIN(71,Cartera_Polizas!$B$291+2-49))*(1+(Cartera_Polizas!$P$291-1)*MAX(0,1-2/Supuestos!$C$20))*(1-Supuestos!$C$18)^2))</f>
        <v>0.611888532404656</v>
      </c>
      <c r="F289" s="29" t="n">
        <f aca="false">E289*(1-MIN(1,INDEX(Tabla_Mortalidad!$B$5:$B$75,MIN(71,Cartera_Polizas!$B$291+3-49))*(1+(Cartera_Polizas!$P$291-1)*MAX(0,1-3/Supuestos!$C$20))*(1-Supuestos!$C$18)^3))</f>
        <v>0.507201616178808</v>
      </c>
      <c r="G289" s="29" t="n">
        <f aca="false">F289*(1-MIN(1,INDEX(Tabla_Mortalidad!$B$5:$B$75,MIN(71,Cartera_Polizas!$B$291+4-49))*(1+(Cartera_Polizas!$P$291-1)*MAX(0,1-4/Supuestos!$C$20))*(1-Supuestos!$C$18)^4))</f>
        <v>0.415075268886584</v>
      </c>
      <c r="H289" s="29" t="n">
        <f aca="false">G289*(1-MIN(1,INDEX(Tabla_Mortalidad!$B$5:$B$75,MIN(71,Cartera_Polizas!$B$291+5-49))*(1+(Cartera_Polizas!$P$291-1)*MAX(0,1-5/Supuestos!$C$20))*(1-Supuestos!$C$18)^5))</f>
        <v>0.335215181258462</v>
      </c>
      <c r="I289" s="29" t="n">
        <f aca="false">H289*(1-MIN(1,INDEX(Tabla_Mortalidad!$B$5:$B$75,MIN(71,Cartera_Polizas!$B$291+6-49))*(1+(Cartera_Polizas!$P$291-1)*MAX(0,1-6/Supuestos!$C$20))*(1-Supuestos!$C$18)^6))</f>
        <v>0.267067533928435</v>
      </c>
      <c r="J289" s="29" t="n">
        <f aca="false">I289*(1-MIN(1,INDEX(Tabla_Mortalidad!$B$5:$B$75,MIN(71,Cartera_Polizas!$B$291+7-49))*(1+(Cartera_Polizas!$P$291-1)*MAX(0,1-7/Supuestos!$C$20))*(1-Supuestos!$C$18)^7))</f>
        <v>0.20985453513708</v>
      </c>
      <c r="K289" s="29" t="n">
        <f aca="false">J289*(1-MIN(1,INDEX(Tabla_Mortalidad!$B$5:$B$75,MIN(71,Cartera_Polizas!$B$291+8-49))*(1+(Cartera_Polizas!$P$291-1)*MAX(0,1-8/Supuestos!$C$20))*(1-Supuestos!$C$18)^8))</f>
        <v>0.162621855322324</v>
      </c>
      <c r="L289" s="29" t="n">
        <f aca="false">K289*(1-MIN(1,INDEX(Tabla_Mortalidad!$B$5:$B$75,MIN(71,Cartera_Polizas!$B$291+9-49))*(1+(Cartera_Polizas!$P$291-1)*MAX(0,1-9/Supuestos!$C$20))*(1-Supuestos!$C$18)^9))</f>
        <v>0.124293161450944</v>
      </c>
      <c r="M289" s="29" t="n">
        <f aca="false">L289*(1-MIN(1,INDEX(Tabla_Mortalidad!$B$5:$B$75,MIN(71,Cartera_Polizas!$B$291+10-49))*(1+(Cartera_Polizas!$P$291-1)*MAX(0,1-10/Supuestos!$C$20))*(1-Supuestos!$C$18)^10))</f>
        <v>0.0937272379146535</v>
      </c>
      <c r="N289" s="29" t="n">
        <f aca="false">M289*(1-MIN(1,INDEX(Tabla_Mortalidad!$B$5:$B$75,MIN(71,Cartera_Polizas!$B$291+11-49))*(1+(Cartera_Polizas!$P$291-1)*MAX(0,1-11/Supuestos!$C$20))*(1-Supuestos!$C$18)^11))</f>
        <v>0.0697747004070107</v>
      </c>
      <c r="O289" s="29" t="n">
        <f aca="false">N289*(1-MIN(1,INDEX(Tabla_Mortalidad!$B$5:$B$75,MIN(71,Cartera_Polizas!$B$291+12-49))*(1+(Cartera_Polizas!$P$291-1)*MAX(0,1-12/Supuestos!$C$20))*(1-Supuestos!$C$18)^12))</f>
        <v>0.0513275637689043</v>
      </c>
      <c r="P289" s="29" t="n">
        <f aca="false">O289*(1-MIN(1,INDEX(Tabla_Mortalidad!$B$5:$B$75,MIN(71,Cartera_Polizas!$B$291+13-49))*(1+(Cartera_Polizas!$P$291-1)*MAX(0,1-13/Supuestos!$C$20))*(1-Supuestos!$C$18)^13))</f>
        <v>0.0373590343157741</v>
      </c>
      <c r="Q289" s="29" t="n">
        <f aca="false">P289*(1-MIN(1,INDEX(Tabla_Mortalidad!$B$5:$B$75,MIN(71,Cartera_Polizas!$B$291+14-49))*(1+(Cartera_Polizas!$P$291-1)*MAX(0,1-14/Supuestos!$C$20))*(1-Supuestos!$C$18)^14))</f>
        <v>0.0269521803486658</v>
      </c>
      <c r="R289" s="29" t="n">
        <f aca="false">Q289*(1-MIN(1,INDEX(Tabla_Mortalidad!$B$5:$B$75,MIN(71,Cartera_Polizas!$B$291+15-49))*(1+(Cartera_Polizas!$P$291-1)*MAX(0,1-15/Supuestos!$C$20))*(1-Supuestos!$C$18)^15))</f>
        <v>0.0193159784752257</v>
      </c>
      <c r="S289" s="29" t="n">
        <f aca="false">R289*(1-MIN(1,INDEX(Tabla_Mortalidad!$B$5:$B$75,MIN(71,Cartera_Polizas!$B$291+16-49))*(1+(Cartera_Polizas!$P$291-1)*MAX(0,1-16/Supuestos!$C$20))*(1-Supuestos!$C$18)^16))</f>
        <v>0.0133568409793561</v>
      </c>
      <c r="T289" s="29" t="n">
        <f aca="false">S289*(1-MIN(1,INDEX(Tabla_Mortalidad!$B$5:$B$75,MIN(71,Cartera_Polizas!$B$291+17-49))*(1+(Cartera_Polizas!$P$291-1)*MAX(0,1-17/Supuestos!$C$20))*(1-Supuestos!$C$18)^17))</f>
        <v>0.0088794289051963</v>
      </c>
      <c r="U289" s="29" t="n">
        <f aca="false">T289*(1-MIN(1,INDEX(Tabla_Mortalidad!$B$5:$B$75,MIN(71,Cartera_Polizas!$B$291+18-49))*(1+(Cartera_Polizas!$P$291-1)*MAX(0,1-18/Supuestos!$C$20))*(1-Supuestos!$C$18)^18))</f>
        <v>0.00565278812314695</v>
      </c>
      <c r="V289" s="29" t="n">
        <f aca="false">U289*(1-MIN(1,INDEX(Tabla_Mortalidad!$B$5:$B$75,MIN(71,Cartera_Polizas!$B$291+19-49))*(1+(Cartera_Polizas!$P$291-1)*MAX(0,1-19/Supuestos!$C$20))*(1-Supuestos!$C$18)^19))</f>
        <v>0.00343171995804343</v>
      </c>
      <c r="W289" s="29" t="n">
        <f aca="false">V289*(1-MIN(1,INDEX(Tabla_Mortalidad!$B$5:$B$75,MIN(71,Cartera_Polizas!$B$291+20-49))*(1+(Cartera_Polizas!$P$291-1)*MAX(0,1-20/Supuestos!$C$20))*(1-Supuestos!$C$18)^20))</f>
        <v>0.00197781938745244</v>
      </c>
      <c r="X289" s="29" t="n">
        <f aca="false">W289*(1-MIN(1,INDEX(Tabla_Mortalidad!$B$5:$B$75,MIN(71,Cartera_Polizas!$B$291+21-49))*(1+(Cartera_Polizas!$P$291-1)*MAX(0,1-21/Supuestos!$C$20))*(1-Supuestos!$C$18)^21))</f>
        <v>0.00107704184368781</v>
      </c>
      <c r="Y289" s="29" t="n">
        <f aca="false">X289*(1-MIN(1,INDEX(Tabla_Mortalidad!$B$5:$B$75,MIN(71,Cartera_Polizas!$B$291+22-49))*(1+(Cartera_Polizas!$P$291-1)*MAX(0,1-22/Supuestos!$C$20))*(1-Supuestos!$C$18)^22))</f>
        <v>0.000551452200047663</v>
      </c>
      <c r="Z289" s="29" t="n">
        <f aca="false">Y289*(1-MIN(1,INDEX(Tabla_Mortalidad!$B$5:$B$75,MIN(71,Cartera_Polizas!$B$291+23-49))*(1+(Cartera_Polizas!$P$291-1)*MAX(0,1-23/Supuestos!$C$20))*(1-Supuestos!$C$18)^23))</f>
        <v>0.000264130218042599</v>
      </c>
      <c r="AA289" s="29" t="n">
        <f aca="false">Z289*(1-MIN(1,INDEX(Tabla_Mortalidad!$B$5:$B$75,MIN(71,Cartera_Polizas!$B$291+24-49))*(1+(Cartera_Polizas!$P$291-1)*MAX(0,1-24/Supuestos!$C$20))*(1-Supuestos!$C$18)^24))</f>
        <v>0.000117751796470545</v>
      </c>
      <c r="AB289" s="29" t="n">
        <f aca="false">AA289*(1-MIN(1,INDEX(Tabla_Mortalidad!$B$5:$B$75,MIN(71,Cartera_Polizas!$B$291+25-49))*(1+(Cartera_Polizas!$P$291-1)*MAX(0,1-25/Supuestos!$C$20))*(1-Supuestos!$C$18)^25))</f>
        <v>4.86223224013474E-005</v>
      </c>
      <c r="AC289" s="29" t="n">
        <f aca="false">AB289*(1-MIN(1,INDEX(Tabla_Mortalidad!$B$5:$B$75,MIN(71,Cartera_Polizas!$B$291+26-49))*(1+(Cartera_Polizas!$P$291-1)*MAX(0,1-26/Supuestos!$C$20))*(1-Supuestos!$C$18)^26))</f>
        <v>1.85129269349025E-005</v>
      </c>
      <c r="AD289" s="29" t="n">
        <f aca="false">AC289*(1-MIN(1,INDEX(Tabla_Mortalidad!$B$5:$B$75,MIN(71,Cartera_Polizas!$B$291+27-49))*(1+(Cartera_Polizas!$P$291-1)*MAX(0,1-27/Supuestos!$C$20))*(1-Supuestos!$C$18)^27))</f>
        <v>6.47509195138447E-006</v>
      </c>
      <c r="AE289" s="29" t="n">
        <f aca="false">AD289*(1-MIN(1,INDEX(Tabla_Mortalidad!$B$5:$B$75,MIN(71,Cartera_Polizas!$B$291+28-49))*(1+(Cartera_Polizas!$P$291-1)*MAX(0,1-28/Supuestos!$C$20))*(1-Supuestos!$C$18)^28))</f>
        <v>2.07483690450735E-006</v>
      </c>
      <c r="AF289" s="29" t="n">
        <f aca="false">AE289*(1-MIN(1,INDEX(Tabla_Mortalidad!$B$5:$B$75,MIN(71,Cartera_Polizas!$B$291+29-49))*(1+(Cartera_Polizas!$P$291-1)*MAX(0,1-29/Supuestos!$C$20))*(1-Supuestos!$C$18)^29))</f>
        <v>6.08404989268635E-007</v>
      </c>
      <c r="AG289" s="29" t="n">
        <f aca="false">AF289*(1-MIN(1,INDEX(Tabla_Mortalidad!$B$5:$B$75,MIN(71,Cartera_Polizas!$B$291+30-49))*(1+(Cartera_Polizas!$P$291-1)*MAX(0,1-30/Supuestos!$C$20))*(1-Supuestos!$C$18)^30))</f>
        <v>1.63402061343155E-007</v>
      </c>
      <c r="AH289" s="29" t="n">
        <f aca="false">AG289*(1-MIN(1,INDEX(Tabla_Mortalidad!$B$5:$B$75,MIN(71,Cartera_Polizas!$B$291+31-49))*(1+(Cartera_Polizas!$P$291-1)*MAX(0,1-31/Supuestos!$C$20))*(1-Supuestos!$C$18)^31))</f>
        <v>4.03312631841479E-008</v>
      </c>
      <c r="AI289" s="29" t="n">
        <f aca="false">AH289*(1-MIN(1,INDEX(Tabla_Mortalidad!$B$5:$B$75,MIN(71,Cartera_Polizas!$B$291+32-49))*(1+(Cartera_Polizas!$P$291-1)*MAX(0,1-32/Supuestos!$C$20))*(1-Supuestos!$C$18)^32))</f>
        <v>9.20487435371763E-009</v>
      </c>
      <c r="AJ289" s="29" t="n">
        <f aca="false">AI289*(1-MIN(1,INDEX(Tabla_Mortalidad!$B$5:$B$75,MIN(71,Cartera_Polizas!$B$291+33-49))*(1+(Cartera_Polizas!$P$291-1)*MAX(0,1-33/Supuestos!$C$20))*(1-Supuestos!$C$18)^33))</f>
        <v>1.96013597687872E-009</v>
      </c>
      <c r="AK289" s="29" t="n">
        <f aca="false">AJ289*(1-MIN(1,INDEX(Tabla_Mortalidad!$B$5:$B$75,MIN(71,Cartera_Polizas!$B$291+34-49))*(1+(Cartera_Polizas!$P$291-1)*MAX(0,1-34/Supuestos!$C$20))*(1-Supuestos!$C$18)^34))</f>
        <v>3.93931970864467E-010</v>
      </c>
      <c r="AL289" s="29" t="n">
        <f aca="false">AK289*(1-MIN(1,INDEX(Tabla_Mortalidad!$B$5:$B$75,MIN(71,Cartera_Polizas!$B$291+35-49))*(1+(Cartera_Polizas!$P$291-1)*MAX(0,1-35/Supuestos!$C$20))*(1-Supuestos!$C$18)^35))</f>
        <v>6.33881408512578E-011</v>
      </c>
      <c r="AM289" s="29" t="n">
        <f aca="false">AL289*(1-MIN(1,INDEX(Tabla_Mortalidad!$B$5:$B$75,MIN(71,Cartera_Polizas!$B$291+36-49))*(1+(Cartera_Polizas!$P$291-1)*MAX(0,1-36/Supuestos!$C$20))*(1-Supuestos!$C$18)^36))</f>
        <v>1.04658151655056E-011</v>
      </c>
      <c r="AN289" s="29" t="n">
        <f aca="false">AM289*(1-MIN(1,INDEX(Tabla_Mortalidad!$B$5:$B$75,MIN(71,Cartera_Polizas!$B$291+37-49))*(1+(Cartera_Polizas!$P$291-1)*MAX(0,1-37/Supuestos!$C$20))*(1-Supuestos!$C$18)^37))</f>
        <v>1.77166678126478E-012</v>
      </c>
      <c r="AO289" s="29" t="n">
        <f aca="false">AN289*(1-MIN(1,INDEX(Tabla_Mortalidad!$B$5:$B$75,MIN(71,Cartera_Polizas!$B$291+38-49))*(1+(Cartera_Polizas!$P$291-1)*MAX(0,1-38/Supuestos!$C$20))*(1-Supuestos!$C$18)^38))</f>
        <v>3.07268836913429E-013</v>
      </c>
      <c r="AP289" s="29" t="n">
        <f aca="false">AO289*(1-MIN(1,INDEX(Tabla_Mortalidad!$B$5:$B$75,MIN(71,Cartera_Polizas!$B$291+39-49))*(1+(Cartera_Polizas!$P$291-1)*MAX(0,1-39/Supuestos!$C$20))*(1-Supuestos!$C$18)^39))</f>
        <v>5.45610260496163E-014</v>
      </c>
      <c r="AQ289" s="29" t="n">
        <f aca="false">AP289*(1-MIN(1,INDEX(Tabla_Mortalidad!$B$5:$B$75,MIN(71,Cartera_Polizas!$B$291+40-49))*(1+(Cartera_Polizas!$P$291-1)*MAX(0,1-40/Supuestos!$C$20))*(1-Supuestos!$C$18)^40))</f>
        <v>9.91264060957301E-015</v>
      </c>
      <c r="AR289" s="29" t="n">
        <f aca="false">AQ289*(1-MIN(1,INDEX(Tabla_Mortalidad!$B$5:$B$75,MIN(71,Cartera_Polizas!$B$291+41-49))*(1+(Cartera_Polizas!$P$291-1)*MAX(0,1-41/Supuestos!$C$20))*(1-Supuestos!$C$18)^41))</f>
        <v>1.84148591260935E-015</v>
      </c>
      <c r="AS289" s="29" t="n">
        <f aca="false">AR289*(1-MIN(1,INDEX(Tabla_Mortalidad!$B$5:$B$75,MIN(71,Cartera_Polizas!$B$291+42-49))*(1+(Cartera_Polizas!$P$291-1)*MAX(0,1-42/Supuestos!$C$20))*(1-Supuestos!$C$18)^42))</f>
        <v>3.49592514365626E-016</v>
      </c>
      <c r="AT289" s="29" t="n">
        <f aca="false">AS289*(1-MIN(1,INDEX(Tabla_Mortalidad!$B$5:$B$75,MIN(71,Cartera_Polizas!$B$291+43-49))*(1+(Cartera_Polizas!$P$291-1)*MAX(0,1-43/Supuestos!$C$20))*(1-Supuestos!$C$18)^43))</f>
        <v>6.77836843969641E-017</v>
      </c>
      <c r="AU289" s="29" t="n">
        <f aca="false">AT289*(1-MIN(1,INDEX(Tabla_Mortalidad!$B$5:$B$75,MIN(71,Cartera_Polizas!$B$291+44-49))*(1+(Cartera_Polizas!$P$291-1)*MAX(0,1-44/Supuestos!$C$20))*(1-Supuestos!$C$18)^44))</f>
        <v>1.3416014021045E-017</v>
      </c>
    </row>
    <row r="290" customFormat="false" ht="15" hidden="false" customHeight="false" outlineLevel="0" collapsed="false">
      <c r="A290" s="14" t="n">
        <f aca="false">Cartera_Polizas!A292</f>
        <v>287</v>
      </c>
      <c r="B290" s="26" t="n">
        <f aca="false">SUM(C290:AU290)+0.5</f>
        <v>7.41975713786944</v>
      </c>
      <c r="C290" s="29" t="n">
        <f aca="false">1-MIN(1,INDEX(Tabla_Mortalidad!$B$5:$B$75,MIN(71,Cartera_Polizas!$B$292+0-49))*(1+(Cartera_Polizas!$P$292-1)*MAX(0,1-0/Supuestos!$C$20))*(1-Supuestos!$C$18)^0)</f>
        <v>0.920079236</v>
      </c>
      <c r="D290" s="29" t="n">
        <f aca="false">C290*(1-MIN(1,INDEX(Tabla_Mortalidad!$B$5:$B$75,MIN(71,Cartera_Polizas!$B$292+1-49))*(1+(Cartera_Polizas!$P$292-1)*MAX(0,1-1/Supuestos!$C$20))*(1-Supuestos!$C$18)^1))</f>
        <v>0.840387388533935</v>
      </c>
      <c r="E290" s="29" t="n">
        <f aca="false">D290*(1-MIN(1,INDEX(Tabla_Mortalidad!$B$5:$B$75,MIN(71,Cartera_Polizas!$B$292+2-49))*(1+(Cartera_Polizas!$P$292-1)*MAX(0,1-2/Supuestos!$C$20))*(1-Supuestos!$C$18)^2))</f>
        <v>0.761568243415722</v>
      </c>
      <c r="F290" s="29" t="n">
        <f aca="false">E290*(1-MIN(1,INDEX(Tabla_Mortalidad!$B$5:$B$75,MIN(71,Cartera_Polizas!$B$292+3-49))*(1+(Cartera_Polizas!$P$292-1)*MAX(0,1-3/Supuestos!$C$20))*(1-Supuestos!$C$18)^3))</f>
        <v>0.684292875736635</v>
      </c>
      <c r="G290" s="29" t="n">
        <f aca="false">F290*(1-MIN(1,INDEX(Tabla_Mortalidad!$B$5:$B$75,MIN(71,Cartera_Polizas!$B$292+4-49))*(1+(Cartera_Polizas!$P$292-1)*MAX(0,1-4/Supuestos!$C$20))*(1-Supuestos!$C$18)^4))</f>
        <v>0.609247290492478</v>
      </c>
      <c r="H290" s="29" t="n">
        <f aca="false">G290*(1-MIN(1,INDEX(Tabla_Mortalidad!$B$5:$B$75,MIN(71,Cartera_Polizas!$B$292+5-49))*(1+(Cartera_Polizas!$P$292-1)*MAX(0,1-5/Supuestos!$C$20))*(1-Supuestos!$C$18)^5))</f>
        <v>0.537106141181732</v>
      </c>
      <c r="I290" s="29" t="n">
        <f aca="false">H290*(1-MIN(1,INDEX(Tabla_Mortalidad!$B$5:$B$75,MIN(71,Cartera_Polizas!$B$292+6-49))*(1+(Cartera_Polizas!$P$292-1)*MAX(0,1-6/Supuestos!$C$20))*(1-Supuestos!$C$18)^6))</f>
        <v>0.468516147743598</v>
      </c>
      <c r="J290" s="29" t="n">
        <f aca="false">I290*(1-MIN(1,INDEX(Tabla_Mortalidad!$B$5:$B$75,MIN(71,Cartera_Polizas!$B$292+7-49))*(1+(Cartera_Polizas!$P$292-1)*MAX(0,1-7/Supuestos!$C$20))*(1-Supuestos!$C$18)^7))</f>
        <v>0.404068305797114</v>
      </c>
      <c r="K290" s="29" t="n">
        <f aca="false">J290*(1-MIN(1,INDEX(Tabla_Mortalidad!$B$5:$B$75,MIN(71,Cartera_Polizas!$B$292+8-49))*(1+(Cartera_Polizas!$P$292-1)*MAX(0,1-8/Supuestos!$C$20))*(1-Supuestos!$C$18)^8))</f>
        <v>0.344275350976238</v>
      </c>
      <c r="L290" s="29" t="n">
        <f aca="false">K290*(1-MIN(1,INDEX(Tabla_Mortalidad!$B$5:$B$75,MIN(71,Cartera_Polizas!$B$292+9-49))*(1+(Cartera_Polizas!$P$292-1)*MAX(0,1-9/Supuestos!$C$20))*(1-Supuestos!$C$18)^9))</f>
        <v>0.289549323537681</v>
      </c>
      <c r="M290" s="29" t="n">
        <f aca="false">L290*(1-MIN(1,INDEX(Tabla_Mortalidad!$B$5:$B$75,MIN(71,Cartera_Polizas!$B$292+10-49))*(1+(Cartera_Polizas!$P$292-1)*MAX(0,1-10/Supuestos!$C$20))*(1-Supuestos!$C$18)^10))</f>
        <v>0.240182988590738</v>
      </c>
      <c r="N290" s="29" t="n">
        <f aca="false">M290*(1-MIN(1,INDEX(Tabla_Mortalidad!$B$5:$B$75,MIN(71,Cartera_Polizas!$B$292+11-49))*(1+(Cartera_Polizas!$P$292-1)*MAX(0,1-11/Supuestos!$C$20))*(1-Supuestos!$C$18)^11))</f>
        <v>0.196336051034535</v>
      </c>
      <c r="O290" s="29" t="n">
        <f aca="false">N290*(1-MIN(1,INDEX(Tabla_Mortalidad!$B$5:$B$75,MIN(71,Cartera_Polizas!$B$292+12-49))*(1+(Cartera_Polizas!$P$292-1)*MAX(0,1-12/Supuestos!$C$20))*(1-Supuestos!$C$18)^12))</f>
        <v>0.15802750723154</v>
      </c>
      <c r="P290" s="29" t="n">
        <f aca="false">O290*(1-MIN(1,INDEX(Tabla_Mortalidad!$B$5:$B$75,MIN(71,Cartera_Polizas!$B$292+13-49))*(1+(Cartera_Polizas!$P$292-1)*MAX(0,1-13/Supuestos!$C$20))*(1-Supuestos!$C$18)^13))</f>
        <v>0.125137352283743</v>
      </c>
      <c r="Q290" s="29" t="n">
        <f aca="false">P290*(1-MIN(1,INDEX(Tabla_Mortalidad!$B$5:$B$75,MIN(71,Cartera_Polizas!$B$292+14-49))*(1+(Cartera_Polizas!$P$292-1)*MAX(0,1-14/Supuestos!$C$20))*(1-Supuestos!$C$18)^14))</f>
        <v>0.0974156869710325</v>
      </c>
      <c r="R290" s="29" t="n">
        <f aca="false">Q290*(1-MIN(1,INDEX(Tabla_Mortalidad!$B$5:$B$75,MIN(71,Cartera_Polizas!$B$292+15-49))*(1+(Cartera_Polizas!$P$292-1)*MAX(0,1-15/Supuestos!$C$20))*(1-Supuestos!$C$18)^15))</f>
        <v>0.0744994557700511</v>
      </c>
      <c r="S290" s="29" t="n">
        <f aca="false">R290*(1-MIN(1,INDEX(Tabla_Mortalidad!$B$5:$B$75,MIN(71,Cartera_Polizas!$B$292+16-49))*(1+(Cartera_Polizas!$P$292-1)*MAX(0,1-16/Supuestos!$C$20))*(1-Supuestos!$C$18)^16))</f>
        <v>0.055345508155397</v>
      </c>
      <c r="T290" s="29" t="n">
        <f aca="false">S290*(1-MIN(1,INDEX(Tabla_Mortalidad!$B$5:$B$75,MIN(71,Cartera_Polizas!$B$292+17-49))*(1+(Cartera_Polizas!$P$292-1)*MAX(0,1-17/Supuestos!$C$20))*(1-Supuestos!$C$18)^17))</f>
        <v>0.03982120775906</v>
      </c>
      <c r="U290" s="29" t="n">
        <f aca="false">T290*(1-MIN(1,INDEX(Tabla_Mortalidad!$B$5:$B$75,MIN(71,Cartera_Polizas!$B$292+18-49))*(1+(Cartera_Polizas!$P$292-1)*MAX(0,1-18/Supuestos!$C$20))*(1-Supuestos!$C$18)^18))</f>
        <v>0.0276585837135022</v>
      </c>
      <c r="V290" s="29" t="n">
        <f aca="false">U290*(1-MIN(1,INDEX(Tabla_Mortalidad!$B$5:$B$75,MIN(71,Cartera_Polizas!$B$292+19-49))*(1+(Cartera_Polizas!$P$292-1)*MAX(0,1-19/Supuestos!$C$20))*(1-Supuestos!$C$18)^19))</f>
        <v>0.0184794983243991</v>
      </c>
      <c r="W290" s="29" t="n">
        <f aca="false">V290*(1-MIN(1,INDEX(Tabla_Mortalidad!$B$5:$B$75,MIN(71,Cartera_Polizas!$B$292+20-49))*(1+(Cartera_Polizas!$P$292-1)*MAX(0,1-20/Supuestos!$C$20))*(1-Supuestos!$C$18)^20))</f>
        <v>0.0118313312864162</v>
      </c>
      <c r="X290" s="29" t="n">
        <f aca="false">W290*(1-MIN(1,INDEX(Tabla_Mortalidad!$B$5:$B$75,MIN(71,Cartera_Polizas!$B$292+21-49))*(1+(Cartera_Polizas!$P$292-1)*MAX(0,1-21/Supuestos!$C$20))*(1-Supuestos!$C$18)^21))</f>
        <v>0.00722898856165647</v>
      </c>
      <c r="Y290" s="29" t="n">
        <f aca="false">X290*(1-MIN(1,INDEX(Tabla_Mortalidad!$B$5:$B$75,MIN(71,Cartera_Polizas!$B$292+22-49))*(1+(Cartera_Polizas!$P$292-1)*MAX(0,1-22/Supuestos!$C$20))*(1-Supuestos!$C$18)^22))</f>
        <v>0.0041968673012901</v>
      </c>
      <c r="Z290" s="29" t="n">
        <f aca="false">Y290*(1-MIN(1,INDEX(Tabla_Mortalidad!$B$5:$B$75,MIN(71,Cartera_Polizas!$B$292+23-49))*(1+(Cartera_Polizas!$P$292-1)*MAX(0,1-23/Supuestos!$C$20))*(1-Supuestos!$C$18)^23))</f>
        <v>0.00230451357283014</v>
      </c>
      <c r="AA290" s="29" t="n">
        <f aca="false">Z290*(1-MIN(1,INDEX(Tabla_Mortalidad!$B$5:$B$75,MIN(71,Cartera_Polizas!$B$292+24-49))*(1+(Cartera_Polizas!$P$292-1)*MAX(0,1-24/Supuestos!$C$20))*(1-Supuestos!$C$18)^24))</f>
        <v>0.00119114321440619</v>
      </c>
      <c r="AB290" s="29" t="n">
        <f aca="false">AA290*(1-MIN(1,INDEX(Tabla_Mortalidad!$B$5:$B$75,MIN(71,Cartera_Polizas!$B$292+25-49))*(1+(Cartera_Polizas!$P$292-1)*MAX(0,1-25/Supuestos!$C$20))*(1-Supuestos!$C$18)^25))</f>
        <v>0.00057671503924547</v>
      </c>
      <c r="AC290" s="29" t="n">
        <f aca="false">AB290*(1-MIN(1,INDEX(Tabla_Mortalidad!$B$5:$B$75,MIN(71,Cartera_Polizas!$B$292+26-49))*(1+(Cartera_Polizas!$P$292-1)*MAX(0,1-26/Supuestos!$C$20))*(1-Supuestos!$C$18)^26))</f>
        <v>0.000260293230883316</v>
      </c>
      <c r="AD290" s="29" t="n">
        <f aca="false">AC290*(1-MIN(1,INDEX(Tabla_Mortalidad!$B$5:$B$75,MIN(71,Cartera_Polizas!$B$292+27-49))*(1+(Cartera_Polizas!$P$292-1)*MAX(0,1-27/Supuestos!$C$20))*(1-Supuestos!$C$18)^27))</f>
        <v>0.000109005138510147</v>
      </c>
      <c r="AE290" s="29" t="n">
        <f aca="false">AD290*(1-MIN(1,INDEX(Tabla_Mortalidad!$B$5:$B$75,MIN(71,Cartera_Polizas!$B$292+28-49))*(1+(Cartera_Polizas!$P$292-1)*MAX(0,1-28/Supuestos!$C$20))*(1-Supuestos!$C$18)^28))</f>
        <v>4.21769837339698E-005</v>
      </c>
      <c r="AF290" s="29" t="n">
        <f aca="false">AE290*(1-MIN(1,INDEX(Tabla_Mortalidad!$B$5:$B$75,MIN(71,Cartera_Polizas!$B$292+29-49))*(1+(Cartera_Polizas!$P$292-1)*MAX(0,1-29/Supuestos!$C$20))*(1-Supuestos!$C$18)^29))</f>
        <v>1.50254117893557E-005</v>
      </c>
      <c r="AG290" s="29" t="n">
        <f aca="false">AF290*(1-MIN(1,INDEX(Tabla_Mortalidad!$B$5:$B$75,MIN(71,Cartera_Polizas!$B$292+30-49))*(1+(Cartera_Polizas!$P$292-1)*MAX(0,1-30/Supuestos!$C$20))*(1-Supuestos!$C$18)^30))</f>
        <v>4.91649889676734E-006</v>
      </c>
      <c r="AH290" s="29" t="n">
        <f aca="false">AG290*(1-MIN(1,INDEX(Tabla_Mortalidad!$B$5:$B$75,MIN(71,Cartera_Polizas!$B$292+31-49))*(1+(Cartera_Polizas!$P$292-1)*MAX(0,1-31/Supuestos!$C$20))*(1-Supuestos!$C$18)^31))</f>
        <v>1.47632776245443E-006</v>
      </c>
      <c r="AI290" s="29" t="n">
        <f aca="false">AH290*(1-MIN(1,INDEX(Tabla_Mortalidad!$B$5:$B$75,MIN(71,Cartera_Polizas!$B$292+32-49))*(1+(Cartera_Polizas!$P$292-1)*MAX(0,1-32/Supuestos!$C$20))*(1-Supuestos!$C$18)^32))</f>
        <v>4.07275222077526E-007</v>
      </c>
      <c r="AJ290" s="29" t="n">
        <f aca="false">AI290*(1-MIN(1,INDEX(Tabla_Mortalidad!$B$5:$B$75,MIN(71,Cartera_Polizas!$B$292+33-49))*(1+(Cartera_Polizas!$P$292-1)*MAX(0,1-33/Supuestos!$C$20))*(1-Supuestos!$C$18)^33))</f>
        <v>1.03584421182998E-007</v>
      </c>
      <c r="AK290" s="29" t="n">
        <f aca="false">AJ290*(1-MIN(1,INDEX(Tabla_Mortalidad!$B$5:$B$75,MIN(71,Cartera_Polizas!$B$292+34-49))*(1+(Cartera_Polizas!$P$292-1)*MAX(0,1-34/Supuestos!$C$20))*(1-Supuestos!$C$18)^34))</f>
        <v>2.44386857404548E-008</v>
      </c>
      <c r="AL290" s="29" t="n">
        <f aca="false">AK290*(1-MIN(1,INDEX(Tabla_Mortalidad!$B$5:$B$75,MIN(71,Cartera_Polizas!$B$292+35-49))*(1+(Cartera_Polizas!$P$292-1)*MAX(0,1-35/Supuestos!$C$20))*(1-Supuestos!$C$18)^35))</f>
        <v>5.39597150231177E-009</v>
      </c>
      <c r="AM290" s="29" t="n">
        <f aca="false">AL290*(1-MIN(1,INDEX(Tabla_Mortalidad!$B$5:$B$75,MIN(71,Cartera_Polizas!$B$292+36-49))*(1+(Cartera_Polizas!$P$292-1)*MAX(0,1-36/Supuestos!$C$20))*(1-Supuestos!$C$18)^36))</f>
        <v>1.12744542048621E-009</v>
      </c>
      <c r="AN290" s="29" t="n">
        <f aca="false">AM290*(1-MIN(1,INDEX(Tabla_Mortalidad!$B$5:$B$75,MIN(71,Cartera_Polizas!$B$292+37-49))*(1+(Cartera_Polizas!$P$292-1)*MAX(0,1-37/Supuestos!$C$20))*(1-Supuestos!$C$18)^37))</f>
        <v>1.90855424787929E-010</v>
      </c>
      <c r="AO290" s="29" t="n">
        <f aca="false">AN290*(1-MIN(1,INDEX(Tabla_Mortalidad!$B$5:$B$75,MIN(71,Cartera_Polizas!$B$292+38-49))*(1+(Cartera_Polizas!$P$292-1)*MAX(0,1-38/Supuestos!$C$20))*(1-Supuestos!$C$18)^38))</f>
        <v>3.3100989990533E-011</v>
      </c>
      <c r="AP290" s="29" t="n">
        <f aca="false">AO290*(1-MIN(1,INDEX(Tabla_Mortalidad!$B$5:$B$75,MIN(71,Cartera_Polizas!$B$292+39-49))*(1+(Cartera_Polizas!$P$292-1)*MAX(0,1-39/Supuestos!$C$20))*(1-Supuestos!$C$18)^39))</f>
        <v>5.87766724176588E-012</v>
      </c>
      <c r="AQ290" s="29" t="n">
        <f aca="false">AP290*(1-MIN(1,INDEX(Tabla_Mortalidad!$B$5:$B$75,MIN(71,Cartera_Polizas!$B$292+40-49))*(1+(Cartera_Polizas!$P$292-1)*MAX(0,1-40/Supuestos!$C$20))*(1-Supuestos!$C$18)^40))</f>
        <v>1.06785387315302E-012</v>
      </c>
      <c r="AR290" s="29" t="n">
        <f aca="false">AQ290*(1-MIN(1,INDEX(Tabla_Mortalidad!$B$5:$B$75,MIN(71,Cartera_Polizas!$B$292+41-49))*(1+(Cartera_Polizas!$P$292-1)*MAX(0,1-41/Supuestos!$C$20))*(1-Supuestos!$C$18)^41))</f>
        <v>1.98376793993474E-013</v>
      </c>
      <c r="AS290" s="29" t="n">
        <f aca="false">AR290*(1-MIN(1,INDEX(Tabla_Mortalidad!$B$5:$B$75,MIN(71,Cartera_Polizas!$B$292+42-49))*(1+(Cartera_Polizas!$P$292-1)*MAX(0,1-42/Supuestos!$C$20))*(1-Supuestos!$C$18)^42))</f>
        <v>3.76603707522808E-014</v>
      </c>
      <c r="AT290" s="29" t="n">
        <f aca="false">AS290*(1-MIN(1,INDEX(Tabla_Mortalidad!$B$5:$B$75,MIN(71,Cartera_Polizas!$B$292+43-49))*(1+(Cartera_Polizas!$P$292-1)*MAX(0,1-43/Supuestos!$C$20))*(1-Supuestos!$C$18)^43))</f>
        <v>7.30209767213559E-015</v>
      </c>
      <c r="AU290" s="29" t="n">
        <f aca="false">AT290*(1-MIN(1,INDEX(Tabla_Mortalidad!$B$5:$B$75,MIN(71,Cartera_Polizas!$B$292+44-49))*(1+(Cartera_Polizas!$P$292-1)*MAX(0,1-44/Supuestos!$C$20))*(1-Supuestos!$C$18)^44))</f>
        <v>1.44525995634428E-015</v>
      </c>
    </row>
    <row r="291" customFormat="false" ht="15" hidden="false" customHeight="false" outlineLevel="0" collapsed="false">
      <c r="A291" s="14" t="n">
        <f aca="false">Cartera_Polizas!A293</f>
        <v>288</v>
      </c>
      <c r="B291" s="26" t="n">
        <f aca="false">SUM(C291:AU291)+0.5</f>
        <v>3.13365126350184</v>
      </c>
      <c r="C291" s="29" t="n">
        <f aca="false">1-MIN(1,INDEX(Tabla_Mortalidad!$B$5:$B$75,MIN(71,Cartera_Polizas!$B$293+0-49))*(1+(Cartera_Polizas!$P$293-1)*MAX(0,1-0/Supuestos!$C$20))*(1-Supuestos!$C$18)^0)</f>
        <v>0.76313832</v>
      </c>
      <c r="D291" s="29" t="n">
        <f aca="false">C291*(1-MIN(1,INDEX(Tabla_Mortalidad!$B$5:$B$75,MIN(71,Cartera_Polizas!$B$293+1-49))*(1+(Cartera_Polizas!$P$293-1)*MAX(0,1-1/Supuestos!$C$20))*(1-Supuestos!$C$18)^1))</f>
        <v>0.570086828920663</v>
      </c>
      <c r="E291" s="29" t="n">
        <f aca="false">D291*(1-MIN(1,INDEX(Tabla_Mortalidad!$B$5:$B$75,MIN(71,Cartera_Polizas!$B$293+2-49))*(1+(Cartera_Polizas!$P$293-1)*MAX(0,1-2/Supuestos!$C$20))*(1-Supuestos!$C$18)^2))</f>
        <v>0.416355265295917</v>
      </c>
      <c r="F291" s="29" t="n">
        <f aca="false">E291*(1-MIN(1,INDEX(Tabla_Mortalidad!$B$5:$B$75,MIN(71,Cartera_Polizas!$B$293+3-49))*(1+(Cartera_Polizas!$P$293-1)*MAX(0,1-3/Supuestos!$C$20))*(1-Supuestos!$C$18)^3))</f>
        <v>0.296917383348721</v>
      </c>
      <c r="G291" s="29" t="n">
        <f aca="false">F291*(1-MIN(1,INDEX(Tabla_Mortalidad!$B$5:$B$75,MIN(71,Cartera_Polizas!$B$293+4-49))*(1+(Cartera_Polizas!$P$293-1)*MAX(0,1-4/Supuestos!$C$20))*(1-Supuestos!$C$18)^4))</f>
        <v>0.206510963352022</v>
      </c>
      <c r="H291" s="29" t="n">
        <f aca="false">G291*(1-MIN(1,INDEX(Tabla_Mortalidad!$B$5:$B$75,MIN(71,Cartera_Polizas!$B$293+5-49))*(1+(Cartera_Polizas!$P$293-1)*MAX(0,1-5/Supuestos!$C$20))*(1-Supuestos!$C$18)^5))</f>
        <v>0.139932566842944</v>
      </c>
      <c r="I291" s="29" t="n">
        <f aca="false">H291*(1-MIN(1,INDEX(Tabla_Mortalidad!$B$5:$B$75,MIN(71,Cartera_Polizas!$B$293+6-49))*(1+(Cartera_Polizas!$P$293-1)*MAX(0,1-6/Supuestos!$C$20))*(1-Supuestos!$C$18)^6))</f>
        <v>0.0922918086590133</v>
      </c>
      <c r="J291" s="29" t="n">
        <f aca="false">I291*(1-MIN(1,INDEX(Tabla_Mortalidad!$B$5:$B$75,MIN(71,Cartera_Polizas!$B$293+7-49))*(1+(Cartera_Polizas!$P$293-1)*MAX(0,1-7/Supuestos!$C$20))*(1-Supuestos!$C$18)^7))</f>
        <v>0.0592065994290602</v>
      </c>
      <c r="K291" s="29" t="n">
        <f aca="false">J291*(1-MIN(1,INDEX(Tabla_Mortalidad!$B$5:$B$75,MIN(71,Cartera_Polizas!$B$293+8-49))*(1+(Cartera_Polizas!$P$293-1)*MAX(0,1-8/Supuestos!$C$20))*(1-Supuestos!$C$18)^8))</f>
        <v>0.0369286103017496</v>
      </c>
      <c r="L291" s="29" t="n">
        <f aca="false">K291*(1-MIN(1,INDEX(Tabla_Mortalidad!$B$5:$B$75,MIN(71,Cartera_Polizas!$B$293+9-49))*(1+(Cartera_Polizas!$P$293-1)*MAX(0,1-9/Supuestos!$C$20))*(1-Supuestos!$C$18)^9))</f>
        <v>0.0223941848299573</v>
      </c>
      <c r="M291" s="29" t="n">
        <f aca="false">L291*(1-MIN(1,INDEX(Tabla_Mortalidad!$B$5:$B$75,MIN(71,Cartera_Polizas!$B$293+10-49))*(1+(Cartera_Polizas!$P$293-1)*MAX(0,1-10/Supuestos!$C$20))*(1-Supuestos!$C$18)^10))</f>
        <v>0.0132097343384247</v>
      </c>
      <c r="N291" s="29" t="n">
        <f aca="false">M291*(1-MIN(1,INDEX(Tabla_Mortalidad!$B$5:$B$75,MIN(71,Cartera_Polizas!$B$293+11-49))*(1+(Cartera_Polizas!$P$293-1)*MAX(0,1-11/Supuestos!$C$20))*(1-Supuestos!$C$18)^11))</f>
        <v>0.00758775017979983</v>
      </c>
      <c r="O291" s="29" t="n">
        <f aca="false">N291*(1-MIN(1,INDEX(Tabla_Mortalidad!$B$5:$B$75,MIN(71,Cartera_Polizas!$B$293+12-49))*(1+(Cartera_Polizas!$P$293-1)*MAX(0,1-12/Supuestos!$C$20))*(1-Supuestos!$C$18)^12))</f>
        <v>0.00425188707189708</v>
      </c>
      <c r="P291" s="29" t="n">
        <f aca="false">O291*(1-MIN(1,INDEX(Tabla_Mortalidad!$B$5:$B$75,MIN(71,Cartera_Polizas!$B$293+13-49))*(1+(Cartera_Polizas!$P$293-1)*MAX(0,1-13/Supuestos!$C$20))*(1-Supuestos!$C$18)^13))</f>
        <v>0.00233053651221084</v>
      </c>
      <c r="Q291" s="29" t="n">
        <f aca="false">P291*(1-MIN(1,INDEX(Tabla_Mortalidad!$B$5:$B$75,MIN(71,Cartera_Polizas!$B$293+14-49))*(1+(Cartera_Polizas!$P$293-1)*MAX(0,1-14/Supuestos!$C$20))*(1-Supuestos!$C$18)^14))</f>
        <v>0.00125400694810221</v>
      </c>
      <c r="R291" s="29" t="n">
        <f aca="false">Q291*(1-MIN(1,INDEX(Tabla_Mortalidad!$B$5:$B$75,MIN(71,Cartera_Polizas!$B$293+15-49))*(1+(Cartera_Polizas!$P$293-1)*MAX(0,1-15/Supuestos!$C$20))*(1-Supuestos!$C$18)^15))</f>
        <v>0.000665444730530325</v>
      </c>
      <c r="S291" s="29" t="n">
        <f aca="false">R291*(1-MIN(1,INDEX(Tabla_Mortalidad!$B$5:$B$75,MIN(71,Cartera_Polizas!$B$293+16-49))*(1+(Cartera_Polizas!$P$293-1)*MAX(0,1-16/Supuestos!$C$20))*(1-Supuestos!$C$18)^16))</f>
        <v>0.000330797119636483</v>
      </c>
      <c r="T291" s="29" t="n">
        <f aca="false">S291*(1-MIN(1,INDEX(Tabla_Mortalidad!$B$5:$B$75,MIN(71,Cartera_Polizas!$B$293+17-49))*(1+(Cartera_Polizas!$P$293-1)*MAX(0,1-17/Supuestos!$C$20))*(1-Supuestos!$C$18)^17))</f>
        <v>0.00015318024872692</v>
      </c>
      <c r="U291" s="29" t="n">
        <f aca="false">T291*(1-MIN(1,INDEX(Tabla_Mortalidad!$B$5:$B$75,MIN(71,Cartera_Polizas!$B$293+18-49))*(1+(Cartera_Polizas!$P$293-1)*MAX(0,1-18/Supuestos!$C$20))*(1-Supuestos!$C$18)^18))</f>
        <v>6.5697331684013E-005</v>
      </c>
      <c r="V291" s="29" t="n">
        <f aca="false">U291*(1-MIN(1,INDEX(Tabla_Mortalidad!$B$5:$B$75,MIN(71,Cartera_Polizas!$B$293+19-49))*(1+(Cartera_Polizas!$P$293-1)*MAX(0,1-19/Supuestos!$C$20))*(1-Supuestos!$C$18)^19))</f>
        <v>2.59502765126924E-005</v>
      </c>
      <c r="W291" s="29" t="n">
        <f aca="false">V291*(1-MIN(1,INDEX(Tabla_Mortalidad!$B$5:$B$75,MIN(71,Cartera_Polizas!$B$293+20-49))*(1+(Cartera_Polizas!$P$293-1)*MAX(0,1-20/Supuestos!$C$20))*(1-Supuestos!$C$18)^20))</f>
        <v>9.38991388116656E-006</v>
      </c>
      <c r="X291" s="29" t="n">
        <f aca="false">W291*(1-MIN(1,INDEX(Tabla_Mortalidad!$B$5:$B$75,MIN(71,Cartera_Polizas!$B$293+21-49))*(1+(Cartera_Polizas!$P$293-1)*MAX(0,1-21/Supuestos!$C$20))*(1-Supuestos!$C$18)^21))</f>
        <v>3.09780218869741E-006</v>
      </c>
      <c r="Y291" s="29" t="n">
        <f aca="false">X291*(1-MIN(1,INDEX(Tabla_Mortalidad!$B$5:$B$75,MIN(71,Cartera_Polizas!$B$293+22-49))*(1+(Cartera_Polizas!$P$293-1)*MAX(0,1-22/Supuestos!$C$20))*(1-Supuestos!$C$18)^22))</f>
        <v>9.28364866118021E-007</v>
      </c>
      <c r="Z291" s="29" t="n">
        <f aca="false">Y291*(1-MIN(1,INDEX(Tabla_Mortalidad!$B$5:$B$75,MIN(71,Cartera_Polizas!$B$293+23-49))*(1+(Cartera_Polizas!$P$293-1)*MAX(0,1-23/Supuestos!$C$20))*(1-Supuestos!$C$18)^23))</f>
        <v>2.52191357644658E-007</v>
      </c>
      <c r="AA291" s="29" t="n">
        <f aca="false">Z291*(1-MIN(1,INDEX(Tabla_Mortalidad!$B$5:$B$75,MIN(71,Cartera_Polizas!$B$293+24-49))*(1+(Cartera_Polizas!$P$293-1)*MAX(0,1-24/Supuestos!$C$20))*(1-Supuestos!$C$18)^24))</f>
        <v>6.21002432264442E-008</v>
      </c>
      <c r="AB291" s="29" t="n">
        <f aca="false">AA291*(1-MIN(1,INDEX(Tabla_Mortalidad!$B$5:$B$75,MIN(71,Cartera_Polizas!$B$293+25-49))*(1+(Cartera_Polizas!$P$293-1)*MAX(0,1-25/Supuestos!$C$20))*(1-Supuestos!$C$18)^25))</f>
        <v>1.38996589227005E-008</v>
      </c>
      <c r="AC291" s="29" t="n">
        <f aca="false">AB291*(1-MIN(1,INDEX(Tabla_Mortalidad!$B$5:$B$75,MIN(71,Cartera_Polizas!$B$293+26-49))*(1+(Cartera_Polizas!$P$293-1)*MAX(0,1-26/Supuestos!$C$20))*(1-Supuestos!$C$18)^26))</f>
        <v>2.84481608188372E-009</v>
      </c>
      <c r="AD291" s="29" t="n">
        <f aca="false">AC291*(1-MIN(1,INDEX(Tabla_Mortalidad!$B$5:$B$75,MIN(71,Cartera_Polizas!$B$293+27-49))*(1+(Cartera_Polizas!$P$293-1)*MAX(0,1-27/Supuestos!$C$20))*(1-Supuestos!$C$18)^27))</f>
        <v>5.37428494993199E-010</v>
      </c>
      <c r="AE291" s="29" t="n">
        <f aca="false">AD291*(1-MIN(1,INDEX(Tabla_Mortalidad!$B$5:$B$75,MIN(71,Cartera_Polizas!$B$293+28-49))*(1+(Cartera_Polizas!$P$293-1)*MAX(0,1-28/Supuestos!$C$20))*(1-Supuestos!$C$18)^28))</f>
        <v>9.48968465252764E-011</v>
      </c>
      <c r="AF291" s="29" t="n">
        <f aca="false">AE291*(1-MIN(1,INDEX(Tabla_Mortalidad!$B$5:$B$75,MIN(71,Cartera_Polizas!$B$293+29-49))*(1+(Cartera_Polizas!$P$293-1)*MAX(0,1-29/Supuestos!$C$20))*(1-Supuestos!$C$18)^29))</f>
        <v>1.28388097283891E-011</v>
      </c>
      <c r="AG291" s="29" t="n">
        <f aca="false">AF291*(1-MIN(1,INDEX(Tabla_Mortalidad!$B$5:$B$75,MIN(71,Cartera_Polizas!$B$293+30-49))*(1+(Cartera_Polizas!$P$293-1)*MAX(0,1-30/Supuestos!$C$20))*(1-Supuestos!$C$18)^30))</f>
        <v>1.79250079508251E-012</v>
      </c>
      <c r="AH291" s="29" t="n">
        <f aca="false">AG291*(1-MIN(1,INDEX(Tabla_Mortalidad!$B$5:$B$75,MIN(71,Cartera_Polizas!$B$293+31-49))*(1+(Cartera_Polizas!$P$293-1)*MAX(0,1-31/Supuestos!$C$20))*(1-Supuestos!$C$18)^31))</f>
        <v>2.57972643739412E-013</v>
      </c>
      <c r="AI291" s="29" t="n">
        <f aca="false">AH291*(1-MIN(1,INDEX(Tabla_Mortalidad!$B$5:$B$75,MIN(71,Cartera_Polizas!$B$293+32-49))*(1+(Cartera_Polizas!$P$293-1)*MAX(0,1-32/Supuestos!$C$20))*(1-Supuestos!$C$18)^32))</f>
        <v>3.8231066076163E-014</v>
      </c>
      <c r="AJ291" s="29" t="n">
        <f aca="false">AI291*(1-MIN(1,INDEX(Tabla_Mortalidad!$B$5:$B$75,MIN(71,Cartera_Polizas!$B$293+33-49))*(1+(Cartera_Polizas!$P$293-1)*MAX(0,1-33/Supuestos!$C$20))*(1-Supuestos!$C$18)^33))</f>
        <v>5.82859936387451E-015</v>
      </c>
      <c r="AK291" s="29" t="n">
        <f aca="false">AJ291*(1-MIN(1,INDEX(Tabla_Mortalidad!$B$5:$B$75,MIN(71,Cartera_Polizas!$B$293+34-49))*(1+(Cartera_Polizas!$P$293-1)*MAX(0,1-34/Supuestos!$C$20))*(1-Supuestos!$C$18)^34))</f>
        <v>9.13311584336515E-016</v>
      </c>
      <c r="AL291" s="29" t="n">
        <f aca="false">AK291*(1-MIN(1,INDEX(Tabla_Mortalidad!$B$5:$B$75,MIN(71,Cartera_Polizas!$B$293+35-49))*(1+(Cartera_Polizas!$P$293-1)*MAX(0,1-35/Supuestos!$C$20))*(1-Supuestos!$C$18)^35))</f>
        <v>1.46962236200237E-016</v>
      </c>
      <c r="AM291" s="29" t="n">
        <f aca="false">AL291*(1-MIN(1,INDEX(Tabla_Mortalidad!$B$5:$B$75,MIN(71,Cartera_Polizas!$B$293+36-49))*(1+(Cartera_Polizas!$P$293-1)*MAX(0,1-36/Supuestos!$C$20))*(1-Supuestos!$C$18)^36))</f>
        <v>2.42644693427783E-017</v>
      </c>
      <c r="AN291" s="29" t="n">
        <f aca="false">AM291*(1-MIN(1,INDEX(Tabla_Mortalidad!$B$5:$B$75,MIN(71,Cartera_Polizas!$B$293+37-49))*(1+(Cartera_Polizas!$P$293-1)*MAX(0,1-37/Supuestos!$C$20))*(1-Supuestos!$C$18)^37))</f>
        <v>4.10752087819249E-018</v>
      </c>
      <c r="AO291" s="29" t="n">
        <f aca="false">AN291*(1-MIN(1,INDEX(Tabla_Mortalidad!$B$5:$B$75,MIN(71,Cartera_Polizas!$B$293+38-49))*(1+(Cartera_Polizas!$P$293-1)*MAX(0,1-38/Supuestos!$C$20))*(1-Supuestos!$C$18)^38))</f>
        <v>7.12387440000889E-019</v>
      </c>
      <c r="AP291" s="29" t="n">
        <f aca="false">AO291*(1-MIN(1,INDEX(Tabla_Mortalidad!$B$5:$B$75,MIN(71,Cartera_Polizas!$B$293+39-49))*(1+(Cartera_Polizas!$P$293-1)*MAX(0,1-39/Supuestos!$C$20))*(1-Supuestos!$C$18)^39))</f>
        <v>1.26497011743039E-019</v>
      </c>
      <c r="AQ291" s="29" t="n">
        <f aca="false">AP291*(1-MIN(1,INDEX(Tabla_Mortalidad!$B$5:$B$75,MIN(71,Cartera_Polizas!$B$293+40-49))*(1+(Cartera_Polizas!$P$293-1)*MAX(0,1-40/Supuestos!$C$20))*(1-Supuestos!$C$18)^40))</f>
        <v>2.29819617844687E-020</v>
      </c>
      <c r="AR291" s="29" t="n">
        <f aca="false">AQ291*(1-MIN(1,INDEX(Tabla_Mortalidad!$B$5:$B$75,MIN(71,Cartera_Polizas!$B$293+41-49))*(1+(Cartera_Polizas!$P$293-1)*MAX(0,1-41/Supuestos!$C$20))*(1-Supuestos!$C$18)^41))</f>
        <v>4.26939304440782E-021</v>
      </c>
      <c r="AS291" s="29" t="n">
        <f aca="false">AR291*(1-MIN(1,INDEX(Tabla_Mortalidad!$B$5:$B$75,MIN(71,Cartera_Polizas!$B$293+42-49))*(1+(Cartera_Polizas!$P$293-1)*MAX(0,1-42/Supuestos!$C$20))*(1-Supuestos!$C$18)^42))</f>
        <v>8.10512770686762E-022</v>
      </c>
      <c r="AT291" s="29" t="n">
        <f aca="false">AS291*(1-MIN(1,INDEX(Tabla_Mortalidad!$B$5:$B$75,MIN(71,Cartera_Polizas!$B$293+43-49))*(1+(Cartera_Polizas!$P$293-1)*MAX(0,1-43/Supuestos!$C$20))*(1-Supuestos!$C$18)^43))</f>
        <v>1.57153084206149E-022</v>
      </c>
      <c r="AU291" s="29" t="n">
        <f aca="false">AT291*(1-MIN(1,INDEX(Tabla_Mortalidad!$B$5:$B$75,MIN(71,Cartera_Polizas!$B$293+44-49))*(1+(Cartera_Polizas!$P$293-1)*MAX(0,1-44/Supuestos!$C$20))*(1-Supuestos!$C$18)^44))</f>
        <v>3.11043579279763E-023</v>
      </c>
    </row>
    <row r="292" customFormat="false" ht="15" hidden="false" customHeight="false" outlineLevel="0" collapsed="false">
      <c r="A292" s="14" t="n">
        <f aca="false">Cartera_Polizas!A294</f>
        <v>289</v>
      </c>
      <c r="B292" s="26" t="n">
        <f aca="false">SUM(C292:AU292)+0.5</f>
        <v>9.48965943416273</v>
      </c>
      <c r="C292" s="29" t="n">
        <f aca="false">1-MIN(1,INDEX(Tabla_Mortalidad!$B$5:$B$75,MIN(71,Cartera_Polizas!$B$294+0-49))*(1+(Cartera_Polizas!$P$294-1)*MAX(0,1-0/Supuestos!$C$20))*(1-Supuestos!$C$18)^0)</f>
        <v>0.946227853</v>
      </c>
      <c r="D292" s="29" t="n">
        <f aca="false">C292*(1-MIN(1,INDEX(Tabla_Mortalidad!$B$5:$B$75,MIN(71,Cartera_Polizas!$B$294+1-49))*(1+(Cartera_Polizas!$P$294-1)*MAX(0,1-1/Supuestos!$C$20))*(1-Supuestos!$C$18)^1))</f>
        <v>0.890839128134722</v>
      </c>
      <c r="E292" s="29" t="n">
        <f aca="false">D292*(1-MIN(1,INDEX(Tabla_Mortalidad!$B$5:$B$75,MIN(71,Cartera_Polizas!$B$294+2-49))*(1+(Cartera_Polizas!$P$294-1)*MAX(0,1-2/Supuestos!$C$20))*(1-Supuestos!$C$18)^2))</f>
        <v>0.834104991485062</v>
      </c>
      <c r="F292" s="29" t="n">
        <f aca="false">E292*(1-MIN(1,INDEX(Tabla_Mortalidad!$B$5:$B$75,MIN(71,Cartera_Polizas!$B$294+3-49))*(1+(Cartera_Polizas!$P$294-1)*MAX(0,1-3/Supuestos!$C$20))*(1-Supuestos!$C$18)^3))</f>
        <v>0.776346437045682</v>
      </c>
      <c r="G292" s="29" t="n">
        <f aca="false">F292*(1-MIN(1,INDEX(Tabla_Mortalidad!$B$5:$B$75,MIN(71,Cartera_Polizas!$B$294+4-49))*(1+(Cartera_Polizas!$P$294-1)*MAX(0,1-4/Supuestos!$C$20))*(1-Supuestos!$C$18)^4))</f>
        <v>0.717934853295226</v>
      </c>
      <c r="H292" s="29" t="n">
        <f aca="false">G292*(1-MIN(1,INDEX(Tabla_Mortalidad!$B$5:$B$75,MIN(71,Cartera_Polizas!$B$294+5-49))*(1+(Cartera_Polizas!$P$294-1)*MAX(0,1-5/Supuestos!$C$20))*(1-Supuestos!$C$18)^5))</f>
        <v>0.659286342557358</v>
      </c>
      <c r="I292" s="29" t="n">
        <f aca="false">H292*(1-MIN(1,INDEX(Tabla_Mortalidad!$B$5:$B$75,MIN(71,Cartera_Polizas!$B$294+6-49))*(1+(Cartera_Polizas!$P$294-1)*MAX(0,1-6/Supuestos!$C$20))*(1-Supuestos!$C$18)^6))</f>
        <v>0.600855755954507</v>
      </c>
      <c r="J292" s="29" t="n">
        <f aca="false">I292*(1-MIN(1,INDEX(Tabla_Mortalidad!$B$5:$B$75,MIN(71,Cartera_Polizas!$B$294+7-49))*(1+(Cartera_Polizas!$P$294-1)*MAX(0,1-7/Supuestos!$C$20))*(1-Supuestos!$C$18)^7))</f>
        <v>0.543132109512112</v>
      </c>
      <c r="K292" s="29" t="n">
        <f aca="false">J292*(1-MIN(1,INDEX(Tabla_Mortalidad!$B$5:$B$75,MIN(71,Cartera_Polizas!$B$294+8-49))*(1+(Cartera_Polizas!$P$294-1)*MAX(0,1-8/Supuestos!$C$20))*(1-Supuestos!$C$18)^8))</f>
        <v>0.486623110231474</v>
      </c>
      <c r="L292" s="29" t="n">
        <f aca="false">K292*(1-MIN(1,INDEX(Tabla_Mortalidad!$B$5:$B$75,MIN(71,Cartera_Polizas!$B$294+9-49))*(1+(Cartera_Polizas!$P$294-1)*MAX(0,1-9/Supuestos!$C$20))*(1-Supuestos!$C$18)^9))</f>
        <v>0.431846151045435</v>
      </c>
      <c r="M292" s="29" t="n">
        <f aca="false">L292*(1-MIN(1,INDEX(Tabla_Mortalidad!$B$5:$B$75,MIN(71,Cartera_Polizas!$B$294+10-49))*(1+(Cartera_Polizas!$P$294-1)*MAX(0,1-10/Supuestos!$C$20))*(1-Supuestos!$C$18)^10))</f>
        <v>0.379309428737085</v>
      </c>
      <c r="N292" s="29" t="n">
        <f aca="false">M292*(1-MIN(1,INDEX(Tabla_Mortalidad!$B$5:$B$75,MIN(71,Cartera_Polizas!$B$294+11-49))*(1+(Cartera_Polizas!$P$294-1)*MAX(0,1-11/Supuestos!$C$20))*(1-Supuestos!$C$18)^11))</f>
        <v>0.329495275898147</v>
      </c>
      <c r="O292" s="29" t="n">
        <f aca="false">N292*(1-MIN(1,INDEX(Tabla_Mortalidad!$B$5:$B$75,MIN(71,Cartera_Polizas!$B$294+12-49))*(1+(Cartera_Polizas!$P$294-1)*MAX(0,1-12/Supuestos!$C$20))*(1-Supuestos!$C$18)^12))</f>
        <v>0.282841369187005</v>
      </c>
      <c r="P292" s="29" t="n">
        <f aca="false">O292*(1-MIN(1,INDEX(Tabla_Mortalidad!$B$5:$B$75,MIN(71,Cartera_Polizas!$B$294+13-49))*(1+(Cartera_Polizas!$P$294-1)*MAX(0,1-13/Supuestos!$C$20))*(1-Supuestos!$C$18)^13))</f>
        <v>0.239722470354002</v>
      </c>
      <c r="Q292" s="29" t="n">
        <f aca="false">P292*(1-MIN(1,INDEX(Tabla_Mortalidad!$B$5:$B$75,MIN(71,Cartera_Polizas!$B$294+14-49))*(1+(Cartera_Polizas!$P$294-1)*MAX(0,1-14/Supuestos!$C$20))*(1-Supuestos!$C$18)^14))</f>
        <v>0.200433345086754</v>
      </c>
      <c r="R292" s="29" t="n">
        <f aca="false">Q292*(1-MIN(1,INDEX(Tabla_Mortalidad!$B$5:$B$75,MIN(71,Cartera_Polizas!$B$294+15-49))*(1+(Cartera_Polizas!$P$294-1)*MAX(0,1-15/Supuestos!$C$20))*(1-Supuestos!$C$18)^15))</f>
        <v>0.165174051036582</v>
      </c>
      <c r="S292" s="29" t="n">
        <f aca="false">R292*(1-MIN(1,INDEX(Tabla_Mortalidad!$B$5:$B$75,MIN(71,Cartera_Polizas!$B$294+16-49))*(1+(Cartera_Polizas!$P$294-1)*MAX(0,1-16/Supuestos!$C$20))*(1-Supuestos!$C$18)^16))</f>
        <v>0.133278593218622</v>
      </c>
      <c r="T292" s="29" t="n">
        <f aca="false">S292*(1-MIN(1,INDEX(Tabla_Mortalidad!$B$5:$B$75,MIN(71,Cartera_Polizas!$B$294+17-49))*(1+(Cartera_Polizas!$P$294-1)*MAX(0,1-17/Supuestos!$C$20))*(1-Supuestos!$C$18)^17))</f>
        <v>0.105064928591187</v>
      </c>
      <c r="U292" s="29" t="n">
        <f aca="false">T292*(1-MIN(1,INDEX(Tabla_Mortalidad!$B$5:$B$75,MIN(71,Cartera_Polizas!$B$294+18-49))*(1+(Cartera_Polizas!$P$294-1)*MAX(0,1-18/Supuestos!$C$20))*(1-Supuestos!$C$18)^18))</f>
        <v>0.080718161027479</v>
      </c>
      <c r="V292" s="29" t="n">
        <f aca="false">U292*(1-MIN(1,INDEX(Tabla_Mortalidad!$B$5:$B$75,MIN(71,Cartera_Polizas!$B$294+19-49))*(1+(Cartera_Polizas!$P$294-1)*MAX(0,1-19/Supuestos!$C$20))*(1-Supuestos!$C$18)^19))</f>
        <v>0.0602751107687967</v>
      </c>
      <c r="W292" s="29" t="n">
        <f aca="false">V292*(1-MIN(1,INDEX(Tabla_Mortalidad!$B$5:$B$75,MIN(71,Cartera_Polizas!$B$294+20-49))*(1+(Cartera_Polizas!$P$294-1)*MAX(0,1-20/Supuestos!$C$20))*(1-Supuestos!$C$18)^20))</f>
        <v>0.0436204067913291</v>
      </c>
      <c r="X292" s="29" t="n">
        <f aca="false">W292*(1-MIN(1,INDEX(Tabla_Mortalidad!$B$5:$B$75,MIN(71,Cartera_Polizas!$B$294+21-49))*(1+(Cartera_Polizas!$P$294-1)*MAX(0,1-21/Supuestos!$C$20))*(1-Supuestos!$C$18)^21))</f>
        <v>0.0304962379657644</v>
      </c>
      <c r="Y292" s="29" t="n">
        <f aca="false">X292*(1-MIN(1,INDEX(Tabla_Mortalidad!$B$5:$B$75,MIN(71,Cartera_Polizas!$B$294+22-49))*(1+(Cartera_Polizas!$P$294-1)*MAX(0,1-22/Supuestos!$C$20))*(1-Supuestos!$C$18)^22))</f>
        <v>0.0205264715748877</v>
      </c>
      <c r="Z292" s="29" t="n">
        <f aca="false">Y292*(1-MIN(1,INDEX(Tabla_Mortalidad!$B$5:$B$75,MIN(71,Cartera_Polizas!$B$294+23-49))*(1+(Cartera_Polizas!$P$294-1)*MAX(0,1-23/Supuestos!$C$20))*(1-Supuestos!$C$18)^23))</f>
        <v>0.0132521031968905</v>
      </c>
      <c r="AA292" s="29" t="n">
        <f aca="false">Z292*(1-MIN(1,INDEX(Tabla_Mortalidad!$B$5:$B$75,MIN(71,Cartera_Polizas!$B$294+24-49))*(1+(Cartera_Polizas!$P$294-1)*MAX(0,1-24/Supuestos!$C$20))*(1-Supuestos!$C$18)^24))</f>
        <v>0.00817402490200502</v>
      </c>
      <c r="AB292" s="29" t="n">
        <f aca="false">AA292*(1-MIN(1,INDEX(Tabla_Mortalidad!$B$5:$B$75,MIN(71,Cartera_Polizas!$B$294+25-49))*(1+(Cartera_Polizas!$P$294-1)*MAX(0,1-25/Supuestos!$C$20))*(1-Supuestos!$C$18)^25))</f>
        <v>0.00479668923338426</v>
      </c>
      <c r="AC292" s="29" t="n">
        <f aca="false">AB292*(1-MIN(1,INDEX(Tabla_Mortalidad!$B$5:$B$75,MIN(71,Cartera_Polizas!$B$294+26-49))*(1+(Cartera_Polizas!$P$294-1)*MAX(0,1-26/Supuestos!$C$20))*(1-Supuestos!$C$18)^26))</f>
        <v>0.00266615799075681</v>
      </c>
      <c r="AD292" s="29" t="n">
        <f aca="false">AC292*(1-MIN(1,INDEX(Tabla_Mortalidad!$B$5:$B$75,MIN(71,Cartera_Polizas!$B$294+27-49))*(1+(Cartera_Polizas!$P$294-1)*MAX(0,1-27/Supuestos!$C$20))*(1-Supuestos!$C$18)^27))</f>
        <v>0.00139729272841464</v>
      </c>
      <c r="AE292" s="29" t="n">
        <f aca="false">AD292*(1-MIN(1,INDEX(Tabla_Mortalidad!$B$5:$B$75,MIN(71,Cartera_Polizas!$B$294+28-49))*(1+(Cartera_Polizas!$P$294-1)*MAX(0,1-28/Supuestos!$C$20))*(1-Supuestos!$C$18)^28))</f>
        <v>0.000687283844829574</v>
      </c>
      <c r="AF292" s="29" t="n">
        <f aca="false">AE292*(1-MIN(1,INDEX(Tabla_Mortalidad!$B$5:$B$75,MIN(71,Cartera_Polizas!$B$294+29-49))*(1+(Cartera_Polizas!$P$294-1)*MAX(0,1-29/Supuestos!$C$20))*(1-Supuestos!$C$18)^29))</f>
        <v>0.000315825166468096</v>
      </c>
      <c r="AG292" s="29" t="n">
        <f aca="false">AF292*(1-MIN(1,INDEX(Tabla_Mortalidad!$B$5:$B$75,MIN(71,Cartera_Polizas!$B$294+30-49))*(1+(Cartera_Polizas!$P$294-1)*MAX(0,1-30/Supuestos!$C$20))*(1-Supuestos!$C$18)^30))</f>
        <v>0.000135000426747651</v>
      </c>
      <c r="AH292" s="29" t="n">
        <f aca="false">AG292*(1-MIN(1,INDEX(Tabla_Mortalidad!$B$5:$B$75,MIN(71,Cartera_Polizas!$B$294+31-49))*(1+(Cartera_Polizas!$P$294-1)*MAX(0,1-31/Supuestos!$C$20))*(1-Supuestos!$C$18)^31))</f>
        <v>5.34705318887135E-005</v>
      </c>
      <c r="AI292" s="29" t="n">
        <f aca="false">AH292*(1-MIN(1,INDEX(Tabla_Mortalidad!$B$5:$B$75,MIN(71,Cartera_Polizas!$B$294+32-49))*(1+(Cartera_Polizas!$P$294-1)*MAX(0,1-32/Supuestos!$C$20))*(1-Supuestos!$C$18)^32))</f>
        <v>1.9562451315438E-005</v>
      </c>
      <c r="AJ292" s="29" t="n">
        <f aca="false">AI292*(1-MIN(1,INDEX(Tabla_Mortalidad!$B$5:$B$75,MIN(71,Cartera_Polizas!$B$294+33-49))*(1+(Cartera_Polizas!$P$294-1)*MAX(0,1-33/Supuestos!$C$20))*(1-Supuestos!$C$18)^33))</f>
        <v>6.5975090420488E-006</v>
      </c>
      <c r="AK292" s="29" t="n">
        <f aca="false">AJ292*(1-MIN(1,INDEX(Tabla_Mortalidad!$B$5:$B$75,MIN(71,Cartera_Polizas!$B$294+34-49))*(1+(Cartera_Polizas!$P$294-1)*MAX(0,1-34/Supuestos!$C$20))*(1-Supuestos!$C$18)^34))</f>
        <v>2.05000244502805E-006</v>
      </c>
      <c r="AL292" s="29" t="n">
        <f aca="false">AK292*(1-MIN(1,INDEX(Tabla_Mortalidad!$B$5:$B$75,MIN(71,Cartera_Polizas!$B$294+35-49))*(1+(Cartera_Polizas!$P$294-1)*MAX(0,1-35/Supuestos!$C$20))*(1-Supuestos!$C$18)^35))</f>
        <v>5.87690982225578E-007</v>
      </c>
      <c r="AM292" s="29" t="n">
        <f aca="false">AL292*(1-MIN(1,INDEX(Tabla_Mortalidad!$B$5:$B$75,MIN(71,Cartera_Polizas!$B$294+36-49))*(1+(Cartera_Polizas!$P$294-1)*MAX(0,1-36/Supuestos!$C$20))*(1-Supuestos!$C$18)^36))</f>
        <v>1.56010993411061E-007</v>
      </c>
      <c r="AN292" s="29" t="n">
        <f aca="false">AM292*(1-MIN(1,INDEX(Tabla_Mortalidad!$B$5:$B$75,MIN(71,Cartera_Polizas!$B$294+37-49))*(1+(Cartera_Polizas!$P$294-1)*MAX(0,1-37/Supuestos!$C$20))*(1-Supuestos!$C$18)^37))</f>
        <v>3.85868177823497E-008</v>
      </c>
      <c r="AO292" s="29" t="n">
        <f aca="false">AN292*(1-MIN(1,INDEX(Tabla_Mortalidad!$B$5:$B$75,MIN(71,Cartera_Polizas!$B$294+38-49))*(1+(Cartera_Polizas!$P$294-1)*MAX(0,1-38/Supuestos!$C$20))*(1-Supuestos!$C$18)^38))</f>
        <v>8.96858037420365E-009</v>
      </c>
      <c r="AP292" s="29" t="n">
        <f aca="false">AO292*(1-MIN(1,INDEX(Tabla_Mortalidad!$B$5:$B$75,MIN(71,Cartera_Polizas!$B$294+39-49))*(1+(Cartera_Polizas!$P$294-1)*MAX(0,1-39/Supuestos!$C$20))*(1-Supuestos!$C$18)^39))</f>
        <v>1.97980247748329E-009</v>
      </c>
      <c r="AQ292" s="29" t="n">
        <f aca="false">AP292*(1-MIN(1,INDEX(Tabla_Mortalidad!$B$5:$B$75,MIN(71,Cartera_Polizas!$B$294+40-49))*(1+(Cartera_Polizas!$P$294-1)*MAX(0,1-40/Supuestos!$C$20))*(1-Supuestos!$C$18)^40))</f>
        <v>3.59690274508174E-010</v>
      </c>
      <c r="AR292" s="29" t="n">
        <f aca="false">AQ292*(1-MIN(1,INDEX(Tabla_Mortalidad!$B$5:$B$75,MIN(71,Cartera_Polizas!$B$294+41-49))*(1+(Cartera_Polizas!$P$294-1)*MAX(0,1-41/Supuestos!$C$20))*(1-Supuestos!$C$18)^41))</f>
        <v>6.68201944867971E-011</v>
      </c>
      <c r="AS292" s="29" t="n">
        <f aca="false">AR292*(1-MIN(1,INDEX(Tabla_Mortalidad!$B$5:$B$75,MIN(71,Cartera_Polizas!$B$294+42-49))*(1+(Cartera_Polizas!$P$294-1)*MAX(0,1-42/Supuestos!$C$20))*(1-Supuestos!$C$18)^42))</f>
        <v>1.26853209362536E-011</v>
      </c>
      <c r="AT292" s="29" t="n">
        <f aca="false">AS292*(1-MIN(1,INDEX(Tabla_Mortalidad!$B$5:$B$75,MIN(71,Cartera_Polizas!$B$294+43-49))*(1+(Cartera_Polizas!$P$294-1)*MAX(0,1-43/Supuestos!$C$20))*(1-Supuestos!$C$18)^43))</f>
        <v>2.45960012152298E-012</v>
      </c>
      <c r="AU292" s="29" t="n">
        <f aca="false">AT292*(1-MIN(1,INDEX(Tabla_Mortalidad!$B$5:$B$75,MIN(71,Cartera_Polizas!$B$294+44-49))*(1+(Cartera_Polizas!$P$294-1)*MAX(0,1-44/Supuestos!$C$20))*(1-Supuestos!$C$18)^44))</f>
        <v>4.86813751864958E-013</v>
      </c>
    </row>
    <row r="293" customFormat="false" ht="15" hidden="false" customHeight="false" outlineLevel="0" collapsed="false">
      <c r="A293" s="14" t="n">
        <f aca="false">Cartera_Polizas!A295</f>
        <v>290</v>
      </c>
      <c r="B293" s="26" t="n">
        <f aca="false">SUM(C293:AU293)+0.5</f>
        <v>8.34879070313288</v>
      </c>
      <c r="C293" s="29" t="n">
        <f aca="false">1-MIN(1,INDEX(Tabla_Mortalidad!$B$5:$B$75,MIN(71,Cartera_Polizas!$B$295+0-49))*(1+(Cartera_Polizas!$P$295-1)*MAX(0,1-0/Supuestos!$C$20))*(1-Supuestos!$C$18)^0)</f>
        <v>0.931321802</v>
      </c>
      <c r="D293" s="29" t="n">
        <f aca="false">C293*(1-MIN(1,INDEX(Tabla_Mortalidad!$B$5:$B$75,MIN(71,Cartera_Polizas!$B$295+1-49))*(1+(Cartera_Polizas!$P$295-1)*MAX(0,1-1/Supuestos!$C$20))*(1-Supuestos!$C$18)^1))</f>
        <v>0.862156120628925</v>
      </c>
      <c r="E293" s="29" t="n">
        <f aca="false">D293*(1-MIN(1,INDEX(Tabla_Mortalidad!$B$5:$B$75,MIN(71,Cartera_Polizas!$B$295+2-49))*(1+(Cartera_Polizas!$P$295-1)*MAX(0,1-2/Supuestos!$C$20))*(1-Supuestos!$C$18)^2))</f>
        <v>0.792978725829878</v>
      </c>
      <c r="F293" s="29" t="n">
        <f aca="false">E293*(1-MIN(1,INDEX(Tabla_Mortalidad!$B$5:$B$75,MIN(71,Cartera_Polizas!$B$295+3-49))*(1+(Cartera_Polizas!$P$295-1)*MAX(0,1-3/Supuestos!$C$20))*(1-Supuestos!$C$18)^3))</f>
        <v>0.724303306041951</v>
      </c>
      <c r="G293" s="29" t="n">
        <f aca="false">F293*(1-MIN(1,INDEX(Tabla_Mortalidad!$B$5:$B$75,MIN(71,Cartera_Polizas!$B$295+4-49))*(1+(Cartera_Polizas!$P$295-1)*MAX(0,1-4/Supuestos!$C$20))*(1-Supuestos!$C$18)^4))</f>
        <v>0.656668435033275</v>
      </c>
      <c r="H293" s="29" t="n">
        <f aca="false">G293*(1-MIN(1,INDEX(Tabla_Mortalidad!$B$5:$B$75,MIN(71,Cartera_Polizas!$B$295+5-49))*(1+(Cartera_Polizas!$P$295-1)*MAX(0,1-5/Supuestos!$C$20))*(1-Supuestos!$C$18)^5))</f>
        <v>0.590624746910903</v>
      </c>
      <c r="I293" s="29" t="n">
        <f aca="false">H293*(1-MIN(1,INDEX(Tabla_Mortalidad!$B$5:$B$75,MIN(71,Cartera_Polizas!$B$295+6-49))*(1+(Cartera_Polizas!$P$295-1)*MAX(0,1-6/Supuestos!$C$20))*(1-Supuestos!$C$18)^6))</f>
        <v>0.526724342852357</v>
      </c>
      <c r="J293" s="29" t="n">
        <f aca="false">I293*(1-MIN(1,INDEX(Tabla_Mortalidad!$B$5:$B$75,MIN(71,Cartera_Polizas!$B$295+7-49))*(1+(Cartera_Polizas!$P$295-1)*MAX(0,1-7/Supuestos!$C$20))*(1-Supuestos!$C$18)^7))</f>
        <v>0.465499060260549</v>
      </c>
      <c r="K293" s="29" t="n">
        <f aca="false">J293*(1-MIN(1,INDEX(Tabla_Mortalidad!$B$5:$B$75,MIN(71,Cartera_Polizas!$B$295+8-49))*(1+(Cartera_Polizas!$P$295-1)*MAX(0,1-8/Supuestos!$C$20))*(1-Supuestos!$C$18)^8))</f>
        <v>0.407447870635603</v>
      </c>
      <c r="L293" s="29" t="n">
        <f aca="false">K293*(1-MIN(1,INDEX(Tabla_Mortalidad!$B$5:$B$75,MIN(71,Cartera_Polizas!$B$295+9-49))*(1+(Cartera_Polizas!$P$295-1)*MAX(0,1-9/Supuestos!$C$20))*(1-Supuestos!$C$18)^9))</f>
        <v>0.353015623050586</v>
      </c>
      <c r="M293" s="29" t="n">
        <f aca="false">L293*(1-MIN(1,INDEX(Tabla_Mortalidad!$B$5:$B$75,MIN(71,Cartera_Polizas!$B$295+10-49))*(1+(Cartera_Polizas!$P$295-1)*MAX(0,1-10/Supuestos!$C$20))*(1-Supuestos!$C$18)^10))</f>
        <v>0.302577069782806</v>
      </c>
      <c r="N293" s="29" t="n">
        <f aca="false">M293*(1-MIN(1,INDEX(Tabla_Mortalidad!$B$5:$B$75,MIN(71,Cartera_Polizas!$B$295+11-49))*(1+(Cartera_Polizas!$P$295-1)*MAX(0,1-11/Supuestos!$C$20))*(1-Supuestos!$C$18)^11))</f>
        <v>0.256421623720409</v>
      </c>
      <c r="O293" s="29" t="n">
        <f aca="false">N293*(1-MIN(1,INDEX(Tabla_Mortalidad!$B$5:$B$75,MIN(71,Cartera_Polizas!$B$295+12-49))*(1+(Cartera_Polizas!$P$295-1)*MAX(0,1-12/Supuestos!$C$20))*(1-Supuestos!$C$18)^12))</f>
        <v>0.214741745672786</v>
      </c>
      <c r="P293" s="29" t="n">
        <f aca="false">O293*(1-MIN(1,INDEX(Tabla_Mortalidad!$B$5:$B$75,MIN(71,Cartera_Polizas!$B$295+13-49))*(1+(Cartera_Polizas!$P$295-1)*MAX(0,1-13/Supuestos!$C$20))*(1-Supuestos!$C$18)^13))</f>
        <v>0.177625377803217</v>
      </c>
      <c r="Q293" s="29" t="n">
        <f aca="false">P293*(1-MIN(1,INDEX(Tabla_Mortalidad!$B$5:$B$75,MIN(71,Cartera_Polizas!$B$295+14-49))*(1+(Cartera_Polizas!$P$295-1)*MAX(0,1-14/Supuestos!$C$20))*(1-Supuestos!$C$18)^14))</f>
        <v>0.145053103748645</v>
      </c>
      <c r="R293" s="29" t="n">
        <f aca="false">Q293*(1-MIN(1,INDEX(Tabla_Mortalidad!$B$5:$B$75,MIN(71,Cartera_Polizas!$B$295+15-49))*(1+(Cartera_Polizas!$P$295-1)*MAX(0,1-15/Supuestos!$C$20))*(1-Supuestos!$C$18)^15))</f>
        <v>0.116902289240191</v>
      </c>
      <c r="S293" s="29" t="n">
        <f aca="false">R293*(1-MIN(1,INDEX(Tabla_Mortalidad!$B$5:$B$75,MIN(71,Cartera_Polizas!$B$295+16-49))*(1+(Cartera_Polizas!$P$295-1)*MAX(0,1-16/Supuestos!$C$20))*(1-Supuestos!$C$18)^16))</f>
        <v>0.0920309578202959</v>
      </c>
      <c r="T293" s="29" t="n">
        <f aca="false">S293*(1-MIN(1,INDEX(Tabla_Mortalidad!$B$5:$B$75,MIN(71,Cartera_Polizas!$B$295+17-49))*(1+(Cartera_Polizas!$P$295-1)*MAX(0,1-17/Supuestos!$C$20))*(1-Supuestos!$C$18)^17))</f>
        <v>0.0705973933711159</v>
      </c>
      <c r="U293" s="29" t="n">
        <f aca="false">T293*(1-MIN(1,INDEX(Tabla_Mortalidad!$B$5:$B$75,MIN(71,Cartera_Polizas!$B$295+18-49))*(1+(Cartera_Polizas!$P$295-1)*MAX(0,1-18/Supuestos!$C$20))*(1-Supuestos!$C$18)^18))</f>
        <v>0.0526277266366456</v>
      </c>
      <c r="V293" s="29" t="n">
        <f aca="false">U293*(1-MIN(1,INDEX(Tabla_Mortalidad!$B$5:$B$75,MIN(71,Cartera_Polizas!$B$295+19-49))*(1+(Cartera_Polizas!$P$295-1)*MAX(0,1-19/Supuestos!$C$20))*(1-Supuestos!$C$18)^19))</f>
        <v>0.0380130089606671</v>
      </c>
      <c r="W293" s="29" t="n">
        <f aca="false">V293*(1-MIN(1,INDEX(Tabla_Mortalidad!$B$5:$B$75,MIN(71,Cartera_Polizas!$B$295+20-49))*(1+(Cartera_Polizas!$P$295-1)*MAX(0,1-20/Supuestos!$C$20))*(1-Supuestos!$C$18)^20))</f>
        <v>0.0265184777380423</v>
      </c>
      <c r="X293" s="29" t="n">
        <f aca="false">W293*(1-MIN(1,INDEX(Tabla_Mortalidad!$B$5:$B$75,MIN(71,Cartera_Polizas!$B$295+21-49))*(1+(Cartera_Polizas!$P$295-1)*MAX(0,1-21/Supuestos!$C$20))*(1-Supuestos!$C$18)^21))</f>
        <v>0.0178055477589957</v>
      </c>
      <c r="Y293" s="29" t="n">
        <f aca="false">X293*(1-MIN(1,INDEX(Tabla_Mortalidad!$B$5:$B$75,MIN(71,Cartera_Polizas!$B$295+22-49))*(1+(Cartera_Polizas!$P$295-1)*MAX(0,1-22/Supuestos!$C$20))*(1-Supuestos!$C$18)^22))</f>
        <v>0.0114637374756939</v>
      </c>
      <c r="Z293" s="29" t="n">
        <f aca="false">Y293*(1-MIN(1,INDEX(Tabla_Mortalidad!$B$5:$B$75,MIN(71,Cartera_Polizas!$B$295+23-49))*(1+(Cartera_Polizas!$P$295-1)*MAX(0,1-23/Supuestos!$C$20))*(1-Supuestos!$C$18)^23))</f>
        <v>0.00704886935824824</v>
      </c>
      <c r="AA293" s="29" t="n">
        <f aca="false">Z293*(1-MIN(1,INDEX(Tabla_Mortalidad!$B$5:$B$75,MIN(71,Cartera_Polizas!$B$295+24-49))*(1+(Cartera_Polizas!$P$295-1)*MAX(0,1-24/Supuestos!$C$20))*(1-Supuestos!$C$18)^24))</f>
        <v>0.00412178896222115</v>
      </c>
      <c r="AB293" s="29" t="n">
        <f aca="false">AA293*(1-MIN(1,INDEX(Tabla_Mortalidad!$B$5:$B$75,MIN(71,Cartera_Polizas!$B$295+25-49))*(1+(Cartera_Polizas!$P$295-1)*MAX(0,1-25/Supuestos!$C$20))*(1-Supuestos!$C$18)^25))</f>
        <v>0.00228182636007443</v>
      </c>
      <c r="AC293" s="29" t="n">
        <f aca="false">AB293*(1-MIN(1,INDEX(Tabla_Mortalidad!$B$5:$B$75,MIN(71,Cartera_Polizas!$B$295+26-49))*(1+(Cartera_Polizas!$P$295-1)*MAX(0,1-26/Supuestos!$C$20))*(1-Supuestos!$C$18)^26))</f>
        <v>0.00119041331887872</v>
      </c>
      <c r="AD293" s="29" t="n">
        <f aca="false">AC293*(1-MIN(1,INDEX(Tabla_Mortalidad!$B$5:$B$75,MIN(71,Cartera_Polizas!$B$295+27-49))*(1+(Cartera_Polizas!$P$295-1)*MAX(0,1-27/Supuestos!$C$20))*(1-Supuestos!$C$18)^27))</f>
        <v>0.000582486811635272</v>
      </c>
      <c r="AE293" s="29" t="n">
        <f aca="false">AD293*(1-MIN(1,INDEX(Tabla_Mortalidad!$B$5:$B$75,MIN(71,Cartera_Polizas!$B$295+28-49))*(1+(Cartera_Polizas!$P$295-1)*MAX(0,1-28/Supuestos!$C$20))*(1-Supuestos!$C$18)^28))</f>
        <v>0.00026608614518329</v>
      </c>
      <c r="AF293" s="29" t="n">
        <f aca="false">AE293*(1-MIN(1,INDEX(Tabla_Mortalidad!$B$5:$B$75,MIN(71,Cartera_Polizas!$B$295+29-49))*(1+(Cartera_Polizas!$P$295-1)*MAX(0,1-29/Supuestos!$C$20))*(1-Supuestos!$C$18)^29))</f>
        <v>0.000112973769133482</v>
      </c>
      <c r="AG293" s="29" t="n">
        <f aca="false">AF293*(1-MIN(1,INDEX(Tabla_Mortalidad!$B$5:$B$75,MIN(71,Cartera_Polizas!$B$295+30-49))*(1+(Cartera_Polizas!$P$295-1)*MAX(0,1-30/Supuestos!$C$20))*(1-Supuestos!$C$18)^30))</f>
        <v>4.44034329834583E-005</v>
      </c>
      <c r="AH293" s="29" t="n">
        <f aca="false">AG293*(1-MIN(1,INDEX(Tabla_Mortalidad!$B$5:$B$75,MIN(71,Cartera_Polizas!$B$295+31-49))*(1+(Cartera_Polizas!$P$295-1)*MAX(0,1-31/Supuestos!$C$20))*(1-Supuestos!$C$18)^31))</f>
        <v>1.61037109528468E-005</v>
      </c>
      <c r="AI293" s="29" t="n">
        <f aca="false">AH293*(1-MIN(1,INDEX(Tabla_Mortalidad!$B$5:$B$75,MIN(71,Cartera_Polizas!$B$295+32-49))*(1+(Cartera_Polizas!$P$295-1)*MAX(0,1-32/Supuestos!$C$20))*(1-Supuestos!$C$18)^32))</f>
        <v>5.37740453331109E-006</v>
      </c>
      <c r="AJ293" s="29" t="n">
        <f aca="false">AI293*(1-MIN(1,INDEX(Tabla_Mortalidad!$B$5:$B$75,MIN(71,Cartera_Polizas!$B$295+33-49))*(1+(Cartera_Polizas!$P$295-1)*MAX(0,1-33/Supuestos!$C$20))*(1-Supuestos!$C$18)^33))</f>
        <v>1.6522613371378E-006</v>
      </c>
      <c r="AK293" s="29" t="n">
        <f aca="false">AJ293*(1-MIN(1,INDEX(Tabla_Mortalidad!$B$5:$B$75,MIN(71,Cartera_Polizas!$B$295+34-49))*(1+(Cartera_Polizas!$P$295-1)*MAX(0,1-34/Supuestos!$C$20))*(1-Supuestos!$C$18)^34))</f>
        <v>4.67744699733008E-007</v>
      </c>
      <c r="AL293" s="29" t="n">
        <f aca="false">AK293*(1-MIN(1,INDEX(Tabla_Mortalidad!$B$5:$B$75,MIN(71,Cartera_Polizas!$B$295+35-49))*(1+(Cartera_Polizas!$P$295-1)*MAX(0,1-35/Supuestos!$C$20))*(1-Supuestos!$C$18)^35))</f>
        <v>1.22443025405717E-007</v>
      </c>
      <c r="AM293" s="29" t="n">
        <f aca="false">AL293*(1-MIN(1,INDEX(Tabla_Mortalidad!$B$5:$B$75,MIN(71,Cartera_Polizas!$B$295+36-49))*(1+(Cartera_Polizas!$P$295-1)*MAX(0,1-36/Supuestos!$C$20))*(1-Supuestos!$C$18)^36))</f>
        <v>2.98212100390724E-008</v>
      </c>
      <c r="AN293" s="29" t="n">
        <f aca="false">AM293*(1-MIN(1,INDEX(Tabla_Mortalidad!$B$5:$B$75,MIN(71,Cartera_Polizas!$B$295+37-49))*(1+(Cartera_Polizas!$P$295-1)*MAX(0,1-37/Supuestos!$C$20))*(1-Supuestos!$C$18)^37))</f>
        <v>6.81620002789724E-009</v>
      </c>
      <c r="AO293" s="29" t="n">
        <f aca="false">AN293*(1-MIN(1,INDEX(Tabla_Mortalidad!$B$5:$B$75,MIN(71,Cartera_Polizas!$B$295+38-49))*(1+(Cartera_Polizas!$P$295-1)*MAX(0,1-38/Supuestos!$C$20))*(1-Supuestos!$C$18)^38))</f>
        <v>1.4779761903754E-009</v>
      </c>
      <c r="AP293" s="29" t="n">
        <f aca="false">AO293*(1-MIN(1,INDEX(Tabla_Mortalidad!$B$5:$B$75,MIN(71,Cartera_Polizas!$B$295+39-49))*(1+(Cartera_Polizas!$P$295-1)*MAX(0,1-39/Supuestos!$C$20))*(1-Supuestos!$C$18)^39))</f>
        <v>2.62440858740598E-010</v>
      </c>
      <c r="AQ293" s="29" t="n">
        <f aca="false">AP293*(1-MIN(1,INDEX(Tabla_Mortalidad!$B$5:$B$75,MIN(71,Cartera_Polizas!$B$295+40-49))*(1+(Cartera_Polizas!$P$295-1)*MAX(0,1-40/Supuestos!$C$20))*(1-Supuestos!$C$18)^40))</f>
        <v>4.76802234546973E-011</v>
      </c>
      <c r="AR293" s="29" t="n">
        <f aca="false">AQ293*(1-MIN(1,INDEX(Tabla_Mortalidad!$B$5:$B$75,MIN(71,Cartera_Polizas!$B$295+41-49))*(1+(Cartera_Polizas!$P$295-1)*MAX(0,1-41/Supuestos!$C$20))*(1-Supuestos!$C$18)^41))</f>
        <v>8.85762565800043E-012</v>
      </c>
      <c r="AS293" s="29" t="n">
        <f aca="false">AR293*(1-MIN(1,INDEX(Tabla_Mortalidad!$B$5:$B$75,MIN(71,Cartera_Polizas!$B$295+42-49))*(1+(Cartera_Polizas!$P$295-1)*MAX(0,1-42/Supuestos!$C$20))*(1-Supuestos!$C$18)^42))</f>
        <v>1.68155488124375E-012</v>
      </c>
      <c r="AT293" s="29" t="n">
        <f aca="false">AS293*(1-MIN(1,INDEX(Tabla_Mortalidad!$B$5:$B$75,MIN(71,Cartera_Polizas!$B$295+43-49))*(1+(Cartera_Polizas!$P$295-1)*MAX(0,1-43/Supuestos!$C$20))*(1-Supuestos!$C$18)^43))</f>
        <v>3.2604240846871E-013</v>
      </c>
      <c r="AU293" s="29" t="n">
        <f aca="false">AT293*(1-MIN(1,INDEX(Tabla_Mortalidad!$B$5:$B$75,MIN(71,Cartera_Polizas!$B$295+44-49))*(1+(Cartera_Polizas!$P$295-1)*MAX(0,1-44/Supuestos!$C$20))*(1-Supuestos!$C$18)^44))</f>
        <v>6.45315987525075E-014</v>
      </c>
    </row>
    <row r="294" customFormat="false" ht="15" hidden="false" customHeight="false" outlineLevel="0" collapsed="false">
      <c r="A294" s="14" t="n">
        <f aca="false">Cartera_Polizas!A296</f>
        <v>291</v>
      </c>
      <c r="B294" s="26" t="n">
        <f aca="false">SUM(C294:AU294)+0.5</f>
        <v>12.980408353554</v>
      </c>
      <c r="C294" s="29" t="n">
        <f aca="false">1-MIN(1,INDEX(Tabla_Mortalidad!$B$5:$B$75,MIN(71,Cartera_Polizas!$B$296+0-49))*(1+(Cartera_Polizas!$P$296-1)*MAX(0,1-0/Supuestos!$C$20))*(1-Supuestos!$C$18)^0)</f>
        <v>0.965234269</v>
      </c>
      <c r="D294" s="29" t="n">
        <f aca="false">C294*(1-MIN(1,INDEX(Tabla_Mortalidad!$B$5:$B$75,MIN(71,Cartera_Polizas!$B$296+1-49))*(1+(Cartera_Polizas!$P$296-1)*MAX(0,1-1/Supuestos!$C$20))*(1-Supuestos!$C$18)^1))</f>
        <v>0.929013310975062</v>
      </c>
      <c r="E294" s="29" t="n">
        <f aca="false">D294*(1-MIN(1,INDEX(Tabla_Mortalidad!$B$5:$B$75,MIN(71,Cartera_Polizas!$B$296+2-49))*(1+(Cartera_Polizas!$P$296-1)*MAX(0,1-2/Supuestos!$C$20))*(1-Supuestos!$C$18)^2))</f>
        <v>0.891420618942161</v>
      </c>
      <c r="F294" s="29" t="n">
        <f aca="false">E294*(1-MIN(1,INDEX(Tabla_Mortalidad!$B$5:$B$75,MIN(71,Cartera_Polizas!$B$296+3-49))*(1+(Cartera_Polizas!$P$296-1)*MAX(0,1-3/Supuestos!$C$20))*(1-Supuestos!$C$18)^3))</f>
        <v>0.852561060445562</v>
      </c>
      <c r="G294" s="29" t="n">
        <f aca="false">F294*(1-MIN(1,INDEX(Tabla_Mortalidad!$B$5:$B$75,MIN(71,Cartera_Polizas!$B$296+4-49))*(1+(Cartera_Polizas!$P$296-1)*MAX(0,1-4/Supuestos!$C$20))*(1-Supuestos!$C$18)^4))</f>
        <v>0.81256400078877</v>
      </c>
      <c r="H294" s="29" t="n">
        <f aca="false">G294*(1-MIN(1,INDEX(Tabla_Mortalidad!$B$5:$B$75,MIN(71,Cartera_Polizas!$B$296+5-49))*(1+(Cartera_Polizas!$P$296-1)*MAX(0,1-5/Supuestos!$C$20))*(1-Supuestos!$C$18)^5))</f>
        <v>0.771584436731328</v>
      </c>
      <c r="I294" s="29" t="n">
        <f aca="false">H294*(1-MIN(1,INDEX(Tabla_Mortalidad!$B$5:$B$75,MIN(71,Cartera_Polizas!$B$296+6-49))*(1+(Cartera_Polizas!$P$296-1)*MAX(0,1-6/Supuestos!$C$20))*(1-Supuestos!$C$18)^6))</f>
        <v>0.729803595086582</v>
      </c>
      <c r="J294" s="29" t="n">
        <f aca="false">I294*(1-MIN(1,INDEX(Tabla_Mortalidad!$B$5:$B$75,MIN(71,Cartera_Polizas!$B$296+7-49))*(1+(Cartera_Polizas!$P$296-1)*MAX(0,1-7/Supuestos!$C$20))*(1-Supuestos!$C$18)^7))</f>
        <v>0.687427759993574</v>
      </c>
      <c r="K294" s="29" t="n">
        <f aca="false">J294*(1-MIN(1,INDEX(Tabla_Mortalidad!$B$5:$B$75,MIN(71,Cartera_Polizas!$B$296+8-49))*(1+(Cartera_Polizas!$P$296-1)*MAX(0,1-8/Supuestos!$C$20))*(1-Supuestos!$C$18)^8))</f>
        <v>0.644684819001968</v>
      </c>
      <c r="L294" s="29" t="n">
        <f aca="false">K294*(1-MIN(1,INDEX(Tabla_Mortalidad!$B$5:$B$75,MIN(71,Cartera_Polizas!$B$296+9-49))*(1+(Cartera_Polizas!$P$296-1)*MAX(0,1-9/Supuestos!$C$20))*(1-Supuestos!$C$18)^9))</f>
        <v>0.601823345130155</v>
      </c>
      <c r="M294" s="29" t="n">
        <f aca="false">L294*(1-MIN(1,INDEX(Tabla_Mortalidad!$B$5:$B$75,MIN(71,Cartera_Polizas!$B$296+10-49))*(1+(Cartera_Polizas!$P$296-1)*MAX(0,1-10/Supuestos!$C$20))*(1-Supuestos!$C$18)^10))</f>
        <v>0.55911011327231</v>
      </c>
      <c r="N294" s="29" t="n">
        <f aca="false">M294*(1-MIN(1,INDEX(Tabla_Mortalidad!$B$5:$B$75,MIN(71,Cartera_Polizas!$B$296+11-49))*(1+(Cartera_Polizas!$P$296-1)*MAX(0,1-11/Supuestos!$C$20))*(1-Supuestos!$C$18)^11))</f>
        <v>0.516823496416638</v>
      </c>
      <c r="O294" s="29" t="n">
        <f aca="false">N294*(1-MIN(1,INDEX(Tabla_Mortalidad!$B$5:$B$75,MIN(71,Cartera_Polizas!$B$296+12-49))*(1+(Cartera_Polizas!$P$296-1)*MAX(0,1-12/Supuestos!$C$20))*(1-Supuestos!$C$18)^12))</f>
        <v>0.475247512838023</v>
      </c>
      <c r="P294" s="29" t="n">
        <f aca="false">O294*(1-MIN(1,INDEX(Tabla_Mortalidad!$B$5:$B$75,MIN(71,Cartera_Polizas!$B$296+13-49))*(1+(Cartera_Polizas!$P$296-1)*MAX(0,1-13/Supuestos!$C$20))*(1-Supuestos!$C$18)^13))</f>
        <v>0.434667846451107</v>
      </c>
      <c r="Q294" s="29" t="n">
        <f aca="false">P294*(1-MIN(1,INDEX(Tabla_Mortalidad!$B$5:$B$75,MIN(71,Cartera_Polizas!$B$296+14-49))*(1+(Cartera_Polizas!$P$296-1)*MAX(0,1-14/Supuestos!$C$20))*(1-Supuestos!$C$18)^14))</f>
        <v>0.395361422363624</v>
      </c>
      <c r="R294" s="29" t="n">
        <f aca="false">Q294*(1-MIN(1,INDEX(Tabla_Mortalidad!$B$5:$B$75,MIN(71,Cartera_Polizas!$B$296+15-49))*(1+(Cartera_Polizas!$P$296-1)*MAX(0,1-15/Supuestos!$C$20))*(1-Supuestos!$C$18)^15))</f>
        <v>0.357592049242711</v>
      </c>
      <c r="S294" s="29" t="n">
        <f aca="false">R294*(1-MIN(1,INDEX(Tabla_Mortalidad!$B$5:$B$75,MIN(71,Cartera_Polizas!$B$296+16-49))*(1+(Cartera_Polizas!$P$296-1)*MAX(0,1-16/Supuestos!$C$20))*(1-Supuestos!$C$18)^16))</f>
        <v>0.319883817997508</v>
      </c>
      <c r="T294" s="29" t="n">
        <f aca="false">S294*(1-MIN(1,INDEX(Tabla_Mortalidad!$B$5:$B$75,MIN(71,Cartera_Polizas!$B$296+17-49))*(1+(Cartera_Polizas!$P$296-1)*MAX(0,1-17/Supuestos!$C$20))*(1-Supuestos!$C$18)^17))</f>
        <v>0.282675688126273</v>
      </c>
      <c r="U294" s="29" t="n">
        <f aca="false">T294*(1-MIN(1,INDEX(Tabla_Mortalidad!$B$5:$B$75,MIN(71,Cartera_Polizas!$B$296+18-49))*(1+(Cartera_Polizas!$P$296-1)*MAX(0,1-18/Supuestos!$C$20))*(1-Supuestos!$C$18)^18))</f>
        <v>0.246435325377251</v>
      </c>
      <c r="V294" s="29" t="n">
        <f aca="false">U294*(1-MIN(1,INDEX(Tabla_Mortalidad!$B$5:$B$75,MIN(71,Cartera_Polizas!$B$296+19-49))*(1+(Cartera_Polizas!$P$296-1)*MAX(0,1-19/Supuestos!$C$20))*(1-Supuestos!$C$18)^19))</f>
        <v>0.211642653378493</v>
      </c>
      <c r="W294" s="29" t="n">
        <f aca="false">V294*(1-MIN(1,INDEX(Tabla_Mortalidad!$B$5:$B$75,MIN(71,Cartera_Polizas!$B$296+20-49))*(1+(Cartera_Polizas!$P$296-1)*MAX(0,1-20/Supuestos!$C$20))*(1-Supuestos!$C$18)^20))</f>
        <v>0.178769016437455</v>
      </c>
      <c r="X294" s="29" t="n">
        <f aca="false">W294*(1-MIN(1,INDEX(Tabla_Mortalidad!$B$5:$B$75,MIN(71,Cartera_Polizas!$B$296+21-49))*(1+(Cartera_Polizas!$P$296-1)*MAX(0,1-21/Supuestos!$C$20))*(1-Supuestos!$C$18)^21))</f>
        <v>0.148252540936595</v>
      </c>
      <c r="Y294" s="29" t="n">
        <f aca="false">X294*(1-MIN(1,INDEX(Tabla_Mortalidad!$B$5:$B$75,MIN(71,Cartera_Polizas!$B$296+22-49))*(1+(Cartera_Polizas!$P$296-1)*MAX(0,1-22/Supuestos!$C$20))*(1-Supuestos!$C$18)^22))</f>
        <v>0.120472834630659</v>
      </c>
      <c r="Z294" s="29" t="n">
        <f aca="false">Y294*(1-MIN(1,INDEX(Tabla_Mortalidad!$B$5:$B$75,MIN(71,Cartera_Polizas!$B$296+23-49))*(1+(Cartera_Polizas!$P$296-1)*MAX(0,1-23/Supuestos!$C$20))*(1-Supuestos!$C$18)^23))</f>
        <v>0.0957255978790323</v>
      </c>
      <c r="AA294" s="29" t="n">
        <f aca="false">Z294*(1-MIN(1,INDEX(Tabla_Mortalidad!$B$5:$B$75,MIN(71,Cartera_Polizas!$B$296+24-49))*(1+(Cartera_Polizas!$P$296-1)*MAX(0,1-24/Supuestos!$C$20))*(1-Supuestos!$C$18)^24))</f>
        <v>0.0742002533234953</v>
      </c>
      <c r="AB294" s="29" t="n">
        <f aca="false">AA294*(1-MIN(1,INDEX(Tabla_Mortalidad!$B$5:$B$75,MIN(71,Cartera_Polizas!$B$296+25-49))*(1+(Cartera_Polizas!$P$296-1)*MAX(0,1-25/Supuestos!$C$20))*(1-Supuestos!$C$18)^25))</f>
        <v>0.055964726699318</v>
      </c>
      <c r="AC294" s="29" t="n">
        <f aca="false">AB294*(1-MIN(1,INDEX(Tabla_Mortalidad!$B$5:$B$75,MIN(71,Cartera_Polizas!$B$296+26-49))*(1+(Cartera_Polizas!$P$296-1)*MAX(0,1-26/Supuestos!$C$20))*(1-Supuestos!$C$18)^26))</f>
        <v>0.040959181738146</v>
      </c>
      <c r="AD294" s="29" t="n">
        <f aca="false">AC294*(1-MIN(1,INDEX(Tabla_Mortalidad!$B$5:$B$75,MIN(71,Cartera_Polizas!$B$296+27-49))*(1+(Cartera_Polizas!$P$296-1)*MAX(0,1-27/Supuestos!$C$20))*(1-Supuestos!$C$18)^27))</f>
        <v>0.0290008154063365</v>
      </c>
      <c r="AE294" s="29" t="n">
        <f aca="false">AD294*(1-MIN(1,INDEX(Tabla_Mortalidad!$B$5:$B$75,MIN(71,Cartera_Polizas!$B$296+28-49))*(1+(Cartera_Polizas!$P$296-1)*MAX(0,1-28/Supuestos!$C$20))*(1-Supuestos!$C$18)^28))</f>
        <v>0.0198008242942023</v>
      </c>
      <c r="AF294" s="29" t="n">
        <f aca="false">AE294*(1-MIN(1,INDEX(Tabla_Mortalidad!$B$5:$B$75,MIN(71,Cartera_Polizas!$B$296+29-49))*(1+(Cartera_Polizas!$P$296-1)*MAX(0,1-29/Supuestos!$C$20))*(1-Supuestos!$C$18)^29))</f>
        <v>0.0129915199977383</v>
      </c>
      <c r="AG294" s="29" t="n">
        <f aca="false">AF294*(1-MIN(1,INDEX(Tabla_Mortalidad!$B$5:$B$75,MIN(71,Cartera_Polizas!$B$296+30-49))*(1+(Cartera_Polizas!$P$296-1)*MAX(0,1-30/Supuestos!$C$20))*(1-Supuestos!$C$18)^30))</f>
        <v>0.00816078699889473</v>
      </c>
      <c r="AH294" s="29" t="n">
        <f aca="false">AG294*(1-MIN(1,INDEX(Tabla_Mortalidad!$B$5:$B$75,MIN(71,Cartera_Polizas!$B$296+31-49))*(1+(Cartera_Polizas!$P$296-1)*MAX(0,1-31/Supuestos!$C$20))*(1-Supuestos!$C$18)^31))</f>
        <v>0.00488882088391204</v>
      </c>
      <c r="AI294" s="29" t="n">
        <f aca="false">AH294*(1-MIN(1,INDEX(Tabla_Mortalidad!$B$5:$B$75,MIN(71,Cartera_Polizas!$B$296+32-49))*(1+(Cartera_Polizas!$P$296-1)*MAX(0,1-32/Supuestos!$C$20))*(1-Supuestos!$C$18)^32))</f>
        <v>0.00278170250503998</v>
      </c>
      <c r="AJ294" s="29" t="n">
        <f aca="false">AI294*(1-MIN(1,INDEX(Tabla_Mortalidad!$B$5:$B$75,MIN(71,Cartera_Polizas!$B$296+33-49))*(1+(Cartera_Polizas!$P$296-1)*MAX(0,1-33/Supuestos!$C$20))*(1-Supuestos!$C$18)^33))</f>
        <v>0.00149707033715483</v>
      </c>
      <c r="AK294" s="29" t="n">
        <f aca="false">AJ294*(1-MIN(1,INDEX(Tabla_Mortalidad!$B$5:$B$75,MIN(71,Cartera_Polizas!$B$296+34-49))*(1+(Cartera_Polizas!$P$296-1)*MAX(0,1-34/Supuestos!$C$20))*(1-Supuestos!$C$18)^34))</f>
        <v>0.000758899177188619</v>
      </c>
      <c r="AL294" s="29" t="n">
        <f aca="false">AK294*(1-MIN(1,INDEX(Tabla_Mortalidad!$B$5:$B$75,MIN(71,Cartera_Polizas!$B$296+35-49))*(1+(Cartera_Polizas!$P$296-1)*MAX(0,1-35/Supuestos!$C$20))*(1-Supuestos!$C$18)^35))</f>
        <v>0.000360886467977894</v>
      </c>
      <c r="AM294" s="29" t="n">
        <f aca="false">AL294*(1-MIN(1,INDEX(Tabla_Mortalidad!$B$5:$B$75,MIN(71,Cartera_Polizas!$B$296+36-49))*(1+(Cartera_Polizas!$P$296-1)*MAX(0,1-36/Supuestos!$C$20))*(1-Supuestos!$C$18)^36))</f>
        <v>0.000160383780944297</v>
      </c>
      <c r="AN294" s="29" t="n">
        <f aca="false">AM294*(1-MIN(1,INDEX(Tabla_Mortalidad!$B$5:$B$75,MIN(71,Cartera_Polizas!$B$296+37-49))*(1+(Cartera_Polizas!$P$296-1)*MAX(0,1-37/Supuestos!$C$20))*(1-Supuestos!$C$18)^37))</f>
        <v>6.63939923288738E-005</v>
      </c>
      <c r="AO294" s="29" t="n">
        <f aca="false">AN294*(1-MIN(1,INDEX(Tabla_Mortalidad!$B$5:$B$75,MIN(71,Cartera_Polizas!$B$296+38-49))*(1+(Cartera_Polizas!$P$296-1)*MAX(0,1-38/Supuestos!$C$20))*(1-Supuestos!$C$18)^38))</f>
        <v>2.55379804900784E-005</v>
      </c>
      <c r="AP294" s="29" t="n">
        <f aca="false">AO294*(1-MIN(1,INDEX(Tabla_Mortalidad!$B$5:$B$75,MIN(71,Cartera_Polizas!$B$296+39-49))*(1+(Cartera_Polizas!$P$296-1)*MAX(0,1-39/Supuestos!$C$20))*(1-Supuestos!$C$18)^39))</f>
        <v>9.1142296198553E-006</v>
      </c>
      <c r="AQ294" s="29" t="n">
        <f aca="false">AP294*(1-MIN(1,INDEX(Tabla_Mortalidad!$B$5:$B$75,MIN(71,Cartera_Polizas!$B$296+40-49))*(1+(Cartera_Polizas!$P$296-1)*MAX(0,1-40/Supuestos!$C$20))*(1-Supuestos!$C$18)^40))</f>
        <v>3.0181336706848E-006</v>
      </c>
      <c r="AR294" s="29" t="n">
        <f aca="false">AQ294*(1-MIN(1,INDEX(Tabla_Mortalidad!$B$5:$B$75,MIN(71,Cartera_Polizas!$B$296+41-49))*(1+(Cartera_Polizas!$P$296-1)*MAX(0,1-41/Supuestos!$C$20))*(1-Supuestos!$C$18)^41))</f>
        <v>9.29018127737304E-007</v>
      </c>
      <c r="AS294" s="29" t="n">
        <f aca="false">AR294*(1-MIN(1,INDEX(Tabla_Mortalidad!$B$5:$B$75,MIN(71,Cartera_Polizas!$B$296+42-49))*(1+(Cartera_Polizas!$P$296-1)*MAX(0,1-42/Supuestos!$C$20))*(1-Supuestos!$C$18)^42))</f>
        <v>2.66838885045516E-007</v>
      </c>
      <c r="AT294" s="29" t="n">
        <f aca="false">AS294*(1-MIN(1,INDEX(Tabla_Mortalidad!$B$5:$B$75,MIN(71,Cartera_Polizas!$B$296+43-49))*(1+(Cartera_Polizas!$P$296-1)*MAX(0,1-43/Supuestos!$C$20))*(1-Supuestos!$C$18)^43))</f>
        <v>7.19487217617091E-008</v>
      </c>
      <c r="AU294" s="29" t="n">
        <f aca="false">AT294*(1-MIN(1,INDEX(Tabla_Mortalidad!$B$5:$B$75,MIN(71,Cartera_Polizas!$B$296+44-49))*(1+(Cartera_Polizas!$P$296-1)*MAX(0,1-44/Supuestos!$C$20))*(1-Supuestos!$C$18)^44))</f>
        <v>1.83589616610584E-008</v>
      </c>
    </row>
    <row r="295" customFormat="false" ht="15" hidden="false" customHeight="false" outlineLevel="0" collapsed="false">
      <c r="A295" s="14" t="n">
        <f aca="false">Cartera_Polizas!A297</f>
        <v>292</v>
      </c>
      <c r="B295" s="26" t="n">
        <f aca="false">SUM(C295:AU295)+0.5</f>
        <v>4.17036989104622</v>
      </c>
      <c r="C295" s="29" t="n">
        <f aca="false">1-MIN(1,INDEX(Tabla_Mortalidad!$B$5:$B$75,MIN(71,Cartera_Polizas!$B$297+0-49))*(1+(Cartera_Polizas!$P$297-1)*MAX(0,1-0/Supuestos!$C$20))*(1-Supuestos!$C$18)^0)</f>
        <v>0.83454515</v>
      </c>
      <c r="D295" s="29" t="n">
        <f aca="false">C295*(1-MIN(1,INDEX(Tabla_Mortalidad!$B$5:$B$75,MIN(71,Cartera_Polizas!$B$297+1-49))*(1+(Cartera_Polizas!$P$297-1)*MAX(0,1-1/Supuestos!$C$20))*(1-Supuestos!$C$18)^1))</f>
        <v>0.68473328072652</v>
      </c>
      <c r="E295" s="29" t="n">
        <f aca="false">D295*(1-MIN(1,INDEX(Tabla_Mortalidad!$B$5:$B$75,MIN(71,Cartera_Polizas!$B$297+2-49))*(1+(Cartera_Polizas!$P$297-1)*MAX(0,1-2/Supuestos!$C$20))*(1-Supuestos!$C$18)^2))</f>
        <v>0.551520027288626</v>
      </c>
      <c r="F295" s="29" t="n">
        <f aca="false">E295*(1-MIN(1,INDEX(Tabla_Mortalidad!$B$5:$B$75,MIN(71,Cartera_Polizas!$B$297+3-49))*(1+(Cartera_Polizas!$P$297-1)*MAX(0,1-3/Supuestos!$C$20))*(1-Supuestos!$C$18)^3))</f>
        <v>0.435379759492004</v>
      </c>
      <c r="G295" s="29" t="n">
        <f aca="false">F295*(1-MIN(1,INDEX(Tabla_Mortalidad!$B$5:$B$75,MIN(71,Cartera_Polizas!$B$297+4-49))*(1+(Cartera_Polizas!$P$297-1)*MAX(0,1-4/Supuestos!$C$20))*(1-Supuestos!$C$18)^4))</f>
        <v>0.336272303239151</v>
      </c>
      <c r="H295" s="29" t="n">
        <f aca="false">G295*(1-MIN(1,INDEX(Tabla_Mortalidad!$B$5:$B$75,MIN(71,Cartera_Polizas!$B$297+5-49))*(1+(Cartera_Polizas!$P$297-1)*MAX(0,1-5/Supuestos!$C$20))*(1-Supuestos!$C$18)^5))</f>
        <v>0.253647425233947</v>
      </c>
      <c r="I295" s="29" t="n">
        <f aca="false">H295*(1-MIN(1,INDEX(Tabla_Mortalidad!$B$5:$B$75,MIN(71,Cartera_Polizas!$B$297+6-49))*(1+(Cartera_Polizas!$P$297-1)*MAX(0,1-6/Supuestos!$C$20))*(1-Supuestos!$C$18)^6))</f>
        <v>0.186483563085381</v>
      </c>
      <c r="J295" s="29" t="n">
        <f aca="false">I295*(1-MIN(1,INDEX(Tabla_Mortalidad!$B$5:$B$75,MIN(71,Cartera_Polizas!$B$297+7-49))*(1+(Cartera_Polizas!$P$297-1)*MAX(0,1-7/Supuestos!$C$20))*(1-Supuestos!$C$18)^7))</f>
        <v>0.133361567368948</v>
      </c>
      <c r="K295" s="29" t="n">
        <f aca="false">J295*(1-MIN(1,INDEX(Tabla_Mortalidad!$B$5:$B$75,MIN(71,Cartera_Polizas!$B$297+8-49))*(1+(Cartera_Polizas!$P$297-1)*MAX(0,1-8/Supuestos!$C$20))*(1-Supuestos!$C$18)^8))</f>
        <v>0.0925704308200649</v>
      </c>
      <c r="L295" s="29" t="n">
        <f aca="false">K295*(1-MIN(1,INDEX(Tabla_Mortalidad!$B$5:$B$75,MIN(71,Cartera_Polizas!$B$297+9-49))*(1+(Cartera_Polizas!$P$297-1)*MAX(0,1-9/Supuestos!$C$20))*(1-Supuestos!$C$18)^9))</f>
        <v>0.06223126419568</v>
      </c>
      <c r="M295" s="29" t="n">
        <f aca="false">L295*(1-MIN(1,INDEX(Tabla_Mortalidad!$B$5:$B$75,MIN(71,Cartera_Polizas!$B$297+10-49))*(1+(Cartera_Polizas!$P$297-1)*MAX(0,1-10/Supuestos!$C$20))*(1-Supuestos!$C$18)^10))</f>
        <v>0.0404265063965443</v>
      </c>
      <c r="N295" s="29" t="n">
        <f aca="false">M295*(1-MIN(1,INDEX(Tabla_Mortalidad!$B$5:$B$75,MIN(71,Cartera_Polizas!$B$297+11-49))*(1+(Cartera_Polizas!$P$297-1)*MAX(0,1-11/Supuestos!$C$20))*(1-Supuestos!$C$18)^11))</f>
        <v>0.0253206801707285</v>
      </c>
      <c r="O295" s="29" t="n">
        <f aca="false">N295*(1-MIN(1,INDEX(Tabla_Mortalidad!$B$5:$B$75,MIN(71,Cartera_Polizas!$B$297+12-49))*(1+(Cartera_Polizas!$P$297-1)*MAX(0,1-12/Supuestos!$C$20))*(1-Supuestos!$C$18)^12))</f>
        <v>0.015257849362856</v>
      </c>
      <c r="P295" s="29" t="n">
        <f aca="false">O295*(1-MIN(1,INDEX(Tabla_Mortalidad!$B$5:$B$75,MIN(71,Cartera_Polizas!$B$297+13-49))*(1+(Cartera_Polizas!$P$297-1)*MAX(0,1-13/Supuestos!$C$20))*(1-Supuestos!$C$18)^13))</f>
        <v>0.00882749050066166</v>
      </c>
      <c r="Q295" s="29" t="n">
        <f aca="false">P295*(1-MIN(1,INDEX(Tabla_Mortalidad!$B$5:$B$75,MIN(71,Cartera_Polizas!$B$297+14-49))*(1+(Cartera_Polizas!$P$297-1)*MAX(0,1-14/Supuestos!$C$20))*(1-Supuestos!$C$18)^14))</f>
        <v>0.00489471474118216</v>
      </c>
      <c r="R295" s="29" t="n">
        <f aca="false">Q295*(1-MIN(1,INDEX(Tabla_Mortalidad!$B$5:$B$75,MIN(71,Cartera_Polizas!$B$297+15-49))*(1+(Cartera_Polizas!$P$297-1)*MAX(0,1-15/Supuestos!$C$20))*(1-Supuestos!$C$18)^15))</f>
        <v>0.00259740357650975</v>
      </c>
      <c r="S295" s="29" t="n">
        <f aca="false">R295*(1-MIN(1,INDEX(Tabla_Mortalidad!$B$5:$B$75,MIN(71,Cartera_Polizas!$B$297+16-49))*(1+(Cartera_Polizas!$P$297-1)*MAX(0,1-16/Supuestos!$C$20))*(1-Supuestos!$C$18)^16))</f>
        <v>0.00129118705464566</v>
      </c>
      <c r="T295" s="29" t="n">
        <f aca="false">S295*(1-MIN(1,INDEX(Tabla_Mortalidad!$B$5:$B$75,MIN(71,Cartera_Polizas!$B$297+17-49))*(1+(Cartera_Polizas!$P$297-1)*MAX(0,1-17/Supuestos!$C$20))*(1-Supuestos!$C$18)^17))</f>
        <v>0.000597902286455666</v>
      </c>
      <c r="U295" s="29" t="n">
        <f aca="false">T295*(1-MIN(1,INDEX(Tabla_Mortalidad!$B$5:$B$75,MIN(71,Cartera_Polizas!$B$297+18-49))*(1+(Cartera_Polizas!$P$297-1)*MAX(0,1-18/Supuestos!$C$20))*(1-Supuestos!$C$18)^18))</f>
        <v>0.000256433744914036</v>
      </c>
      <c r="V295" s="29" t="n">
        <f aca="false">U295*(1-MIN(1,INDEX(Tabla_Mortalidad!$B$5:$B$75,MIN(71,Cartera_Polizas!$B$297+19-49))*(1+(Cartera_Polizas!$P$297-1)*MAX(0,1-19/Supuestos!$C$20))*(1-Supuestos!$C$18)^19))</f>
        <v>0.000101290667628801</v>
      </c>
      <c r="W295" s="29" t="n">
        <f aca="false">V295*(1-MIN(1,INDEX(Tabla_Mortalidad!$B$5:$B$75,MIN(71,Cartera_Polizas!$B$297+20-49))*(1+(Cartera_Polizas!$P$297-1)*MAX(0,1-20/Supuestos!$C$20))*(1-Supuestos!$C$18)^20))</f>
        <v>3.66512721178565E-005</v>
      </c>
      <c r="X295" s="29" t="n">
        <f aca="false">W295*(1-MIN(1,INDEX(Tabla_Mortalidad!$B$5:$B$75,MIN(71,Cartera_Polizas!$B$297+21-49))*(1+(Cartera_Polizas!$P$297-1)*MAX(0,1-21/Supuestos!$C$20))*(1-Supuestos!$C$18)^21))</f>
        <v>1.20915263358235E-005</v>
      </c>
      <c r="Y295" s="29" t="n">
        <f aca="false">X295*(1-MIN(1,INDEX(Tabla_Mortalidad!$B$5:$B$75,MIN(71,Cartera_Polizas!$B$297+22-49))*(1+(Cartera_Polizas!$P$297-1)*MAX(0,1-22/Supuestos!$C$20))*(1-Supuestos!$C$18)^22))</f>
        <v>3.62364913708045E-006</v>
      </c>
      <c r="Z295" s="29" t="n">
        <f aca="false">Y295*(1-MIN(1,INDEX(Tabla_Mortalidad!$B$5:$B$75,MIN(71,Cartera_Polizas!$B$297+23-49))*(1+(Cartera_Polizas!$P$297-1)*MAX(0,1-23/Supuestos!$C$20))*(1-Supuestos!$C$18)^23))</f>
        <v>9.84368354362126E-007</v>
      </c>
      <c r="AA295" s="29" t="n">
        <f aca="false">Z295*(1-MIN(1,INDEX(Tabla_Mortalidad!$B$5:$B$75,MIN(71,Cartera_Polizas!$B$297+24-49))*(1+(Cartera_Polizas!$P$297-1)*MAX(0,1-24/Supuestos!$C$20))*(1-Supuestos!$C$18)^24))</f>
        <v>2.4239337462323E-007</v>
      </c>
      <c r="AB295" s="29" t="n">
        <f aca="false">AA295*(1-MIN(1,INDEX(Tabla_Mortalidad!$B$5:$B$75,MIN(71,Cartera_Polizas!$B$297+25-49))*(1+(Cartera_Polizas!$P$297-1)*MAX(0,1-25/Supuestos!$C$20))*(1-Supuestos!$C$18)^25))</f>
        <v>5.42539780415958E-008</v>
      </c>
      <c r="AC295" s="29" t="n">
        <f aca="false">AB295*(1-MIN(1,INDEX(Tabla_Mortalidad!$B$5:$B$75,MIN(71,Cartera_Polizas!$B$297+26-49))*(1+(Cartera_Polizas!$P$297-1)*MAX(0,1-26/Supuestos!$C$20))*(1-Supuestos!$C$18)^26))</f>
        <v>1.11040558690854E-008</v>
      </c>
      <c r="AD295" s="29" t="n">
        <f aca="false">AC295*(1-MIN(1,INDEX(Tabla_Mortalidad!$B$5:$B$75,MIN(71,Cartera_Polizas!$B$297+27-49))*(1+(Cartera_Polizas!$P$297-1)*MAX(0,1-27/Supuestos!$C$20))*(1-Supuestos!$C$18)^27))</f>
        <v>2.09772296776791E-009</v>
      </c>
      <c r="AE295" s="29" t="n">
        <f aca="false">AD295*(1-MIN(1,INDEX(Tabla_Mortalidad!$B$5:$B$75,MIN(71,Cartera_Polizas!$B$297+28-49))*(1+(Cartera_Polizas!$P$297-1)*MAX(0,1-28/Supuestos!$C$20))*(1-Supuestos!$C$18)^28))</f>
        <v>3.70407033455377E-010</v>
      </c>
      <c r="AF295" s="29" t="n">
        <f aca="false">AE295*(1-MIN(1,INDEX(Tabla_Mortalidad!$B$5:$B$75,MIN(71,Cartera_Polizas!$B$297+29-49))*(1+(Cartera_Polizas!$P$297-1)*MAX(0,1-29/Supuestos!$C$20))*(1-Supuestos!$C$18)^29))</f>
        <v>5.01132081699254E-011</v>
      </c>
      <c r="AG295" s="29" t="n">
        <f aca="false">AF295*(1-MIN(1,INDEX(Tabla_Mortalidad!$B$5:$B$75,MIN(71,Cartera_Polizas!$B$297+30-49))*(1+(Cartera_Polizas!$P$297-1)*MAX(0,1-30/Supuestos!$C$20))*(1-Supuestos!$C$18)^30))</f>
        <v>6.99659605439119E-012</v>
      </c>
      <c r="AH295" s="29" t="n">
        <f aca="false">AG295*(1-MIN(1,INDEX(Tabla_Mortalidad!$B$5:$B$75,MIN(71,Cartera_Polizas!$B$297+31-49))*(1+(Cartera_Polizas!$P$297-1)*MAX(0,1-31/Supuestos!$C$20))*(1-Supuestos!$C$18)^31))</f>
        <v>1.00693421519233E-012</v>
      </c>
      <c r="AI295" s="29" t="n">
        <f aca="false">AH295*(1-MIN(1,INDEX(Tabla_Mortalidad!$B$5:$B$75,MIN(71,Cartera_Polizas!$B$297+32-49))*(1+(Cartera_Polizas!$P$297-1)*MAX(0,1-32/Supuestos!$C$20))*(1-Supuestos!$C$18)^32))</f>
        <v>1.49225778196287E-013</v>
      </c>
      <c r="AJ295" s="29" t="n">
        <f aca="false">AI295*(1-MIN(1,INDEX(Tabla_Mortalidad!$B$5:$B$75,MIN(71,Cartera_Polizas!$B$297+33-49))*(1+(Cartera_Polizas!$P$297-1)*MAX(0,1-33/Supuestos!$C$20))*(1-Supuestos!$C$18)^33))</f>
        <v>2.27505368052204E-014</v>
      </c>
      <c r="AK295" s="29" t="n">
        <f aca="false">AJ295*(1-MIN(1,INDEX(Tabla_Mortalidad!$B$5:$B$75,MIN(71,Cartera_Polizas!$B$297+34-49))*(1+(Cartera_Polizas!$P$297-1)*MAX(0,1-34/Supuestos!$C$20))*(1-Supuestos!$C$18)^34))</f>
        <v>3.56489226946452E-015</v>
      </c>
      <c r="AL295" s="29" t="n">
        <f aca="false">AK295*(1-MIN(1,INDEX(Tabla_Mortalidad!$B$5:$B$75,MIN(71,Cartera_Polizas!$B$297+35-49))*(1+(Cartera_Polizas!$P$297-1)*MAX(0,1-35/Supuestos!$C$20))*(1-Supuestos!$C$18)^35))</f>
        <v>5.73631768958715E-016</v>
      </c>
      <c r="AM295" s="29" t="n">
        <f aca="false">AL295*(1-MIN(1,INDEX(Tabla_Mortalidad!$B$5:$B$75,MIN(71,Cartera_Polizas!$B$297+36-49))*(1+(Cartera_Polizas!$P$297-1)*MAX(0,1-36/Supuestos!$C$20))*(1-Supuestos!$C$18)^36))</f>
        <v>9.47105244981295E-017</v>
      </c>
      <c r="AN295" s="29" t="n">
        <f aca="false">AM295*(1-MIN(1,INDEX(Tabla_Mortalidad!$B$5:$B$75,MIN(71,Cartera_Polizas!$B$297+37-49))*(1+(Cartera_Polizas!$P$297-1)*MAX(0,1-37/Supuestos!$C$20))*(1-Supuestos!$C$18)^37))</f>
        <v>1.60327205703516E-017</v>
      </c>
      <c r="AO295" s="29" t="n">
        <f aca="false">AN295*(1-MIN(1,INDEX(Tabla_Mortalidad!$B$5:$B$75,MIN(71,Cartera_Polizas!$B$297+38-49))*(1+(Cartera_Polizas!$P$297-1)*MAX(0,1-38/Supuestos!$C$20))*(1-Supuestos!$C$18)^38))</f>
        <v>2.78063316099039E-018</v>
      </c>
      <c r="AP295" s="29" t="n">
        <f aca="false">AO295*(1-MIN(1,INDEX(Tabla_Mortalidad!$B$5:$B$75,MIN(71,Cartera_Polizas!$B$297+39-49))*(1+(Cartera_Polizas!$P$297-1)*MAX(0,1-39/Supuestos!$C$20))*(1-Supuestos!$C$18)^39))</f>
        <v>4.93750683783036E-019</v>
      </c>
      <c r="AQ295" s="29" t="n">
        <f aca="false">AP295*(1-MIN(1,INDEX(Tabla_Mortalidad!$B$5:$B$75,MIN(71,Cartera_Polizas!$B$297+40-49))*(1+(Cartera_Polizas!$P$297-1)*MAX(0,1-40/Supuestos!$C$20))*(1-Supuestos!$C$18)^40))</f>
        <v>8.97045644746738E-020</v>
      </c>
      <c r="AR295" s="29" t="n">
        <f aca="false">AQ295*(1-MIN(1,INDEX(Tabla_Mortalidad!$B$5:$B$75,MIN(71,Cartera_Polizas!$B$297+41-49))*(1+(Cartera_Polizas!$P$297-1)*MAX(0,1-41/Supuestos!$C$20))*(1-Supuestos!$C$18)^41))</f>
        <v>1.66645496677585E-020</v>
      </c>
      <c r="AS295" s="29" t="n">
        <f aca="false">AR295*(1-MIN(1,INDEX(Tabla_Mortalidad!$B$5:$B$75,MIN(71,Cartera_Polizas!$B$297+42-49))*(1+(Cartera_Polizas!$P$297-1)*MAX(0,1-42/Supuestos!$C$20))*(1-Supuestos!$C$18)^42))</f>
        <v>3.16364180645155E-021</v>
      </c>
      <c r="AT295" s="29" t="n">
        <f aca="false">AS295*(1-MIN(1,INDEX(Tabla_Mortalidad!$B$5:$B$75,MIN(71,Cartera_Polizas!$B$297+43-49))*(1+(Cartera_Polizas!$P$297-1)*MAX(0,1-43/Supuestos!$C$20))*(1-Supuestos!$C$18)^43))</f>
        <v>6.13409294940667E-022</v>
      </c>
      <c r="AU295" s="29" t="n">
        <f aca="false">AT295*(1-MIN(1,INDEX(Tabla_Mortalidad!$B$5:$B$75,MIN(71,Cartera_Polizas!$B$297+44-49))*(1+(Cartera_Polizas!$P$297-1)*MAX(0,1-44/Supuestos!$C$20))*(1-Supuestos!$C$18)^44))</f>
        <v>1.21408385731418E-022</v>
      </c>
    </row>
    <row r="296" customFormat="false" ht="15" hidden="false" customHeight="false" outlineLevel="0" collapsed="false">
      <c r="A296" s="14" t="n">
        <f aca="false">Cartera_Polizas!A298</f>
        <v>293</v>
      </c>
      <c r="B296" s="26" t="n">
        <f aca="false">SUM(C296:AU296)+0.5</f>
        <v>4.58200819160414</v>
      </c>
      <c r="C296" s="29" t="n">
        <f aca="false">1-MIN(1,INDEX(Tabla_Mortalidad!$B$5:$B$75,MIN(71,Cartera_Polizas!$B$298+0-49))*(1+(Cartera_Polizas!$P$298-1)*MAX(0,1-0/Supuestos!$C$20))*(1-Supuestos!$C$18)^0)</f>
        <v>0.8469163</v>
      </c>
      <c r="D296" s="29" t="n">
        <f aca="false">C296*(1-MIN(1,INDEX(Tabla_Mortalidad!$B$5:$B$75,MIN(71,Cartera_Polizas!$B$298+1-49))*(1+(Cartera_Polizas!$P$298-1)*MAX(0,1-1/Supuestos!$C$20))*(1-Supuestos!$C$18)^1))</f>
        <v>0.707475896522146</v>
      </c>
      <c r="E296" s="29" t="n">
        <f aca="false">D296*(1-MIN(1,INDEX(Tabla_Mortalidad!$B$5:$B$75,MIN(71,Cartera_Polizas!$B$298+2-49))*(1+(Cartera_Polizas!$P$298-1)*MAX(0,1-2/Supuestos!$C$20))*(1-Supuestos!$C$18)^2))</f>
        <v>0.58236693667543</v>
      </c>
      <c r="F296" s="29" t="n">
        <f aca="false">E296*(1-MIN(1,INDEX(Tabla_Mortalidad!$B$5:$B$75,MIN(71,Cartera_Polizas!$B$298+3-49))*(1+(Cartera_Polizas!$P$298-1)*MAX(0,1-3/Supuestos!$C$20))*(1-Supuestos!$C$18)^3))</f>
        <v>0.471917694780522</v>
      </c>
      <c r="G296" s="29" t="n">
        <f aca="false">F296*(1-MIN(1,INDEX(Tabla_Mortalidad!$B$5:$B$75,MIN(71,Cartera_Polizas!$B$298+4-49))*(1+(Cartera_Polizas!$P$298-1)*MAX(0,1-4/Supuestos!$C$20))*(1-Supuestos!$C$18)^4))</f>
        <v>0.376081473670821</v>
      </c>
      <c r="H296" s="29" t="n">
        <f aca="false">G296*(1-MIN(1,INDEX(Tabla_Mortalidad!$B$5:$B$75,MIN(71,Cartera_Polizas!$B$298+5-49))*(1+(Cartera_Polizas!$P$298-1)*MAX(0,1-5/Supuestos!$C$20))*(1-Supuestos!$C$18)^5))</f>
        <v>0.294443760430161</v>
      </c>
      <c r="I296" s="29" t="n">
        <f aca="false">H296*(1-MIN(1,INDEX(Tabla_Mortalidad!$B$5:$B$75,MIN(71,Cartera_Polizas!$B$298+6-49))*(1+(Cartera_Polizas!$P$298-1)*MAX(0,1-6/Supuestos!$C$20))*(1-Supuestos!$C$18)^6))</f>
        <v>0.226250951128464</v>
      </c>
      <c r="J296" s="29" t="n">
        <f aca="false">I296*(1-MIN(1,INDEX(Tabla_Mortalidad!$B$5:$B$75,MIN(71,Cartera_Polizas!$B$298+7-49))*(1+(Cartera_Polizas!$P$298-1)*MAX(0,1-7/Supuestos!$C$20))*(1-Supuestos!$C$18)^7))</f>
        <v>0.170459261225113</v>
      </c>
      <c r="K296" s="29" t="n">
        <f aca="false">J296*(1-MIN(1,INDEX(Tabla_Mortalidad!$B$5:$B$75,MIN(71,Cartera_Polizas!$B$298+8-49))*(1+(Cartera_Polizas!$P$298-1)*MAX(0,1-8/Supuestos!$C$20))*(1-Supuestos!$C$18)^8))</f>
        <v>0.12580339907786</v>
      </c>
      <c r="L296" s="29" t="n">
        <f aca="false">K296*(1-MIN(1,INDEX(Tabla_Mortalidad!$B$5:$B$75,MIN(71,Cartera_Polizas!$B$298+9-49))*(1+(Cartera_Polizas!$P$298-1)*MAX(0,1-9/Supuestos!$C$20))*(1-Supuestos!$C$18)^9))</f>
        <v>0.0908751050561919</v>
      </c>
      <c r="M296" s="29" t="n">
        <f aca="false">L296*(1-MIN(1,INDEX(Tabla_Mortalidad!$B$5:$B$75,MIN(71,Cartera_Polizas!$B$298+10-49))*(1+(Cartera_Polizas!$P$298-1)*MAX(0,1-10/Supuestos!$C$20))*(1-Supuestos!$C$18)^10))</f>
        <v>0.0642055709120513</v>
      </c>
      <c r="N296" s="29" t="n">
        <f aca="false">M296*(1-MIN(1,INDEX(Tabla_Mortalidad!$B$5:$B$75,MIN(71,Cartera_Polizas!$B$298+11-49))*(1+(Cartera_Polizas!$P$298-1)*MAX(0,1-11/Supuestos!$C$20))*(1-Supuestos!$C$18)^11))</f>
        <v>0.0443453574439909</v>
      </c>
      <c r="O296" s="29" t="n">
        <f aca="false">N296*(1-MIN(1,INDEX(Tabla_Mortalidad!$B$5:$B$75,MIN(71,Cartera_Polizas!$B$298+12-49))*(1+(Cartera_Polizas!$P$298-1)*MAX(0,1-12/Supuestos!$C$20))*(1-Supuestos!$C$18)^12))</f>
        <v>0.0299328064100536</v>
      </c>
      <c r="P296" s="29" t="n">
        <f aca="false">O296*(1-MIN(1,INDEX(Tabla_Mortalidad!$B$5:$B$75,MIN(71,Cartera_Polizas!$B$298+13-49))*(1+(Cartera_Polizas!$P$298-1)*MAX(0,1-13/Supuestos!$C$20))*(1-Supuestos!$C$18)^13))</f>
        <v>0.019745925400483</v>
      </c>
      <c r="Q296" s="29" t="n">
        <f aca="false">P296*(1-MIN(1,INDEX(Tabla_Mortalidad!$B$5:$B$75,MIN(71,Cartera_Polizas!$B$298+14-49))*(1+(Cartera_Polizas!$P$298-1)*MAX(0,1-14/Supuestos!$C$20))*(1-Supuestos!$C$18)^14))</f>
        <v>0.0127353342045588</v>
      </c>
      <c r="R296" s="29" t="n">
        <f aca="false">Q296*(1-MIN(1,INDEX(Tabla_Mortalidad!$B$5:$B$75,MIN(71,Cartera_Polizas!$B$298+15-49))*(1+(Cartera_Polizas!$P$298-1)*MAX(0,1-15/Supuestos!$C$20))*(1-Supuestos!$C$18)^15))</f>
        <v>0.00803740261466719</v>
      </c>
      <c r="S296" s="29" t="n">
        <f aca="false">R296*(1-MIN(1,INDEX(Tabla_Mortalidad!$B$5:$B$75,MIN(71,Cartera_Polizas!$B$298+16-49))*(1+(Cartera_Polizas!$P$298-1)*MAX(0,1-16/Supuestos!$C$20))*(1-Supuestos!$C$18)^16))</f>
        <v>0.00483153443159516</v>
      </c>
      <c r="T296" s="29" t="n">
        <f aca="false">S296*(1-MIN(1,INDEX(Tabla_Mortalidad!$B$5:$B$75,MIN(71,Cartera_Polizas!$B$298+17-49))*(1+(Cartera_Polizas!$P$298-1)*MAX(0,1-17/Supuestos!$C$20))*(1-Supuestos!$C$18)^17))</f>
        <v>0.00275356715957201</v>
      </c>
      <c r="U296" s="29" t="n">
        <f aca="false">T296*(1-MIN(1,INDEX(Tabla_Mortalidad!$B$5:$B$75,MIN(71,Cartera_Polizas!$B$298+18-49))*(1+(Cartera_Polizas!$P$298-1)*MAX(0,1-18/Supuestos!$C$20))*(1-Supuestos!$C$18)^18))</f>
        <v>0.00148048230304818</v>
      </c>
      <c r="V296" s="29" t="n">
        <f aca="false">U296*(1-MIN(1,INDEX(Tabla_Mortalidad!$B$5:$B$75,MIN(71,Cartera_Polizas!$B$298+19-49))*(1+(Cartera_Polizas!$P$298-1)*MAX(0,1-19/Supuestos!$C$20))*(1-Supuestos!$C$18)^19))</f>
        <v>0.000747069982882388</v>
      </c>
      <c r="W296" s="29" t="n">
        <f aca="false">V296*(1-MIN(1,INDEX(Tabla_Mortalidad!$B$5:$B$75,MIN(71,Cartera_Polizas!$B$298+20-49))*(1+(Cartera_Polizas!$P$298-1)*MAX(0,1-20/Supuestos!$C$20))*(1-Supuestos!$C$18)^20))</f>
        <v>0.000351928136744354</v>
      </c>
      <c r="X296" s="29" t="n">
        <f aca="false">W296*(1-MIN(1,INDEX(Tabla_Mortalidad!$B$5:$B$75,MIN(71,Cartera_Polizas!$B$298+21-49))*(1+(Cartera_Polizas!$P$298-1)*MAX(0,1-21/Supuestos!$C$20))*(1-Supuestos!$C$18)^21))</f>
        <v>0.000153937926041033</v>
      </c>
      <c r="Y296" s="29" t="n">
        <f aca="false">X296*(1-MIN(1,INDEX(Tabla_Mortalidad!$B$5:$B$75,MIN(71,Cartera_Polizas!$B$298+22-49))*(1+(Cartera_Polizas!$P$298-1)*MAX(0,1-22/Supuestos!$C$20))*(1-Supuestos!$C$18)^22))</f>
        <v>6.21951029332084E-005</v>
      </c>
      <c r="Z296" s="29" t="n">
        <f aca="false">Y296*(1-MIN(1,INDEX(Tabla_Mortalidad!$B$5:$B$75,MIN(71,Cartera_Polizas!$B$298+23-49))*(1+(Cartera_Polizas!$P$298-1)*MAX(0,1-23/Supuestos!$C$20))*(1-Supuestos!$C$18)^23))</f>
        <v>2.30972160429366E-005</v>
      </c>
      <c r="AA296" s="29" t="n">
        <f aca="false">Z296*(1-MIN(1,INDEX(Tabla_Mortalidad!$B$5:$B$75,MIN(71,Cartera_Polizas!$B$298+24-49))*(1+(Cartera_Polizas!$P$298-1)*MAX(0,1-24/Supuestos!$C$20))*(1-Supuestos!$C$18)^24))</f>
        <v>7.85094301045115E-006</v>
      </c>
      <c r="AB296" s="29" t="n">
        <f aca="false">AA296*(1-MIN(1,INDEX(Tabla_Mortalidad!$B$5:$B$75,MIN(71,Cartera_Polizas!$B$298+25-49))*(1+(Cartera_Polizas!$P$298-1)*MAX(0,1-25/Supuestos!$C$20))*(1-Supuestos!$C$18)^25))</f>
        <v>2.43487022361856E-006</v>
      </c>
      <c r="AC296" s="29" t="n">
        <f aca="false">AB296*(1-MIN(1,INDEX(Tabla_Mortalidad!$B$5:$B$75,MIN(71,Cartera_Polizas!$B$298+26-49))*(1+(Cartera_Polizas!$P$298-1)*MAX(0,1-26/Supuestos!$C$20))*(1-Supuestos!$C$18)^26))</f>
        <v>6.8790396751417E-007</v>
      </c>
      <c r="AD296" s="29" t="n">
        <f aca="false">AC296*(1-MIN(1,INDEX(Tabla_Mortalidad!$B$5:$B$75,MIN(71,Cartera_Polizas!$B$298+27-49))*(1+(Cartera_Polizas!$P$298-1)*MAX(0,1-27/Supuestos!$C$20))*(1-Supuestos!$C$18)^27))</f>
        <v>1.77130095203893E-007</v>
      </c>
      <c r="AE296" s="29" t="n">
        <f aca="false">AD296*(1-MIN(1,INDEX(Tabla_Mortalidad!$B$5:$B$75,MIN(71,Cartera_Polizas!$B$298+28-49))*(1+(Cartera_Polizas!$P$298-1)*MAX(0,1-28/Supuestos!$C$20))*(1-Supuestos!$C$18)^28))</f>
        <v>4.16983109760389E-008</v>
      </c>
      <c r="AF296" s="29" t="n">
        <f aca="false">AE296*(1-MIN(1,INDEX(Tabla_Mortalidad!$B$5:$B$75,MIN(71,Cartera_Polizas!$B$298+29-49))*(1+(Cartera_Polizas!$P$298-1)*MAX(0,1-29/Supuestos!$C$20))*(1-Supuestos!$C$18)^29))</f>
        <v>9.02928880981466E-009</v>
      </c>
      <c r="AG296" s="29" t="n">
        <f aca="false">AF296*(1-MIN(1,INDEX(Tabla_Mortalidad!$B$5:$B$75,MIN(71,Cartera_Polizas!$B$298+30-49))*(1+(Cartera_Polizas!$P$298-1)*MAX(0,1-30/Supuestos!$C$20))*(1-Supuestos!$C$18)^30))</f>
        <v>1.81507276047227E-009</v>
      </c>
      <c r="AH296" s="29" t="n">
        <f aca="false">AG296*(1-MIN(1,INDEX(Tabla_Mortalidad!$B$5:$B$75,MIN(71,Cartera_Polizas!$B$298+31-49))*(1+(Cartera_Polizas!$P$298-1)*MAX(0,1-31/Supuestos!$C$20))*(1-Supuestos!$C$18)^31))</f>
        <v>3.42804574708359E-010</v>
      </c>
      <c r="AI296" s="29" t="n">
        <f aca="false">AH296*(1-MIN(1,INDEX(Tabla_Mortalidad!$B$5:$B$75,MIN(71,Cartera_Polizas!$B$298+32-49))*(1+(Cartera_Polizas!$P$298-1)*MAX(0,1-32/Supuestos!$C$20))*(1-Supuestos!$C$18)^32))</f>
        <v>5.08030004922727E-011</v>
      </c>
      <c r="AJ296" s="29" t="n">
        <f aca="false">AI296*(1-MIN(1,INDEX(Tabla_Mortalidad!$B$5:$B$75,MIN(71,Cartera_Polizas!$B$298+33-49))*(1+(Cartera_Polizas!$P$298-1)*MAX(0,1-33/Supuestos!$C$20))*(1-Supuestos!$C$18)^33))</f>
        <v>7.74528065114045E-012</v>
      </c>
      <c r="AK296" s="29" t="n">
        <f aca="false">AJ296*(1-MIN(1,INDEX(Tabla_Mortalidad!$B$5:$B$75,MIN(71,Cartera_Polizas!$B$298+34-49))*(1+(Cartera_Polizas!$P$298-1)*MAX(0,1-34/Supuestos!$C$20))*(1-Supuestos!$C$18)^34))</f>
        <v>1.21364569787856E-012</v>
      </c>
      <c r="AL296" s="29" t="n">
        <f aca="false">AK296*(1-MIN(1,INDEX(Tabla_Mortalidad!$B$5:$B$75,MIN(71,Cartera_Polizas!$B$298+35-49))*(1+(Cartera_Polizas!$P$298-1)*MAX(0,1-35/Supuestos!$C$20))*(1-Supuestos!$C$18)^35))</f>
        <v>1.95289415763408E-013</v>
      </c>
      <c r="AM296" s="29" t="n">
        <f aca="false">AL296*(1-MIN(1,INDEX(Tabla_Mortalidad!$B$5:$B$75,MIN(71,Cartera_Polizas!$B$298+36-49))*(1+(Cartera_Polizas!$P$298-1)*MAX(0,1-36/Supuestos!$C$20))*(1-Supuestos!$C$18)^36))</f>
        <v>3.22436168928727E-014</v>
      </c>
      <c r="AN296" s="29" t="n">
        <f aca="false">AM296*(1-MIN(1,INDEX(Tabla_Mortalidad!$B$5:$B$75,MIN(71,Cartera_Polizas!$B$298+37-49))*(1+(Cartera_Polizas!$P$298-1)*MAX(0,1-37/Supuestos!$C$20))*(1-Supuestos!$C$18)^37))</f>
        <v>5.45824133653812E-015</v>
      </c>
      <c r="AO296" s="29" t="n">
        <f aca="false">AN296*(1-MIN(1,INDEX(Tabla_Mortalidad!$B$5:$B$75,MIN(71,Cartera_Polizas!$B$298+38-49))*(1+(Cartera_Polizas!$P$298-1)*MAX(0,1-38/Supuestos!$C$20))*(1-Supuestos!$C$18)^38))</f>
        <v>9.46649496850398E-016</v>
      </c>
      <c r="AP296" s="29" t="n">
        <f aca="false">AO296*(1-MIN(1,INDEX(Tabla_Mortalidad!$B$5:$B$75,MIN(71,Cartera_Polizas!$B$298+39-49))*(1+(Cartera_Polizas!$P$298-1)*MAX(0,1-39/Supuestos!$C$20))*(1-Supuestos!$C$18)^39))</f>
        <v>1.68094390489924E-016</v>
      </c>
      <c r="AQ296" s="29" t="n">
        <f aca="false">AP296*(1-MIN(1,INDEX(Tabla_Mortalidad!$B$5:$B$75,MIN(71,Cartera_Polizas!$B$298+40-49))*(1+(Cartera_Polizas!$P$298-1)*MAX(0,1-40/Supuestos!$C$20))*(1-Supuestos!$C$18)^40))</f>
        <v>3.05393685209768E-017</v>
      </c>
      <c r="AR296" s="29" t="n">
        <f aca="false">AQ296*(1-MIN(1,INDEX(Tabla_Mortalidad!$B$5:$B$75,MIN(71,Cartera_Polizas!$B$298+41-49))*(1+(Cartera_Polizas!$P$298-1)*MAX(0,1-41/Supuestos!$C$20))*(1-Supuestos!$C$18)^41))</f>
        <v>5.67334367565522E-018</v>
      </c>
      <c r="AS296" s="29" t="n">
        <f aca="false">AR296*(1-MIN(1,INDEX(Tabla_Mortalidad!$B$5:$B$75,MIN(71,Cartera_Polizas!$B$298+42-49))*(1+(Cartera_Polizas!$P$298-1)*MAX(0,1-42/Supuestos!$C$20))*(1-Supuestos!$C$18)^42))</f>
        <v>1.07704243994039E-018</v>
      </c>
      <c r="AT296" s="29" t="n">
        <f aca="false">AS296*(1-MIN(1,INDEX(Tabla_Mortalidad!$B$5:$B$75,MIN(71,Cartera_Polizas!$B$298+43-49))*(1+(Cartera_Polizas!$P$298-1)*MAX(0,1-43/Supuestos!$C$20))*(1-Supuestos!$C$18)^43))</f>
        <v>2.08831430396995E-019</v>
      </c>
      <c r="AU296" s="29" t="n">
        <f aca="false">AT296*(1-MIN(1,INDEX(Tabla_Mortalidad!$B$5:$B$75,MIN(71,Cartera_Polizas!$B$298+44-49))*(1+(Cartera_Polizas!$P$298-1)*MAX(0,1-44/Supuestos!$C$20))*(1-Supuestos!$C$18)^44))</f>
        <v>4.13327399235685E-020</v>
      </c>
    </row>
    <row r="297" customFormat="false" ht="15" hidden="false" customHeight="false" outlineLevel="0" collapsed="false">
      <c r="A297" s="14" t="n">
        <f aca="false">Cartera_Polizas!A299</f>
        <v>294</v>
      </c>
      <c r="B297" s="26" t="n">
        <f aca="false">SUM(C297:AU297)+0.5</f>
        <v>3.14956491436503</v>
      </c>
      <c r="C297" s="29" t="n">
        <f aca="false">1-MIN(1,INDEX(Tabla_Mortalidad!$B$5:$B$75,MIN(71,Cartera_Polizas!$B$299+0-49))*(1+(Cartera_Polizas!$P$299-1)*MAX(0,1-0/Supuestos!$C$20))*(1-Supuestos!$C$18)^0)</f>
        <v>0.7587772</v>
      </c>
      <c r="D297" s="29" t="n">
        <f aca="false">C297*(1-MIN(1,INDEX(Tabla_Mortalidad!$B$5:$B$75,MIN(71,Cartera_Polizas!$B$299+1-49))*(1+(Cartera_Polizas!$P$299-1)*MAX(0,1-1/Supuestos!$C$20))*(1-Supuestos!$C$18)^1))</f>
        <v>0.564904360346179</v>
      </c>
      <c r="E297" s="29" t="n">
        <f aca="false">D297*(1-MIN(1,INDEX(Tabla_Mortalidad!$B$5:$B$75,MIN(71,Cartera_Polizas!$B$299+2-49))*(1+(Cartera_Polizas!$P$299-1)*MAX(0,1-2/Supuestos!$C$20))*(1-Supuestos!$C$18)^2))</f>
        <v>0.412396625116844</v>
      </c>
      <c r="F297" s="29" t="n">
        <f aca="false">E297*(1-MIN(1,INDEX(Tabla_Mortalidad!$B$5:$B$75,MIN(71,Cartera_Polizas!$B$299+3-49))*(1+(Cartera_Polizas!$P$299-1)*MAX(0,1-3/Supuestos!$C$20))*(1-Supuestos!$C$18)^3))</f>
        <v>0.295076534288371</v>
      </c>
      <c r="G297" s="29" t="n">
        <f aca="false">F297*(1-MIN(1,INDEX(Tabla_Mortalidad!$B$5:$B$75,MIN(71,Cartera_Polizas!$B$299+4-49))*(1+(Cartera_Polizas!$P$299-1)*MAX(0,1-4/Supuestos!$C$20))*(1-Supuestos!$C$18)^4))</f>
        <v>0.206881940840473</v>
      </c>
      <c r="H297" s="29" t="n">
        <f aca="false">G297*(1-MIN(1,INDEX(Tabla_Mortalidad!$B$5:$B$75,MIN(71,Cartera_Polizas!$B$299+5-49))*(1+(Cartera_Polizas!$P$299-1)*MAX(0,1-5/Supuestos!$C$20))*(1-Supuestos!$C$18)^5))</f>
        <v>0.142129714225324</v>
      </c>
      <c r="I297" s="29" t="n">
        <f aca="false">H297*(1-MIN(1,INDEX(Tabla_Mortalidad!$B$5:$B$75,MIN(71,Cartera_Polizas!$B$299+6-49))*(1+(Cartera_Polizas!$P$299-1)*MAX(0,1-6/Supuestos!$C$20))*(1-Supuestos!$C$18)^6))</f>
        <v>0.0957142839749574</v>
      </c>
      <c r="J297" s="29" t="n">
        <f aca="false">I297*(1-MIN(1,INDEX(Tabla_Mortalidad!$B$5:$B$75,MIN(71,Cartera_Polizas!$B$299+7-49))*(1+(Cartera_Polizas!$P$299-1)*MAX(0,1-7/Supuestos!$C$20))*(1-Supuestos!$C$18)^7))</f>
        <v>0.0632317961866942</v>
      </c>
      <c r="K297" s="29" t="n">
        <f aca="false">J297*(1-MIN(1,INDEX(Tabla_Mortalidad!$B$5:$B$75,MIN(71,Cartera_Polizas!$B$299+8-49))*(1+(Cartera_Polizas!$P$299-1)*MAX(0,1-8/Supuestos!$C$20))*(1-Supuestos!$C$18)^8))</f>
        <v>0.0410320543038248</v>
      </c>
      <c r="L297" s="29" t="n">
        <f aca="false">K297*(1-MIN(1,INDEX(Tabla_Mortalidad!$B$5:$B$75,MIN(71,Cartera_Polizas!$B$299+9-49))*(1+(Cartera_Polizas!$P$299-1)*MAX(0,1-9/Supuestos!$C$20))*(1-Supuestos!$C$18)^9))</f>
        <v>0.026204088953396</v>
      </c>
      <c r="M297" s="29" t="n">
        <f aca="false">L297*(1-MIN(1,INDEX(Tabla_Mortalidad!$B$5:$B$75,MIN(71,Cartera_Polizas!$B$299+10-49))*(1+(Cartera_Polizas!$P$299-1)*MAX(0,1-10/Supuestos!$C$20))*(1-Supuestos!$C$18)^10))</f>
        <v>0.0165122868892961</v>
      </c>
      <c r="N297" s="29" t="n">
        <f aca="false">M297*(1-MIN(1,INDEX(Tabla_Mortalidad!$B$5:$B$75,MIN(71,Cartera_Polizas!$B$299+11-49))*(1+(Cartera_Polizas!$P$299-1)*MAX(0,1-11/Supuestos!$C$20))*(1-Supuestos!$C$18)^11))</f>
        <v>0.010301887488245</v>
      </c>
      <c r="O297" s="29" t="n">
        <f aca="false">N297*(1-MIN(1,INDEX(Tabla_Mortalidad!$B$5:$B$75,MIN(71,Cartera_Polizas!$B$299+12-49))*(1+(Cartera_Polizas!$P$299-1)*MAX(0,1-12/Supuestos!$C$20))*(1-Supuestos!$C$18)^12))</f>
        <v>0.00639073284013654</v>
      </c>
      <c r="P297" s="29" t="n">
        <f aca="false">O297*(1-MIN(1,INDEX(Tabla_Mortalidad!$B$5:$B$75,MIN(71,Cartera_Polizas!$B$299+13-49))*(1+(Cartera_Polizas!$P$299-1)*MAX(0,1-13/Supuestos!$C$20))*(1-Supuestos!$C$18)^13))</f>
        <v>0.00396228800431036</v>
      </c>
      <c r="Q297" s="29" t="n">
        <f aca="false">P297*(1-MIN(1,INDEX(Tabla_Mortalidad!$B$5:$B$75,MIN(71,Cartera_Polizas!$B$299+14-49))*(1+(Cartera_Polizas!$P$299-1)*MAX(0,1-14/Supuestos!$C$20))*(1-Supuestos!$C$18)^14))</f>
        <v>0.00247012270211051</v>
      </c>
      <c r="R297" s="29" t="n">
        <f aca="false">Q297*(1-MIN(1,INDEX(Tabla_Mortalidad!$B$5:$B$75,MIN(71,Cartera_Polizas!$B$299+15-49))*(1+(Cartera_Polizas!$P$299-1)*MAX(0,1-15/Supuestos!$C$20))*(1-Supuestos!$C$18)^15))</f>
        <v>0.00155892027218139</v>
      </c>
      <c r="S297" s="29" t="n">
        <f aca="false">R297*(1-MIN(1,INDEX(Tabla_Mortalidad!$B$5:$B$75,MIN(71,Cartera_Polizas!$B$299+16-49))*(1+(Cartera_Polizas!$P$299-1)*MAX(0,1-16/Supuestos!$C$20))*(1-Supuestos!$C$18)^16))</f>
        <v>0.000937115798754591</v>
      </c>
      <c r="T297" s="29" t="n">
        <f aca="false">S297*(1-MIN(1,INDEX(Tabla_Mortalidad!$B$5:$B$75,MIN(71,Cartera_Polizas!$B$299+17-49))*(1+(Cartera_Polizas!$P$299-1)*MAX(0,1-17/Supuestos!$C$20))*(1-Supuestos!$C$18)^17))</f>
        <v>0.000534076973826882</v>
      </c>
      <c r="U297" s="29" t="n">
        <f aca="false">T297*(1-MIN(1,INDEX(Tabla_Mortalidad!$B$5:$B$75,MIN(71,Cartera_Polizas!$B$299+18-49))*(1+(Cartera_Polizas!$P$299-1)*MAX(0,1-18/Supuestos!$C$20))*(1-Supuestos!$C$18)^18))</f>
        <v>0.000287151706275842</v>
      </c>
      <c r="V297" s="29" t="n">
        <f aca="false">U297*(1-MIN(1,INDEX(Tabla_Mortalidad!$B$5:$B$75,MIN(71,Cartera_Polizas!$B$299+19-49))*(1+(Cartera_Polizas!$P$299-1)*MAX(0,1-19/Supuestos!$C$20))*(1-Supuestos!$C$18)^19))</f>
        <v>0.000144900361085343</v>
      </c>
      <c r="W297" s="29" t="n">
        <f aca="false">V297*(1-MIN(1,INDEX(Tabla_Mortalidad!$B$5:$B$75,MIN(71,Cartera_Polizas!$B$299+20-49))*(1+(Cartera_Polizas!$P$299-1)*MAX(0,1-20/Supuestos!$C$20))*(1-Supuestos!$C$18)^20))</f>
        <v>6.82593535529282E-005</v>
      </c>
      <c r="X297" s="29" t="n">
        <f aca="false">W297*(1-MIN(1,INDEX(Tabla_Mortalidad!$B$5:$B$75,MIN(71,Cartera_Polizas!$B$299+21-49))*(1+(Cartera_Polizas!$P$299-1)*MAX(0,1-21/Supuestos!$C$20))*(1-Supuestos!$C$18)^21))</f>
        <v>2.98575255051924E-005</v>
      </c>
      <c r="Y297" s="29" t="n">
        <f aca="false">X297*(1-MIN(1,INDEX(Tabla_Mortalidad!$B$5:$B$75,MIN(71,Cartera_Polizas!$B$299+22-49))*(1+(Cartera_Polizas!$P$299-1)*MAX(0,1-22/Supuestos!$C$20))*(1-Supuestos!$C$18)^22))</f>
        <v>1.2063251207057E-005</v>
      </c>
      <c r="Z297" s="29" t="n">
        <f aca="false">Y297*(1-MIN(1,INDEX(Tabla_Mortalidad!$B$5:$B$75,MIN(71,Cartera_Polizas!$B$299+23-49))*(1+(Cartera_Polizas!$P$299-1)*MAX(0,1-23/Supuestos!$C$20))*(1-Supuestos!$C$18)^23))</f>
        <v>4.47989481758442E-006</v>
      </c>
      <c r="AA297" s="29" t="n">
        <f aca="false">Z297*(1-MIN(1,INDEX(Tabla_Mortalidad!$B$5:$B$75,MIN(71,Cartera_Polizas!$B$299+24-49))*(1+(Cartera_Polizas!$P$299-1)*MAX(0,1-24/Supuestos!$C$20))*(1-Supuestos!$C$18)^24))</f>
        <v>1.52275489999699E-006</v>
      </c>
      <c r="AB297" s="29" t="n">
        <f aca="false">AA297*(1-MIN(1,INDEX(Tabla_Mortalidad!$B$5:$B$75,MIN(71,Cartera_Polizas!$B$299+25-49))*(1+(Cartera_Polizas!$P$299-1)*MAX(0,1-25/Supuestos!$C$20))*(1-Supuestos!$C$18)^25))</f>
        <v>4.72263084693933E-007</v>
      </c>
      <c r="AC297" s="29" t="n">
        <f aca="false">AB297*(1-MIN(1,INDEX(Tabla_Mortalidad!$B$5:$B$75,MIN(71,Cartera_Polizas!$B$299+26-49))*(1+(Cartera_Polizas!$P$299-1)*MAX(0,1-26/Supuestos!$C$20))*(1-Supuestos!$C$18)^26))</f>
        <v>1.33424626298412E-007</v>
      </c>
      <c r="AD297" s="29" t="n">
        <f aca="false">AC297*(1-MIN(1,INDEX(Tabla_Mortalidad!$B$5:$B$75,MIN(71,Cartera_Polizas!$B$299+27-49))*(1+(Cartera_Polizas!$P$299-1)*MAX(0,1-27/Supuestos!$C$20))*(1-Supuestos!$C$18)^27))</f>
        <v>3.4355837260518E-008</v>
      </c>
      <c r="AE297" s="29" t="n">
        <f aca="false">AD297*(1-MIN(1,INDEX(Tabla_Mortalidad!$B$5:$B$75,MIN(71,Cartera_Polizas!$B$299+28-49))*(1+(Cartera_Polizas!$P$299-1)*MAX(0,1-28/Supuestos!$C$20))*(1-Supuestos!$C$18)^28))</f>
        <v>8.0877300059159E-009</v>
      </c>
      <c r="AF297" s="29" t="n">
        <f aca="false">AE297*(1-MIN(1,INDEX(Tabla_Mortalidad!$B$5:$B$75,MIN(71,Cartera_Polizas!$B$299+29-49))*(1+(Cartera_Polizas!$P$299-1)*MAX(0,1-29/Supuestos!$C$20))*(1-Supuestos!$C$18)^29))</f>
        <v>1.75130474903844E-009</v>
      </c>
      <c r="AG297" s="29" t="n">
        <f aca="false">AF297*(1-MIN(1,INDEX(Tabla_Mortalidad!$B$5:$B$75,MIN(71,Cartera_Polizas!$B$299+30-49))*(1+(Cartera_Polizas!$P$299-1)*MAX(0,1-30/Supuestos!$C$20))*(1-Supuestos!$C$18)^30))</f>
        <v>3.52048274478736E-010</v>
      </c>
      <c r="AH297" s="29" t="n">
        <f aca="false">AG297*(1-MIN(1,INDEX(Tabla_Mortalidad!$B$5:$B$75,MIN(71,Cartera_Polizas!$B$299+31-49))*(1+(Cartera_Polizas!$P$299-1)*MAX(0,1-31/Supuestos!$C$20))*(1-Supuestos!$C$18)^31))</f>
        <v>6.64897637371259E-011</v>
      </c>
      <c r="AI297" s="29" t="n">
        <f aca="false">AH297*(1-MIN(1,INDEX(Tabla_Mortalidad!$B$5:$B$75,MIN(71,Cartera_Polizas!$B$299+32-49))*(1+(Cartera_Polizas!$P$299-1)*MAX(0,1-32/Supuestos!$C$20))*(1-Supuestos!$C$18)^32))</f>
        <v>9.85365934145435E-012</v>
      </c>
      <c r="AJ297" s="29" t="n">
        <f aca="false">AI297*(1-MIN(1,INDEX(Tabla_Mortalidad!$B$5:$B$75,MIN(71,Cartera_Polizas!$B$299+33-49))*(1+(Cartera_Polizas!$P$299-1)*MAX(0,1-33/Supuestos!$C$20))*(1-Supuestos!$C$18)^33))</f>
        <v>1.5022608172898E-012</v>
      </c>
      <c r="AK297" s="29" t="n">
        <f aca="false">AJ297*(1-MIN(1,INDEX(Tabla_Mortalidad!$B$5:$B$75,MIN(71,Cartera_Polizas!$B$299+34-49))*(1+(Cartera_Polizas!$P$299-1)*MAX(0,1-34/Supuestos!$C$20))*(1-Supuestos!$C$18)^34))</f>
        <v>2.35396554381389E-013</v>
      </c>
      <c r="AL297" s="29" t="n">
        <f aca="false">AK297*(1-MIN(1,INDEX(Tabla_Mortalidad!$B$5:$B$75,MIN(71,Cartera_Polizas!$B$299+35-49))*(1+(Cartera_Polizas!$P$299-1)*MAX(0,1-35/Supuestos!$C$20))*(1-Supuestos!$C$18)^35))</f>
        <v>3.78779866794868E-014</v>
      </c>
      <c r="AM297" s="29" t="n">
        <f aca="false">AL297*(1-MIN(1,INDEX(Tabla_Mortalidad!$B$5:$B$75,MIN(71,Cartera_Polizas!$B$299+36-49))*(1+(Cartera_Polizas!$P$299-1)*MAX(0,1-36/Supuestos!$C$20))*(1-Supuestos!$C$18)^36))</f>
        <v>6.25391440899354E-015</v>
      </c>
      <c r="AN297" s="29" t="n">
        <f aca="false">AM297*(1-MIN(1,INDEX(Tabla_Mortalidad!$B$5:$B$75,MIN(71,Cartera_Polizas!$B$299+37-49))*(1+(Cartera_Polizas!$P$299-1)*MAX(0,1-37/Supuestos!$C$20))*(1-Supuestos!$C$18)^37))</f>
        <v>1.05867075197403E-015</v>
      </c>
      <c r="AO297" s="29" t="n">
        <f aca="false">AN297*(1-MIN(1,INDEX(Tabla_Mortalidad!$B$5:$B$75,MIN(71,Cartera_Polizas!$B$299+38-49))*(1+(Cartera_Polizas!$P$299-1)*MAX(0,1-38/Supuestos!$C$20))*(1-Supuestos!$C$18)^38))</f>
        <v>1.83610447558935E-016</v>
      </c>
      <c r="AP297" s="29" t="n">
        <f aca="false">AO297*(1-MIN(1,INDEX(Tabla_Mortalidad!$B$5:$B$75,MIN(71,Cartera_Polizas!$B$299+39-49))*(1+(Cartera_Polizas!$P$299-1)*MAX(0,1-39/Supuestos!$C$20))*(1-Supuestos!$C$18)^39))</f>
        <v>3.2603288094156E-017</v>
      </c>
      <c r="AQ297" s="29" t="n">
        <f aca="false">AP297*(1-MIN(1,INDEX(Tabla_Mortalidad!$B$5:$B$75,MIN(71,Cartera_Polizas!$B$299+40-49))*(1+(Cartera_Polizas!$P$299-1)*MAX(0,1-40/Supuestos!$C$20))*(1-Supuestos!$C$18)^40))</f>
        <v>5.92336143520915E-018</v>
      </c>
      <c r="AR297" s="29" t="n">
        <f aca="false">AQ297*(1-MIN(1,INDEX(Tabla_Mortalidad!$B$5:$B$75,MIN(71,Cartera_Polizas!$B$299+41-49))*(1+(Cartera_Polizas!$P$299-1)*MAX(0,1-41/Supuestos!$C$20))*(1-Supuestos!$C$18)^41))</f>
        <v>1.10039161792036E-018</v>
      </c>
      <c r="AS297" s="29" t="n">
        <f aca="false">AR297*(1-MIN(1,INDEX(Tabla_Mortalidad!$B$5:$B$75,MIN(71,Cartera_Polizas!$B$299+42-49))*(1+(Cartera_Polizas!$P$299-1)*MAX(0,1-42/Supuestos!$C$20))*(1-Supuestos!$C$18)^42))</f>
        <v>2.08901230175876E-019</v>
      </c>
      <c r="AT297" s="29" t="n">
        <f aca="false">AS297*(1-MIN(1,INDEX(Tabla_Mortalidad!$B$5:$B$75,MIN(71,Cartera_Polizas!$B$299+43-49))*(1+(Cartera_Polizas!$P$299-1)*MAX(0,1-43/Supuestos!$C$20))*(1-Supuestos!$C$18)^43))</f>
        <v>4.05045716784703E-020</v>
      </c>
      <c r="AU297" s="29" t="n">
        <f aca="false">AT297*(1-MIN(1,INDEX(Tabla_Mortalidad!$B$5:$B$75,MIN(71,Cartera_Polizas!$B$299+44-49))*(1+(Cartera_Polizas!$P$299-1)*MAX(0,1-44/Supuestos!$C$20))*(1-Supuestos!$C$18)^44))</f>
        <v>8.0168244967681E-021</v>
      </c>
    </row>
    <row r="298" customFormat="false" ht="15" hidden="false" customHeight="false" outlineLevel="0" collapsed="false">
      <c r="A298" s="14" t="n">
        <f aca="false">Cartera_Polizas!A300</f>
        <v>295</v>
      </c>
      <c r="B298" s="26" t="n">
        <f aca="false">SUM(C298:AU298)+0.5</f>
        <v>6.26672530084111</v>
      </c>
      <c r="C298" s="29" t="n">
        <f aca="false">1-MIN(1,INDEX(Tabla_Mortalidad!$B$5:$B$75,MIN(71,Cartera_Polizas!$B$300+0-49))*(1+(Cartera_Polizas!$P$300-1)*MAX(0,1-0/Supuestos!$C$20))*(1-Supuestos!$C$18)^0)</f>
        <v>0.90181571875</v>
      </c>
      <c r="D298" s="29" t="n">
        <f aca="false">C298*(1-MIN(1,INDEX(Tabla_Mortalidad!$B$5:$B$75,MIN(71,Cartera_Polizas!$B$300+1-49))*(1+(Cartera_Polizas!$P$300-1)*MAX(0,1-1/Supuestos!$C$20))*(1-Supuestos!$C$18)^1))</f>
        <v>0.805441062123935</v>
      </c>
      <c r="E298" s="29" t="n">
        <f aca="false">D298*(1-MIN(1,INDEX(Tabla_Mortalidad!$B$5:$B$75,MIN(71,Cartera_Polizas!$B$300+2-49))*(1+(Cartera_Polizas!$P$300-1)*MAX(0,1-2/Supuestos!$C$20))*(1-Supuestos!$C$18)^2))</f>
        <v>0.711823250600309</v>
      </c>
      <c r="F298" s="29" t="n">
        <f aca="false">E298*(1-MIN(1,INDEX(Tabla_Mortalidad!$B$5:$B$75,MIN(71,Cartera_Polizas!$B$300+3-49))*(1+(Cartera_Polizas!$P$300-1)*MAX(0,1-3/Supuestos!$C$20))*(1-Supuestos!$C$18)^3))</f>
        <v>0.621912828175712</v>
      </c>
      <c r="G298" s="29" t="n">
        <f aca="false">F298*(1-MIN(1,INDEX(Tabla_Mortalidad!$B$5:$B$75,MIN(71,Cartera_Polizas!$B$300+4-49))*(1+(Cartera_Polizas!$P$300-1)*MAX(0,1-4/Supuestos!$C$20))*(1-Supuestos!$C$18)^4))</f>
        <v>0.536624579197907</v>
      </c>
      <c r="H298" s="29" t="n">
        <f aca="false">G298*(1-MIN(1,INDEX(Tabla_Mortalidad!$B$5:$B$75,MIN(71,Cartera_Polizas!$B$300+5-49))*(1+(Cartera_Polizas!$P$300-1)*MAX(0,1-5/Supuestos!$C$20))*(1-Supuestos!$C$18)^5))</f>
        <v>0.456801998525352</v>
      </c>
      <c r="I298" s="29" t="n">
        <f aca="false">H298*(1-MIN(1,INDEX(Tabla_Mortalidad!$B$5:$B$75,MIN(71,Cartera_Polizas!$B$300+6-49))*(1+(Cartera_Polizas!$P$300-1)*MAX(0,1-6/Supuestos!$C$20))*(1-Supuestos!$C$18)^6))</f>
        <v>0.383178729618951</v>
      </c>
      <c r="J298" s="29" t="n">
        <f aca="false">I298*(1-MIN(1,INDEX(Tabla_Mortalidad!$B$5:$B$75,MIN(71,Cartera_Polizas!$B$300+7-49))*(1+(Cartera_Polizas!$P$300-1)*MAX(0,1-7/Supuestos!$C$20))*(1-Supuestos!$C$18)^7))</f>
        <v>0.316342273014484</v>
      </c>
      <c r="K298" s="29" t="n">
        <f aca="false">J298*(1-MIN(1,INDEX(Tabla_Mortalidad!$B$5:$B$75,MIN(71,Cartera_Polizas!$B$300+8-49))*(1+(Cartera_Polizas!$P$300-1)*MAX(0,1-8/Supuestos!$C$20))*(1-Supuestos!$C$18)^8))</f>
        <v>0.256702032722332</v>
      </c>
      <c r="L298" s="29" t="n">
        <f aca="false">K298*(1-MIN(1,INDEX(Tabla_Mortalidad!$B$5:$B$75,MIN(71,Cartera_Polizas!$B$300+9-49))*(1+(Cartera_Polizas!$P$300-1)*MAX(0,1-9/Supuestos!$C$20))*(1-Supuestos!$C$18)^9))</f>
        <v>0.204464721936536</v>
      </c>
      <c r="M298" s="29" t="n">
        <f aca="false">L298*(1-MIN(1,INDEX(Tabla_Mortalidad!$B$5:$B$75,MIN(71,Cartera_Polizas!$B$300+10-49))*(1+(Cartera_Polizas!$P$300-1)*MAX(0,1-10/Supuestos!$C$20))*(1-Supuestos!$C$18)^10))</f>
        <v>0.159623095505137</v>
      </c>
      <c r="N298" s="29" t="n">
        <f aca="false">M298*(1-MIN(1,INDEX(Tabla_Mortalidad!$B$5:$B$75,MIN(71,Cartera_Polizas!$B$300+11-49))*(1+(Cartera_Polizas!$P$300-1)*MAX(0,1-11/Supuestos!$C$20))*(1-Supuestos!$C$18)^11))</f>
        <v>0.121957070515992</v>
      </c>
      <c r="O298" s="29" t="n">
        <f aca="false">N298*(1-MIN(1,INDEX(Tabla_Mortalidad!$B$5:$B$75,MIN(71,Cartera_Polizas!$B$300+12-49))*(1+(Cartera_Polizas!$P$300-1)*MAX(0,1-12/Supuestos!$C$20))*(1-Supuestos!$C$18)^12))</f>
        <v>0.0910491531479169</v>
      </c>
      <c r="P298" s="29" t="n">
        <f aca="false">O298*(1-MIN(1,INDEX(Tabla_Mortalidad!$B$5:$B$75,MIN(71,Cartera_Polizas!$B$300+13-49))*(1+(Cartera_Polizas!$P$300-1)*MAX(0,1-13/Supuestos!$C$20))*(1-Supuestos!$C$18)^13))</f>
        <v>0.0663152272124063</v>
      </c>
      <c r="Q298" s="29" t="n">
        <f aca="false">P298*(1-MIN(1,INDEX(Tabla_Mortalidad!$B$5:$B$75,MIN(71,Cartera_Polizas!$B$300+14-49))*(1+(Cartera_Polizas!$P$300-1)*MAX(0,1-14/Supuestos!$C$20))*(1-Supuestos!$C$18)^14))</f>
        <v>0.0470465801648704</v>
      </c>
      <c r="R298" s="29" t="n">
        <f aca="false">Q298*(1-MIN(1,INDEX(Tabla_Mortalidad!$B$5:$B$75,MIN(71,Cartera_Polizas!$B$300+15-49))*(1+(Cartera_Polizas!$P$300-1)*MAX(0,1-15/Supuestos!$C$20))*(1-Supuestos!$C$18)^15))</f>
        <v>0.0324593890670651</v>
      </c>
      <c r="S298" s="29" t="n">
        <f aca="false">R298*(1-MIN(1,INDEX(Tabla_Mortalidad!$B$5:$B$75,MIN(71,Cartera_Polizas!$B$300+16-49))*(1+(Cartera_Polizas!$P$300-1)*MAX(0,1-16/Supuestos!$C$20))*(1-Supuestos!$C$18)^16))</f>
        <v>0.0215238405592492</v>
      </c>
      <c r="T298" s="29" t="n">
        <f aca="false">S298*(1-MIN(1,INDEX(Tabla_Mortalidad!$B$5:$B$75,MIN(71,Cartera_Polizas!$B$300+17-49))*(1+(Cartera_Polizas!$P$300-1)*MAX(0,1-17/Supuestos!$C$20))*(1-Supuestos!$C$18)^17))</f>
        <v>0.0136631215922885</v>
      </c>
      <c r="U298" s="29" t="n">
        <f aca="false">T298*(1-MIN(1,INDEX(Tabla_Mortalidad!$B$5:$B$75,MIN(71,Cartera_Polizas!$B$300+18-49))*(1+(Cartera_Polizas!$P$300-1)*MAX(0,1-18/Supuestos!$C$20))*(1-Supuestos!$C$18)^18))</f>
        <v>0.00826769196664619</v>
      </c>
      <c r="V298" s="29" t="n">
        <f aca="false">U298*(1-MIN(1,INDEX(Tabla_Mortalidad!$B$5:$B$75,MIN(71,Cartera_Polizas!$B$300+19-49))*(1+(Cartera_Polizas!$P$300-1)*MAX(0,1-19/Supuestos!$C$20))*(1-Supuestos!$C$18)^19))</f>
        <v>0.00474735631980728</v>
      </c>
      <c r="W298" s="29" t="n">
        <f aca="false">V298*(1-MIN(1,INDEX(Tabla_Mortalidad!$B$5:$B$75,MIN(71,Cartera_Polizas!$B$300+20-49))*(1+(Cartera_Polizas!$P$300-1)*MAX(0,1-20/Supuestos!$C$20))*(1-Supuestos!$C$18)^20))</f>
        <v>0.00257435660241791</v>
      </c>
      <c r="X298" s="29" t="n">
        <f aca="false">W298*(1-MIN(1,INDEX(Tabla_Mortalidad!$B$5:$B$75,MIN(71,Cartera_Polizas!$B$300+21-49))*(1+(Cartera_Polizas!$P$300-1)*MAX(0,1-21/Supuestos!$C$20))*(1-Supuestos!$C$18)^21))</f>
        <v>0.00131177386299648</v>
      </c>
      <c r="Y298" s="29" t="n">
        <f aca="false">X298*(1-MIN(1,INDEX(Tabla_Mortalidad!$B$5:$B$75,MIN(71,Cartera_Polizas!$B$300+22-49))*(1+(Cartera_Polizas!$P$300-1)*MAX(0,1-22/Supuestos!$C$20))*(1-Supuestos!$C$18)^22))</f>
        <v>0.000624868554715492</v>
      </c>
      <c r="Z298" s="29" t="n">
        <f aca="false">Y298*(1-MIN(1,INDEX(Tabla_Mortalidad!$B$5:$B$75,MIN(71,Cartera_Polizas!$B$300+23-49))*(1+(Cartera_Polizas!$P$300-1)*MAX(0,1-23/Supuestos!$C$20))*(1-Supuestos!$C$18)^23))</f>
        <v>0.000276832241616451</v>
      </c>
      <c r="AA298" s="29" t="n">
        <f aca="false">Z298*(1-MIN(1,INDEX(Tabla_Mortalidad!$B$5:$B$75,MIN(71,Cartera_Polizas!$B$300+24-49))*(1+(Cartera_Polizas!$P$300-1)*MAX(0,1-24/Supuestos!$C$20))*(1-Supuestos!$C$18)^24))</f>
        <v>0.000113493464484875</v>
      </c>
      <c r="AB298" s="29" t="n">
        <f aca="false">AA298*(1-MIN(1,INDEX(Tabla_Mortalidad!$B$5:$B$75,MIN(71,Cartera_Polizas!$B$300+25-49))*(1+(Cartera_Polizas!$P$300-1)*MAX(0,1-25/Supuestos!$C$20))*(1-Supuestos!$C$18)^25))</f>
        <v>4.2859414253842E-005</v>
      </c>
      <c r="AC298" s="29" t="n">
        <f aca="false">AB298*(1-MIN(1,INDEX(Tabla_Mortalidad!$B$5:$B$75,MIN(71,Cartera_Polizas!$B$300+26-49))*(1+(Cartera_Polizas!$P$300-1)*MAX(0,1-26/Supuestos!$C$20))*(1-Supuestos!$C$18)^26))</f>
        <v>1.48504887034686E-005</v>
      </c>
      <c r="AD298" s="29" t="n">
        <f aca="false">AC298*(1-MIN(1,INDEX(Tabla_Mortalidad!$B$5:$B$75,MIN(71,Cartera_Polizas!$B$300+27-49))*(1+(Cartera_Polizas!$P$300-1)*MAX(0,1-27/Supuestos!$C$20))*(1-Supuestos!$C$18)^27))</f>
        <v>4.70788224997218E-006</v>
      </c>
      <c r="AE298" s="29" t="n">
        <f aca="false">AD298*(1-MIN(1,INDEX(Tabla_Mortalidad!$B$5:$B$75,MIN(71,Cartera_Polizas!$B$300+28-49))*(1+(Cartera_Polizas!$P$300-1)*MAX(0,1-28/Supuestos!$C$20))*(1-Supuestos!$C$18)^28))</f>
        <v>1.36377304532844E-006</v>
      </c>
      <c r="AF298" s="29" t="n">
        <f aca="false">AE298*(1-MIN(1,INDEX(Tabla_Mortalidad!$B$5:$B$75,MIN(71,Cartera_Polizas!$B$300+29-49))*(1+(Cartera_Polizas!$P$300-1)*MAX(0,1-29/Supuestos!$C$20))*(1-Supuestos!$C$18)^29))</f>
        <v>3.61262099062652E-007</v>
      </c>
      <c r="AG298" s="29" t="n">
        <f aca="false">AF298*(1-MIN(1,INDEX(Tabla_Mortalidad!$B$5:$B$75,MIN(71,Cartera_Polizas!$B$300+30-49))*(1+(Cartera_Polizas!$P$300-1)*MAX(0,1-30/Supuestos!$C$20))*(1-Supuestos!$C$18)^30))</f>
        <v>8.78002119284274E-008</v>
      </c>
      <c r="AH298" s="29" t="n">
        <f aca="false">AG298*(1-MIN(1,INDEX(Tabla_Mortalidad!$B$5:$B$75,MIN(71,Cartera_Polizas!$B$300+31-49))*(1+(Cartera_Polizas!$P$300-1)*MAX(0,1-31/Supuestos!$C$20))*(1-Supuestos!$C$18)^31))</f>
        <v>1.96982854666906E-008</v>
      </c>
      <c r="AI298" s="29" t="n">
        <f aca="false">AH298*(1-MIN(1,INDEX(Tabla_Mortalidad!$B$5:$B$75,MIN(71,Cartera_Polizas!$B$300+32-49))*(1+(Cartera_Polizas!$P$300-1)*MAX(0,1-32/Supuestos!$C$20))*(1-Supuestos!$C$18)^32))</f>
        <v>4.11675230917377E-009</v>
      </c>
      <c r="AJ298" s="29" t="n">
        <f aca="false">AI298*(1-MIN(1,INDEX(Tabla_Mortalidad!$B$5:$B$75,MIN(71,Cartera_Polizas!$B$300+33-49))*(1+(Cartera_Polizas!$P$300-1)*MAX(0,1-33/Supuestos!$C$20))*(1-Supuestos!$C$18)^33))</f>
        <v>8.10821288834375E-010</v>
      </c>
      <c r="AK298" s="29" t="n">
        <f aca="false">AJ298*(1-MIN(1,INDEX(Tabla_Mortalidad!$B$5:$B$75,MIN(71,Cartera_Polizas!$B$300+34-49))*(1+(Cartera_Polizas!$P$300-1)*MAX(0,1-34/Supuestos!$C$20))*(1-Supuestos!$C$18)^34))</f>
        <v>1.2705153154099E-010</v>
      </c>
      <c r="AL298" s="29" t="n">
        <f aca="false">AK298*(1-MIN(1,INDEX(Tabla_Mortalidad!$B$5:$B$75,MIN(71,Cartera_Polizas!$B$300+35-49))*(1+(Cartera_Polizas!$P$300-1)*MAX(0,1-35/Supuestos!$C$20))*(1-Supuestos!$C$18)^35))</f>
        <v>2.04440384948069E-011</v>
      </c>
      <c r="AM298" s="29" t="n">
        <f aca="false">AL298*(1-MIN(1,INDEX(Tabla_Mortalidad!$B$5:$B$75,MIN(71,Cartera_Polizas!$B$300+36-49))*(1+(Cartera_Polizas!$P$300-1)*MAX(0,1-36/Supuestos!$C$20))*(1-Supuestos!$C$18)^36))</f>
        <v>3.3754504430916E-012</v>
      </c>
      <c r="AN298" s="29" t="n">
        <f aca="false">AM298*(1-MIN(1,INDEX(Tabla_Mortalidad!$B$5:$B$75,MIN(71,Cartera_Polizas!$B$300+37-49))*(1+(Cartera_Polizas!$P$300-1)*MAX(0,1-37/Supuestos!$C$20))*(1-Supuestos!$C$18)^37))</f>
        <v>5.71400634089257E-013</v>
      </c>
      <c r="AO298" s="29" t="n">
        <f aca="false">AN298*(1-MIN(1,INDEX(Tabla_Mortalidad!$B$5:$B$75,MIN(71,Cartera_Polizas!$B$300+38-49))*(1+(Cartera_Polizas!$P$300-1)*MAX(0,1-38/Supuestos!$C$20))*(1-Supuestos!$C$18)^38))</f>
        <v>9.91008072764456E-014</v>
      </c>
      <c r="AP298" s="29" t="n">
        <f aca="false">AO298*(1-MIN(1,INDEX(Tabla_Mortalidad!$B$5:$B$75,MIN(71,Cartera_Polizas!$B$300+39-49))*(1+(Cartera_Polizas!$P$300-1)*MAX(0,1-39/Supuestos!$C$20))*(1-Supuestos!$C$18)^39))</f>
        <v>1.75971041569424E-014</v>
      </c>
      <c r="AQ298" s="29" t="n">
        <f aca="false">AP298*(1-MIN(1,INDEX(Tabla_Mortalidad!$B$5:$B$75,MIN(71,Cartera_Polizas!$B$300+40-49))*(1+(Cartera_Polizas!$P$300-1)*MAX(0,1-40/Supuestos!$C$20))*(1-Supuestos!$C$18)^40))</f>
        <v>3.19703975358469E-015</v>
      </c>
      <c r="AR298" s="29" t="n">
        <f aca="false">AQ298*(1-MIN(1,INDEX(Tabla_Mortalidad!$B$5:$B$75,MIN(71,Cartera_Polizas!$B$300+41-49))*(1+(Cartera_Polizas!$P$300-1)*MAX(0,1-41/Supuestos!$C$20))*(1-Supuestos!$C$18)^41))</f>
        <v>5.93918805307305E-016</v>
      </c>
      <c r="AS298" s="29" t="n">
        <f aca="false">AR298*(1-MIN(1,INDEX(Tabla_Mortalidad!$B$5:$B$75,MIN(71,Cartera_Polizas!$B$300+42-49))*(1+(Cartera_Polizas!$P$300-1)*MAX(0,1-42/Supuestos!$C$20))*(1-Supuestos!$C$18)^42))</f>
        <v>1.1275110336424E-016</v>
      </c>
      <c r="AT298" s="29" t="n">
        <f aca="false">AS298*(1-MIN(1,INDEX(Tabla_Mortalidad!$B$5:$B$75,MIN(71,Cartera_Polizas!$B$300+43-49))*(1+(Cartera_Polizas!$P$300-1)*MAX(0,1-43/Supuestos!$C$20))*(1-Supuestos!$C$18)^43))</f>
        <v>2.18616958081029E-017</v>
      </c>
      <c r="AU298" s="29" t="n">
        <f aca="false">AT298*(1-MIN(1,INDEX(Tabla_Mortalidad!$B$5:$B$75,MIN(71,Cartera_Polizas!$B$300+44-49))*(1+(Cartera_Polizas!$P$300-1)*MAX(0,1-44/Supuestos!$C$20))*(1-Supuestos!$C$18)^44))</f>
        <v>4.32695301376189E-018</v>
      </c>
    </row>
    <row r="299" customFormat="false" ht="15" hidden="false" customHeight="false" outlineLevel="0" collapsed="false">
      <c r="A299" s="14" t="n">
        <f aca="false">Cartera_Polizas!A301</f>
        <v>296</v>
      </c>
      <c r="B299" s="26" t="n">
        <f aca="false">SUM(C299:AU299)+0.5</f>
        <v>6.38027307035612</v>
      </c>
      <c r="C299" s="29" t="n">
        <f aca="false">1-MIN(1,INDEX(Tabla_Mortalidad!$B$5:$B$75,MIN(71,Cartera_Polizas!$B$301+0-49))*(1+(Cartera_Polizas!$P$301-1)*MAX(0,1-0/Supuestos!$C$20))*(1-Supuestos!$C$18)^0)</f>
        <v>0.898370824</v>
      </c>
      <c r="D299" s="29" t="n">
        <f aca="false">C299*(1-MIN(1,INDEX(Tabla_Mortalidad!$B$5:$B$75,MIN(71,Cartera_Polizas!$B$301+1-49))*(1+(Cartera_Polizas!$P$301-1)*MAX(0,1-1/Supuestos!$C$20))*(1-Supuestos!$C$18)^1))</f>
        <v>0.800036554359123</v>
      </c>
      <c r="E299" s="29" t="n">
        <f aca="false">D299*(1-MIN(1,INDEX(Tabla_Mortalidad!$B$5:$B$75,MIN(71,Cartera_Polizas!$B$301+2-49))*(1+(Cartera_Polizas!$P$301-1)*MAX(0,1-2/Supuestos!$C$20))*(1-Supuestos!$C$18)^2))</f>
        <v>0.705828523059125</v>
      </c>
      <c r="F299" s="29" t="n">
        <f aca="false">E299*(1-MIN(1,INDEX(Tabla_Mortalidad!$B$5:$B$75,MIN(71,Cartera_Polizas!$B$301+3-49))*(1+(Cartera_Polizas!$P$301-1)*MAX(0,1-3/Supuestos!$C$20))*(1-Supuestos!$C$18)^3))</f>
        <v>0.616529008255549</v>
      </c>
      <c r="G299" s="29" t="n">
        <f aca="false">F299*(1-MIN(1,INDEX(Tabla_Mortalidad!$B$5:$B$75,MIN(71,Cartera_Polizas!$B$301+4-49))*(1+(Cartera_Polizas!$P$301-1)*MAX(0,1-4/Supuestos!$C$20))*(1-Supuestos!$C$18)^4))</f>
        <v>0.532835365473607</v>
      </c>
      <c r="H299" s="29" t="n">
        <f aca="false">G299*(1-MIN(1,INDEX(Tabla_Mortalidad!$B$5:$B$75,MIN(71,Cartera_Polizas!$B$301+5-49))*(1+(Cartera_Polizas!$P$301-1)*MAX(0,1-5/Supuestos!$C$20))*(1-Supuestos!$C$18)^5))</f>
        <v>0.455339901498123</v>
      </c>
      <c r="I299" s="29" t="n">
        <f aca="false">H299*(1-MIN(1,INDEX(Tabla_Mortalidad!$B$5:$B$75,MIN(71,Cartera_Polizas!$B$301+6-49))*(1+(Cartera_Polizas!$P$301-1)*MAX(0,1-6/Supuestos!$C$20))*(1-Supuestos!$C$18)^6))</f>
        <v>0.384500842181737</v>
      </c>
      <c r="J299" s="29" t="n">
        <f aca="false">I299*(1-MIN(1,INDEX(Tabla_Mortalidad!$B$5:$B$75,MIN(71,Cartera_Polizas!$B$301+7-49))*(1+(Cartera_Polizas!$P$301-1)*MAX(0,1-7/Supuestos!$C$20))*(1-Supuestos!$C$18)^7))</f>
        <v>0.320624545073239</v>
      </c>
      <c r="K299" s="29" t="n">
        <f aca="false">J299*(1-MIN(1,INDEX(Tabla_Mortalidad!$B$5:$B$75,MIN(71,Cartera_Polizas!$B$301+8-49))*(1+(Cartera_Polizas!$P$301-1)*MAX(0,1-8/Supuestos!$C$20))*(1-Supuestos!$C$18)^8))</f>
        <v>0.263852678080593</v>
      </c>
      <c r="L299" s="29" t="n">
        <f aca="false">K299*(1-MIN(1,INDEX(Tabla_Mortalidad!$B$5:$B$75,MIN(71,Cartera_Polizas!$B$301+9-49))*(1+(Cartera_Polizas!$P$301-1)*MAX(0,1-9/Supuestos!$C$20))*(1-Supuestos!$C$18)^9))</f>
        <v>0.214158136364708</v>
      </c>
      <c r="M299" s="29" t="n">
        <f aca="false">L299*(1-MIN(1,INDEX(Tabla_Mortalidad!$B$5:$B$75,MIN(71,Cartera_Polizas!$B$301+10-49))*(1+(Cartera_Polizas!$P$301-1)*MAX(0,1-10/Supuestos!$C$20))*(1-Supuestos!$C$18)^10))</f>
        <v>0.171349662434441</v>
      </c>
      <c r="N299" s="29" t="n">
        <f aca="false">M299*(1-MIN(1,INDEX(Tabla_Mortalidad!$B$5:$B$75,MIN(71,Cartera_Polizas!$B$301+11-49))*(1+(Cartera_Polizas!$P$301-1)*MAX(0,1-11/Supuestos!$C$20))*(1-Supuestos!$C$18)^11))</f>
        <v>0.135085133633361</v>
      </c>
      <c r="O299" s="29" t="n">
        <f aca="false">N299*(1-MIN(1,INDEX(Tabla_Mortalidad!$B$5:$B$75,MIN(71,Cartera_Polizas!$B$301+12-49))*(1+(Cartera_Polizas!$P$301-1)*MAX(0,1-12/Supuestos!$C$20))*(1-Supuestos!$C$18)^12))</f>
        <v>0.104894761135958</v>
      </c>
      <c r="P299" s="29" t="n">
        <f aca="false">O299*(1-MIN(1,INDEX(Tabla_Mortalidad!$B$5:$B$75,MIN(71,Cartera_Polizas!$B$301+13-49))*(1+(Cartera_Polizas!$P$301-1)*MAX(0,1-13/Supuestos!$C$20))*(1-Supuestos!$C$18)^13))</f>
        <v>0.0802100715922327</v>
      </c>
      <c r="Q299" s="29" t="n">
        <f aca="false">P299*(1-MIN(1,INDEX(Tabla_Mortalidad!$B$5:$B$75,MIN(71,Cartera_Polizas!$B$301+14-49))*(1+(Cartera_Polizas!$P$301-1)*MAX(0,1-14/Supuestos!$C$20))*(1-Supuestos!$C$18)^14))</f>
        <v>0.0603969326615783</v>
      </c>
      <c r="R299" s="29" t="n">
        <f aca="false">Q299*(1-MIN(1,INDEX(Tabla_Mortalidad!$B$5:$B$75,MIN(71,Cartera_Polizas!$B$301+15-49))*(1+(Cartera_Polizas!$P$301-1)*MAX(0,1-15/Supuestos!$C$20))*(1-Supuestos!$C$18)^15))</f>
        <v>0.0447907388040091</v>
      </c>
      <c r="S299" s="29" t="n">
        <f aca="false">R299*(1-MIN(1,INDEX(Tabla_Mortalidad!$B$5:$B$75,MIN(71,Cartera_Polizas!$B$301+16-49))*(1+(Cartera_Polizas!$P$301-1)*MAX(0,1-16/Supuestos!$C$20))*(1-Supuestos!$C$18)^16))</f>
        <v>0.0321638951294881</v>
      </c>
      <c r="T299" s="29" t="n">
        <f aca="false">S299*(1-MIN(1,INDEX(Tabla_Mortalidad!$B$5:$B$75,MIN(71,Cartera_Polizas!$B$301+17-49))*(1+(Cartera_Polizas!$P$301-1)*MAX(0,1-17/Supuestos!$C$20))*(1-Supuestos!$C$18)^17))</f>
        <v>0.0222906842871507</v>
      </c>
      <c r="U299" s="29" t="n">
        <f aca="false">T299*(1-MIN(1,INDEX(Tabla_Mortalidad!$B$5:$B$75,MIN(71,Cartera_Polizas!$B$301+18-49))*(1+(Cartera_Polizas!$P$301-1)*MAX(0,1-18/Supuestos!$C$20))*(1-Supuestos!$C$18)^18))</f>
        <v>0.0148558756952679</v>
      </c>
      <c r="V299" s="29" t="n">
        <f aca="false">U299*(1-MIN(1,INDEX(Tabla_Mortalidad!$B$5:$B$75,MIN(71,Cartera_Polizas!$B$301+19-49))*(1+(Cartera_Polizas!$P$301-1)*MAX(0,1-19/Supuestos!$C$20))*(1-Supuestos!$C$18)^19))</f>
        <v>0.00948448278151429</v>
      </c>
      <c r="W299" s="29" t="n">
        <f aca="false">V299*(1-MIN(1,INDEX(Tabla_Mortalidad!$B$5:$B$75,MIN(71,Cartera_Polizas!$B$301+20-49))*(1+(Cartera_Polizas!$P$301-1)*MAX(0,1-20/Supuestos!$C$20))*(1-Supuestos!$C$18)^20))</f>
        <v>0.00577651533288071</v>
      </c>
      <c r="X299" s="29" t="n">
        <f aca="false">W299*(1-MIN(1,INDEX(Tabla_Mortalidad!$B$5:$B$75,MIN(71,Cartera_Polizas!$B$301+21-49))*(1+(Cartera_Polizas!$P$301-1)*MAX(0,1-21/Supuestos!$C$20))*(1-Supuestos!$C$18)^21))</f>
        <v>0.00334144293595507</v>
      </c>
      <c r="Y299" s="29" t="n">
        <f aca="false">X299*(1-MIN(1,INDEX(Tabla_Mortalidad!$B$5:$B$75,MIN(71,Cartera_Polizas!$B$301+22-49))*(1+(Cartera_Polizas!$P$301-1)*MAX(0,1-22/Supuestos!$C$20))*(1-Supuestos!$C$18)^22))</f>
        <v>0.00182722616991637</v>
      </c>
      <c r="Z299" s="29" t="n">
        <f aca="false">Y299*(1-MIN(1,INDEX(Tabla_Mortalidad!$B$5:$B$75,MIN(71,Cartera_Polizas!$B$301+23-49))*(1+(Cartera_Polizas!$P$301-1)*MAX(0,1-23/Supuestos!$C$20))*(1-Supuestos!$C$18)^23))</f>
        <v>0.00094000966914707</v>
      </c>
      <c r="AA299" s="29" t="n">
        <f aca="false">Z299*(1-MIN(1,INDEX(Tabla_Mortalidad!$B$5:$B$75,MIN(71,Cartera_Polizas!$B$301+24-49))*(1+(Cartera_Polizas!$P$301-1)*MAX(0,1-24/Supuestos!$C$20))*(1-Supuestos!$C$18)^24))</f>
        <v>0.000452687261123642</v>
      </c>
      <c r="AB299" s="29" t="n">
        <f aca="false">AA299*(1-MIN(1,INDEX(Tabla_Mortalidad!$B$5:$B$75,MIN(71,Cartera_Polizas!$B$301+25-49))*(1+(Cartera_Polizas!$P$301-1)*MAX(0,1-25/Supuestos!$C$20))*(1-Supuestos!$C$18)^25))</f>
        <v>0.00020306671787828</v>
      </c>
      <c r="AC299" s="29" t="n">
        <f aca="false">AB299*(1-MIN(1,INDEX(Tabla_Mortalidad!$B$5:$B$75,MIN(71,Cartera_Polizas!$B$301+26-49))*(1+(Cartera_Polizas!$P$301-1)*MAX(0,1-26/Supuestos!$C$20))*(1-Supuestos!$C$18)^26))</f>
        <v>8.44468212014749E-005</v>
      </c>
      <c r="AD299" s="29" t="n">
        <f aca="false">AC299*(1-MIN(1,INDEX(Tabla_Mortalidad!$B$5:$B$75,MIN(71,Cartera_Polizas!$B$301+27-49))*(1+(Cartera_Polizas!$P$301-1)*MAX(0,1-27/Supuestos!$C$20))*(1-Supuestos!$C$18)^27))</f>
        <v>3.24145570722718E-005</v>
      </c>
      <c r="AE299" s="29" t="n">
        <f aca="false">AD299*(1-MIN(1,INDEX(Tabla_Mortalidad!$B$5:$B$75,MIN(71,Cartera_Polizas!$B$301+28-49))*(1+(Cartera_Polizas!$P$301-1)*MAX(0,1-28/Supuestos!$C$20))*(1-Supuestos!$C$18)^28))</f>
        <v>1.14427202028481E-005</v>
      </c>
      <c r="AF299" s="29" t="n">
        <f aca="false">AE299*(1-MIN(1,INDEX(Tabla_Mortalidad!$B$5:$B$75,MIN(71,Cartera_Polizas!$B$301+29-49))*(1+(Cartera_Polizas!$P$301-1)*MAX(0,1-29/Supuestos!$C$20))*(1-Supuestos!$C$18)^29))</f>
        <v>3.70551225860257E-006</v>
      </c>
      <c r="AG299" s="29" t="n">
        <f aca="false">AF299*(1-MIN(1,INDEX(Tabla_Mortalidad!$B$5:$B$75,MIN(71,Cartera_Polizas!$B$301+30-49))*(1+(Cartera_Polizas!$P$301-1)*MAX(0,1-30/Supuestos!$C$20))*(1-Supuestos!$C$18)^30))</f>
        <v>1.09966308588638E-006</v>
      </c>
      <c r="AH299" s="29" t="n">
        <f aca="false">AG299*(1-MIN(1,INDEX(Tabla_Mortalidad!$B$5:$B$75,MIN(71,Cartera_Polizas!$B$301+31-49))*(1+(Cartera_Polizas!$P$301-1)*MAX(0,1-31/Supuestos!$C$20))*(1-Supuestos!$C$18)^31))</f>
        <v>2.99363063574657E-007</v>
      </c>
      <c r="AI299" s="29" t="n">
        <f aca="false">AH299*(1-MIN(1,INDEX(Tabla_Mortalidad!$B$5:$B$75,MIN(71,Cartera_Polizas!$B$301+32-49))*(1+(Cartera_Polizas!$P$301-1)*MAX(0,1-32/Supuestos!$C$20))*(1-Supuestos!$C$18)^32))</f>
        <v>7.50168306308399E-008</v>
      </c>
      <c r="AJ299" s="29" t="n">
        <f aca="false">AI299*(1-MIN(1,INDEX(Tabla_Mortalidad!$B$5:$B$75,MIN(71,Cartera_Polizas!$B$301+33-49))*(1+(Cartera_Polizas!$P$301-1)*MAX(0,1-33/Supuestos!$C$20))*(1-Supuestos!$C$18)^33))</f>
        <v>1.74106997928645E-008</v>
      </c>
      <c r="AK299" s="29" t="n">
        <f aca="false">AJ299*(1-MIN(1,INDEX(Tabla_Mortalidad!$B$5:$B$75,MIN(71,Cartera_Polizas!$B$301+34-49))*(1+(Cartera_Polizas!$P$301-1)*MAX(0,1-34/Supuestos!$C$20))*(1-Supuestos!$C$18)^34))</f>
        <v>3.77604490140331E-009</v>
      </c>
      <c r="AL299" s="29" t="n">
        <f aca="false">AK299*(1-MIN(1,INDEX(Tabla_Mortalidad!$B$5:$B$75,MIN(71,Cartera_Polizas!$B$301+35-49))*(1+(Cartera_Polizas!$P$301-1)*MAX(0,1-35/Supuestos!$C$20))*(1-Supuestos!$C$18)^35))</f>
        <v>7.73964210256282E-010</v>
      </c>
      <c r="AM299" s="29" t="n">
        <f aca="false">AL299*(1-MIN(1,INDEX(Tabla_Mortalidad!$B$5:$B$75,MIN(71,Cartera_Polizas!$B$301+36-49))*(1+(Cartera_Polizas!$P$301-1)*MAX(0,1-36/Supuestos!$C$20))*(1-Supuestos!$C$18)^36))</f>
        <v>1.27786779364078E-010</v>
      </c>
      <c r="AN299" s="29" t="n">
        <f aca="false">AM299*(1-MIN(1,INDEX(Tabla_Mortalidad!$B$5:$B$75,MIN(71,Cartera_Polizas!$B$301+37-49))*(1+(Cartera_Polizas!$P$301-1)*MAX(0,1-37/Supuestos!$C$20))*(1-Supuestos!$C$18)^37))</f>
        <v>2.16319119441673E-011</v>
      </c>
      <c r="AO299" s="29" t="n">
        <f aca="false">AN299*(1-MIN(1,INDEX(Tabla_Mortalidad!$B$5:$B$75,MIN(71,Cartera_Polizas!$B$301+38-49))*(1+(Cartera_Polizas!$P$301-1)*MAX(0,1-38/Supuestos!$C$20))*(1-Supuestos!$C$18)^38))</f>
        <v>3.75172831233698E-012</v>
      </c>
      <c r="AP299" s="29" t="n">
        <f aca="false">AO299*(1-MIN(1,INDEX(Tabla_Mortalidad!$B$5:$B$75,MIN(71,Cartera_Polizas!$B$301+39-49))*(1+(Cartera_Polizas!$P$301-1)*MAX(0,1-39/Supuestos!$C$20))*(1-Supuestos!$C$18)^39))</f>
        <v>6.66185833346235E-013</v>
      </c>
      <c r="AQ299" s="29" t="n">
        <f aca="false">AP299*(1-MIN(1,INDEX(Tabla_Mortalidad!$B$5:$B$75,MIN(71,Cartera_Polizas!$B$301+40-49))*(1+(Cartera_Polizas!$P$301-1)*MAX(0,1-40/Supuestos!$C$20))*(1-Supuestos!$C$18)^40))</f>
        <v>1.21032561578753E-013</v>
      </c>
      <c r="AR299" s="29" t="n">
        <f aca="false">AQ299*(1-MIN(1,INDEX(Tabla_Mortalidad!$B$5:$B$75,MIN(71,Cartera_Polizas!$B$301+41-49))*(1+(Cartera_Polizas!$P$301-1)*MAX(0,1-41/Supuestos!$C$20))*(1-Supuestos!$C$18)^41))</f>
        <v>2.24843980421376E-014</v>
      </c>
      <c r="AS299" s="29" t="n">
        <f aca="false">AR299*(1-MIN(1,INDEX(Tabla_Mortalidad!$B$5:$B$75,MIN(71,Cartera_Polizas!$B$301+42-49))*(1+(Cartera_Polizas!$P$301-1)*MAX(0,1-42/Supuestos!$C$20))*(1-Supuestos!$C$18)^42))</f>
        <v>4.26849708256005E-015</v>
      </c>
      <c r="AT299" s="29" t="n">
        <f aca="false">AS299*(1-MIN(1,INDEX(Tabla_Mortalidad!$B$5:$B$75,MIN(71,Cartera_Polizas!$B$301+43-49))*(1+(Cartera_Polizas!$P$301-1)*MAX(0,1-43/Supuestos!$C$20))*(1-Supuestos!$C$18)^43))</f>
        <v>8.27633450958302E-016</v>
      </c>
      <c r="AU299" s="29" t="n">
        <f aca="false">AT299*(1-MIN(1,INDEX(Tabla_Mortalidad!$B$5:$B$75,MIN(71,Cartera_Polizas!$B$301+44-49))*(1+(Cartera_Polizas!$P$301-1)*MAX(0,1-44/Supuestos!$C$20))*(1-Supuestos!$C$18)^44))</f>
        <v>1.638084751681E-016</v>
      </c>
    </row>
    <row r="300" customFormat="false" ht="15" hidden="false" customHeight="false" outlineLevel="0" collapsed="false">
      <c r="A300" s="14" t="n">
        <f aca="false">Cartera_Polizas!A302</f>
        <v>297</v>
      </c>
      <c r="B300" s="26" t="n">
        <f aca="false">SUM(C300:AU300)+0.5</f>
        <v>4.89536883599581</v>
      </c>
      <c r="C300" s="29" t="n">
        <f aca="false">1-MIN(1,INDEX(Tabla_Mortalidad!$B$5:$B$75,MIN(71,Cartera_Polizas!$B$302+0-49))*(1+(Cartera_Polizas!$P$302-1)*MAX(0,1-0/Supuestos!$C$20))*(1-Supuestos!$C$18)^0)</f>
        <v>0.84986599</v>
      </c>
      <c r="D300" s="29" t="n">
        <f aca="false">C300*(1-MIN(1,INDEX(Tabla_Mortalidad!$B$5:$B$75,MIN(71,Cartera_Polizas!$B$302+1-49))*(1+(Cartera_Polizas!$P$302-1)*MAX(0,1-1/Supuestos!$C$20))*(1-Supuestos!$C$18)^1))</f>
        <v>0.714261691471325</v>
      </c>
      <c r="E300" s="29" t="n">
        <f aca="false">D300*(1-MIN(1,INDEX(Tabla_Mortalidad!$B$5:$B$75,MIN(71,Cartera_Polizas!$B$302+2-49))*(1+(Cartera_Polizas!$P$302-1)*MAX(0,1-2/Supuestos!$C$20))*(1-Supuestos!$C$18)^2))</f>
        <v>0.59339416302449</v>
      </c>
      <c r="F300" s="29" t="n">
        <f aca="false">E300*(1-MIN(1,INDEX(Tabla_Mortalidad!$B$5:$B$75,MIN(71,Cartera_Polizas!$B$302+3-49))*(1+(Cartera_Polizas!$P$302-1)*MAX(0,1-3/Supuestos!$C$20))*(1-Supuestos!$C$18)^3))</f>
        <v>0.487149117877676</v>
      </c>
      <c r="G300" s="29" t="n">
        <f aca="false">F300*(1-MIN(1,INDEX(Tabla_Mortalidad!$B$5:$B$75,MIN(71,Cartera_Polizas!$B$302+4-49))*(1+(Cartera_Polizas!$P$302-1)*MAX(0,1-4/Supuestos!$C$20))*(1-Supuestos!$C$18)^4))</f>
        <v>0.395094666735486</v>
      </c>
      <c r="H300" s="29" t="n">
        <f aca="false">G300*(1-MIN(1,INDEX(Tabla_Mortalidad!$B$5:$B$75,MIN(71,Cartera_Polizas!$B$302+5-49))*(1+(Cartera_Polizas!$P$302-1)*MAX(0,1-5/Supuestos!$C$20))*(1-Supuestos!$C$18)^5))</f>
        <v>0.316520273449834</v>
      </c>
      <c r="I300" s="29" t="n">
        <f aca="false">H300*(1-MIN(1,INDEX(Tabla_Mortalidad!$B$5:$B$75,MIN(71,Cartera_Polizas!$B$302+6-49))*(1+(Cartera_Polizas!$P$302-1)*MAX(0,1-6/Supuestos!$C$20))*(1-Supuestos!$C$18)^6))</f>
        <v>0.250475470076255</v>
      </c>
      <c r="J300" s="29" t="n">
        <f aca="false">I300*(1-MIN(1,INDEX(Tabla_Mortalidad!$B$5:$B$75,MIN(71,Cartera_Polizas!$B$302+7-49))*(1+(Cartera_Polizas!$P$302-1)*MAX(0,1-7/Supuestos!$C$20))*(1-Supuestos!$C$18)^7))</f>
        <v>0.195827401872053</v>
      </c>
      <c r="K300" s="29" t="n">
        <f aca="false">J300*(1-MIN(1,INDEX(Tabla_Mortalidad!$B$5:$B$75,MIN(71,Cartera_Polizas!$B$302+8-49))*(1+(Cartera_Polizas!$P$302-1)*MAX(0,1-8/Supuestos!$C$20))*(1-Supuestos!$C$18)^8))</f>
        <v>0.151322863271565</v>
      </c>
      <c r="L300" s="29" t="n">
        <f aca="false">K300*(1-MIN(1,INDEX(Tabla_Mortalidad!$B$5:$B$75,MIN(71,Cartera_Polizas!$B$302+9-49))*(1+(Cartera_Polizas!$P$302-1)*MAX(0,1-9/Supuestos!$C$20))*(1-Supuestos!$C$18)^9))</f>
        <v>0.115652374384655</v>
      </c>
      <c r="M300" s="29" t="n">
        <f aca="false">L300*(1-MIN(1,INDEX(Tabla_Mortalidad!$B$5:$B$75,MIN(71,Cartera_Polizas!$B$302+10-49))*(1+(Cartera_Polizas!$P$302-1)*MAX(0,1-10/Supuestos!$C$20))*(1-Supuestos!$C$18)^10))</f>
        <v>0.0875103994969177</v>
      </c>
      <c r="N300" s="29" t="n">
        <f aca="false">M300*(1-MIN(1,INDEX(Tabla_Mortalidad!$B$5:$B$75,MIN(71,Cartera_Polizas!$B$302+11-49))*(1+(Cartera_Polizas!$P$302-1)*MAX(0,1-11/Supuestos!$C$20))*(1-Supuestos!$C$18)^11))</f>
        <v>0.0656473762326519</v>
      </c>
      <c r="O300" s="29" t="n">
        <f aca="false">N300*(1-MIN(1,INDEX(Tabla_Mortalidad!$B$5:$B$75,MIN(71,Cartera_Polizas!$B$302+12-49))*(1+(Cartera_Polizas!$P$302-1)*MAX(0,1-12/Supuestos!$C$20))*(1-Supuestos!$C$18)^12))</f>
        <v>0.0489115812766766</v>
      </c>
      <c r="P300" s="29" t="n">
        <f aca="false">O300*(1-MIN(1,INDEX(Tabla_Mortalidad!$B$5:$B$75,MIN(71,Cartera_Polizas!$B$302+13-49))*(1+(Cartera_Polizas!$P$302-1)*MAX(0,1-13/Supuestos!$C$20))*(1-Supuestos!$C$18)^13))</f>
        <v>0.0362773256469843</v>
      </c>
      <c r="Q300" s="29" t="n">
        <f aca="false">P300*(1-MIN(1,INDEX(Tabla_Mortalidad!$B$5:$B$75,MIN(71,Cartera_Polizas!$B$302+14-49))*(1+(Cartera_Polizas!$P$302-1)*MAX(0,1-14/Supuestos!$C$20))*(1-Supuestos!$C$18)^14))</f>
        <v>0.0268599732812677</v>
      </c>
      <c r="R300" s="29" t="n">
        <f aca="false">Q300*(1-MIN(1,INDEX(Tabla_Mortalidad!$B$5:$B$75,MIN(71,Cartera_Polizas!$B$302+15-49))*(1+(Cartera_Polizas!$P$302-1)*MAX(0,1-15/Supuestos!$C$20))*(1-Supuestos!$C$18)^15))</f>
        <v>0.01991952230861</v>
      </c>
      <c r="S300" s="29" t="n">
        <f aca="false">R300*(1-MIN(1,INDEX(Tabla_Mortalidad!$B$5:$B$75,MIN(71,Cartera_Polizas!$B$302+16-49))*(1+(Cartera_Polizas!$P$302-1)*MAX(0,1-16/Supuestos!$C$20))*(1-Supuestos!$C$18)^16))</f>
        <v>0.0143040602515421</v>
      </c>
      <c r="T300" s="29" t="n">
        <f aca="false">S300*(1-MIN(1,INDEX(Tabla_Mortalidad!$B$5:$B$75,MIN(71,Cartera_Polizas!$B$302+17-49))*(1+(Cartera_Polizas!$P$302-1)*MAX(0,1-17/Supuestos!$C$20))*(1-Supuestos!$C$18)^17))</f>
        <v>0.00991320515776661</v>
      </c>
      <c r="U300" s="29" t="n">
        <f aca="false">T300*(1-MIN(1,INDEX(Tabla_Mortalidad!$B$5:$B$75,MIN(71,Cartera_Polizas!$B$302+18-49))*(1+(Cartera_Polizas!$P$302-1)*MAX(0,1-18/Supuestos!$C$20))*(1-Supuestos!$C$18)^18))</f>
        <v>0.00660676638134261</v>
      </c>
      <c r="V300" s="29" t="n">
        <f aca="false">U300*(1-MIN(1,INDEX(Tabla_Mortalidad!$B$5:$B$75,MIN(71,Cartera_Polizas!$B$302+19-49))*(1+(Cartera_Polizas!$P$302-1)*MAX(0,1-19/Supuestos!$C$20))*(1-Supuestos!$C$18)^19))</f>
        <v>0.00421797834544964</v>
      </c>
      <c r="W300" s="29" t="n">
        <f aca="false">V300*(1-MIN(1,INDEX(Tabla_Mortalidad!$B$5:$B$75,MIN(71,Cartera_Polizas!$B$302+20-49))*(1+(Cartera_Polizas!$P$302-1)*MAX(0,1-20/Supuestos!$C$20))*(1-Supuestos!$C$18)^20))</f>
        <v>0.00256895575093853</v>
      </c>
      <c r="X300" s="29" t="n">
        <f aca="false">W300*(1-MIN(1,INDEX(Tabla_Mortalidad!$B$5:$B$75,MIN(71,Cartera_Polizas!$B$302+21-49))*(1+(Cartera_Polizas!$P$302-1)*MAX(0,1-21/Supuestos!$C$20))*(1-Supuestos!$C$18)^21))</f>
        <v>0.00148602029979793</v>
      </c>
      <c r="Y300" s="29" t="n">
        <f aca="false">X300*(1-MIN(1,INDEX(Tabla_Mortalidad!$B$5:$B$75,MIN(71,Cartera_Polizas!$B$302+22-49))*(1+(Cartera_Polizas!$P$302-1)*MAX(0,1-22/Supuestos!$C$20))*(1-Supuestos!$C$18)^22))</f>
        <v>0.000812611567176636</v>
      </c>
      <c r="Z300" s="29" t="n">
        <f aca="false">Y300*(1-MIN(1,INDEX(Tabla_Mortalidad!$B$5:$B$75,MIN(71,Cartera_Polizas!$B$302+23-49))*(1+(Cartera_Polizas!$P$302-1)*MAX(0,1-23/Supuestos!$C$20))*(1-Supuestos!$C$18)^23))</f>
        <v>0.000418044981504261</v>
      </c>
      <c r="AA300" s="29" t="n">
        <f aca="false">Z300*(1-MIN(1,INDEX(Tabla_Mortalidad!$B$5:$B$75,MIN(71,Cartera_Polizas!$B$302+24-49))*(1+(Cartera_Polizas!$P$302-1)*MAX(0,1-24/Supuestos!$C$20))*(1-Supuestos!$C$18)^24))</f>
        <v>0.000201320947980631</v>
      </c>
      <c r="AB300" s="29" t="n">
        <f aca="false">AA300*(1-MIN(1,INDEX(Tabla_Mortalidad!$B$5:$B$75,MIN(71,Cartera_Polizas!$B$302+25-49))*(1+(Cartera_Polizas!$P$302-1)*MAX(0,1-25/Supuestos!$C$20))*(1-Supuestos!$C$18)^25))</f>
        <v>9.03086692678209E-005</v>
      </c>
      <c r="AC300" s="29" t="n">
        <f aca="false">AB300*(1-MIN(1,INDEX(Tabla_Mortalidad!$B$5:$B$75,MIN(71,Cartera_Polizas!$B$302+26-49))*(1+(Cartera_Polizas!$P$302-1)*MAX(0,1-26/Supuestos!$C$20))*(1-Supuestos!$C$18)^26))</f>
        <v>3.75555390183342E-005</v>
      </c>
      <c r="AD300" s="29" t="n">
        <f aca="false">AC300*(1-MIN(1,INDEX(Tabla_Mortalidad!$B$5:$B$75,MIN(71,Cartera_Polizas!$B$302+27-49))*(1+(Cartera_Polizas!$P$302-1)*MAX(0,1-27/Supuestos!$C$20))*(1-Supuestos!$C$18)^27))</f>
        <v>1.44155356657577E-005</v>
      </c>
      <c r="AE300" s="29" t="n">
        <f aca="false">AD300*(1-MIN(1,INDEX(Tabla_Mortalidad!$B$5:$B$75,MIN(71,Cartera_Polizas!$B$302+28-49))*(1+(Cartera_Polizas!$P$302-1)*MAX(0,1-28/Supuestos!$C$20))*(1-Supuestos!$C$18)^28))</f>
        <v>5.08885377732176E-006</v>
      </c>
      <c r="AF300" s="29" t="n">
        <f aca="false">AE300*(1-MIN(1,INDEX(Tabla_Mortalidad!$B$5:$B$75,MIN(71,Cartera_Polizas!$B$302+29-49))*(1+(Cartera_Polizas!$P$302-1)*MAX(0,1-29/Supuestos!$C$20))*(1-Supuestos!$C$18)^29))</f>
        <v>1.64793071226266E-006</v>
      </c>
      <c r="AG300" s="29" t="n">
        <f aca="false">AF300*(1-MIN(1,INDEX(Tabla_Mortalidad!$B$5:$B$75,MIN(71,Cartera_Polizas!$B$302+30-49))*(1+(Cartera_Polizas!$P$302-1)*MAX(0,1-30/Supuestos!$C$20))*(1-Supuestos!$C$18)^30))</f>
        <v>4.89046708229516E-007</v>
      </c>
      <c r="AH300" s="29" t="n">
        <f aca="false">AG300*(1-MIN(1,INDEX(Tabla_Mortalidad!$B$5:$B$75,MIN(71,Cartera_Polizas!$B$302+31-49))*(1+(Cartera_Polizas!$P$302-1)*MAX(0,1-31/Supuestos!$C$20))*(1-Supuestos!$C$18)^31))</f>
        <v>1.33133977747995E-007</v>
      </c>
      <c r="AI300" s="29" t="n">
        <f aca="false">AH300*(1-MIN(1,INDEX(Tabla_Mortalidad!$B$5:$B$75,MIN(71,Cartera_Polizas!$B$302+32-49))*(1+(Cartera_Polizas!$P$302-1)*MAX(0,1-32/Supuestos!$C$20))*(1-Supuestos!$C$18)^32))</f>
        <v>3.33617946739133E-008</v>
      </c>
      <c r="AJ300" s="29" t="n">
        <f aca="false">AI300*(1-MIN(1,INDEX(Tabla_Mortalidad!$B$5:$B$75,MIN(71,Cartera_Polizas!$B$302+33-49))*(1+(Cartera_Polizas!$P$302-1)*MAX(0,1-33/Supuestos!$C$20))*(1-Supuestos!$C$18)^33))</f>
        <v>7.74295830327839E-009</v>
      </c>
      <c r="AK300" s="29" t="n">
        <f aca="false">AJ300*(1-MIN(1,INDEX(Tabla_Mortalidad!$B$5:$B$75,MIN(71,Cartera_Polizas!$B$302+34-49))*(1+(Cartera_Polizas!$P$302-1)*MAX(0,1-34/Supuestos!$C$20))*(1-Supuestos!$C$18)^34))</f>
        <v>1.67929828040889E-009</v>
      </c>
      <c r="AL300" s="29" t="n">
        <f aca="false">AK300*(1-MIN(1,INDEX(Tabla_Mortalidad!$B$5:$B$75,MIN(71,Cartera_Polizas!$B$302+35-49))*(1+(Cartera_Polizas!$P$302-1)*MAX(0,1-35/Supuestos!$C$20))*(1-Supuestos!$C$18)^35))</f>
        <v>3.44200559399699E-010</v>
      </c>
      <c r="AM300" s="29" t="n">
        <f aca="false">AL300*(1-MIN(1,INDEX(Tabla_Mortalidad!$B$5:$B$75,MIN(71,Cartera_Polizas!$B$302+36-49))*(1+(Cartera_Polizas!$P$302-1)*MAX(0,1-36/Supuestos!$C$20))*(1-Supuestos!$C$18)^36))</f>
        <v>5.68298641696068E-011</v>
      </c>
      <c r="AN300" s="29" t="n">
        <f aca="false">AM300*(1-MIN(1,INDEX(Tabla_Mortalidad!$B$5:$B$75,MIN(71,Cartera_Polizas!$B$302+37-49))*(1+(Cartera_Polizas!$P$302-1)*MAX(0,1-37/Supuestos!$C$20))*(1-Supuestos!$C$18)^37))</f>
        <v>9.62023320122506E-012</v>
      </c>
      <c r="AO300" s="29" t="n">
        <f aca="false">AN300*(1-MIN(1,INDEX(Tabla_Mortalidad!$B$5:$B$75,MIN(71,Cartera_Polizas!$B$302+38-49))*(1+(Cartera_Polizas!$P$302-1)*MAX(0,1-38/Supuestos!$C$20))*(1-Supuestos!$C$18)^38))</f>
        <v>1.66848410651246E-012</v>
      </c>
      <c r="AP300" s="29" t="n">
        <f aca="false">AO300*(1-MIN(1,INDEX(Tabla_Mortalidad!$B$5:$B$75,MIN(71,Cartera_Polizas!$B$302+39-49))*(1+(Cartera_Polizas!$P$302-1)*MAX(0,1-39/Supuestos!$C$20))*(1-Supuestos!$C$18)^39))</f>
        <v>2.96268914587149E-013</v>
      </c>
      <c r="AQ300" s="29" t="n">
        <f aca="false">AP300*(1-MIN(1,INDEX(Tabla_Mortalidad!$B$5:$B$75,MIN(71,Cartera_Polizas!$B$302+40-49))*(1+(Cartera_Polizas!$P$302-1)*MAX(0,1-40/Supuestos!$C$20))*(1-Supuestos!$C$18)^40))</f>
        <v>5.38261005469369E-014</v>
      </c>
      <c r="AR300" s="29" t="n">
        <f aca="false">AQ300*(1-MIN(1,INDEX(Tabla_Mortalidad!$B$5:$B$75,MIN(71,Cartera_Polizas!$B$302+41-49))*(1+(Cartera_Polizas!$P$302-1)*MAX(0,1-41/Supuestos!$C$20))*(1-Supuestos!$C$18)^41))</f>
        <v>9.9993543387576E-015</v>
      </c>
      <c r="AS300" s="29" t="n">
        <f aca="false">AR300*(1-MIN(1,INDEX(Tabla_Mortalidad!$B$5:$B$75,MIN(71,Cartera_Polizas!$B$302+42-49))*(1+(Cartera_Polizas!$P$302-1)*MAX(0,1-42/Supuestos!$C$20))*(1-Supuestos!$C$18)^42))</f>
        <v>1.89830364782197E-015</v>
      </c>
      <c r="AT300" s="29" t="n">
        <f aca="false">AS300*(1-MIN(1,INDEX(Tabla_Mortalidad!$B$5:$B$75,MIN(71,Cartera_Polizas!$B$302+43-49))*(1+(Cartera_Polizas!$P$302-1)*MAX(0,1-43/Supuestos!$C$20))*(1-Supuestos!$C$18)^43))</f>
        <v>3.6806856573306E-016</v>
      </c>
      <c r="AU300" s="29" t="n">
        <f aca="false">AT300*(1-MIN(1,INDEX(Tabla_Mortalidad!$B$5:$B$75,MIN(71,Cartera_Polizas!$B$302+44-49))*(1+(Cartera_Polizas!$P$302-1)*MAX(0,1-44/Supuestos!$C$20))*(1-Supuestos!$C$18)^44))</f>
        <v>7.28495814665663E-017</v>
      </c>
    </row>
    <row r="301" customFormat="false" ht="15" hidden="false" customHeight="false" outlineLevel="0" collapsed="false">
      <c r="A301" s="14" t="n">
        <f aca="false">Cartera_Polizas!A303</f>
        <v>298</v>
      </c>
      <c r="B301" s="26" t="n">
        <f aca="false">SUM(C301:AU301)+0.5</f>
        <v>8.91621854754342</v>
      </c>
      <c r="C301" s="29" t="n">
        <f aca="false">1-MIN(1,INDEX(Tabla_Mortalidad!$B$5:$B$75,MIN(71,Cartera_Polizas!$B$303+0-49))*(1+(Cartera_Polizas!$P$303-1)*MAX(0,1-0/Supuestos!$C$20))*(1-Supuestos!$C$18)^0)</f>
        <v>0.944632753125</v>
      </c>
      <c r="D301" s="29" t="n">
        <f aca="false">C301*(1-MIN(1,INDEX(Tabla_Mortalidad!$B$5:$B$75,MIN(71,Cartera_Polizas!$B$303+1-49))*(1+(Cartera_Polizas!$P$303-1)*MAX(0,1-1/Supuestos!$C$20))*(1-Supuestos!$C$18)^1))</f>
        <v>0.887147320260543</v>
      </c>
      <c r="E301" s="29" t="n">
        <f aca="false">D301*(1-MIN(1,INDEX(Tabla_Mortalidad!$B$5:$B$75,MIN(71,Cartera_Polizas!$B$303+2-49))*(1+(Cartera_Polizas!$P$303-1)*MAX(0,1-2/Supuestos!$C$20))*(1-Supuestos!$C$18)^2))</f>
        <v>0.827833706594648</v>
      </c>
      <c r="F301" s="29" t="n">
        <f aca="false">E301*(1-MIN(1,INDEX(Tabla_Mortalidad!$B$5:$B$75,MIN(71,Cartera_Polizas!$B$303+3-49))*(1+(Cartera_Polizas!$P$303-1)*MAX(0,1-3/Supuestos!$C$20))*(1-Supuestos!$C$18)^3))</f>
        <v>0.767051538553272</v>
      </c>
      <c r="G301" s="29" t="n">
        <f aca="false">F301*(1-MIN(1,INDEX(Tabla_Mortalidad!$B$5:$B$75,MIN(71,Cartera_Polizas!$B$303+4-49))*(1+(Cartera_Polizas!$P$303-1)*MAX(0,1-4/Supuestos!$C$20))*(1-Supuestos!$C$18)^4))</f>
        <v>0.705230924990691</v>
      </c>
      <c r="H301" s="29" t="n">
        <f aca="false">G301*(1-MIN(1,INDEX(Tabla_Mortalidad!$B$5:$B$75,MIN(71,Cartera_Polizas!$B$303+5-49))*(1+(Cartera_Polizas!$P$303-1)*MAX(0,1-5/Supuestos!$C$20))*(1-Supuestos!$C$18)^5))</f>
        <v>0.642874598830087</v>
      </c>
      <c r="I301" s="29" t="n">
        <f aca="false">H301*(1-MIN(1,INDEX(Tabla_Mortalidad!$B$5:$B$75,MIN(71,Cartera_Polizas!$B$303+6-49))*(1+(Cartera_Polizas!$P$303-1)*MAX(0,1-6/Supuestos!$C$20))*(1-Supuestos!$C$18)^6))</f>
        <v>0.580547766961817</v>
      </c>
      <c r="J301" s="29" t="n">
        <f aca="false">I301*(1-MIN(1,INDEX(Tabla_Mortalidad!$B$5:$B$75,MIN(71,Cartera_Polizas!$B$303+7-49))*(1+(Cartera_Polizas!$P$303-1)*MAX(0,1-7/Supuestos!$C$20))*(1-Supuestos!$C$18)^7))</f>
        <v>0.518873275349181</v>
      </c>
      <c r="K301" s="29" t="n">
        <f aca="false">J301*(1-MIN(1,INDEX(Tabla_Mortalidad!$B$5:$B$75,MIN(71,Cartera_Polizas!$B$303+8-49))*(1+(Cartera_Polizas!$P$303-1)*MAX(0,1-8/Supuestos!$C$20))*(1-Supuestos!$C$18)^8))</f>
        <v>0.458513798800667</v>
      </c>
      <c r="L301" s="29" t="n">
        <f aca="false">K301*(1-MIN(1,INDEX(Tabla_Mortalidad!$B$5:$B$75,MIN(71,Cartera_Polizas!$B$303+9-49))*(1+(Cartera_Polizas!$P$303-1)*MAX(0,1-9/Supuestos!$C$20))*(1-Supuestos!$C$18)^9))</f>
        <v>0.400153253060359</v>
      </c>
      <c r="M301" s="29" t="n">
        <f aca="false">L301*(1-MIN(1,INDEX(Tabla_Mortalidad!$B$5:$B$75,MIN(71,Cartera_Polizas!$B$303+10-49))*(1+(Cartera_Polizas!$P$303-1)*MAX(0,1-10/Supuestos!$C$20))*(1-Supuestos!$C$18)^10))</f>
        <v>0.344472047664522</v>
      </c>
      <c r="N301" s="29" t="n">
        <f aca="false">M301*(1-MIN(1,INDEX(Tabla_Mortalidad!$B$5:$B$75,MIN(71,Cartera_Polizas!$B$303+11-49))*(1+(Cartera_Polizas!$P$303-1)*MAX(0,1-11/Supuestos!$C$20))*(1-Supuestos!$C$18)^11))</f>
        <v>0.292118671111358</v>
      </c>
      <c r="O301" s="29" t="n">
        <f aca="false">N301*(1-MIN(1,INDEX(Tabla_Mortalidad!$B$5:$B$75,MIN(71,Cartera_Polizas!$B$303+12-49))*(1+(Cartera_Polizas!$P$303-1)*MAX(0,1-12/Supuestos!$C$20))*(1-Supuestos!$C$18)^12))</f>
        <v>0.243678259419319</v>
      </c>
      <c r="P301" s="29" t="n">
        <f aca="false">O301*(1-MIN(1,INDEX(Tabla_Mortalidad!$B$5:$B$75,MIN(71,Cartera_Polizas!$B$303+13-49))*(1+(Cartera_Polizas!$P$303-1)*MAX(0,1-13/Supuestos!$C$20))*(1-Supuestos!$C$18)^13))</f>
        <v>0.199639933807581</v>
      </c>
      <c r="Q301" s="29" t="n">
        <f aca="false">P301*(1-MIN(1,INDEX(Tabla_Mortalidad!$B$5:$B$75,MIN(71,Cartera_Polizas!$B$303+14-49))*(1+(Cartera_Polizas!$P$303-1)*MAX(0,1-14/Supuestos!$C$20))*(1-Supuestos!$C$18)^14))</f>
        <v>0.160368015030672</v>
      </c>
      <c r="R301" s="29" t="n">
        <f aca="false">Q301*(1-MIN(1,INDEX(Tabla_Mortalidad!$B$5:$B$75,MIN(71,Cartera_Polizas!$B$303+15-49))*(1+(Cartera_Polizas!$P$303-1)*MAX(0,1-15/Supuestos!$C$20))*(1-Supuestos!$C$18)^15))</f>
        <v>0.126077761841321</v>
      </c>
      <c r="S301" s="29" t="n">
        <f aca="false">R301*(1-MIN(1,INDEX(Tabla_Mortalidad!$B$5:$B$75,MIN(71,Cartera_Polizas!$B$303+16-49))*(1+(Cartera_Polizas!$P$303-1)*MAX(0,1-16/Supuestos!$C$20))*(1-Supuestos!$C$18)^16))</f>
        <v>0.0965673093326349</v>
      </c>
      <c r="T301" s="29" t="n">
        <f aca="false">S301*(1-MIN(1,INDEX(Tabla_Mortalidad!$B$5:$B$75,MIN(71,Cartera_Polizas!$B$303+17-49))*(1+(Cartera_Polizas!$P$303-1)*MAX(0,1-17/Supuestos!$C$20))*(1-Supuestos!$C$18)^17))</f>
        <v>0.0718638139942971</v>
      </c>
      <c r="U301" s="29" t="n">
        <f aca="false">T301*(1-MIN(1,INDEX(Tabla_Mortalidad!$B$5:$B$75,MIN(71,Cartera_Polizas!$B$303+18-49))*(1+(Cartera_Polizas!$P$303-1)*MAX(0,1-18/Supuestos!$C$20))*(1-Supuestos!$C$18)^18))</f>
        <v>0.0518069512805823</v>
      </c>
      <c r="V301" s="29" t="n">
        <f aca="false">U301*(1-MIN(1,INDEX(Tabla_Mortalidad!$B$5:$B$75,MIN(71,Cartera_Polizas!$B$303+19-49))*(1+(Cartera_Polizas!$P$303-1)*MAX(0,1-19/Supuestos!$C$20))*(1-Supuestos!$C$18)^19))</f>
        <v>0.0360626289885807</v>
      </c>
      <c r="W301" s="29" t="n">
        <f aca="false">V301*(1-MIN(1,INDEX(Tabla_Mortalidad!$B$5:$B$75,MIN(71,Cartera_Polizas!$B$303+20-49))*(1+(Cartera_Polizas!$P$303-1)*MAX(0,1-20/Supuestos!$C$20))*(1-Supuestos!$C$18)^20))</f>
        <v>0.0241543243371488</v>
      </c>
      <c r="X301" s="29" t="n">
        <f aca="false">W301*(1-MIN(1,INDEX(Tabla_Mortalidad!$B$5:$B$75,MIN(71,Cartera_Polizas!$B$303+21-49))*(1+(Cartera_Polizas!$P$303-1)*MAX(0,1-21/Supuestos!$C$20))*(1-Supuestos!$C$18)^21))</f>
        <v>0.0155080358847397</v>
      </c>
      <c r="Y301" s="29" t="n">
        <f aca="false">X301*(1-MIN(1,INDEX(Tabla_Mortalidad!$B$5:$B$75,MIN(71,Cartera_Polizas!$B$303+22-49))*(1+(Cartera_Polizas!$P$303-1)*MAX(0,1-22/Supuestos!$C$20))*(1-Supuestos!$C$18)^22))</f>
        <v>0.00950563193461677</v>
      </c>
      <c r="Z301" s="29" t="n">
        <f aca="false">Y301*(1-MIN(1,INDEX(Tabla_Mortalidad!$B$5:$B$75,MIN(71,Cartera_Polizas!$B$303+23-49))*(1+(Cartera_Polizas!$P$303-1)*MAX(0,1-23/Supuestos!$C$20))*(1-Supuestos!$C$18)^23))</f>
        <v>0.00553853234742544</v>
      </c>
      <c r="AA301" s="29" t="n">
        <f aca="false">Z301*(1-MIN(1,INDEX(Tabla_Mortalidad!$B$5:$B$75,MIN(71,Cartera_Polizas!$B$303+24-49))*(1+(Cartera_Polizas!$P$303-1)*MAX(0,1-24/Supuestos!$C$20))*(1-Supuestos!$C$18)^24))</f>
        <v>0.00305371277189306</v>
      </c>
      <c r="AB301" s="29" t="n">
        <f aca="false">AA301*(1-MIN(1,INDEX(Tabla_Mortalidad!$B$5:$B$75,MIN(71,Cartera_Polizas!$B$303+25-49))*(1+(Cartera_Polizas!$P$303-1)*MAX(0,1-25/Supuestos!$C$20))*(1-Supuestos!$C$18)^25))</f>
        <v>0.00158576146241345</v>
      </c>
      <c r="AC301" s="29" t="n">
        <f aca="false">AB301*(1-MIN(1,INDEX(Tabla_Mortalidad!$B$5:$B$75,MIN(71,Cartera_Polizas!$B$303+26-49))*(1+(Cartera_Polizas!$P$303-1)*MAX(0,1-26/Supuestos!$C$20))*(1-Supuestos!$C$18)^26))</f>
        <v>0.000771867022804663</v>
      </c>
      <c r="AD301" s="29" t="n">
        <f aca="false">AC301*(1-MIN(1,INDEX(Tabla_Mortalidad!$B$5:$B$75,MIN(71,Cartera_Polizas!$B$303+27-49))*(1+(Cartera_Polizas!$P$303-1)*MAX(0,1-27/Supuestos!$C$20))*(1-Supuestos!$C$18)^27))</f>
        <v>0.000350490147159024</v>
      </c>
      <c r="AE301" s="29" t="n">
        <f aca="false">AD301*(1-MIN(1,INDEX(Tabla_Mortalidad!$B$5:$B$75,MIN(71,Cartera_Polizas!$B$303+28-49))*(1+(Cartera_Polizas!$P$303-1)*MAX(0,1-28/Supuestos!$C$20))*(1-Supuestos!$C$18)^28))</f>
        <v>0.000147796205977992</v>
      </c>
      <c r="AF301" s="29" t="n">
        <f aca="false">AE301*(1-MIN(1,INDEX(Tabla_Mortalidad!$B$5:$B$75,MIN(71,Cartera_Polizas!$B$303+29-49))*(1+(Cartera_Polizas!$P$303-1)*MAX(0,1-29/Supuestos!$C$20))*(1-Supuestos!$C$18)^29))</f>
        <v>5.76393278334625E-005</v>
      </c>
      <c r="AG301" s="29" t="n">
        <f aca="false">AF301*(1-MIN(1,INDEX(Tabla_Mortalidad!$B$5:$B$75,MIN(71,Cartera_Polizas!$B$303+30-49))*(1+(Cartera_Polizas!$P$303-1)*MAX(0,1-30/Supuestos!$C$20))*(1-Supuestos!$C$18)^30))</f>
        <v>2.07193485730029E-005</v>
      </c>
      <c r="AH301" s="29" t="n">
        <f aca="false">AG301*(1-MIN(1,INDEX(Tabla_Mortalidad!$B$5:$B$75,MIN(71,Cartera_Polizas!$B$303+31-49))*(1+(Cartera_Polizas!$P$303-1)*MAX(0,1-31/Supuestos!$C$20))*(1-Supuestos!$C$18)^31))</f>
        <v>6.84932341910198E-006</v>
      </c>
      <c r="AI301" s="29" t="n">
        <f aca="false">AH301*(1-MIN(1,INDEX(Tabla_Mortalidad!$B$5:$B$75,MIN(71,Cartera_Polizas!$B$303+32-49))*(1+(Cartera_Polizas!$P$303-1)*MAX(0,1-32/Supuestos!$C$20))*(1-Supuestos!$C$18)^32))</f>
        <v>2.08067992203873E-006</v>
      </c>
      <c r="AJ301" s="29" t="n">
        <f aca="false">AI301*(1-MIN(1,INDEX(Tabla_Mortalidad!$B$5:$B$75,MIN(71,Cartera_Polizas!$B$303+33-49))*(1+(Cartera_Polizas!$P$303-1)*MAX(0,1-33/Supuestos!$C$20))*(1-Supuestos!$C$18)^33))</f>
        <v>5.81531540580853E-007</v>
      </c>
      <c r="AK301" s="29" t="n">
        <f aca="false">AJ301*(1-MIN(1,INDEX(Tabla_Mortalidad!$B$5:$B$75,MIN(71,Cartera_Polizas!$B$303+34-49))*(1+(Cartera_Polizas!$P$303-1)*MAX(0,1-34/Supuestos!$C$20))*(1-Supuestos!$C$18)^34))</f>
        <v>1.50072073168282E-007</v>
      </c>
      <c r="AL301" s="29" t="n">
        <f aca="false">AK301*(1-MIN(1,INDEX(Tabla_Mortalidad!$B$5:$B$75,MIN(71,Cartera_Polizas!$B$303+35-49))*(1+(Cartera_Polizas!$P$303-1)*MAX(0,1-35/Supuestos!$C$20))*(1-Supuestos!$C$18)^35))</f>
        <v>3.59798511688878E-008</v>
      </c>
      <c r="AM301" s="29" t="n">
        <f aca="false">AL301*(1-MIN(1,INDEX(Tabla_Mortalidad!$B$5:$B$75,MIN(71,Cartera_Polizas!$B$303+36-49))*(1+(Cartera_Polizas!$P$303-1)*MAX(0,1-36/Supuestos!$C$20))*(1-Supuestos!$C$18)^36))</f>
        <v>8.08439634535602E-009</v>
      </c>
      <c r="AN301" s="29" t="n">
        <f aca="false">AM301*(1-MIN(1,INDEX(Tabla_Mortalidad!$B$5:$B$75,MIN(71,Cartera_Polizas!$B$303+37-49))*(1+(Cartera_Polizas!$P$303-1)*MAX(0,1-37/Supuestos!$C$20))*(1-Supuestos!$C$18)^37))</f>
        <v>1.72114658431166E-009</v>
      </c>
      <c r="AO301" s="29" t="n">
        <f aca="false">AN301*(1-MIN(1,INDEX(Tabla_Mortalidad!$B$5:$B$75,MIN(71,Cartera_Polizas!$B$303+38-49))*(1+(Cartera_Polizas!$P$303-1)*MAX(0,1-38/Supuestos!$C$20))*(1-Supuestos!$C$18)^38))</f>
        <v>2.98506872009769E-010</v>
      </c>
      <c r="AP301" s="29" t="n">
        <f aca="false">AO301*(1-MIN(1,INDEX(Tabla_Mortalidad!$B$5:$B$75,MIN(71,Cartera_Polizas!$B$303+39-49))*(1+(Cartera_Polizas!$P$303-1)*MAX(0,1-39/Supuestos!$C$20))*(1-Supuestos!$C$18)^39))</f>
        <v>5.30051839402875E-011</v>
      </c>
      <c r="AQ301" s="29" t="n">
        <f aca="false">AP301*(1-MIN(1,INDEX(Tabla_Mortalidad!$B$5:$B$75,MIN(71,Cartera_Polizas!$B$303+40-49))*(1+(Cartera_Polizas!$P$303-1)*MAX(0,1-40/Supuestos!$C$20))*(1-Supuestos!$C$18)^40))</f>
        <v>9.62997540344232E-012</v>
      </c>
      <c r="AR301" s="29" t="n">
        <f aca="false">AQ301*(1-MIN(1,INDEX(Tabla_Mortalidad!$B$5:$B$75,MIN(71,Cartera_Polizas!$B$303+41-49))*(1+(Cartera_Polizas!$P$303-1)*MAX(0,1-41/Supuestos!$C$20))*(1-Supuestos!$C$18)^41))</f>
        <v>1.78897477903998E-012</v>
      </c>
      <c r="AS301" s="29" t="n">
        <f aca="false">AR301*(1-MIN(1,INDEX(Tabla_Mortalidad!$B$5:$B$75,MIN(71,Cartera_Polizas!$B$303+42-49))*(1+(Cartera_Polizas!$P$303-1)*MAX(0,1-42/Supuestos!$C$20))*(1-Supuestos!$C$18)^42))</f>
        <v>3.39623663074934E-013</v>
      </c>
      <c r="AT301" s="29" t="n">
        <f aca="false">AS301*(1-MIN(1,INDEX(Tabla_Mortalidad!$B$5:$B$75,MIN(71,Cartera_Polizas!$B$303+43-49))*(1+(Cartera_Polizas!$P$303-1)*MAX(0,1-43/Supuestos!$C$20))*(1-Supuestos!$C$18)^43))</f>
        <v>6.58507898356641E-014</v>
      </c>
      <c r="AU301" s="29" t="n">
        <f aca="false">AT301*(1-MIN(1,INDEX(Tabla_Mortalidad!$B$5:$B$75,MIN(71,Cartera_Polizas!$B$303+44-49))*(1+(Cartera_Polizas!$P$303-1)*MAX(0,1-44/Supuestos!$C$20))*(1-Supuestos!$C$18)^44))</f>
        <v>1.30334479099475E-014</v>
      </c>
    </row>
    <row r="302" customFormat="false" ht="15" hidden="false" customHeight="false" outlineLevel="0" collapsed="false">
      <c r="A302" s="14" t="n">
        <f aca="false">Cartera_Polizas!A304</f>
        <v>299</v>
      </c>
      <c r="B302" s="26" t="n">
        <f aca="false">SUM(C302:AU302)+0.5</f>
        <v>7.29260083071677</v>
      </c>
      <c r="C302" s="29" t="n">
        <f aca="false">1-MIN(1,INDEX(Tabla_Mortalidad!$B$5:$B$75,MIN(71,Cartera_Polizas!$B$304+0-49))*(1+(Cartera_Polizas!$P$304-1)*MAX(0,1-0/Supuestos!$C$20))*(1-Supuestos!$C$18)^0)</f>
        <v>0.91397678275</v>
      </c>
      <c r="D302" s="29" t="n">
        <f aca="false">C302*(1-MIN(1,INDEX(Tabla_Mortalidad!$B$5:$B$75,MIN(71,Cartera_Polizas!$B$304+1-49))*(1+(Cartera_Polizas!$P$304-1)*MAX(0,1-1/Supuestos!$C$20))*(1-Supuestos!$C$18)^1))</f>
        <v>0.829394836992789</v>
      </c>
      <c r="E302" s="29" t="n">
        <f aca="false">D302*(1-MIN(1,INDEX(Tabla_Mortalidad!$B$5:$B$75,MIN(71,Cartera_Polizas!$B$304+2-49))*(1+(Cartera_Polizas!$P$304-1)*MAX(0,1-2/Supuestos!$C$20))*(1-Supuestos!$C$18)^2))</f>
        <v>0.746923995457154</v>
      </c>
      <c r="F302" s="29" t="n">
        <f aca="false">E302*(1-MIN(1,INDEX(Tabla_Mortalidad!$B$5:$B$75,MIN(71,Cartera_Polizas!$B$304+3-49))*(1+(Cartera_Polizas!$P$304-1)*MAX(0,1-3/Supuestos!$C$20))*(1-Supuestos!$C$18)^3))</f>
        <v>0.667225958871405</v>
      </c>
      <c r="G302" s="29" t="n">
        <f aca="false">F302*(1-MIN(1,INDEX(Tabla_Mortalidad!$B$5:$B$75,MIN(71,Cartera_Polizas!$B$304+4-49))*(1+(Cartera_Polizas!$P$304-1)*MAX(0,1-4/Supuestos!$C$20))*(1-Supuestos!$C$18)^4))</f>
        <v>0.590934257531623</v>
      </c>
      <c r="H302" s="29" t="n">
        <f aca="false">G302*(1-MIN(1,INDEX(Tabla_Mortalidad!$B$5:$B$75,MIN(71,Cartera_Polizas!$B$304+5-49))*(1+(Cartera_Polizas!$P$304-1)*MAX(0,1-5/Supuestos!$C$20))*(1-Supuestos!$C$18)^5))</f>
        <v>0.518638370159872</v>
      </c>
      <c r="I302" s="29" t="n">
        <f aca="false">H302*(1-MIN(1,INDEX(Tabla_Mortalidad!$B$5:$B$75,MIN(71,Cartera_Polizas!$B$304+6-49))*(1+(Cartera_Polizas!$P$304-1)*MAX(0,1-6/Supuestos!$C$20))*(1-Supuestos!$C$18)^6))</f>
        <v>0.450857045355092</v>
      </c>
      <c r="J302" s="29" t="n">
        <f aca="false">I302*(1-MIN(1,INDEX(Tabla_Mortalidad!$B$5:$B$75,MIN(71,Cartera_Polizas!$B$304+7-49))*(1+(Cartera_Polizas!$P$304-1)*MAX(0,1-7/Supuestos!$C$20))*(1-Supuestos!$C$18)^7))</f>
        <v>0.388024815380842</v>
      </c>
      <c r="K302" s="29" t="n">
        <f aca="false">J302*(1-MIN(1,INDEX(Tabla_Mortalidad!$B$5:$B$75,MIN(71,Cartera_Polizas!$B$304+8-49))*(1+(Cartera_Polizas!$P$304-1)*MAX(0,1-8/Supuestos!$C$20))*(1-Supuestos!$C$18)^8))</f>
        <v>0.330471601181287</v>
      </c>
      <c r="L302" s="29" t="n">
        <f aca="false">K302*(1-MIN(1,INDEX(Tabla_Mortalidad!$B$5:$B$75,MIN(71,Cartera_Polizas!$B$304+9-49))*(1+(Cartera_Polizas!$P$304-1)*MAX(0,1-9/Supuestos!$C$20))*(1-Supuestos!$C$18)^9))</f>
        <v>0.278411411394568</v>
      </c>
      <c r="M302" s="29" t="n">
        <f aca="false">L302*(1-MIN(1,INDEX(Tabla_Mortalidad!$B$5:$B$75,MIN(71,Cartera_Polizas!$B$304+10-49))*(1+(Cartera_Polizas!$P$304-1)*MAX(0,1-10/Supuestos!$C$20))*(1-Supuestos!$C$18)^10))</f>
        <v>0.231934758607487</v>
      </c>
      <c r="N302" s="29" t="n">
        <f aca="false">M302*(1-MIN(1,INDEX(Tabla_Mortalidad!$B$5:$B$75,MIN(71,Cartera_Polizas!$B$304+11-49))*(1+(Cartera_Polizas!$P$304-1)*MAX(0,1-11/Supuestos!$C$20))*(1-Supuestos!$C$18)^11))</f>
        <v>0.191007507085359</v>
      </c>
      <c r="O302" s="29" t="n">
        <f aca="false">N302*(1-MIN(1,INDEX(Tabla_Mortalidad!$B$5:$B$75,MIN(71,Cartera_Polizas!$B$304+12-49))*(1+(Cartera_Polizas!$P$304-1)*MAX(0,1-12/Supuestos!$C$20))*(1-Supuestos!$C$18)^12))</f>
        <v>0.155475818750551</v>
      </c>
      <c r="P302" s="29" t="n">
        <f aca="false">O302*(1-MIN(1,INDEX(Tabla_Mortalidad!$B$5:$B$75,MIN(71,Cartera_Polizas!$B$304+13-49))*(1+(Cartera_Polizas!$P$304-1)*MAX(0,1-13/Supuestos!$C$20))*(1-Supuestos!$C$18)^13))</f>
        <v>0.125076926706541</v>
      </c>
      <c r="Q302" s="29" t="n">
        <f aca="false">P302*(1-MIN(1,INDEX(Tabla_Mortalidad!$B$5:$B$75,MIN(71,Cartera_Polizas!$B$304+14-49))*(1+(Cartera_Polizas!$P$304-1)*MAX(0,1-14/Supuestos!$C$20))*(1-Supuestos!$C$18)^14))</f>
        <v>0.0994566874210803</v>
      </c>
      <c r="R302" s="29" t="n">
        <f aca="false">Q302*(1-MIN(1,INDEX(Tabla_Mortalidad!$B$5:$B$75,MIN(71,Cartera_Polizas!$B$304+15-49))*(1+(Cartera_Polizas!$P$304-1)*MAX(0,1-15/Supuestos!$C$20))*(1-Supuestos!$C$18)^15))</f>
        <v>0.0781906326383314</v>
      </c>
      <c r="S302" s="29" t="n">
        <f aca="false">R302*(1-MIN(1,INDEX(Tabla_Mortalidad!$B$5:$B$75,MIN(71,Cartera_Polizas!$B$304+16-49))*(1+(Cartera_Polizas!$P$304-1)*MAX(0,1-16/Supuestos!$C$20))*(1-Supuestos!$C$18)^16))</f>
        <v>0.0598889042653158</v>
      </c>
      <c r="T302" s="29" t="n">
        <f aca="false">S302*(1-MIN(1,INDEX(Tabla_Mortalidad!$B$5:$B$75,MIN(71,Cartera_Polizas!$B$304+17-49))*(1+(Cartera_Polizas!$P$304-1)*MAX(0,1-17/Supuestos!$C$20))*(1-Supuestos!$C$18)^17))</f>
        <v>0.044568344154852</v>
      </c>
      <c r="U302" s="29" t="n">
        <f aca="false">T302*(1-MIN(1,INDEX(Tabla_Mortalidad!$B$5:$B$75,MIN(71,Cartera_Polizas!$B$304+18-49))*(1+(Cartera_Polizas!$P$304-1)*MAX(0,1-18/Supuestos!$C$20))*(1-Supuestos!$C$18)^18))</f>
        <v>0.0321295225782182</v>
      </c>
      <c r="V302" s="29" t="n">
        <f aca="false">U302*(1-MIN(1,INDEX(Tabla_Mortalidad!$B$5:$B$75,MIN(71,Cartera_Polizas!$B$304+19-49))*(1+(Cartera_Polizas!$P$304-1)*MAX(0,1-19/Supuestos!$C$20))*(1-Supuestos!$C$18)^19))</f>
        <v>0.0223652429582899</v>
      </c>
      <c r="W302" s="29" t="n">
        <f aca="false">V302*(1-MIN(1,INDEX(Tabla_Mortalidad!$B$5:$B$75,MIN(71,Cartera_Polizas!$B$304+20-49))*(1+(Cartera_Polizas!$P$304-1)*MAX(0,1-20/Supuestos!$C$20))*(1-Supuestos!$C$18)^20))</f>
        <v>0.014979976431134</v>
      </c>
      <c r="X302" s="29" t="n">
        <f aca="false">W302*(1-MIN(1,INDEX(Tabla_Mortalidad!$B$5:$B$75,MIN(71,Cartera_Polizas!$B$304+21-49))*(1+(Cartera_Polizas!$P$304-1)*MAX(0,1-21/Supuestos!$C$20))*(1-Supuestos!$C$18)^21))</f>
        <v>0.00961774002882342</v>
      </c>
      <c r="Y302" s="29" t="n">
        <f aca="false">X302*(1-MIN(1,INDEX(Tabla_Mortalidad!$B$5:$B$75,MIN(71,Cartera_Polizas!$B$304+22-49))*(1+(Cartera_Polizas!$P$304-1)*MAX(0,1-22/Supuestos!$C$20))*(1-Supuestos!$C$18)^22))</f>
        <v>0.00589518217756953</v>
      </c>
      <c r="Z302" s="29" t="n">
        <f aca="false">Y302*(1-MIN(1,INDEX(Tabla_Mortalidad!$B$5:$B$75,MIN(71,Cartera_Polizas!$B$304+23-49))*(1+(Cartera_Polizas!$P$304-1)*MAX(0,1-23/Supuestos!$C$20))*(1-Supuestos!$C$18)^23))</f>
        <v>0.00343487496770525</v>
      </c>
      <c r="AA302" s="29" t="n">
        <f aca="false">Z302*(1-MIN(1,INDEX(Tabla_Mortalidad!$B$5:$B$75,MIN(71,Cartera_Polizas!$B$304+24-49))*(1+(Cartera_Polizas!$P$304-1)*MAX(0,1-24/Supuestos!$C$20))*(1-Supuestos!$C$18)^24))</f>
        <v>0.00189384495761104</v>
      </c>
      <c r="AB302" s="29" t="n">
        <f aca="false">AA302*(1-MIN(1,INDEX(Tabla_Mortalidad!$B$5:$B$75,MIN(71,Cartera_Polizas!$B$304+25-49))*(1+(Cartera_Polizas!$P$304-1)*MAX(0,1-25/Supuestos!$C$20))*(1-Supuestos!$C$18)^25))</f>
        <v>0.00098345410125258</v>
      </c>
      <c r="AC302" s="29" t="n">
        <f aca="false">AB302*(1-MIN(1,INDEX(Tabla_Mortalidad!$B$5:$B$75,MIN(71,Cartera_Polizas!$B$304+26-49))*(1+(Cartera_Polizas!$P$304-1)*MAX(0,1-26/Supuestos!$C$20))*(1-Supuestos!$C$18)^26))</f>
        <v>0.00047869481456786</v>
      </c>
      <c r="AD302" s="29" t="n">
        <f aca="false">AC302*(1-MIN(1,INDEX(Tabla_Mortalidad!$B$5:$B$75,MIN(71,Cartera_Polizas!$B$304+27-49))*(1+(Cartera_Polizas!$P$304-1)*MAX(0,1-27/Supuestos!$C$20))*(1-Supuestos!$C$18)^27))</f>
        <v>0.00021736621859101</v>
      </c>
      <c r="AE302" s="29" t="n">
        <f aca="false">AD302*(1-MIN(1,INDEX(Tabla_Mortalidad!$B$5:$B$75,MIN(71,Cartera_Polizas!$B$304+28-49))*(1+(Cartera_Polizas!$P$304-1)*MAX(0,1-28/Supuestos!$C$20))*(1-Supuestos!$C$18)^28))</f>
        <v>9.16599301747506E-005</v>
      </c>
      <c r="AF302" s="29" t="n">
        <f aca="false">AE302*(1-MIN(1,INDEX(Tabla_Mortalidad!$B$5:$B$75,MIN(71,Cartera_Polizas!$B$304+29-49))*(1+(Cartera_Polizas!$P$304-1)*MAX(0,1-29/Supuestos!$C$20))*(1-Supuestos!$C$18)^29))</f>
        <v>3.57466332073602E-005</v>
      </c>
      <c r="AG302" s="29" t="n">
        <f aca="false">AF302*(1-MIN(1,INDEX(Tabla_Mortalidad!$B$5:$B$75,MIN(71,Cartera_Polizas!$B$304+30-49))*(1+(Cartera_Polizas!$P$304-1)*MAX(0,1-30/Supuestos!$C$20))*(1-Supuestos!$C$18)^30))</f>
        <v>1.28496806186659E-005</v>
      </c>
      <c r="AH302" s="29" t="n">
        <f aca="false">AG302*(1-MIN(1,INDEX(Tabla_Mortalidad!$B$5:$B$75,MIN(71,Cartera_Polizas!$B$304+31-49))*(1+(Cartera_Polizas!$P$304-1)*MAX(0,1-31/Supuestos!$C$20))*(1-Supuestos!$C$18)^31))</f>
        <v>4.24779852895992E-006</v>
      </c>
      <c r="AI302" s="29" t="n">
        <f aca="false">AH302*(1-MIN(1,INDEX(Tabla_Mortalidad!$B$5:$B$75,MIN(71,Cartera_Polizas!$B$304+32-49))*(1+(Cartera_Polizas!$P$304-1)*MAX(0,1-32/Supuestos!$C$20))*(1-Supuestos!$C$18)^32))</f>
        <v>1.29039155713154E-006</v>
      </c>
      <c r="AJ302" s="29" t="n">
        <f aca="false">AI302*(1-MIN(1,INDEX(Tabla_Mortalidad!$B$5:$B$75,MIN(71,Cartera_Polizas!$B$304+33-49))*(1+(Cartera_Polizas!$P$304-1)*MAX(0,1-33/Supuestos!$C$20))*(1-Supuestos!$C$18)^33))</f>
        <v>3.60652968398887E-007</v>
      </c>
      <c r="AK302" s="29" t="n">
        <f aca="false">AJ302*(1-MIN(1,INDEX(Tabla_Mortalidad!$B$5:$B$75,MIN(71,Cartera_Polizas!$B$304+34-49))*(1+(Cartera_Polizas!$P$304-1)*MAX(0,1-34/Supuestos!$C$20))*(1-Supuestos!$C$18)^34))</f>
        <v>9.30713725481769E-008</v>
      </c>
      <c r="AL302" s="29" t="n">
        <f aca="false">AK302*(1-MIN(1,INDEX(Tabla_Mortalidad!$B$5:$B$75,MIN(71,Cartera_Polizas!$B$304+35-49))*(1+(Cartera_Polizas!$P$304-1)*MAX(0,1-35/Supuestos!$C$20))*(1-Supuestos!$C$18)^35))</f>
        <v>2.23139059897739E-008</v>
      </c>
      <c r="AM302" s="29" t="n">
        <f aca="false">AL302*(1-MIN(1,INDEX(Tabla_Mortalidad!$B$5:$B$75,MIN(71,Cartera_Polizas!$B$304+36-49))*(1+(Cartera_Polizas!$P$304-1)*MAX(0,1-36/Supuestos!$C$20))*(1-Supuestos!$C$18)^36))</f>
        <v>5.01376337516191E-009</v>
      </c>
      <c r="AN302" s="29" t="n">
        <f aca="false">AM302*(1-MIN(1,INDEX(Tabla_Mortalidad!$B$5:$B$75,MIN(71,Cartera_Polizas!$B$304+37-49))*(1+(Cartera_Polizas!$P$304-1)*MAX(0,1-37/Supuestos!$C$20))*(1-Supuestos!$C$18)^37))</f>
        <v>1.06741695224578E-009</v>
      </c>
      <c r="AO302" s="29" t="n">
        <f aca="false">AN302*(1-MIN(1,INDEX(Tabla_Mortalidad!$B$5:$B$75,MIN(71,Cartera_Polizas!$B$304+38-49))*(1+(Cartera_Polizas!$P$304-1)*MAX(0,1-38/Supuestos!$C$20))*(1-Supuestos!$C$18)^38))</f>
        <v>1.85127343858698E-010</v>
      </c>
      <c r="AP302" s="29" t="n">
        <f aca="false">AO302*(1-MIN(1,INDEX(Tabla_Mortalidad!$B$5:$B$75,MIN(71,Cartera_Polizas!$B$304+39-49))*(1+(Cartera_Polizas!$P$304-1)*MAX(0,1-39/Supuestos!$C$20))*(1-Supuestos!$C$18)^39))</f>
        <v>3.28726399078879E-011</v>
      </c>
      <c r="AQ302" s="29" t="n">
        <f aca="false">AP302*(1-MIN(1,INDEX(Tabla_Mortalidad!$B$5:$B$75,MIN(71,Cartera_Polizas!$B$304+40-49))*(1+(Cartera_Polizas!$P$304-1)*MAX(0,1-40/Supuestos!$C$20))*(1-Supuestos!$C$18)^40))</f>
        <v>5.97229724013029E-012</v>
      </c>
      <c r="AR302" s="29" t="n">
        <f aca="false">AQ302*(1-MIN(1,INDEX(Tabla_Mortalidad!$B$5:$B$75,MIN(71,Cartera_Polizas!$B$304+41-49))*(1+(Cartera_Polizas!$P$304-1)*MAX(0,1-41/Supuestos!$C$20))*(1-Supuestos!$C$18)^41))</f>
        <v>1.10948249480512E-012</v>
      </c>
      <c r="AS302" s="29" t="n">
        <f aca="false">AR302*(1-MIN(1,INDEX(Tabla_Mortalidad!$B$5:$B$75,MIN(71,Cartera_Polizas!$B$304+42-49))*(1+(Cartera_Polizas!$P$304-1)*MAX(0,1-42/Supuestos!$C$20))*(1-Supuestos!$C$18)^42))</f>
        <v>2.10627066081635E-013</v>
      </c>
      <c r="AT302" s="29" t="n">
        <f aca="false">AS302*(1-MIN(1,INDEX(Tabla_Mortalidad!$B$5:$B$75,MIN(71,Cartera_Polizas!$B$304+43-49))*(1+(Cartera_Polizas!$P$304-1)*MAX(0,1-43/Supuestos!$C$20))*(1-Supuestos!$C$18)^43))</f>
        <v>4.08391998857395E-014</v>
      </c>
      <c r="AU302" s="29" t="n">
        <f aca="false">AT302*(1-MIN(1,INDEX(Tabla_Mortalidad!$B$5:$B$75,MIN(71,Cartera_Polizas!$B$304+44-49))*(1+(Cartera_Polizas!$P$304-1)*MAX(0,1-44/Supuestos!$C$20))*(1-Supuestos!$C$18)^44))</f>
        <v>8.08305543066467E-015</v>
      </c>
    </row>
    <row r="303" customFormat="false" ht="15" hidden="false" customHeight="false" outlineLevel="0" collapsed="false">
      <c r="A303" s="14" t="n">
        <f aca="false">Cartera_Polizas!A305</f>
        <v>300</v>
      </c>
      <c r="B303" s="26" t="n">
        <f aca="false">SUM(C303:AU303)+0.5</f>
        <v>8.20168697507202</v>
      </c>
      <c r="C303" s="29" t="n">
        <f aca="false">1-MIN(1,INDEX(Tabla_Mortalidad!$B$5:$B$75,MIN(71,Cartera_Polizas!$B$305+0-49))*(1+(Cartera_Polizas!$P$305-1)*MAX(0,1-0/Supuestos!$C$20))*(1-Supuestos!$C$18)^0)</f>
        <v>0.9357779575</v>
      </c>
      <c r="D303" s="29" t="n">
        <f aca="false">C303*(1-MIN(1,INDEX(Tabla_Mortalidad!$B$5:$B$75,MIN(71,Cartera_Polizas!$B$305+1-49))*(1+(Cartera_Polizas!$P$305-1)*MAX(0,1-1/Supuestos!$C$20))*(1-Supuestos!$C$18)^1))</f>
        <v>0.86990609999701</v>
      </c>
      <c r="E303" s="29" t="n">
        <f aca="false">D303*(1-MIN(1,INDEX(Tabla_Mortalidad!$B$5:$B$75,MIN(71,Cartera_Polizas!$B$305+2-49))*(1+(Cartera_Polizas!$P$305-1)*MAX(0,1-2/Supuestos!$C$20))*(1-Supuestos!$C$18)^2))</f>
        <v>0.802819653128932</v>
      </c>
      <c r="F303" s="29" t="n">
        <f aca="false">E303*(1-MIN(1,INDEX(Tabla_Mortalidad!$B$5:$B$75,MIN(71,Cartera_Polizas!$B$305+3-49))*(1+(Cartera_Polizas!$P$305-1)*MAX(0,1-3/Supuestos!$C$20))*(1-Supuestos!$C$18)^3))</f>
        <v>0.735024571313455</v>
      </c>
      <c r="G303" s="29" t="n">
        <f aca="false">F303*(1-MIN(1,INDEX(Tabla_Mortalidad!$B$5:$B$75,MIN(71,Cartera_Polizas!$B$305+4-49))*(1+(Cartera_Polizas!$P$305-1)*MAX(0,1-4/Supuestos!$C$20))*(1-Supuestos!$C$18)^4))</f>
        <v>0.667097129812</v>
      </c>
      <c r="H303" s="29" t="n">
        <f aca="false">G303*(1-MIN(1,INDEX(Tabla_Mortalidad!$B$5:$B$75,MIN(71,Cartera_Polizas!$B$305+5-49))*(1+(Cartera_Polizas!$P$305-1)*MAX(0,1-5/Supuestos!$C$20))*(1-Supuestos!$C$18)^5))</f>
        <v>0.599669940842961</v>
      </c>
      <c r="I303" s="29" t="n">
        <f aca="false">H303*(1-MIN(1,INDEX(Tabla_Mortalidad!$B$5:$B$75,MIN(71,Cartera_Polizas!$B$305+6-49))*(1+(Cartera_Polizas!$P$305-1)*MAX(0,1-6/Supuestos!$C$20))*(1-Supuestos!$C$18)^6))</f>
        <v>0.533423938236991</v>
      </c>
      <c r="J303" s="29" t="n">
        <f aca="false">I303*(1-MIN(1,INDEX(Tabla_Mortalidad!$B$5:$B$75,MIN(71,Cartera_Polizas!$B$305+7-49))*(1+(Cartera_Polizas!$P$305-1)*MAX(0,1-7/Supuestos!$C$20))*(1-Supuestos!$C$18)^7))</f>
        <v>0.469066602327243</v>
      </c>
      <c r="K303" s="29" t="n">
        <f aca="false">J303*(1-MIN(1,INDEX(Tabla_Mortalidad!$B$5:$B$75,MIN(71,Cartera_Polizas!$B$305+8-49))*(1+(Cartera_Polizas!$P$305-1)*MAX(0,1-8/Supuestos!$C$20))*(1-Supuestos!$C$18)^8))</f>
        <v>0.407310071273497</v>
      </c>
      <c r="L303" s="29" t="n">
        <f aca="false">K303*(1-MIN(1,INDEX(Tabla_Mortalidad!$B$5:$B$75,MIN(71,Cartera_Polizas!$B$305+9-49))*(1+(Cartera_Polizas!$P$305-1)*MAX(0,1-9/Supuestos!$C$20))*(1-Supuestos!$C$18)^9))</f>
        <v>0.348843619702321</v>
      </c>
      <c r="M303" s="29" t="n">
        <f aca="false">L303*(1-MIN(1,INDEX(Tabla_Mortalidad!$B$5:$B$75,MIN(71,Cartera_Polizas!$B$305+10-49))*(1+(Cartera_Polizas!$P$305-1)*MAX(0,1-10/Supuestos!$C$20))*(1-Supuestos!$C$18)^10))</f>
        <v>0.294303531517085</v>
      </c>
      <c r="N303" s="29" t="n">
        <f aca="false">M303*(1-MIN(1,INDEX(Tabla_Mortalidad!$B$5:$B$75,MIN(71,Cartera_Polizas!$B$305+11-49))*(1+(Cartera_Polizas!$P$305-1)*MAX(0,1-11/Supuestos!$C$20))*(1-Supuestos!$C$18)^11))</f>
        <v>0.244241341237859</v>
      </c>
      <c r="O303" s="29" t="n">
        <f aca="false">N303*(1-MIN(1,INDEX(Tabla_Mortalidad!$B$5:$B$75,MIN(71,Cartera_Polizas!$B$305+12-49))*(1+(Cartera_Polizas!$P$305-1)*MAX(0,1-12/Supuestos!$C$20))*(1-Supuestos!$C$18)^12))</f>
        <v>0.199092524813699</v>
      </c>
      <c r="P303" s="29" t="n">
        <f aca="false">O303*(1-MIN(1,INDEX(Tabla_Mortalidad!$B$5:$B$75,MIN(71,Cartera_Polizas!$B$305+13-49))*(1+(Cartera_Polizas!$P$305-1)*MAX(0,1-13/Supuestos!$C$20))*(1-Supuestos!$C$18)^13))</f>
        <v>0.159150946968547</v>
      </c>
      <c r="Q303" s="29" t="n">
        <f aca="false">P303*(1-MIN(1,INDEX(Tabla_Mortalidad!$B$5:$B$75,MIN(71,Cartera_Polizas!$B$305+14-49))*(1+(Cartera_Polizas!$P$305-1)*MAX(0,1-14/Supuestos!$C$20))*(1-Supuestos!$C$18)^14))</f>
        <v>0.124549487959726</v>
      </c>
      <c r="R303" s="29" t="n">
        <f aca="false">Q303*(1-MIN(1,INDEX(Tabla_Mortalidad!$B$5:$B$75,MIN(71,Cartera_Polizas!$B$305+15-49))*(1+(Cartera_Polizas!$P$305-1)*MAX(0,1-15/Supuestos!$C$20))*(1-Supuestos!$C$18)^15))</f>
        <v>0.095250255456262</v>
      </c>
      <c r="S303" s="29" t="n">
        <f aca="false">R303*(1-MIN(1,INDEX(Tabla_Mortalidad!$B$5:$B$75,MIN(71,Cartera_Polizas!$B$305+16-49))*(1+(Cartera_Polizas!$P$305-1)*MAX(0,1-16/Supuestos!$C$20))*(1-Supuestos!$C$18)^16))</f>
        <v>0.0707612389334717</v>
      </c>
      <c r="T303" s="29" t="n">
        <f aca="false">S303*(1-MIN(1,INDEX(Tabla_Mortalidad!$B$5:$B$75,MIN(71,Cartera_Polizas!$B$305+17-49))*(1+(Cartera_Polizas!$P$305-1)*MAX(0,1-17/Supuestos!$C$20))*(1-Supuestos!$C$18)^17))</f>
        <v>0.0509128579856302</v>
      </c>
      <c r="U303" s="29" t="n">
        <f aca="false">T303*(1-MIN(1,INDEX(Tabla_Mortalidad!$B$5:$B$75,MIN(71,Cartera_Polizas!$B$305+18-49))*(1+(Cartera_Polizas!$P$305-1)*MAX(0,1-18/Supuestos!$C$20))*(1-Supuestos!$C$18)^18))</f>
        <v>0.0353625021423117</v>
      </c>
      <c r="V303" s="29" t="n">
        <f aca="false">U303*(1-MIN(1,INDEX(Tabla_Mortalidad!$B$5:$B$75,MIN(71,Cartera_Polizas!$B$305+19-49))*(1+(Cartera_Polizas!$P$305-1)*MAX(0,1-19/Supuestos!$C$20))*(1-Supuestos!$C$18)^19))</f>
        <v>0.0236267086505372</v>
      </c>
      <c r="W303" s="29" t="n">
        <f aca="false">V303*(1-MIN(1,INDEX(Tabla_Mortalidad!$B$5:$B$75,MIN(71,Cartera_Polizas!$B$305+20-49))*(1+(Cartera_Polizas!$P$305-1)*MAX(0,1-20/Supuestos!$C$20))*(1-Supuestos!$C$18)^20))</f>
        <v>0.0151267860385074</v>
      </c>
      <c r="X303" s="29" t="n">
        <f aca="false">W303*(1-MIN(1,INDEX(Tabla_Mortalidad!$B$5:$B$75,MIN(71,Cartera_Polizas!$B$305+21-49))*(1+(Cartera_Polizas!$P$305-1)*MAX(0,1-21/Supuestos!$C$20))*(1-Supuestos!$C$18)^21))</f>
        <v>0.00924252398988635</v>
      </c>
      <c r="Y303" s="29" t="n">
        <f aca="false">X303*(1-MIN(1,INDEX(Tabla_Mortalidad!$B$5:$B$75,MIN(71,Cartera_Polizas!$B$305+22-49))*(1+(Cartera_Polizas!$P$305-1)*MAX(0,1-22/Supuestos!$C$20))*(1-Supuestos!$C$18)^22))</f>
        <v>0.00536584701769883</v>
      </c>
      <c r="Z303" s="29" t="n">
        <f aca="false">Y303*(1-MIN(1,INDEX(Tabla_Mortalidad!$B$5:$B$75,MIN(71,Cartera_Polizas!$B$305+23-49))*(1+(Cartera_Polizas!$P$305-1)*MAX(0,1-23/Supuestos!$C$20))*(1-Supuestos!$C$18)^23))</f>
        <v>0.00294640416155543</v>
      </c>
      <c r="AA303" s="29" t="n">
        <f aca="false">Z303*(1-MIN(1,INDEX(Tabla_Mortalidad!$B$5:$B$75,MIN(71,Cartera_Polizas!$B$305+24-49))*(1+(Cartera_Polizas!$P$305-1)*MAX(0,1-24/Supuestos!$C$20))*(1-Supuestos!$C$18)^24))</f>
        <v>0.00152291978893613</v>
      </c>
      <c r="AB303" s="29" t="n">
        <f aca="false">AA303*(1-MIN(1,INDEX(Tabla_Mortalidad!$B$5:$B$75,MIN(71,Cartera_Polizas!$B$305+25-49))*(1+(Cartera_Polizas!$P$305-1)*MAX(0,1-25/Supuestos!$C$20))*(1-Supuestos!$C$18)^25))</f>
        <v>0.000737351088619389</v>
      </c>
      <c r="AC303" s="29" t="n">
        <f aca="false">AB303*(1-MIN(1,INDEX(Tabla_Mortalidad!$B$5:$B$75,MIN(71,Cartera_Polizas!$B$305+26-49))*(1+(Cartera_Polizas!$P$305-1)*MAX(0,1-26/Supuestos!$C$20))*(1-Supuestos!$C$18)^26))</f>
        <v>0.000332794333581407</v>
      </c>
      <c r="AD303" s="29" t="n">
        <f aca="false">AC303*(1-MIN(1,INDEX(Tabla_Mortalidad!$B$5:$B$75,MIN(71,Cartera_Polizas!$B$305+27-49))*(1+(Cartera_Polizas!$P$305-1)*MAX(0,1-27/Supuestos!$C$20))*(1-Supuestos!$C$18)^27))</f>
        <v>0.00013936702197106</v>
      </c>
      <c r="AE303" s="29" t="n">
        <f aca="false">AD303*(1-MIN(1,INDEX(Tabla_Mortalidad!$B$5:$B$75,MIN(71,Cartera_Polizas!$B$305+28-49))*(1+(Cartera_Polizas!$P$305-1)*MAX(0,1-28/Supuestos!$C$20))*(1-Supuestos!$C$18)^28))</f>
        <v>5.39248029869531E-005</v>
      </c>
      <c r="AF303" s="29" t="n">
        <f aca="false">AE303*(1-MIN(1,INDEX(Tabla_Mortalidad!$B$5:$B$75,MIN(71,Cartera_Polizas!$B$305+29-49))*(1+(Cartera_Polizas!$P$305-1)*MAX(0,1-29/Supuestos!$C$20))*(1-Supuestos!$C$18)^29))</f>
        <v>1.9210533774758E-005</v>
      </c>
      <c r="AG303" s="29" t="n">
        <f aca="false">AF303*(1-MIN(1,INDEX(Tabla_Mortalidad!$B$5:$B$75,MIN(71,Cartera_Polizas!$B$305+30-49))*(1+(Cartera_Polizas!$P$305-1)*MAX(0,1-30/Supuestos!$C$20))*(1-Supuestos!$C$18)^30))</f>
        <v>6.28592210543068E-006</v>
      </c>
      <c r="AH303" s="29" t="n">
        <f aca="false">AG303*(1-MIN(1,INDEX(Tabla_Mortalidad!$B$5:$B$75,MIN(71,Cartera_Polizas!$B$305+31-49))*(1+(Cartera_Polizas!$P$305-1)*MAX(0,1-31/Supuestos!$C$20))*(1-Supuestos!$C$18)^31))</f>
        <v>1.88753857403997E-006</v>
      </c>
      <c r="AI303" s="29" t="n">
        <f aca="false">AH303*(1-MIN(1,INDEX(Tabla_Mortalidad!$B$5:$B$75,MIN(71,Cartera_Polizas!$B$305+32-49))*(1+(Cartera_Polizas!$P$305-1)*MAX(0,1-32/Supuestos!$C$20))*(1-Supuestos!$C$18)^32))</f>
        <v>5.20716138700775E-007</v>
      </c>
      <c r="AJ303" s="29" t="n">
        <f aca="false">AI303*(1-MIN(1,INDEX(Tabla_Mortalidad!$B$5:$B$75,MIN(71,Cartera_Polizas!$B$305+33-49))*(1+(Cartera_Polizas!$P$305-1)*MAX(0,1-33/Supuestos!$C$20))*(1-Supuestos!$C$18)^33))</f>
        <v>1.32436438320075E-007</v>
      </c>
      <c r="AK303" s="29" t="n">
        <f aca="false">AJ303*(1-MIN(1,INDEX(Tabla_Mortalidad!$B$5:$B$75,MIN(71,Cartera_Polizas!$B$305+34-49))*(1+(Cartera_Polizas!$P$305-1)*MAX(0,1-34/Supuestos!$C$20))*(1-Supuestos!$C$18)^34))</f>
        <v>3.124574583442E-008</v>
      </c>
      <c r="AL303" s="29" t="n">
        <f aca="false">AK303*(1-MIN(1,INDEX(Tabla_Mortalidad!$B$5:$B$75,MIN(71,Cartera_Polizas!$B$305+35-49))*(1+(Cartera_Polizas!$P$305-1)*MAX(0,1-35/Supuestos!$C$20))*(1-Supuestos!$C$18)^35))</f>
        <v>6.89894521667797E-009</v>
      </c>
      <c r="AM303" s="29" t="n">
        <f aca="false">AL303*(1-MIN(1,INDEX(Tabla_Mortalidad!$B$5:$B$75,MIN(71,Cartera_Polizas!$B$305+36-49))*(1+(Cartera_Polizas!$P$305-1)*MAX(0,1-36/Supuestos!$C$20))*(1-Supuestos!$C$18)^36))</f>
        <v>1.44147984980952E-009</v>
      </c>
      <c r="AN303" s="29" t="n">
        <f aca="false">AM303*(1-MIN(1,INDEX(Tabla_Mortalidad!$B$5:$B$75,MIN(71,Cartera_Polizas!$B$305+37-49))*(1+(Cartera_Polizas!$P$305-1)*MAX(0,1-37/Supuestos!$C$20))*(1-Supuestos!$C$18)^37))</f>
        <v>2.44015580763096E-010</v>
      </c>
      <c r="AO303" s="29" t="n">
        <f aca="false">AN303*(1-MIN(1,INDEX(Tabla_Mortalidad!$B$5:$B$75,MIN(71,Cartera_Polizas!$B$305+38-49))*(1+(Cartera_Polizas!$P$305-1)*MAX(0,1-38/Supuestos!$C$20))*(1-Supuestos!$C$18)^38))</f>
        <v>4.23208159021331E-011</v>
      </c>
      <c r="AP303" s="29" t="n">
        <f aca="false">AO303*(1-MIN(1,INDEX(Tabla_Mortalidad!$B$5:$B$75,MIN(71,Cartera_Polizas!$B$305+39-49))*(1+(Cartera_Polizas!$P$305-1)*MAX(0,1-39/Supuestos!$C$20))*(1-Supuestos!$C$18)^39))</f>
        <v>7.51481068523675E-012</v>
      </c>
      <c r="AQ303" s="29" t="n">
        <f aca="false">AP303*(1-MIN(1,INDEX(Tabla_Mortalidad!$B$5:$B$75,MIN(71,Cartera_Polizas!$B$305+40-49))*(1+(Cartera_Polizas!$P$305-1)*MAX(0,1-40/Supuestos!$C$20))*(1-Supuestos!$C$18)^40))</f>
        <v>1.36528989583133E-012</v>
      </c>
      <c r="AR303" s="29" t="n">
        <f aca="false">AQ303*(1-MIN(1,INDEX(Tabla_Mortalidad!$B$5:$B$75,MIN(71,Cartera_Polizas!$B$305+41-49))*(1+(Cartera_Polizas!$P$305-1)*MAX(0,1-41/Supuestos!$C$20))*(1-Supuestos!$C$18)^41))</f>
        <v>2.5363192400754E-013</v>
      </c>
      <c r="AS303" s="29" t="n">
        <f aca="false">AR303*(1-MIN(1,INDEX(Tabla_Mortalidad!$B$5:$B$75,MIN(71,Cartera_Polizas!$B$305+42-49))*(1+(Cartera_Polizas!$P$305-1)*MAX(0,1-42/Supuestos!$C$20))*(1-Supuestos!$C$18)^42))</f>
        <v>4.8150149523298E-014</v>
      </c>
      <c r="AT303" s="29" t="n">
        <f aca="false">AS303*(1-MIN(1,INDEX(Tabla_Mortalidad!$B$5:$B$75,MIN(71,Cartera_Polizas!$B$305+43-49))*(1+(Cartera_Polizas!$P$305-1)*MAX(0,1-43/Supuestos!$C$20))*(1-Supuestos!$C$18)^43))</f>
        <v>9.33599663847604E-015</v>
      </c>
      <c r="AU303" s="29" t="n">
        <f aca="false">AT303*(1-MIN(1,INDEX(Tabla_Mortalidad!$B$5:$B$75,MIN(71,Cartera_Polizas!$B$305+44-49))*(1+(Cartera_Polizas!$P$305-1)*MAX(0,1-44/Supuestos!$C$20))*(1-Supuestos!$C$18)^44))</f>
        <v>1.84781725744954E-015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</cols>
  <sheetData>
    <row r="1" customFormat="false" ht="17.35" hidden="false" customHeight="false" outlineLevel="0" collapsed="false">
      <c r="A1" s="1" t="s">
        <v>203</v>
      </c>
    </row>
    <row r="2" customFormat="false" ht="15" hidden="false" customHeight="false" outlineLevel="0" collapsed="false">
      <c r="A2" s="3" t="s">
        <v>204</v>
      </c>
    </row>
    <row r="4" customFormat="false" ht="23.85" hidden="false" customHeight="false" outlineLevel="0" collapsed="false">
      <c r="A4" s="4" t="s">
        <v>205</v>
      </c>
      <c r="B4" s="4" t="s">
        <v>206</v>
      </c>
      <c r="C4" s="4" t="s">
        <v>158</v>
      </c>
      <c r="D4" s="4" t="s">
        <v>159</v>
      </c>
      <c r="E4" s="4" t="s">
        <v>160</v>
      </c>
      <c r="F4" s="4" t="s">
        <v>161</v>
      </c>
      <c r="G4" s="4" t="s">
        <v>162</v>
      </c>
      <c r="H4" s="4" t="s">
        <v>163</v>
      </c>
      <c r="I4" s="4" t="s">
        <v>164</v>
      </c>
      <c r="J4" s="4" t="s">
        <v>165</v>
      </c>
      <c r="K4" s="4" t="s">
        <v>166</v>
      </c>
      <c r="L4" s="4" t="s">
        <v>167</v>
      </c>
      <c r="M4" s="4" t="s">
        <v>168</v>
      </c>
      <c r="N4" s="4" t="s">
        <v>169</v>
      </c>
      <c r="O4" s="4" t="s">
        <v>170</v>
      </c>
      <c r="P4" s="4" t="s">
        <v>171</v>
      </c>
      <c r="Q4" s="4" t="s">
        <v>172</v>
      </c>
      <c r="R4" s="4" t="s">
        <v>173</v>
      </c>
      <c r="S4" s="4" t="s">
        <v>174</v>
      </c>
      <c r="T4" s="4" t="s">
        <v>175</v>
      </c>
      <c r="U4" s="4" t="s">
        <v>176</v>
      </c>
      <c r="V4" s="4" t="s">
        <v>177</v>
      </c>
      <c r="W4" s="4" t="s">
        <v>178</v>
      </c>
      <c r="X4" s="4" t="s">
        <v>179</v>
      </c>
      <c r="Y4" s="4" t="s">
        <v>180</v>
      </c>
      <c r="Z4" s="4" t="s">
        <v>181</v>
      </c>
      <c r="AA4" s="4" t="s">
        <v>182</v>
      </c>
      <c r="AB4" s="4" t="s">
        <v>183</v>
      </c>
      <c r="AC4" s="4" t="s">
        <v>184</v>
      </c>
      <c r="AD4" s="4" t="s">
        <v>185</v>
      </c>
      <c r="AE4" s="4" t="s">
        <v>186</v>
      </c>
      <c r="AF4" s="4" t="s">
        <v>187</v>
      </c>
    </row>
    <row r="5" customFormat="false" ht="15" hidden="false" customHeight="false" outlineLevel="0" collapsed="false">
      <c r="A5" s="2" t="s">
        <v>207</v>
      </c>
      <c r="B5" s="17" t="n">
        <v>0.0008</v>
      </c>
      <c r="C5" s="27" t="n">
        <f aca="false">1-(1-$B5)^1</f>
        <v>0.000800000000000023</v>
      </c>
      <c r="D5" s="27" t="n">
        <f aca="false">1-(1-$B5)^2</f>
        <v>0.00159936000000005</v>
      </c>
      <c r="E5" s="27" t="n">
        <f aca="false">1-(1-$B5)^3</f>
        <v>0.00239808051200008</v>
      </c>
      <c r="F5" s="27" t="n">
        <f aca="false">1-(1-$B5)^4</f>
        <v>0.00319616204759055</v>
      </c>
      <c r="G5" s="27" t="n">
        <f aca="false">1-(1-$B5)^5</f>
        <v>0.00399360511795244</v>
      </c>
      <c r="H5" s="27" t="n">
        <f aca="false">1-(1-$B5)^6</f>
        <v>0.00479041023385807</v>
      </c>
      <c r="I5" s="27" t="n">
        <f aca="false">1-(1-$B5)^7</f>
        <v>0.00558657790567108</v>
      </c>
      <c r="J5" s="27" t="n">
        <f aca="false">1-(1-$B5)^8</f>
        <v>0.00638210864334654</v>
      </c>
      <c r="K5" s="27" t="n">
        <f aca="false">1-(1-$B5)^9</f>
        <v>0.00717700295643187</v>
      </c>
      <c r="L5" s="27" t="n">
        <f aca="false">1-(1-$B5)^10</f>
        <v>0.00797126135406678</v>
      </c>
      <c r="M5" s="27" t="n">
        <f aca="false">1-(1-$B5)^11</f>
        <v>0.00876488434498357</v>
      </c>
      <c r="N5" s="27" t="n">
        <f aca="false">1-(1-$B5)^12</f>
        <v>0.00955787243750761</v>
      </c>
      <c r="O5" s="27" t="n">
        <f aca="false">1-(1-$B5)^13</f>
        <v>0.0103502261395576</v>
      </c>
      <c r="P5" s="27" t="n">
        <f aca="false">1-(1-$B5)^14</f>
        <v>0.0111419459586459</v>
      </c>
      <c r="Q5" s="27" t="n">
        <f aca="false">1-(1-$B5)^15</f>
        <v>0.011933032401879</v>
      </c>
      <c r="R5" s="27" t="n">
        <f aca="false">1-(1-$B5)^16</f>
        <v>0.0127234859759576</v>
      </c>
      <c r="S5" s="27" t="n">
        <f aca="false">1-(1-$B5)^17</f>
        <v>0.0135133071871768</v>
      </c>
      <c r="T5" s="27" t="n">
        <f aca="false">1-(1-$B5)^18</f>
        <v>0.0143024965414271</v>
      </c>
      <c r="U5" s="27" t="n">
        <f aca="false">1-(1-$B5)^19</f>
        <v>0.015091054544194</v>
      </c>
      <c r="V5" s="27" t="n">
        <f aca="false">1-(1-$B5)^20</f>
        <v>0.0158789817005587</v>
      </c>
      <c r="W5" s="27" t="n">
        <f aca="false">1-(1-$B5)^21</f>
        <v>0.0166662785151982</v>
      </c>
      <c r="X5" s="27" t="n">
        <f aca="false">1-(1-$B5)^22</f>
        <v>0.0174529454923861</v>
      </c>
      <c r="Y5" s="27" t="n">
        <f aca="false">1-(1-$B5)^23</f>
        <v>0.0182389831359923</v>
      </c>
      <c r="Z5" s="27" t="n">
        <f aca="false">1-(1-$B5)^24</f>
        <v>0.0190243919494835</v>
      </c>
      <c r="AA5" s="27" t="n">
        <f aca="false">1-(1-$B5)^25</f>
        <v>0.0198091724359238</v>
      </c>
      <c r="AB5" s="27" t="n">
        <f aca="false">1-(1-$B5)^26</f>
        <v>0.0205933250979752</v>
      </c>
      <c r="AC5" s="27" t="n">
        <f aca="false">1-(1-$B5)^27</f>
        <v>0.0213768504378968</v>
      </c>
      <c r="AD5" s="27" t="n">
        <f aca="false">1-(1-$B5)^28</f>
        <v>0.0221597489575465</v>
      </c>
      <c r="AE5" s="27" t="n">
        <f aca="false">1-(1-$B5)^29</f>
        <v>0.0229420211583805</v>
      </c>
      <c r="AF5" s="27" t="n">
        <f aca="false">1-(1-$B5)^30</f>
        <v>0.0237236675414538</v>
      </c>
    </row>
    <row r="6" customFormat="false" ht="15" hidden="false" customHeight="false" outlineLevel="0" collapsed="false">
      <c r="A6" s="2" t="s">
        <v>208</v>
      </c>
      <c r="B6" s="17" t="n">
        <v>0.0012</v>
      </c>
      <c r="C6" s="27" t="n">
        <f aca="false">1-(1-$B6)^1</f>
        <v>0.00119999999999998</v>
      </c>
      <c r="D6" s="27" t="n">
        <f aca="false">1-(1-$B6)^2</f>
        <v>0.00239855999999994</v>
      </c>
      <c r="E6" s="27" t="n">
        <f aca="false">1-(1-$B6)^3</f>
        <v>0.00359568172799996</v>
      </c>
      <c r="F6" s="27" t="n">
        <f aca="false">1-(1-$B6)^4</f>
        <v>0.00479136690992632</v>
      </c>
      <c r="G6" s="27" t="n">
        <f aca="false">1-(1-$B6)^5</f>
        <v>0.00598561726963442</v>
      </c>
      <c r="H6" s="27" t="n">
        <f aca="false">1-(1-$B6)^6</f>
        <v>0.00717843452891076</v>
      </c>
      <c r="I6" s="27" t="n">
        <f aca="false">1-(1-$B6)^7</f>
        <v>0.00836982040747614</v>
      </c>
      <c r="J6" s="27" t="n">
        <f aca="false">1-(1-$B6)^8</f>
        <v>0.00955977662298713</v>
      </c>
      <c r="K6" s="27" t="n">
        <f aca="false">1-(1-$B6)^9</f>
        <v>0.0107483048910395</v>
      </c>
      <c r="L6" s="27" t="n">
        <f aca="false">1-(1-$B6)^10</f>
        <v>0.0119354069251703</v>
      </c>
      <c r="M6" s="27" t="n">
        <f aca="false">1-(1-$B6)^11</f>
        <v>0.01312108443686</v>
      </c>
      <c r="N6" s="27" t="n">
        <f aca="false">1-(1-$B6)^12</f>
        <v>0.0143053391355358</v>
      </c>
      <c r="O6" s="27" t="n">
        <f aca="false">1-(1-$B6)^13</f>
        <v>0.0154881727285731</v>
      </c>
      <c r="P6" s="27" t="n">
        <f aca="false">1-(1-$B6)^14</f>
        <v>0.0166695869212987</v>
      </c>
      <c r="Q6" s="27" t="n">
        <f aca="false">1-(1-$B6)^15</f>
        <v>0.0178495834169932</v>
      </c>
      <c r="R6" s="27" t="n">
        <f aca="false">1-(1-$B6)^16</f>
        <v>0.0190281639168928</v>
      </c>
      <c r="S6" s="27" t="n">
        <f aca="false">1-(1-$B6)^17</f>
        <v>0.0202053301201924</v>
      </c>
      <c r="T6" s="27" t="n">
        <f aca="false">1-(1-$B6)^18</f>
        <v>0.0213810837240482</v>
      </c>
      <c r="U6" s="27" t="n">
        <f aca="false">1-(1-$B6)^19</f>
        <v>0.0225554264235793</v>
      </c>
      <c r="V6" s="27" t="n">
        <f aca="false">1-(1-$B6)^20</f>
        <v>0.0237283599118711</v>
      </c>
      <c r="W6" s="27" t="n">
        <f aca="false">1-(1-$B6)^21</f>
        <v>0.0248998858799768</v>
      </c>
      <c r="X6" s="27" t="n">
        <f aca="false">1-(1-$B6)^22</f>
        <v>0.0260700060169208</v>
      </c>
      <c r="Y6" s="27" t="n">
        <f aca="false">1-(1-$B6)^23</f>
        <v>0.0272387220097005</v>
      </c>
      <c r="Z6" s="27" t="n">
        <f aca="false">1-(1-$B6)^24</f>
        <v>0.0284060355432888</v>
      </c>
      <c r="AA6" s="27" t="n">
        <f aca="false">1-(1-$B6)^25</f>
        <v>0.0295719483006368</v>
      </c>
      <c r="AB6" s="27" t="n">
        <f aca="false">1-(1-$B6)^26</f>
        <v>0.0307364619626761</v>
      </c>
      <c r="AC6" s="27" t="n">
        <f aca="false">1-(1-$B6)^27</f>
        <v>0.0318995782083208</v>
      </c>
      <c r="AD6" s="27" t="n">
        <f aca="false">1-(1-$B6)^28</f>
        <v>0.0330612987144708</v>
      </c>
      <c r="AE6" s="27" t="n">
        <f aca="false">1-(1-$B6)^29</f>
        <v>0.0342216251560135</v>
      </c>
      <c r="AF6" s="27" t="n">
        <f aca="false">1-(1-$B6)^30</f>
        <v>0.0353805592058262</v>
      </c>
    </row>
    <row r="7" customFormat="false" ht="15" hidden="false" customHeight="false" outlineLevel="0" collapsed="false">
      <c r="A7" s="2" t="s">
        <v>209</v>
      </c>
      <c r="B7" s="17" t="n">
        <v>0.002</v>
      </c>
      <c r="C7" s="27" t="n">
        <f aca="false">1-(1-$B7)^1</f>
        <v>0.002</v>
      </c>
      <c r="D7" s="27" t="n">
        <f aca="false">1-(1-$B7)^2</f>
        <v>0.003996</v>
      </c>
      <c r="E7" s="27" t="n">
        <f aca="false">1-(1-$B7)^3</f>
        <v>0.00598800799999999</v>
      </c>
      <c r="F7" s="27" t="n">
        <f aca="false">1-(1-$B7)^4</f>
        <v>0.00797603198399999</v>
      </c>
      <c r="G7" s="27" t="n">
        <f aca="false">1-(1-$B7)^5</f>
        <v>0.00996007992003201</v>
      </c>
      <c r="H7" s="27" t="n">
        <f aca="false">1-(1-$B7)^6</f>
        <v>0.0119401597601919</v>
      </c>
      <c r="I7" s="27" t="n">
        <f aca="false">1-(1-$B7)^7</f>
        <v>0.0139162794406715</v>
      </c>
      <c r="J7" s="27" t="n">
        <f aca="false">1-(1-$B7)^8</f>
        <v>0.0158884468817903</v>
      </c>
      <c r="K7" s="27" t="n">
        <f aca="false">1-(1-$B7)^9</f>
        <v>0.0178566699880266</v>
      </c>
      <c r="L7" s="27" t="n">
        <f aca="false">1-(1-$B7)^10</f>
        <v>0.0198209566480506</v>
      </c>
      <c r="M7" s="27" t="n">
        <f aca="false">1-(1-$B7)^11</f>
        <v>0.0217813147347545</v>
      </c>
      <c r="N7" s="27" t="n">
        <f aca="false">1-(1-$B7)^12</f>
        <v>0.023737752105285</v>
      </c>
      <c r="O7" s="27" t="n">
        <f aca="false">1-(1-$B7)^13</f>
        <v>0.0256902766010744</v>
      </c>
      <c r="P7" s="27" t="n">
        <f aca="false">1-(1-$B7)^14</f>
        <v>0.0276388960478723</v>
      </c>
      <c r="Q7" s="27" t="n">
        <f aca="false">1-(1-$B7)^15</f>
        <v>0.0295836182557765</v>
      </c>
      <c r="R7" s="27" t="n">
        <f aca="false">1-(1-$B7)^16</f>
        <v>0.0315244510192649</v>
      </c>
      <c r="S7" s="27" t="n">
        <f aca="false">1-(1-$B7)^17</f>
        <v>0.0334614021172265</v>
      </c>
      <c r="T7" s="27" t="n">
        <f aca="false">1-(1-$B7)^18</f>
        <v>0.035394479312992</v>
      </c>
      <c r="U7" s="27" t="n">
        <f aca="false">1-(1-$B7)^19</f>
        <v>0.037323690354366</v>
      </c>
      <c r="V7" s="27" t="n">
        <f aca="false">1-(1-$B7)^20</f>
        <v>0.0392490429736573</v>
      </c>
      <c r="W7" s="27" t="n">
        <f aca="false">1-(1-$B7)^21</f>
        <v>0.04117054488771</v>
      </c>
      <c r="X7" s="27" t="n">
        <f aca="false">1-(1-$B7)^22</f>
        <v>0.0430882037979345</v>
      </c>
      <c r="Y7" s="27" t="n">
        <f aca="false">1-(1-$B7)^23</f>
        <v>0.0450020273903387</v>
      </c>
      <c r="Z7" s="27" t="n">
        <f aca="false">1-(1-$B7)^24</f>
        <v>0.046912023335558</v>
      </c>
      <c r="AA7" s="27" t="n">
        <f aca="false">1-(1-$B7)^25</f>
        <v>0.0488181992888869</v>
      </c>
      <c r="AB7" s="27" t="n">
        <f aca="false">1-(1-$B7)^26</f>
        <v>0.0507205628903091</v>
      </c>
      <c r="AC7" s="27" t="n">
        <f aca="false">1-(1-$B7)^27</f>
        <v>0.0526191217645285</v>
      </c>
      <c r="AD7" s="27" t="n">
        <f aca="false">1-(1-$B7)^28</f>
        <v>0.0545138835209995</v>
      </c>
      <c r="AE7" s="27" t="n">
        <f aca="false">1-(1-$B7)^29</f>
        <v>0.0564048557539575</v>
      </c>
      <c r="AF7" s="27" t="n">
        <f aca="false">1-(1-$B7)^30</f>
        <v>0.0582920460424495</v>
      </c>
    </row>
    <row r="8" customFormat="false" ht="15" hidden="false" customHeight="false" outlineLevel="0" collapsed="false">
      <c r="A8" s="2" t="s">
        <v>210</v>
      </c>
      <c r="B8" s="17" t="n">
        <v>0.003</v>
      </c>
      <c r="C8" s="27" t="n">
        <f aca="false">1-(1-$B8)^1</f>
        <v>0.003</v>
      </c>
      <c r="D8" s="27" t="n">
        <f aca="false">1-(1-$B8)^2</f>
        <v>0.00599099999999997</v>
      </c>
      <c r="E8" s="27" t="n">
        <f aca="false">1-(1-$B8)^3</f>
        <v>0.00897302700000002</v>
      </c>
      <c r="F8" s="27" t="n">
        <f aca="false">1-(1-$B8)^4</f>
        <v>0.011946107919</v>
      </c>
      <c r="G8" s="27" t="n">
        <f aca="false">1-(1-$B8)^5</f>
        <v>0.014910269595243</v>
      </c>
      <c r="H8" s="27" t="n">
        <f aca="false">1-(1-$B8)^6</f>
        <v>0.0178655387864572</v>
      </c>
      <c r="I8" s="27" t="n">
        <f aca="false">1-(1-$B8)^7</f>
        <v>0.020811942170098</v>
      </c>
      <c r="J8" s="27" t="n">
        <f aca="false">1-(1-$B8)^8</f>
        <v>0.0237495063435876</v>
      </c>
      <c r="K8" s="27" t="n">
        <f aca="false">1-(1-$B8)^9</f>
        <v>0.0266782578245569</v>
      </c>
      <c r="L8" s="27" t="n">
        <f aca="false">1-(1-$B8)^10</f>
        <v>0.0295982230510832</v>
      </c>
      <c r="M8" s="27" t="n">
        <f aca="false">1-(1-$B8)^11</f>
        <v>0.0325094283819299</v>
      </c>
      <c r="N8" s="27" t="n">
        <f aca="false">1-(1-$B8)^12</f>
        <v>0.0354119000967842</v>
      </c>
      <c r="O8" s="27" t="n">
        <f aca="false">1-(1-$B8)^13</f>
        <v>0.0383056643964939</v>
      </c>
      <c r="P8" s="27" t="n">
        <f aca="false">1-(1-$B8)^14</f>
        <v>0.0411907474033043</v>
      </c>
      <c r="Q8" s="27" t="n">
        <f aca="false">1-(1-$B8)^15</f>
        <v>0.0440671751610944</v>
      </c>
      <c r="R8" s="27" t="n">
        <f aca="false">1-(1-$B8)^16</f>
        <v>0.0469349736356112</v>
      </c>
      <c r="S8" s="27" t="n">
        <f aca="false">1-(1-$B8)^17</f>
        <v>0.0497941687147043</v>
      </c>
      <c r="T8" s="27" t="n">
        <f aca="false">1-(1-$B8)^18</f>
        <v>0.0526447862085602</v>
      </c>
      <c r="U8" s="27" t="n">
        <f aca="false">1-(1-$B8)^19</f>
        <v>0.0554868518499345</v>
      </c>
      <c r="V8" s="27" t="n">
        <f aca="false">1-(1-$B8)^20</f>
        <v>0.0583203912943847</v>
      </c>
      <c r="W8" s="27" t="n">
        <f aca="false">1-(1-$B8)^21</f>
        <v>0.0611454301205016</v>
      </c>
      <c r="X8" s="27" t="n">
        <f aca="false">1-(1-$B8)^22</f>
        <v>0.0639619938301401</v>
      </c>
      <c r="Y8" s="27" t="n">
        <f aca="false">1-(1-$B8)^23</f>
        <v>0.0667701078486497</v>
      </c>
      <c r="Z8" s="27" t="n">
        <f aca="false">1-(1-$B8)^24</f>
        <v>0.0695697975251037</v>
      </c>
      <c r="AA8" s="27" t="n">
        <f aca="false">1-(1-$B8)^25</f>
        <v>0.0723610881325284</v>
      </c>
      <c r="AB8" s="27" t="n">
        <f aca="false">1-(1-$B8)^26</f>
        <v>0.0751440048681308</v>
      </c>
      <c r="AC8" s="27" t="n">
        <f aca="false">1-(1-$B8)^27</f>
        <v>0.0779185728535264</v>
      </c>
      <c r="AD8" s="27" t="n">
        <f aca="false">1-(1-$B8)^28</f>
        <v>0.0806848171349659</v>
      </c>
      <c r="AE8" s="27" t="n">
        <f aca="false">1-(1-$B8)^29</f>
        <v>0.083442762683561</v>
      </c>
      <c r="AF8" s="27" t="n">
        <f aca="false">1-(1-$B8)^30</f>
        <v>0.0861924343955103</v>
      </c>
    </row>
    <row r="9" customFormat="false" ht="15" hidden="false" customHeight="false" outlineLevel="0" collapsed="false">
      <c r="A9" s="2" t="s">
        <v>211</v>
      </c>
      <c r="B9" s="17" t="n">
        <v>0.004</v>
      </c>
      <c r="C9" s="27" t="n">
        <f aca="false">1-(1-$B9)^1</f>
        <v>0.004</v>
      </c>
      <c r="D9" s="27" t="n">
        <f aca="false">1-(1-$B9)^2</f>
        <v>0.00798399999999999</v>
      </c>
      <c r="E9" s="27" t="n">
        <f aca="false">1-(1-$B9)^3</f>
        <v>0.011952064</v>
      </c>
      <c r="F9" s="27" t="n">
        <f aca="false">1-(1-$B9)^4</f>
        <v>0.015904255744</v>
      </c>
      <c r="G9" s="27" t="n">
        <f aca="false">1-(1-$B9)^5</f>
        <v>0.019840638721024</v>
      </c>
      <c r="H9" s="27" t="n">
        <f aca="false">1-(1-$B9)^6</f>
        <v>0.0237612761661399</v>
      </c>
      <c r="I9" s="27" t="n">
        <f aca="false">1-(1-$B9)^7</f>
        <v>0.0276662310614754</v>
      </c>
      <c r="J9" s="27" t="n">
        <f aca="false">1-(1-$B9)^8</f>
        <v>0.0315555661372294</v>
      </c>
      <c r="K9" s="27" t="n">
        <f aca="false">1-(1-$B9)^9</f>
        <v>0.0354293438726806</v>
      </c>
      <c r="L9" s="27" t="n">
        <f aca="false">1-(1-$B9)^10</f>
        <v>0.0392876264971899</v>
      </c>
      <c r="M9" s="27" t="n">
        <f aca="false">1-(1-$B9)^11</f>
        <v>0.0431304759912011</v>
      </c>
      <c r="N9" s="27" t="n">
        <f aca="false">1-(1-$B9)^12</f>
        <v>0.0469579540872362</v>
      </c>
      <c r="O9" s="27" t="n">
        <f aca="false">1-(1-$B9)^13</f>
        <v>0.0507701222708873</v>
      </c>
      <c r="P9" s="27" t="n">
        <f aca="false">1-(1-$B9)^14</f>
        <v>0.0545670417818038</v>
      </c>
      <c r="Q9" s="27" t="n">
        <f aca="false">1-(1-$B9)^15</f>
        <v>0.0583487736146766</v>
      </c>
      <c r="R9" s="27" t="n">
        <f aca="false">1-(1-$B9)^16</f>
        <v>0.0621153785202179</v>
      </c>
      <c r="S9" s="27" t="n">
        <f aca="false">1-(1-$B9)^17</f>
        <v>0.065866917006137</v>
      </c>
      <c r="T9" s="27" t="n">
        <f aca="false">1-(1-$B9)^18</f>
        <v>0.0696034493381125</v>
      </c>
      <c r="U9" s="27" t="n">
        <f aca="false">1-(1-$B9)^19</f>
        <v>0.07332503554076</v>
      </c>
      <c r="V9" s="27" t="n">
        <f aca="false">1-(1-$B9)^20</f>
        <v>0.077031735398597</v>
      </c>
      <c r="W9" s="27" t="n">
        <f aca="false">1-(1-$B9)^21</f>
        <v>0.0807236084570026</v>
      </c>
      <c r="X9" s="27" t="n">
        <f aca="false">1-(1-$B9)^22</f>
        <v>0.0844007140231746</v>
      </c>
      <c r="Y9" s="27" t="n">
        <f aca="false">1-(1-$B9)^23</f>
        <v>0.0880631111670819</v>
      </c>
      <c r="Z9" s="27" t="n">
        <f aca="false">1-(1-$B9)^24</f>
        <v>0.0917108587224136</v>
      </c>
      <c r="AA9" s="27" t="n">
        <f aca="false">1-(1-$B9)^25</f>
        <v>0.0953440152875239</v>
      </c>
      <c r="AB9" s="27" t="n">
        <f aca="false">1-(1-$B9)^26</f>
        <v>0.0989626392263738</v>
      </c>
      <c r="AC9" s="27" t="n">
        <f aca="false">1-(1-$B9)^27</f>
        <v>0.102566788669468</v>
      </c>
      <c r="AD9" s="27" t="n">
        <f aca="false">1-(1-$B9)^28</f>
        <v>0.10615652151479</v>
      </c>
      <c r="AE9" s="27" t="n">
        <f aca="false">1-(1-$B9)^29</f>
        <v>0.109731895428731</v>
      </c>
      <c r="AF9" s="27" t="n">
        <f aca="false">1-(1-$B9)^30</f>
        <v>0.113292967847016</v>
      </c>
    </row>
    <row r="10" customFormat="false" ht="15" hidden="false" customHeight="false" outlineLevel="0" collapsed="false">
      <c r="A10" s="2" t="s">
        <v>212</v>
      </c>
      <c r="B10" s="17" t="n">
        <v>0.005</v>
      </c>
      <c r="C10" s="27" t="n">
        <f aca="false">1-(1-$B10)^1</f>
        <v>0.005</v>
      </c>
      <c r="D10" s="27" t="n">
        <f aca="false">1-(1-$B10)^2</f>
        <v>0.00997499999999996</v>
      </c>
      <c r="E10" s="27" t="n">
        <f aca="false">1-(1-$B10)^3</f>
        <v>0.014925125</v>
      </c>
      <c r="F10" s="27" t="n">
        <f aca="false">1-(1-$B10)^4</f>
        <v>0.0198504993750001</v>
      </c>
      <c r="G10" s="27" t="n">
        <f aca="false">1-(1-$B10)^5</f>
        <v>0.024751246878125</v>
      </c>
      <c r="H10" s="27" t="n">
        <f aca="false">1-(1-$B10)^6</f>
        <v>0.0296274906437344</v>
      </c>
      <c r="I10" s="27" t="n">
        <f aca="false">1-(1-$B10)^7</f>
        <v>0.0344793531905158</v>
      </c>
      <c r="J10" s="27" t="n">
        <f aca="false">1-(1-$B10)^8</f>
        <v>0.0393069564245632</v>
      </c>
      <c r="K10" s="27" t="n">
        <f aca="false">1-(1-$B10)^9</f>
        <v>0.0441104216424404</v>
      </c>
      <c r="L10" s="27" t="n">
        <f aca="false">1-(1-$B10)^10</f>
        <v>0.0488898695342281</v>
      </c>
      <c r="M10" s="27" t="n">
        <f aca="false">1-(1-$B10)^11</f>
        <v>0.0536454201865571</v>
      </c>
      <c r="N10" s="27" t="n">
        <f aca="false">1-(1-$B10)^12</f>
        <v>0.0583771930856243</v>
      </c>
      <c r="O10" s="27" t="n">
        <f aca="false">1-(1-$B10)^13</f>
        <v>0.0630853071201961</v>
      </c>
      <c r="P10" s="27" t="n">
        <f aca="false">1-(1-$B10)^14</f>
        <v>0.0677698805845951</v>
      </c>
      <c r="Q10" s="27" t="n">
        <f aca="false">1-(1-$B10)^15</f>
        <v>0.0724310311816722</v>
      </c>
      <c r="R10" s="27" t="n">
        <f aca="false">1-(1-$B10)^16</f>
        <v>0.0770688760257638</v>
      </c>
      <c r="S10" s="27" t="n">
        <f aca="false">1-(1-$B10)^17</f>
        <v>0.081683531645635</v>
      </c>
      <c r="T10" s="27" t="n">
        <f aca="false">1-(1-$B10)^18</f>
        <v>0.0862751139874068</v>
      </c>
      <c r="U10" s="27" t="n">
        <f aca="false">1-(1-$B10)^19</f>
        <v>0.0908437384174698</v>
      </c>
      <c r="V10" s="27" t="n">
        <f aca="false">1-(1-$B10)^20</f>
        <v>0.0953895197253825</v>
      </c>
      <c r="W10" s="27" t="n">
        <f aca="false">1-(1-$B10)^21</f>
        <v>0.0999125721267555</v>
      </c>
      <c r="X10" s="27" t="n">
        <f aca="false">1-(1-$B10)^22</f>
        <v>0.104413009266122</v>
      </c>
      <c r="Y10" s="27" t="n">
        <f aca="false">1-(1-$B10)^23</f>
        <v>0.108890944219791</v>
      </c>
      <c r="Z10" s="27" t="n">
        <f aca="false">1-(1-$B10)^24</f>
        <v>0.113346489498692</v>
      </c>
      <c r="AA10" s="27" t="n">
        <f aca="false">1-(1-$B10)^25</f>
        <v>0.117779757051199</v>
      </c>
      <c r="AB10" s="27" t="n">
        <f aca="false">1-(1-$B10)^26</f>
        <v>0.122190858265943</v>
      </c>
      <c r="AC10" s="27" t="n">
        <f aca="false">1-(1-$B10)^27</f>
        <v>0.126579903974613</v>
      </c>
      <c r="AD10" s="27" t="n">
        <f aca="false">1-(1-$B10)^28</f>
        <v>0.13094700445474</v>
      </c>
      <c r="AE10" s="27" t="n">
        <f aca="false">1-(1-$B10)^29</f>
        <v>0.135292269432466</v>
      </c>
      <c r="AF10" s="27" t="n">
        <f aca="false">1-(1-$B10)^30</f>
        <v>0.139615808085304</v>
      </c>
    </row>
    <row r="11" customFormat="false" ht="15" hidden="false" customHeight="false" outlineLevel="0" collapsed="false">
      <c r="A11" s="2" t="s">
        <v>213</v>
      </c>
      <c r="B11" s="17" t="n">
        <v>0.0065</v>
      </c>
      <c r="C11" s="27" t="n">
        <f aca="false">1-(1-$B11)^1</f>
        <v>0.00649999999999995</v>
      </c>
      <c r="D11" s="27" t="n">
        <f aca="false">1-(1-$B11)^2</f>
        <v>0.0129577499999999</v>
      </c>
      <c r="E11" s="27" t="n">
        <f aca="false">1-(1-$B11)^3</f>
        <v>0.0193735246249999</v>
      </c>
      <c r="F11" s="27" t="n">
        <f aca="false">1-(1-$B11)^4</f>
        <v>0.0257475967149373</v>
      </c>
      <c r="G11" s="27" t="n">
        <f aca="false">1-(1-$B11)^5</f>
        <v>0.0320802373362902</v>
      </c>
      <c r="H11" s="27" t="n">
        <f aca="false">1-(1-$B11)^6</f>
        <v>0.0383717157936042</v>
      </c>
      <c r="I11" s="27" t="n">
        <f aca="false">1-(1-$B11)^7</f>
        <v>0.0446222996409458</v>
      </c>
      <c r="J11" s="27" t="n">
        <f aca="false">1-(1-$B11)^8</f>
        <v>0.0508322546932796</v>
      </c>
      <c r="K11" s="27" t="n">
        <f aca="false">1-(1-$B11)^9</f>
        <v>0.0570018450377732</v>
      </c>
      <c r="L11" s="27" t="n">
        <f aca="false">1-(1-$B11)^10</f>
        <v>0.0631313330450276</v>
      </c>
      <c r="M11" s="27" t="n">
        <f aca="false">1-(1-$B11)^11</f>
        <v>0.0692209793802349</v>
      </c>
      <c r="N11" s="27" t="n">
        <f aca="false">1-(1-$B11)^12</f>
        <v>0.0752710430142634</v>
      </c>
      <c r="O11" s="27" t="n">
        <f aca="false">1-(1-$B11)^13</f>
        <v>0.0812817812346706</v>
      </c>
      <c r="P11" s="27" t="n">
        <f aca="false">1-(1-$B11)^14</f>
        <v>0.0872534496566452</v>
      </c>
      <c r="Q11" s="27" t="n">
        <f aca="false">1-(1-$B11)^15</f>
        <v>0.0931863022338769</v>
      </c>
      <c r="R11" s="27" t="n">
        <f aca="false">1-(1-$B11)^16</f>
        <v>0.0990805912693566</v>
      </c>
      <c r="S11" s="27" t="n">
        <f aca="false">1-(1-$B11)^17</f>
        <v>0.104936567426106</v>
      </c>
      <c r="T11" s="27" t="n">
        <f aca="false">1-(1-$B11)^18</f>
        <v>0.110754479737836</v>
      </c>
      <c r="U11" s="27" t="n">
        <f aca="false">1-(1-$B11)^19</f>
        <v>0.11653457561954</v>
      </c>
      <c r="V11" s="27" t="n">
        <f aca="false">1-(1-$B11)^20</f>
        <v>0.122277100878013</v>
      </c>
      <c r="W11" s="27" t="n">
        <f aca="false">1-(1-$B11)^21</f>
        <v>0.127982299722306</v>
      </c>
      <c r="X11" s="27" t="n">
        <f aca="false">1-(1-$B11)^22</f>
        <v>0.133650414774111</v>
      </c>
      <c r="Y11" s="27" t="n">
        <f aca="false">1-(1-$B11)^23</f>
        <v>0.139281687078079</v>
      </c>
      <c r="Z11" s="27" t="n">
        <f aca="false">1-(1-$B11)^24</f>
        <v>0.144876356112072</v>
      </c>
      <c r="AA11" s="27" t="n">
        <f aca="false">1-(1-$B11)^25</f>
        <v>0.150434659797343</v>
      </c>
      <c r="AB11" s="27" t="n">
        <f aca="false">1-(1-$B11)^26</f>
        <v>0.15595683450866</v>
      </c>
      <c r="AC11" s="27" t="n">
        <f aca="false">1-(1-$B11)^27</f>
        <v>0.161443115084354</v>
      </c>
      <c r="AD11" s="27" t="n">
        <f aca="false">1-(1-$B11)^28</f>
        <v>0.166893734836306</v>
      </c>
      <c r="AE11" s="27" t="n">
        <f aca="false">1-(1-$B11)^29</f>
        <v>0.17230892555987</v>
      </c>
      <c r="AF11" s="27" t="n">
        <f aca="false">1-(1-$B11)^30</f>
        <v>0.17768891754373</v>
      </c>
    </row>
    <row r="12" customFormat="false" ht="15" hidden="false" customHeight="false" outlineLevel="0" collapsed="false">
      <c r="A12" s="2" t="s">
        <v>214</v>
      </c>
      <c r="B12" s="17" t="n">
        <v>0.0075</v>
      </c>
      <c r="C12" s="27" t="n">
        <f aca="false">1-(1-$B12)^1</f>
        <v>0.00749999999999995</v>
      </c>
      <c r="D12" s="27" t="n">
        <f aca="false">1-(1-$B12)^2</f>
        <v>0.0149437499999999</v>
      </c>
      <c r="E12" s="27" t="n">
        <f aca="false">1-(1-$B12)^3</f>
        <v>0.0223316718749998</v>
      </c>
      <c r="F12" s="27" t="n">
        <f aca="false">1-(1-$B12)^4</f>
        <v>0.0296641843359373</v>
      </c>
      <c r="G12" s="27" t="n">
        <f aca="false">1-(1-$B12)^5</f>
        <v>0.0369417029534177</v>
      </c>
      <c r="H12" s="27" t="n">
        <f aca="false">1-(1-$B12)^6</f>
        <v>0.0441646401812671</v>
      </c>
      <c r="I12" s="27" t="n">
        <f aca="false">1-(1-$B12)^7</f>
        <v>0.0513334053799075</v>
      </c>
      <c r="J12" s="27" t="n">
        <f aca="false">1-(1-$B12)^8</f>
        <v>0.0584484048395582</v>
      </c>
      <c r="K12" s="27" t="n">
        <f aca="false">1-(1-$B12)^9</f>
        <v>0.0655100418032614</v>
      </c>
      <c r="L12" s="27" t="n">
        <f aca="false">1-(1-$B12)^10</f>
        <v>0.072518716489737</v>
      </c>
      <c r="M12" s="27" t="n">
        <f aca="false">1-(1-$B12)^11</f>
        <v>0.0794748261160638</v>
      </c>
      <c r="N12" s="27" t="n">
        <f aca="false">1-(1-$B12)^12</f>
        <v>0.0863787649201934</v>
      </c>
      <c r="O12" s="27" t="n">
        <f aca="false">1-(1-$B12)^13</f>
        <v>0.0932309241832918</v>
      </c>
      <c r="P12" s="27" t="n">
        <f aca="false">1-(1-$B12)^14</f>
        <v>0.100031692251917</v>
      </c>
      <c r="Q12" s="27" t="n">
        <f aca="false">1-(1-$B12)^15</f>
        <v>0.106781454560028</v>
      </c>
      <c r="R12" s="27" t="n">
        <f aca="false">1-(1-$B12)^16</f>
        <v>0.113480593650827</v>
      </c>
      <c r="S12" s="27" t="n">
        <f aca="false">1-(1-$B12)^17</f>
        <v>0.120129489198446</v>
      </c>
      <c r="T12" s="27" t="n">
        <f aca="false">1-(1-$B12)^18</f>
        <v>0.126728518029458</v>
      </c>
      <c r="U12" s="27" t="n">
        <f aca="false">1-(1-$B12)^19</f>
        <v>0.133278054144237</v>
      </c>
      <c r="V12" s="27" t="n">
        <f aca="false">1-(1-$B12)^20</f>
        <v>0.139778468738155</v>
      </c>
      <c r="W12" s="27" t="n">
        <f aca="false">1-(1-$B12)^21</f>
        <v>0.146230130222619</v>
      </c>
      <c r="X12" s="27" t="n">
        <f aca="false">1-(1-$B12)^22</f>
        <v>0.152633404245949</v>
      </c>
      <c r="Y12" s="27" t="n">
        <f aca="false">1-(1-$B12)^23</f>
        <v>0.158988653714104</v>
      </c>
      <c r="Z12" s="27" t="n">
        <f aca="false">1-(1-$B12)^24</f>
        <v>0.165296238811249</v>
      </c>
      <c r="AA12" s="27" t="n">
        <f aca="false">1-(1-$B12)^25</f>
        <v>0.171556517020164</v>
      </c>
      <c r="AB12" s="27" t="n">
        <f aca="false">1-(1-$B12)^26</f>
        <v>0.177769843142513</v>
      </c>
      <c r="AC12" s="27" t="n">
        <f aca="false">1-(1-$B12)^27</f>
        <v>0.183936569318944</v>
      </c>
      <c r="AD12" s="27" t="n">
        <f aca="false">1-(1-$B12)^28</f>
        <v>0.190057045049052</v>
      </c>
      <c r="AE12" s="27" t="n">
        <f aca="false">1-(1-$B12)^29</f>
        <v>0.196131617211184</v>
      </c>
      <c r="AF12" s="27" t="n">
        <f aca="false">1-(1-$B12)^30</f>
        <v>0.2021606300821</v>
      </c>
    </row>
    <row r="13" customFormat="false" ht="15" hidden="false" customHeight="false" outlineLevel="0" collapsed="false">
      <c r="A13" s="2" t="s">
        <v>215</v>
      </c>
      <c r="B13" s="17" t="n">
        <v>0.0084</v>
      </c>
      <c r="C13" s="27" t="n">
        <f aca="false">1-(1-$B13)^1</f>
        <v>0.00839999999999996</v>
      </c>
      <c r="D13" s="27" t="n">
        <f aca="false">1-(1-$B13)^2</f>
        <v>0.0167294399999999</v>
      </c>
      <c r="E13" s="27" t="n">
        <f aca="false">1-(1-$B13)^3</f>
        <v>0.0249889127039999</v>
      </c>
      <c r="F13" s="27" t="n">
        <f aca="false">1-(1-$B13)^4</f>
        <v>0.0331790058372863</v>
      </c>
      <c r="G13" s="27" t="n">
        <f aca="false">1-(1-$B13)^5</f>
        <v>0.041300302188253</v>
      </c>
      <c r="H13" s="27" t="n">
        <f aca="false">1-(1-$B13)^6</f>
        <v>0.0493533796498716</v>
      </c>
      <c r="I13" s="27" t="n">
        <f aca="false">1-(1-$B13)^7</f>
        <v>0.0573388112608128</v>
      </c>
      <c r="J13" s="27" t="n">
        <f aca="false">1-(1-$B13)^8</f>
        <v>0.0652571652462218</v>
      </c>
      <c r="K13" s="27" t="n">
        <f aca="false">1-(1-$B13)^9</f>
        <v>0.0731090050581535</v>
      </c>
      <c r="L13" s="27" t="n">
        <f aca="false">1-(1-$B13)^10</f>
        <v>0.080894889415665</v>
      </c>
      <c r="M13" s="27" t="n">
        <f aca="false">1-(1-$B13)^11</f>
        <v>0.0886153723445734</v>
      </c>
      <c r="N13" s="27" t="n">
        <f aca="false">1-(1-$B13)^12</f>
        <v>0.096271003216879</v>
      </c>
      <c r="O13" s="27" t="n">
        <f aca="false">1-(1-$B13)^13</f>
        <v>0.103862326789857</v>
      </c>
      <c r="P13" s="27" t="n">
        <f aca="false">1-(1-$B13)^14</f>
        <v>0.111389883244822</v>
      </c>
      <c r="Q13" s="27" t="n">
        <f aca="false">1-(1-$B13)^15</f>
        <v>0.118854208225566</v>
      </c>
      <c r="R13" s="27" t="n">
        <f aca="false">1-(1-$B13)^16</f>
        <v>0.126255832876471</v>
      </c>
      <c r="S13" s="27" t="n">
        <f aca="false">1-(1-$B13)^17</f>
        <v>0.133595283880309</v>
      </c>
      <c r="T13" s="27" t="n">
        <f aca="false">1-(1-$B13)^18</f>
        <v>0.140873083495714</v>
      </c>
      <c r="U13" s="27" t="n">
        <f aca="false">1-(1-$B13)^19</f>
        <v>0.14808974959435</v>
      </c>
      <c r="V13" s="27" t="n">
        <f aca="false">1-(1-$B13)^20</f>
        <v>0.155245795697757</v>
      </c>
      <c r="W13" s="27" t="n">
        <f aca="false">1-(1-$B13)^21</f>
        <v>0.162341731013896</v>
      </c>
      <c r="X13" s="27" t="n">
        <f aca="false">1-(1-$B13)^22</f>
        <v>0.169378060473379</v>
      </c>
      <c r="Y13" s="27" t="n">
        <f aca="false">1-(1-$B13)^23</f>
        <v>0.176355284765403</v>
      </c>
      <c r="Z13" s="27" t="n">
        <f aca="false">1-(1-$B13)^24</f>
        <v>0.183273900373374</v>
      </c>
      <c r="AA13" s="27" t="n">
        <f aca="false">1-(1-$B13)^25</f>
        <v>0.190134399610237</v>
      </c>
      <c r="AB13" s="27" t="n">
        <f aca="false">1-(1-$B13)^26</f>
        <v>0.196937270653511</v>
      </c>
      <c r="AC13" s="27" t="n">
        <f aca="false">1-(1-$B13)^27</f>
        <v>0.203682997580022</v>
      </c>
      <c r="AD13" s="27" t="n">
        <f aca="false">1-(1-$B13)^28</f>
        <v>0.210372060400349</v>
      </c>
      <c r="AE13" s="27" t="n">
        <f aca="false">1-(1-$B13)^29</f>
        <v>0.217004935092986</v>
      </c>
      <c r="AF13" s="27" t="n">
        <f aca="false">1-(1-$B13)^30</f>
        <v>0.223582093638205</v>
      </c>
    </row>
    <row r="14" customFormat="false" ht="15" hidden="false" customHeight="false" outlineLevel="0" collapsed="false">
      <c r="A14" s="2" t="s">
        <v>216</v>
      </c>
      <c r="B14" s="17" t="n">
        <v>0.0123</v>
      </c>
      <c r="C14" s="27" t="n">
        <f aca="false">1-(1-$B14)^1</f>
        <v>0.0123</v>
      </c>
      <c r="D14" s="27" t="n">
        <f aca="false">1-(1-$B14)^2</f>
        <v>0.0244487099999999</v>
      </c>
      <c r="E14" s="27" t="n">
        <f aca="false">1-(1-$B14)^3</f>
        <v>0.0364479908669999</v>
      </c>
      <c r="F14" s="27" t="n">
        <f aca="false">1-(1-$B14)^4</f>
        <v>0.0482996805793359</v>
      </c>
      <c r="G14" s="27" t="n">
        <f aca="false">1-(1-$B14)^5</f>
        <v>0.06000559450821</v>
      </c>
      <c r="H14" s="27" t="n">
        <f aca="false">1-(1-$B14)^6</f>
        <v>0.071567525695759</v>
      </c>
      <c r="I14" s="27" t="n">
        <f aca="false">1-(1-$B14)^7</f>
        <v>0.0829872451297011</v>
      </c>
      <c r="J14" s="27" t="n">
        <f aca="false">1-(1-$B14)^8</f>
        <v>0.0942665020146057</v>
      </c>
      <c r="K14" s="27" t="n">
        <f aca="false">1-(1-$B14)^9</f>
        <v>0.105407024039826</v>
      </c>
      <c r="L14" s="27" t="n">
        <f aca="false">1-(1-$B14)^10</f>
        <v>0.116410517644136</v>
      </c>
      <c r="M14" s="27" t="n">
        <f aca="false">1-(1-$B14)^11</f>
        <v>0.127278668277113</v>
      </c>
      <c r="N14" s="27" t="n">
        <f aca="false">1-(1-$B14)^12</f>
        <v>0.138013140657305</v>
      </c>
      <c r="O14" s="27" t="n">
        <f aca="false">1-(1-$B14)^13</f>
        <v>0.14861557902722</v>
      </c>
      <c r="P14" s="27" t="n">
        <f aca="false">1-(1-$B14)^14</f>
        <v>0.159087607405185</v>
      </c>
      <c r="Q14" s="27" t="n">
        <f aca="false">1-(1-$B14)^15</f>
        <v>0.169430829834101</v>
      </c>
      <c r="R14" s="27" t="n">
        <f aca="false">1-(1-$B14)^16</f>
        <v>0.179646830627142</v>
      </c>
      <c r="S14" s="27" t="n">
        <f aca="false">1-(1-$B14)^17</f>
        <v>0.189737174610428</v>
      </c>
      <c r="T14" s="27" t="n">
        <f aca="false">1-(1-$B14)^18</f>
        <v>0.19970340736272</v>
      </c>
      <c r="U14" s="27" t="n">
        <f aca="false">1-(1-$B14)^19</f>
        <v>0.209547055452158</v>
      </c>
      <c r="V14" s="27" t="n">
        <f aca="false">1-(1-$B14)^20</f>
        <v>0.219269626670097</v>
      </c>
      <c r="W14" s="27" t="n">
        <f aca="false">1-(1-$B14)^21</f>
        <v>0.228872610262054</v>
      </c>
      <c r="X14" s="27" t="n">
        <f aca="false">1-(1-$B14)^22</f>
        <v>0.238357477155831</v>
      </c>
      <c r="Y14" s="27" t="n">
        <f aca="false">1-(1-$B14)^23</f>
        <v>0.247725680186814</v>
      </c>
      <c r="Z14" s="27" t="n">
        <f aca="false">1-(1-$B14)^24</f>
        <v>0.256978654320517</v>
      </c>
      <c r="AA14" s="27" t="n">
        <f aca="false">1-(1-$B14)^25</f>
        <v>0.266117816872374</v>
      </c>
      <c r="AB14" s="27" t="n">
        <f aca="false">1-(1-$B14)^26</f>
        <v>0.275144567724844</v>
      </c>
      <c r="AC14" s="27" t="n">
        <f aca="false">1-(1-$B14)^27</f>
        <v>0.284060289541828</v>
      </c>
      <c r="AD14" s="27" t="n">
        <f aca="false">1-(1-$B14)^28</f>
        <v>0.292866347980464</v>
      </c>
      <c r="AE14" s="27" t="n">
        <f aca="false">1-(1-$B14)^29</f>
        <v>0.301564091900304</v>
      </c>
      <c r="AF14" s="27" t="n">
        <f aca="false">1-(1-$B14)^30</f>
        <v>0.31015485356993</v>
      </c>
    </row>
    <row r="15" customFormat="false" ht="15" hidden="false" customHeight="false" outlineLevel="0" collapsed="false">
      <c r="A15" s="2" t="s">
        <v>217</v>
      </c>
      <c r="B15" s="17" t="n">
        <v>0.018</v>
      </c>
      <c r="C15" s="27" t="n">
        <f aca="false">1-(1-$B15)^1</f>
        <v>0.018</v>
      </c>
      <c r="D15" s="27" t="n">
        <f aca="false">1-(1-$B15)^2</f>
        <v>0.035676</v>
      </c>
      <c r="E15" s="27" t="n">
        <f aca="false">1-(1-$B15)^3</f>
        <v>0.053033832</v>
      </c>
      <c r="F15" s="27" t="n">
        <f aca="false">1-(1-$B15)^4</f>
        <v>0.0700792230240001</v>
      </c>
      <c r="G15" s="27" t="n">
        <f aca="false">1-(1-$B15)^5</f>
        <v>0.086817797009568</v>
      </c>
      <c r="H15" s="27" t="n">
        <f aca="false">1-(1-$B15)^6</f>
        <v>0.103255076663396</v>
      </c>
      <c r="I15" s="27" t="n">
        <f aca="false">1-(1-$B15)^7</f>
        <v>0.119396485283455</v>
      </c>
      <c r="J15" s="27" t="n">
        <f aca="false">1-(1-$B15)^8</f>
        <v>0.135247348548353</v>
      </c>
      <c r="K15" s="27" t="n">
        <f aca="false">1-(1-$B15)^9</f>
        <v>0.150812896274482</v>
      </c>
      <c r="L15" s="27" t="n">
        <f aca="false">1-(1-$B15)^10</f>
        <v>0.166098264141542</v>
      </c>
      <c r="M15" s="27" t="n">
        <f aca="false">1-(1-$B15)^11</f>
        <v>0.181108495386994</v>
      </c>
      <c r="N15" s="27" t="n">
        <f aca="false">1-(1-$B15)^12</f>
        <v>0.195848542470028</v>
      </c>
      <c r="O15" s="27" t="n">
        <f aca="false">1-(1-$B15)^13</f>
        <v>0.210323268705568</v>
      </c>
      <c r="P15" s="27" t="n">
        <f aca="false">1-(1-$B15)^14</f>
        <v>0.224537449868867</v>
      </c>
      <c r="Q15" s="27" t="n">
        <f aca="false">1-(1-$B15)^15</f>
        <v>0.238495775771228</v>
      </c>
      <c r="R15" s="27" t="n">
        <f aca="false">1-(1-$B15)^16</f>
        <v>0.252202851807346</v>
      </c>
      <c r="S15" s="27" t="n">
        <f aca="false">1-(1-$B15)^17</f>
        <v>0.265663200474813</v>
      </c>
      <c r="T15" s="27" t="n">
        <f aca="false">1-(1-$B15)^18</f>
        <v>0.278881262866267</v>
      </c>
      <c r="U15" s="27" t="n">
        <f aca="false">1-(1-$B15)^19</f>
        <v>0.291861400134674</v>
      </c>
      <c r="V15" s="27" t="n">
        <f aca="false">1-(1-$B15)^20</f>
        <v>0.30460789493225</v>
      </c>
      <c r="W15" s="27" t="n">
        <f aca="false">1-(1-$B15)^21</f>
        <v>0.317124952823469</v>
      </c>
      <c r="X15" s="27" t="n">
        <f aca="false">1-(1-$B15)^22</f>
        <v>0.329416703672647</v>
      </c>
      <c r="Y15" s="27" t="n">
        <f aca="false">1-(1-$B15)^23</f>
        <v>0.341487203006539</v>
      </c>
      <c r="Z15" s="27" t="n">
        <f aca="false">1-(1-$B15)^24</f>
        <v>0.353340433352422</v>
      </c>
      <c r="AA15" s="27" t="n">
        <f aca="false">1-(1-$B15)^25</f>
        <v>0.364980305552078</v>
      </c>
      <c r="AB15" s="27" t="n">
        <f aca="false">1-(1-$B15)^26</f>
        <v>0.376410660052141</v>
      </c>
      <c r="AC15" s="27" t="n">
        <f aca="false">1-(1-$B15)^27</f>
        <v>0.387635268171202</v>
      </c>
      <c r="AD15" s="27" t="n">
        <f aca="false">1-(1-$B15)^28</f>
        <v>0.39865783334412</v>
      </c>
      <c r="AE15" s="27" t="n">
        <f aca="false">1-(1-$B15)^29</f>
        <v>0.409481992343926</v>
      </c>
      <c r="AF15" s="27" t="n">
        <f aca="false">1-(1-$B15)^30</f>
        <v>0.420111316481736</v>
      </c>
    </row>
    <row r="16" customFormat="false" ht="15" hidden="false" customHeight="false" outlineLevel="0" collapsed="false">
      <c r="A16" s="2" t="s">
        <v>218</v>
      </c>
      <c r="B16" s="17" t="n">
        <v>0.026</v>
      </c>
      <c r="C16" s="27" t="n">
        <f aca="false">1-(1-$B16)^1</f>
        <v>0.026</v>
      </c>
      <c r="D16" s="27" t="n">
        <f aca="false">1-(1-$B16)^2</f>
        <v>0.051324</v>
      </c>
      <c r="E16" s="27" t="n">
        <f aca="false">1-(1-$B16)^3</f>
        <v>0.0759895760000001</v>
      </c>
      <c r="F16" s="27" t="n">
        <f aca="false">1-(1-$B16)^4</f>
        <v>0.100013847024</v>
      </c>
      <c r="G16" s="27" t="n">
        <f aca="false">1-(1-$B16)^5</f>
        <v>0.123413487001376</v>
      </c>
      <c r="H16" s="27" t="n">
        <f aca="false">1-(1-$B16)^6</f>
        <v>0.14620473633934</v>
      </c>
      <c r="I16" s="27" t="n">
        <f aca="false">1-(1-$B16)^7</f>
        <v>0.168403413194518</v>
      </c>
      <c r="J16" s="27" t="n">
        <f aca="false">1-(1-$B16)^8</f>
        <v>0.19002492445146</v>
      </c>
      <c r="K16" s="27" t="n">
        <f aca="false">1-(1-$B16)^9</f>
        <v>0.211084276415722</v>
      </c>
      <c r="L16" s="27" t="n">
        <f aca="false">1-(1-$B16)^10</f>
        <v>0.231596085228913</v>
      </c>
      <c r="M16" s="27" t="n">
        <f aca="false">1-(1-$B16)^11</f>
        <v>0.251574587012962</v>
      </c>
      <c r="N16" s="27" t="n">
        <f aca="false">1-(1-$B16)^12</f>
        <v>0.271033647750625</v>
      </c>
      <c r="O16" s="27" t="n">
        <f aca="false">1-(1-$B16)^13</f>
        <v>0.289986772909108</v>
      </c>
      <c r="P16" s="27" t="n">
        <f aca="false">1-(1-$B16)^14</f>
        <v>0.308447116813472</v>
      </c>
      <c r="Q16" s="27" t="n">
        <f aca="false">1-(1-$B16)^15</f>
        <v>0.326427491776321</v>
      </c>
      <c r="R16" s="27" t="n">
        <f aca="false">1-(1-$B16)^16</f>
        <v>0.343940376990137</v>
      </c>
      <c r="S16" s="27" t="n">
        <f aca="false">1-(1-$B16)^17</f>
        <v>0.360997927188394</v>
      </c>
      <c r="T16" s="27" t="n">
        <f aca="false">1-(1-$B16)^18</f>
        <v>0.377611981081495</v>
      </c>
      <c r="U16" s="27" t="n">
        <f aca="false">1-(1-$B16)^19</f>
        <v>0.393794069573376</v>
      </c>
      <c r="V16" s="27" t="n">
        <f aca="false">1-(1-$B16)^20</f>
        <v>0.409555423764469</v>
      </c>
      <c r="W16" s="27" t="n">
        <f aca="false">1-(1-$B16)^21</f>
        <v>0.424906982746592</v>
      </c>
      <c r="X16" s="27" t="n">
        <f aca="false">1-(1-$B16)^22</f>
        <v>0.439859401195181</v>
      </c>
      <c r="Y16" s="27" t="n">
        <f aca="false">1-(1-$B16)^23</f>
        <v>0.454423056764106</v>
      </c>
      <c r="Z16" s="27" t="n">
        <f aca="false">1-(1-$B16)^24</f>
        <v>0.46860805728824</v>
      </c>
      <c r="AA16" s="27" t="n">
        <f aca="false">1-(1-$B16)^25</f>
        <v>0.482424247798745</v>
      </c>
      <c r="AB16" s="27" t="n">
        <f aca="false">1-(1-$B16)^26</f>
        <v>0.495881217355978</v>
      </c>
      <c r="AC16" s="27" t="n">
        <f aca="false">1-(1-$B16)^27</f>
        <v>0.508988305704723</v>
      </c>
      <c r="AD16" s="27" t="n">
        <f aca="false">1-(1-$B16)^28</f>
        <v>0.5217546097564</v>
      </c>
      <c r="AE16" s="27" t="n">
        <f aca="false">1-(1-$B16)^29</f>
        <v>0.534188989902733</v>
      </c>
      <c r="AF16" s="27" t="n">
        <f aca="false">1-(1-$B16)^30</f>
        <v>0.546300076165262</v>
      </c>
    </row>
    <row r="17" customFormat="false" ht="15" hidden="false" customHeight="false" outlineLevel="0" collapsed="false">
      <c r="A17" s="2" t="s">
        <v>219</v>
      </c>
      <c r="B17" s="17" t="n">
        <v>0.036</v>
      </c>
      <c r="C17" s="27" t="n">
        <f aca="false">1-(1-$B17)^1</f>
        <v>0.036</v>
      </c>
      <c r="D17" s="27" t="n">
        <f aca="false">1-(1-$B17)^2</f>
        <v>0.0707040000000001</v>
      </c>
      <c r="E17" s="27" t="n">
        <f aca="false">1-(1-$B17)^3</f>
        <v>0.104158656</v>
      </c>
      <c r="F17" s="27" t="n">
        <f aca="false">1-(1-$B17)^4</f>
        <v>0.136408944384</v>
      </c>
      <c r="G17" s="27" t="n">
        <f aca="false">1-(1-$B17)^5</f>
        <v>0.167498222386176</v>
      </c>
      <c r="H17" s="27" t="n">
        <f aca="false">1-(1-$B17)^6</f>
        <v>0.197468286380274</v>
      </c>
      <c r="I17" s="27" t="n">
        <f aca="false">1-(1-$B17)^7</f>
        <v>0.226359428070584</v>
      </c>
      <c r="J17" s="27" t="n">
        <f aca="false">1-(1-$B17)^8</f>
        <v>0.254210488660043</v>
      </c>
      <c r="K17" s="27" t="n">
        <f aca="false">1-(1-$B17)^9</f>
        <v>0.281058911068282</v>
      </c>
      <c r="L17" s="27" t="n">
        <f aca="false">1-(1-$B17)^10</f>
        <v>0.306940790269823</v>
      </c>
      <c r="M17" s="27" t="n">
        <f aca="false">1-(1-$B17)^11</f>
        <v>0.33189092182011</v>
      </c>
      <c r="N17" s="27" t="n">
        <f aca="false">1-(1-$B17)^12</f>
        <v>0.355942848634586</v>
      </c>
      <c r="O17" s="27" t="n">
        <f aca="false">1-(1-$B17)^13</f>
        <v>0.379128906083741</v>
      </c>
      <c r="P17" s="27" t="n">
        <f aca="false">1-(1-$B17)^14</f>
        <v>0.401480265464726</v>
      </c>
      <c r="Q17" s="27" t="n">
        <f aca="false">1-(1-$B17)^15</f>
        <v>0.423026975907996</v>
      </c>
      <c r="R17" s="27" t="n">
        <f aca="false">1-(1-$B17)^16</f>
        <v>0.443798004775308</v>
      </c>
      <c r="S17" s="27" t="n">
        <f aca="false">1-(1-$B17)^17</f>
        <v>0.463821276603397</v>
      </c>
      <c r="T17" s="27" t="n">
        <f aca="false">1-(1-$B17)^18</f>
        <v>0.483123710645675</v>
      </c>
      <c r="U17" s="27" t="n">
        <f aca="false">1-(1-$B17)^19</f>
        <v>0.501731257062431</v>
      </c>
      <c r="V17" s="27" t="n">
        <f aca="false">1-(1-$B17)^20</f>
        <v>0.519668931808183</v>
      </c>
      <c r="W17" s="27" t="n">
        <f aca="false">1-(1-$B17)^21</f>
        <v>0.536960850263089</v>
      </c>
      <c r="X17" s="27" t="n">
        <f aca="false">1-(1-$B17)^22</f>
        <v>0.553630259653617</v>
      </c>
      <c r="Y17" s="27" t="n">
        <f aca="false">1-(1-$B17)^23</f>
        <v>0.569699570306087</v>
      </c>
      <c r="Z17" s="27" t="n">
        <f aca="false">1-(1-$B17)^24</f>
        <v>0.585190385775068</v>
      </c>
      <c r="AA17" s="27" t="n">
        <f aca="false">1-(1-$B17)^25</f>
        <v>0.600123531887166</v>
      </c>
      <c r="AB17" s="27" t="n">
        <f aca="false">1-(1-$B17)^26</f>
        <v>0.614519084739228</v>
      </c>
      <c r="AC17" s="27" t="n">
        <f aca="false">1-(1-$B17)^27</f>
        <v>0.628396397688615</v>
      </c>
      <c r="AD17" s="27" t="n">
        <f aca="false">1-(1-$B17)^28</f>
        <v>0.641774127371825</v>
      </c>
      <c r="AE17" s="27" t="n">
        <f aca="false">1-(1-$B17)^29</f>
        <v>0.65467025878644</v>
      </c>
      <c r="AF17" s="27" t="n">
        <f aca="false">1-(1-$B17)^30</f>
        <v>0.667102129470128</v>
      </c>
    </row>
    <row r="18" customFormat="false" ht="15" hidden="false" customHeight="false" outlineLevel="0" collapsed="false">
      <c r="A18" s="2" t="s">
        <v>220</v>
      </c>
      <c r="B18" s="17" t="n">
        <v>0.05</v>
      </c>
      <c r="C18" s="27" t="n">
        <f aca="false">1-(1-$B18)^1</f>
        <v>0.05</v>
      </c>
      <c r="D18" s="27" t="n">
        <f aca="false">1-(1-$B18)^2</f>
        <v>0.0975</v>
      </c>
      <c r="E18" s="27" t="n">
        <f aca="false">1-(1-$B18)^3</f>
        <v>0.142625</v>
      </c>
      <c r="F18" s="27" t="n">
        <f aca="false">1-(1-$B18)^4</f>
        <v>0.18549375</v>
      </c>
      <c r="G18" s="27" t="n">
        <f aca="false">1-(1-$B18)^5</f>
        <v>0.2262190625</v>
      </c>
      <c r="H18" s="27" t="n">
        <f aca="false">1-(1-$B18)^6</f>
        <v>0.264908109375</v>
      </c>
      <c r="I18" s="27" t="n">
        <f aca="false">1-(1-$B18)^7</f>
        <v>0.30166270390625</v>
      </c>
      <c r="J18" s="27" t="n">
        <f aca="false">1-(1-$B18)^8</f>
        <v>0.336579568710938</v>
      </c>
      <c r="K18" s="27" t="n">
        <f aca="false">1-(1-$B18)^9</f>
        <v>0.369750590275391</v>
      </c>
      <c r="L18" s="27" t="n">
        <f aca="false">1-(1-$B18)^10</f>
        <v>0.401263060761621</v>
      </c>
      <c r="M18" s="27" t="n">
        <f aca="false">1-(1-$B18)^11</f>
        <v>0.43119990772354</v>
      </c>
      <c r="N18" s="27" t="n">
        <f aca="false">1-(1-$B18)^12</f>
        <v>0.459639912337363</v>
      </c>
      <c r="O18" s="27" t="n">
        <f aca="false">1-(1-$B18)^13</f>
        <v>0.486657916720495</v>
      </c>
      <c r="P18" s="27" t="n">
        <f aca="false">1-(1-$B18)^14</f>
        <v>0.512325020884471</v>
      </c>
      <c r="Q18" s="27" t="n">
        <f aca="false">1-(1-$B18)^15</f>
        <v>0.536708769840247</v>
      </c>
      <c r="R18" s="27" t="n">
        <f aca="false">1-(1-$B18)^16</f>
        <v>0.559873331348235</v>
      </c>
      <c r="S18" s="27" t="n">
        <f aca="false">1-(1-$B18)^17</f>
        <v>0.581879664780823</v>
      </c>
      <c r="T18" s="27" t="n">
        <f aca="false">1-(1-$B18)^18</f>
        <v>0.602785681541782</v>
      </c>
      <c r="U18" s="27" t="n">
        <f aca="false">1-(1-$B18)^19</f>
        <v>0.622646397464693</v>
      </c>
      <c r="V18" s="27" t="n">
        <f aca="false">1-(1-$B18)^20</f>
        <v>0.641514077591458</v>
      </c>
      <c r="W18" s="27" t="n">
        <f aca="false">1-(1-$B18)^21</f>
        <v>0.659438373711885</v>
      </c>
      <c r="X18" s="27" t="n">
        <f aca="false">1-(1-$B18)^22</f>
        <v>0.676466455026291</v>
      </c>
      <c r="Y18" s="27" t="n">
        <f aca="false">1-(1-$B18)^23</f>
        <v>0.692643132274976</v>
      </c>
      <c r="Z18" s="27" t="n">
        <f aca="false">1-(1-$B18)^24</f>
        <v>0.708010975661228</v>
      </c>
      <c r="AA18" s="27" t="n">
        <f aca="false">1-(1-$B18)^25</f>
        <v>0.722610426878166</v>
      </c>
      <c r="AB18" s="27" t="n">
        <f aca="false">1-(1-$B18)^26</f>
        <v>0.736479905534258</v>
      </c>
      <c r="AC18" s="27" t="n">
        <f aca="false">1-(1-$B18)^27</f>
        <v>0.749655910257545</v>
      </c>
      <c r="AD18" s="27" t="n">
        <f aca="false">1-(1-$B18)^28</f>
        <v>0.762173114744668</v>
      </c>
      <c r="AE18" s="27" t="n">
        <f aca="false">1-(1-$B18)^29</f>
        <v>0.774064459007435</v>
      </c>
      <c r="AF18" s="27" t="n">
        <f aca="false">1-(1-$B18)^30</f>
        <v>0.785361236057063</v>
      </c>
    </row>
    <row r="19" customFormat="false" ht="15" hidden="false" customHeight="false" outlineLevel="0" collapsed="false">
      <c r="A19" s="2" t="s">
        <v>221</v>
      </c>
      <c r="B19" s="17" t="n">
        <v>0.07</v>
      </c>
      <c r="C19" s="27" t="n">
        <f aca="false">1-(1-$B19)^1</f>
        <v>0.0700000000000001</v>
      </c>
      <c r="D19" s="27" t="n">
        <f aca="false">1-(1-$B19)^2</f>
        <v>0.1351</v>
      </c>
      <c r="E19" s="27" t="n">
        <f aca="false">1-(1-$B19)^3</f>
        <v>0.195643</v>
      </c>
      <c r="F19" s="27" t="n">
        <f aca="false">1-(1-$B19)^4</f>
        <v>0.25194799</v>
      </c>
      <c r="G19" s="27" t="n">
        <f aca="false">1-(1-$B19)^5</f>
        <v>0.3043116307</v>
      </c>
      <c r="H19" s="27" t="n">
        <f aca="false">1-(1-$B19)^6</f>
        <v>0.353009816551</v>
      </c>
      <c r="I19" s="27" t="n">
        <f aca="false">1-(1-$B19)^7</f>
        <v>0.39829912939243</v>
      </c>
      <c r="J19" s="27" t="n">
        <f aca="false">1-(1-$B19)^8</f>
        <v>0.44041819033496</v>
      </c>
      <c r="K19" s="27" t="n">
        <f aca="false">1-(1-$B19)^9</f>
        <v>0.479588917011513</v>
      </c>
      <c r="L19" s="27" t="n">
        <f aca="false">1-(1-$B19)^10</f>
        <v>0.516017692820707</v>
      </c>
      <c r="M19" s="27" t="n">
        <f aca="false">1-(1-$B19)^11</f>
        <v>0.549896454323258</v>
      </c>
      <c r="N19" s="27" t="n">
        <f aca="false">1-(1-$B19)^12</f>
        <v>0.58140370252063</v>
      </c>
      <c r="O19" s="27" t="n">
        <f aca="false">1-(1-$B19)^13</f>
        <v>0.610705443344186</v>
      </c>
      <c r="P19" s="27" t="n">
        <f aca="false">1-(1-$B19)^14</f>
        <v>0.637956062310093</v>
      </c>
      <c r="Q19" s="27" t="n">
        <f aca="false">1-(1-$B19)^15</f>
        <v>0.663299137948386</v>
      </c>
      <c r="R19" s="27" t="n">
        <f aca="false">1-(1-$B19)^16</f>
        <v>0.686868198291999</v>
      </c>
      <c r="S19" s="27" t="n">
        <f aca="false">1-(1-$B19)^17</f>
        <v>0.708787424411559</v>
      </c>
      <c r="T19" s="27" t="n">
        <f aca="false">1-(1-$B19)^18</f>
        <v>0.72917230470275</v>
      </c>
      <c r="U19" s="27" t="n">
        <f aca="false">1-(1-$B19)^19</f>
        <v>0.748130243373558</v>
      </c>
      <c r="V19" s="27" t="n">
        <f aca="false">1-(1-$B19)^20</f>
        <v>0.765761126337409</v>
      </c>
      <c r="W19" s="27" t="n">
        <f aca="false">1-(1-$B19)^21</f>
        <v>0.78215784749379</v>
      </c>
      <c r="X19" s="27" t="n">
        <f aca="false">1-(1-$B19)^22</f>
        <v>0.797406798169225</v>
      </c>
      <c r="Y19" s="27" t="n">
        <f aca="false">1-(1-$B19)^23</f>
        <v>0.811588322297379</v>
      </c>
      <c r="Z19" s="27" t="n">
        <f aca="false">1-(1-$B19)^24</f>
        <v>0.824777139736563</v>
      </c>
      <c r="AA19" s="27" t="n">
        <f aca="false">1-(1-$B19)^25</f>
        <v>0.837042739955003</v>
      </c>
      <c r="AB19" s="27" t="n">
        <f aca="false">1-(1-$B19)^26</f>
        <v>0.848449748158153</v>
      </c>
      <c r="AC19" s="27" t="n">
        <f aca="false">1-(1-$B19)^27</f>
        <v>0.859058265787082</v>
      </c>
      <c r="AD19" s="27" t="n">
        <f aca="false">1-(1-$B19)^28</f>
        <v>0.868924187181987</v>
      </c>
      <c r="AE19" s="27" t="n">
        <f aca="false">1-(1-$B19)^29</f>
        <v>0.878099494079248</v>
      </c>
      <c r="AF19" s="27" t="n">
        <f aca="false">1-(1-$B19)^30</f>
        <v>0.8866325294937</v>
      </c>
    </row>
    <row r="20" customFormat="false" ht="15" hidden="false" customHeight="false" outlineLevel="0" collapsed="false">
      <c r="A20" s="2" t="s">
        <v>222</v>
      </c>
      <c r="B20" s="17" t="n">
        <v>0.095</v>
      </c>
      <c r="C20" s="27" t="n">
        <f aca="false">1-(1-$B20)^1</f>
        <v>0.095</v>
      </c>
      <c r="D20" s="27" t="n">
        <f aca="false">1-(1-$B20)^2</f>
        <v>0.180975</v>
      </c>
      <c r="E20" s="27" t="n">
        <f aca="false">1-(1-$B20)^3</f>
        <v>0.258782375</v>
      </c>
      <c r="F20" s="27" t="n">
        <f aca="false">1-(1-$B20)^4</f>
        <v>0.329198049375</v>
      </c>
      <c r="G20" s="27" t="n">
        <f aca="false">1-(1-$B20)^5</f>
        <v>0.392924234684375</v>
      </c>
      <c r="H20" s="27" t="n">
        <f aca="false">1-(1-$B20)^6</f>
        <v>0.450596432389359</v>
      </c>
      <c r="I20" s="27" t="n">
        <f aca="false">1-(1-$B20)^7</f>
        <v>0.50278977131237</v>
      </c>
      <c r="J20" s="27" t="n">
        <f aca="false">1-(1-$B20)^8</f>
        <v>0.550024743037695</v>
      </c>
      <c r="K20" s="27" t="n">
        <f aca="false">1-(1-$B20)^9</f>
        <v>0.592772392449114</v>
      </c>
      <c r="L20" s="27" t="n">
        <f aca="false">1-(1-$B20)^10</f>
        <v>0.631459015166448</v>
      </c>
      <c r="M20" s="27" t="n">
        <f aca="false">1-(1-$B20)^11</f>
        <v>0.666470408725636</v>
      </c>
      <c r="N20" s="27" t="n">
        <f aca="false">1-(1-$B20)^12</f>
        <v>0.6981557198967</v>
      </c>
      <c r="O20" s="27" t="n">
        <f aca="false">1-(1-$B20)^13</f>
        <v>0.726830926506514</v>
      </c>
      <c r="P20" s="27" t="n">
        <f aca="false">1-(1-$B20)^14</f>
        <v>0.752781988488395</v>
      </c>
      <c r="Q20" s="27" t="n">
        <f aca="false">1-(1-$B20)^15</f>
        <v>0.776267699581997</v>
      </c>
      <c r="R20" s="27" t="n">
        <f aca="false">1-(1-$B20)^16</f>
        <v>0.797522268121708</v>
      </c>
      <c r="S20" s="27" t="n">
        <f aca="false">1-(1-$B20)^17</f>
        <v>0.816757652650145</v>
      </c>
      <c r="T20" s="27" t="n">
        <f aca="false">1-(1-$B20)^18</f>
        <v>0.834165675648382</v>
      </c>
      <c r="U20" s="27" t="n">
        <f aca="false">1-(1-$B20)^19</f>
        <v>0.849919936461785</v>
      </c>
      <c r="V20" s="27" t="n">
        <f aca="false">1-(1-$B20)^20</f>
        <v>0.864177542497916</v>
      </c>
      <c r="W20" s="27" t="n">
        <f aca="false">1-(1-$B20)^21</f>
        <v>0.877080675960614</v>
      </c>
      <c r="X20" s="27" t="n">
        <f aca="false">1-(1-$B20)^22</f>
        <v>0.888758011744355</v>
      </c>
      <c r="Y20" s="27" t="n">
        <f aca="false">1-(1-$B20)^23</f>
        <v>0.899326000628642</v>
      </c>
      <c r="Z20" s="27" t="n">
        <f aca="false">1-(1-$B20)^24</f>
        <v>0.908890030568921</v>
      </c>
      <c r="AA20" s="27" t="n">
        <f aca="false">1-(1-$B20)^25</f>
        <v>0.917545477664873</v>
      </c>
      <c r="AB20" s="27" t="n">
        <f aca="false">1-(1-$B20)^26</f>
        <v>0.92537865728671</v>
      </c>
      <c r="AC20" s="27" t="n">
        <f aca="false">1-(1-$B20)^27</f>
        <v>0.932467684844473</v>
      </c>
      <c r="AD20" s="27" t="n">
        <f aca="false">1-(1-$B20)^28</f>
        <v>0.938883254784248</v>
      </c>
      <c r="AE20" s="27" t="n">
        <f aca="false">1-(1-$B20)^29</f>
        <v>0.944689345579744</v>
      </c>
      <c r="AF20" s="27" t="n">
        <f aca="false">1-(1-$B20)^30</f>
        <v>0.949943857749669</v>
      </c>
    </row>
    <row r="21" customFormat="false" ht="15" hidden="false" customHeight="false" outlineLevel="0" collapsed="false">
      <c r="A21" s="2" t="s">
        <v>223</v>
      </c>
    </row>
    <row r="22" customFormat="false" ht="15" hidden="false" customHeight="false" outlineLevel="0" collapsed="false">
      <c r="A22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" t="s">
        <v>224</v>
      </c>
    </row>
    <row r="2" customFormat="false" ht="15" hidden="false" customHeight="false" outlineLevel="0" collapsed="false">
      <c r="A2" s="3" t="s">
        <v>225</v>
      </c>
    </row>
    <row r="5" customFormat="false" ht="23.85" hidden="false" customHeight="false" outlineLevel="0" collapsed="false">
      <c r="A5" s="4" t="s">
        <v>20</v>
      </c>
      <c r="B5" s="4" t="s">
        <v>226</v>
      </c>
      <c r="C5" s="4" t="s">
        <v>227</v>
      </c>
      <c r="D5" s="4" t="s">
        <v>228</v>
      </c>
      <c r="E5" s="4" t="s">
        <v>229</v>
      </c>
      <c r="F5" s="4" t="s">
        <v>230</v>
      </c>
    </row>
    <row r="6" customFormat="false" ht="15" hidden="false" customHeight="false" outlineLevel="0" collapsed="false">
      <c r="A6" s="2" t="s">
        <v>231</v>
      </c>
      <c r="B6" s="20" t="n">
        <v>1</v>
      </c>
      <c r="C6" s="8" t="n">
        <v>0</v>
      </c>
      <c r="D6" s="16"/>
      <c r="E6" s="11" t="n">
        <v>0</v>
      </c>
      <c r="F6" s="20" t="n">
        <v>1</v>
      </c>
    </row>
    <row r="7" customFormat="false" ht="15" hidden="false" customHeight="false" outlineLevel="0" collapsed="false">
      <c r="A7" s="2" t="s">
        <v>232</v>
      </c>
      <c r="B7" s="20" t="n">
        <v>0.85</v>
      </c>
      <c r="C7" s="8" t="n">
        <v>0</v>
      </c>
      <c r="D7" s="16"/>
      <c r="E7" s="11" t="n">
        <v>0</v>
      </c>
      <c r="F7" s="20" t="n">
        <v>1</v>
      </c>
    </row>
    <row r="8" customFormat="false" ht="15" hidden="false" customHeight="false" outlineLevel="0" collapsed="false">
      <c r="A8" s="2" t="s">
        <v>233</v>
      </c>
      <c r="B8" s="20" t="n">
        <v>0.75</v>
      </c>
      <c r="C8" s="8" t="n">
        <v>0</v>
      </c>
      <c r="D8" s="16"/>
      <c r="E8" s="11" t="n">
        <v>0</v>
      </c>
      <c r="F8" s="20" t="n">
        <v>1</v>
      </c>
    </row>
    <row r="9" customFormat="false" ht="15" hidden="false" customHeight="false" outlineLevel="0" collapsed="false">
      <c r="A9" s="2" t="s">
        <v>234</v>
      </c>
      <c r="B9" s="20" t="n">
        <v>1</v>
      </c>
      <c r="C9" s="8" t="n">
        <v>0.015</v>
      </c>
      <c r="D9" s="16"/>
      <c r="E9" s="11" t="n">
        <v>0</v>
      </c>
      <c r="F9" s="20" t="n">
        <v>1</v>
      </c>
    </row>
    <row r="10" customFormat="false" ht="15" hidden="false" customHeight="false" outlineLevel="0" collapsed="false">
      <c r="A10" s="2" t="s">
        <v>235</v>
      </c>
      <c r="B10" s="20" t="n">
        <v>1</v>
      </c>
      <c r="C10" s="8" t="n">
        <v>0</v>
      </c>
      <c r="D10" s="16"/>
      <c r="E10" s="11" t="n">
        <v>1</v>
      </c>
      <c r="F10" s="20" t="n">
        <v>1</v>
      </c>
    </row>
    <row r="11" customFormat="false" ht="15" hidden="false" customHeight="false" outlineLevel="0" collapsed="false">
      <c r="A11" s="2" t="s">
        <v>236</v>
      </c>
      <c r="B11" s="20" t="n">
        <v>1</v>
      </c>
      <c r="C11" s="8" t="n">
        <v>0</v>
      </c>
      <c r="D11" s="16"/>
      <c r="E11" s="11" t="n">
        <v>0</v>
      </c>
      <c r="F11" s="20" t="n">
        <v>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8"/>
    <col collapsed="false" customWidth="true" hidden="false" outlineLevel="0" max="4" min="3" style="0" width="12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1" t="s">
        <v>237</v>
      </c>
    </row>
    <row r="2" customFormat="false" ht="15" hidden="false" customHeight="false" outlineLevel="0" collapsed="false">
      <c r="A2" s="3" t="s">
        <v>238</v>
      </c>
    </row>
    <row r="4" customFormat="false" ht="15" hidden="false" customHeight="false" outlineLevel="0" collapsed="false">
      <c r="A4" s="4" t="s">
        <v>69</v>
      </c>
      <c r="B4" s="4" t="s">
        <v>239</v>
      </c>
      <c r="C4" s="4" t="s">
        <v>240</v>
      </c>
      <c r="D4" s="4" t="s">
        <v>241</v>
      </c>
      <c r="E4" s="4" t="s">
        <v>242</v>
      </c>
    </row>
    <row r="5" customFormat="false" ht="15" hidden="false" customHeight="false" outlineLevel="0" collapsed="false">
      <c r="A5" s="3" t="n">
        <v>1</v>
      </c>
      <c r="B5" s="3" t="s">
        <v>243</v>
      </c>
      <c r="C5" s="18" t="n">
        <v>0.25</v>
      </c>
      <c r="D5" s="19" t="n">
        <v>4</v>
      </c>
      <c r="E5" s="26" t="n">
        <f aca="false">C5*D5</f>
        <v>1</v>
      </c>
    </row>
    <row r="6" customFormat="false" ht="15" hidden="false" customHeight="false" outlineLevel="0" collapsed="false">
      <c r="A6" s="3" t="n">
        <v>2</v>
      </c>
      <c r="B6" s="3" t="s">
        <v>244</v>
      </c>
      <c r="C6" s="18" t="n">
        <v>0.2</v>
      </c>
      <c r="D6" s="19" t="n">
        <v>4</v>
      </c>
      <c r="E6" s="26" t="n">
        <f aca="false">C6*D6</f>
        <v>0.8</v>
      </c>
    </row>
    <row r="7" customFormat="false" ht="15" hidden="false" customHeight="false" outlineLevel="0" collapsed="false">
      <c r="A7" s="3" t="n">
        <v>3</v>
      </c>
      <c r="B7" s="3" t="s">
        <v>245</v>
      </c>
      <c r="C7" s="18" t="n">
        <v>0.2</v>
      </c>
      <c r="D7" s="19" t="n">
        <v>3</v>
      </c>
      <c r="E7" s="26" t="n">
        <f aca="false">C7*D7</f>
        <v>0.6</v>
      </c>
    </row>
    <row r="8" customFormat="false" ht="15" hidden="false" customHeight="false" outlineLevel="0" collapsed="false">
      <c r="A8" s="3" t="n">
        <v>4</v>
      </c>
      <c r="B8" s="3" t="s">
        <v>246</v>
      </c>
      <c r="C8" s="18" t="n">
        <v>0.1</v>
      </c>
      <c r="D8" s="19" t="n">
        <v>4</v>
      </c>
      <c r="E8" s="26" t="n">
        <f aca="false">C8*D8</f>
        <v>0.4</v>
      </c>
    </row>
    <row r="9" customFormat="false" ht="15" hidden="false" customHeight="false" outlineLevel="0" collapsed="false">
      <c r="A9" s="3" t="n">
        <v>5</v>
      </c>
      <c r="B9" s="3" t="s">
        <v>247</v>
      </c>
      <c r="C9" s="18" t="n">
        <v>0.1</v>
      </c>
      <c r="D9" s="19" t="n">
        <v>3</v>
      </c>
      <c r="E9" s="26" t="n">
        <f aca="false">C9*D9</f>
        <v>0.3</v>
      </c>
    </row>
    <row r="10" customFormat="false" ht="15" hidden="false" customHeight="false" outlineLevel="0" collapsed="false">
      <c r="A10" s="3" t="n">
        <v>6</v>
      </c>
      <c r="B10" s="3" t="s">
        <v>248</v>
      </c>
      <c r="C10" s="18" t="n">
        <v>0.1</v>
      </c>
      <c r="D10" s="19" t="n">
        <v>4</v>
      </c>
      <c r="E10" s="26" t="n">
        <f aca="false">C10*D10</f>
        <v>0.4</v>
      </c>
    </row>
    <row r="11" customFormat="false" ht="15" hidden="false" customHeight="false" outlineLevel="0" collapsed="false">
      <c r="A11" s="3" t="n">
        <v>7</v>
      </c>
      <c r="B11" s="3" t="s">
        <v>249</v>
      </c>
      <c r="C11" s="18" t="n">
        <v>0.05</v>
      </c>
      <c r="D11" s="19" t="n">
        <v>4</v>
      </c>
      <c r="E11" s="26" t="n">
        <f aca="false">C11*D11</f>
        <v>0.2</v>
      </c>
    </row>
    <row r="12" customFormat="false" ht="15" hidden="false" customHeight="false" outlineLevel="0" collapsed="false">
      <c r="B12" s="2" t="s">
        <v>250</v>
      </c>
      <c r="C12" s="30" t="n">
        <f aca="false">SUM(C5:C11)</f>
        <v>1</v>
      </c>
      <c r="E12" s="26" t="n">
        <f aca="false">SUM(E5:E11)</f>
        <v>3.7</v>
      </c>
    </row>
    <row r="14" customFormat="false" ht="15" hidden="false" customHeight="false" outlineLevel="0" collapsed="false">
      <c r="A14" s="4"/>
      <c r="B14" s="4" t="s">
        <v>251</v>
      </c>
      <c r="C14" s="4" t="s">
        <v>252</v>
      </c>
    </row>
    <row r="15" customFormat="false" ht="15" hidden="false" customHeight="false" outlineLevel="0" collapsed="false">
      <c r="B15" s="7" t="n">
        <v>0</v>
      </c>
      <c r="C15" s="11" t="n">
        <v>-3</v>
      </c>
    </row>
    <row r="16" customFormat="false" ht="15" hidden="false" customHeight="false" outlineLevel="0" collapsed="false">
      <c r="B16" s="7" t="n">
        <v>2.5</v>
      </c>
      <c r="C16" s="11" t="n">
        <v>-2</v>
      </c>
    </row>
    <row r="17" customFormat="false" ht="15" hidden="false" customHeight="false" outlineLevel="0" collapsed="false">
      <c r="B17" s="7" t="n">
        <v>3.5</v>
      </c>
      <c r="C17" s="11" t="n">
        <v>-1</v>
      </c>
    </row>
    <row r="18" customFormat="false" ht="15" hidden="false" customHeight="false" outlineLevel="0" collapsed="false">
      <c r="B18" s="7" t="n">
        <v>4.5</v>
      </c>
      <c r="C18" s="11" t="n">
        <v>0</v>
      </c>
    </row>
    <row r="20" customFormat="false" ht="15" hidden="false" customHeight="false" outlineLevel="0" collapsed="false">
      <c r="B20" s="2" t="s">
        <v>253</v>
      </c>
      <c r="C20" s="12" t="n">
        <f aca="false">INDEX(C15:C18,MATCH(E12,B15:B18,1))</f>
        <v>-1</v>
      </c>
    </row>
    <row r="22" customFormat="false" ht="15" hidden="false" customHeight="false" outlineLevel="0" collapsed="false">
      <c r="A22" s="4"/>
      <c r="B22" s="4" t="s">
        <v>254</v>
      </c>
      <c r="C22" s="4" t="s">
        <v>44</v>
      </c>
      <c r="D22" s="4" t="s">
        <v>255</v>
      </c>
      <c r="E22" s="4" t="s">
        <v>256</v>
      </c>
    </row>
    <row r="23" customFormat="false" ht="15" hidden="false" customHeight="false" outlineLevel="0" collapsed="false">
      <c r="B23" s="3" t="s">
        <v>257</v>
      </c>
      <c r="C23" s="14" t="n">
        <f aca="false">Cartera_Polizas!G3</f>
        <v>300</v>
      </c>
      <c r="D23" s="14" t="n">
        <f aca="false">Supuestos!C24</f>
        <v>300</v>
      </c>
      <c r="E23" s="3" t="str">
        <f aca="false">IF(C23&gt;=D23,"OK","ESTRÉS ADICIONAL")</f>
        <v>OK</v>
      </c>
    </row>
    <row r="24" customFormat="false" ht="15" hidden="false" customHeight="false" outlineLevel="0" collapsed="false">
      <c r="B24" s="3" t="s">
        <v>258</v>
      </c>
      <c r="C24" s="31" t="n">
        <f aca="false">Cartera_Polizas!K3</f>
        <v>0.0101704331439632</v>
      </c>
      <c r="D24" s="31" t="n">
        <f aca="false">Supuestos!C25</f>
        <v>0.0333</v>
      </c>
      <c r="E24" s="3" t="str">
        <f aca="false">IF(C24&lt;=D24,"OK","EXCEDE")</f>
        <v>OK</v>
      </c>
    </row>
    <row r="25" customFormat="false" ht="15" hidden="false" customHeight="false" outlineLevel="0" collapsed="false">
      <c r="B25" s="3" t="s">
        <v>259</v>
      </c>
      <c r="C25" s="14" t="n">
        <f aca="false">Cartera_Polizas!M3</f>
        <v>11</v>
      </c>
      <c r="D25" s="14" t="n">
        <f aca="false">Supuestos!C26</f>
        <v>12</v>
      </c>
      <c r="E25" s="3" t="str">
        <f aca="false">IF(C25&lt;=D25,"OK","ACTUALIZAR LE")</f>
        <v>OK</v>
      </c>
    </row>
    <row r="26" customFormat="false" ht="15" hidden="false" customHeight="false" outlineLevel="0" collapsed="false">
      <c r="B26" s="3" t="s">
        <v>260</v>
      </c>
      <c r="C26" s="14" t="n">
        <f aca="false">IF(COUNT(Cartera_Polizas!J6:J305)=Cartera_Polizas!G3,2,1)</f>
        <v>2</v>
      </c>
      <c r="D26" s="14" t="n">
        <f aca="false">Supuestos!C27</f>
        <v>2</v>
      </c>
      <c r="E26" s="3" t="str">
        <f aca="false">IF(C26&gt;=D26,"OK","INSUFICIENTE")</f>
        <v>OK</v>
      </c>
    </row>
    <row r="27" customFormat="false" ht="15" hidden="false" customHeight="false" outlineLevel="0" collapsed="false">
      <c r="B27" s="3" t="s">
        <v>261</v>
      </c>
      <c r="C27" s="12" t="n">
        <f aca="false">-COUNTIF(E23:E26,"&lt;&gt;OK")</f>
        <v>-0</v>
      </c>
    </row>
    <row r="28" customFormat="false" ht="15" hidden="false" customHeight="false" outlineLevel="0" collapsed="false">
      <c r="B28" s="2" t="s">
        <v>262</v>
      </c>
      <c r="C28" s="12" t="n">
        <f aca="false">C20+C27</f>
        <v>-1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38"/>
    <col collapsed="false" customWidth="true" hidden="false" outlineLevel="0" max="3" min="3" style="0" width="120"/>
  </cols>
  <sheetData>
    <row r="1" customFormat="false" ht="17.35" hidden="false" customHeight="false" outlineLevel="0" collapsed="false">
      <c r="A1" s="1" t="s">
        <v>263</v>
      </c>
    </row>
    <row r="3" customFormat="false" ht="15" hidden="false" customHeight="false" outlineLevel="0" collapsed="false">
      <c r="A3" s="4" t="s">
        <v>264</v>
      </c>
      <c r="B3" s="4" t="s">
        <v>265</v>
      </c>
      <c r="C3" s="4" t="s">
        <v>266</v>
      </c>
    </row>
    <row r="4" customFormat="false" ht="15" hidden="false" customHeight="false" outlineLevel="0" collapsed="false">
      <c r="A4" s="3" t="s">
        <v>267</v>
      </c>
      <c r="B4" s="3" t="s">
        <v>268</v>
      </c>
      <c r="C4" s="3" t="s">
        <v>269</v>
      </c>
    </row>
    <row r="5" customFormat="false" ht="15" hidden="false" customHeight="false" outlineLevel="0" collapsed="false">
      <c r="A5" s="3" t="s">
        <v>270</v>
      </c>
      <c r="B5" s="3" t="s">
        <v>271</v>
      </c>
      <c r="C5" s="3" t="s">
        <v>272</v>
      </c>
    </row>
    <row r="6" customFormat="false" ht="15" hidden="false" customHeight="false" outlineLevel="0" collapsed="false">
      <c r="A6" s="3" t="s">
        <v>273</v>
      </c>
      <c r="B6" s="3" t="s">
        <v>274</v>
      </c>
      <c r="C6" s="3" t="s">
        <v>275</v>
      </c>
    </row>
    <row r="7" customFormat="false" ht="15" hidden="false" customHeight="false" outlineLevel="0" collapsed="false">
      <c r="A7" s="3" t="s">
        <v>276</v>
      </c>
      <c r="B7" s="3" t="s">
        <v>277</v>
      </c>
      <c r="C7" s="3" t="s">
        <v>278</v>
      </c>
    </row>
    <row r="8" customFormat="false" ht="15" hidden="false" customHeight="false" outlineLevel="0" collapsed="false">
      <c r="A8" s="3" t="s">
        <v>279</v>
      </c>
      <c r="B8" s="3" t="s">
        <v>280</v>
      </c>
      <c r="C8" s="3" t="s">
        <v>281</v>
      </c>
    </row>
    <row r="9" customFormat="false" ht="15" hidden="false" customHeight="false" outlineLevel="0" collapsed="false">
      <c r="A9" s="3" t="s">
        <v>282</v>
      </c>
      <c r="B9" s="3" t="s">
        <v>280</v>
      </c>
      <c r="C9" s="3" t="s">
        <v>283</v>
      </c>
    </row>
    <row r="10" customFormat="false" ht="15" hidden="false" customHeight="false" outlineLevel="0" collapsed="false">
      <c r="A10" s="3" t="s">
        <v>284</v>
      </c>
      <c r="B10" s="3" t="s">
        <v>285</v>
      </c>
      <c r="C10" s="3" t="s">
        <v>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2026-10-27T23:39:30Z</dcterms:created>
  <dc:creator>openpyxl</dc:creator>
  <dc:description/>
  <dc:language>en-US</dc:language>
  <cp:lastModifiedBy/>
  <dcterms:modified xsi:type="dcterms:W3CDTF">2026-10-27T23:39:40Z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